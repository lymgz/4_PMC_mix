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bgy\C-documents\碧桂园\集团运营管理工作\专项工作\2023年保交楼\23-12-15\刘磊-监控资金政策分析\code\"/>
    </mc:Choice>
  </mc:AlternateContent>
  <xr:revisionPtr revIDLastSave="0" documentId="13_ncr:1_{0D8C447F-6F6F-44B4-A7AC-6570515AB19F}" xr6:coauthVersionLast="47" xr6:coauthVersionMax="47" xr10:uidLastSave="{00000000-0000-0000-0000-000000000000}"/>
  <bookViews>
    <workbookView xWindow="4224" yWindow="4224" windowWidth="22680" windowHeight="14280" firstSheet="8" activeTab="10" xr2:uid="{00000000-000D-0000-FFFF-FFFF00000000}"/>
  </bookViews>
  <sheets>
    <sheet name="Sheet1" sheetId="1" r:id="rId1"/>
    <sheet name="cor" sheetId="2" r:id="rId2"/>
    <sheet name="转置" sheetId="3" r:id="rId3"/>
    <sheet name="Sheet2" sheetId="4" r:id="rId4"/>
    <sheet name="Sheet3" sheetId="6" r:id="rId5"/>
    <sheet name="Sheet4" sheetId="7" r:id="rId6"/>
    <sheet name="Sheet5" sheetId="11" r:id="rId7"/>
    <sheet name="测试" sheetId="5" r:id="rId8"/>
    <sheet name="Evaluation" sheetId="64" r:id="rId9"/>
    <sheet name="Evaluation-transfer" sheetId="65" r:id="rId10"/>
    <sheet name="machine_learning" sheetId="66" r:id="rId11"/>
    <sheet name="Randa plot" sheetId="67" r:id="rId12"/>
    <sheet name="房地产销售面积" sheetId="69" r:id="rId13"/>
    <sheet name="matrix" sheetId="63" r:id="rId14"/>
    <sheet name="Previous studies" sheetId="9" r:id="rId15"/>
    <sheet name="VIPcric_1" sheetId="12" r:id="rId16"/>
    <sheet name="VIPcric_2" sheetId="13" r:id="rId17"/>
    <sheet name="VIPcric_3" sheetId="16" r:id="rId18"/>
    <sheet name="六安" sheetId="40" r:id="rId19"/>
    <sheet name="合肥" sheetId="62" r:id="rId20"/>
    <sheet name="东莞" sheetId="25" r:id="rId21"/>
    <sheet name="中山" sheetId="28" r:id="rId22"/>
    <sheet name="佛山" sheetId="37" r:id="rId23"/>
    <sheet name="惠州" sheetId="55" r:id="rId24"/>
    <sheet name="广州" sheetId="54" r:id="rId25"/>
    <sheet name="汕头" sheetId="56" r:id="rId26"/>
    <sheet name="深圳" sheetId="57" r:id="rId27"/>
    <sheet name="清远" sheetId="58" r:id="rId28"/>
    <sheet name="珠海" sheetId="59" r:id="rId29"/>
    <sheet name="肇庆" sheetId="60" r:id="rId30"/>
    <sheet name="韶关" sheetId="61" r:id="rId31"/>
    <sheet name="定安" sheetId="44" r:id="rId32"/>
    <sheet name="白沙县" sheetId="52" r:id="rId33"/>
    <sheet name="陵水" sheetId="53" r:id="rId34"/>
    <sheet name="澄迈" sheetId="49" r:id="rId35"/>
    <sheet name="琼中" sheetId="50" r:id="rId36"/>
    <sheet name="琼海" sheetId="51" r:id="rId37"/>
    <sheet name="屯昌" sheetId="45" r:id="rId38"/>
    <sheet name="文昌" sheetId="46" r:id="rId39"/>
    <sheet name="万宁" sheetId="15" r:id="rId40"/>
    <sheet name="海口" sheetId="48" r:id="rId41"/>
    <sheet name="昌江" sheetId="47" r:id="rId42"/>
    <sheet name="五指山" sheetId="36" r:id="rId43"/>
    <sheet name="儋州" sheetId="39" r:id="rId44"/>
    <sheet name="北海" sheetId="43" r:id="rId45"/>
    <sheet name="兰州" sheetId="41" r:id="rId46"/>
    <sheet name="北京" sheetId="42" r:id="rId47"/>
    <sheet name="信阳" sheetId="38" r:id="rId48"/>
    <sheet name="丽水" sheetId="31" r:id="rId49"/>
    <sheet name="义乌" sheetId="32" r:id="rId50"/>
    <sheet name="临高" sheetId="29" r:id="rId51"/>
    <sheet name="乐东县" sheetId="33" r:id="rId52"/>
    <sheet name="上海" sheetId="22" r:id="rId53"/>
    <sheet name="上饶" sheetId="23" r:id="rId54"/>
    <sheet name="九江" sheetId="35" r:id="rId55"/>
    <sheet name="东方" sheetId="24" r:id="rId56"/>
    <sheet name="东营" sheetId="26" r:id="rId57"/>
    <sheet name="中卫" sheetId="27" r:id="rId58"/>
    <sheet name="乐山市" sheetId="34" r:id="rId59"/>
  </sheets>
  <definedNames>
    <definedName name="_xlnm._FilterDatabase" localSheetId="8" hidden="1">Evaluation!$A$172:$AQ$289</definedName>
    <definedName name="_xlnm._FilterDatabase" localSheetId="10" hidden="1">machine_learning!$B$2:$AB$43</definedName>
    <definedName name="_xlnm._FilterDatabase" localSheetId="17" hidden="1">VIPcric_3!$A$1:$J$161</definedName>
  </definedNames>
  <calcPr calcId="191029"/>
  <pivotCaches>
    <pivotCache cacheId="0" r:id="rId60"/>
    <pivotCache cacheId="1" r:id="rId61"/>
  </pivotCaches>
</workbook>
</file>

<file path=xl/calcChain.xml><?xml version="1.0" encoding="utf-8"?>
<calcChain xmlns="http://schemas.openxmlformats.org/spreadsheetml/2006/main">
  <c r="E37" i="69" l="1"/>
  <c r="E36" i="69"/>
  <c r="G28" i="69"/>
  <c r="F37" i="69"/>
  <c r="AA28" i="69"/>
  <c r="C28" i="69"/>
  <c r="AD315" i="65"/>
  <c r="AE315" i="65"/>
  <c r="AF315" i="65"/>
  <c r="AG315" i="65"/>
  <c r="AH315" i="65"/>
  <c r="AI315" i="65"/>
  <c r="AJ315" i="65"/>
  <c r="AK315" i="65"/>
  <c r="AL315" i="65"/>
  <c r="AC315" i="65"/>
  <c r="O315" i="65"/>
  <c r="P315" i="65"/>
  <c r="Q315" i="65"/>
  <c r="R315" i="65"/>
  <c r="S315" i="65"/>
  <c r="T315" i="65"/>
  <c r="U315" i="65"/>
  <c r="V315" i="65"/>
  <c r="W315" i="65"/>
  <c r="N315" i="65"/>
  <c r="Q3" i="67"/>
  <c r="R3" i="67"/>
  <c r="S3" i="67"/>
  <c r="T3" i="67"/>
  <c r="U3" i="67"/>
  <c r="V3" i="67"/>
  <c r="W3" i="67"/>
  <c r="X3" i="67"/>
  <c r="Y3" i="67"/>
  <c r="Z3" i="67"/>
  <c r="AA3" i="67"/>
  <c r="Q4" i="67"/>
  <c r="R4" i="67"/>
  <c r="S4" i="67"/>
  <c r="T4" i="67"/>
  <c r="U4" i="67"/>
  <c r="V4" i="67"/>
  <c r="W4" i="67"/>
  <c r="X4" i="67"/>
  <c r="Y4" i="67"/>
  <c r="Z4" i="67"/>
  <c r="AA4" i="67"/>
  <c r="Q5" i="67"/>
  <c r="R5" i="67"/>
  <c r="S5" i="67"/>
  <c r="T5" i="67"/>
  <c r="U5" i="67"/>
  <c r="V5" i="67"/>
  <c r="W5" i="67"/>
  <c r="X5" i="67"/>
  <c r="Y5" i="67"/>
  <c r="Z5" i="67"/>
  <c r="AA5" i="67"/>
  <c r="Q6" i="67"/>
  <c r="R6" i="67"/>
  <c r="S6" i="67"/>
  <c r="T6" i="67"/>
  <c r="U6" i="67"/>
  <c r="V6" i="67"/>
  <c r="W6" i="67"/>
  <c r="X6" i="67"/>
  <c r="Y6" i="67"/>
  <c r="Z6" i="67"/>
  <c r="AA6" i="67"/>
  <c r="Q7" i="67"/>
  <c r="R7" i="67"/>
  <c r="S7" i="67"/>
  <c r="T7" i="67"/>
  <c r="U7" i="67"/>
  <c r="V7" i="67"/>
  <c r="W7" i="67"/>
  <c r="X7" i="67"/>
  <c r="Y7" i="67"/>
  <c r="Z7" i="67"/>
  <c r="AA7" i="67"/>
  <c r="Q8" i="67"/>
  <c r="R8" i="67"/>
  <c r="S8" i="67"/>
  <c r="T8" i="67"/>
  <c r="U8" i="67"/>
  <c r="V8" i="67"/>
  <c r="W8" i="67"/>
  <c r="X8" i="67"/>
  <c r="Y8" i="67"/>
  <c r="Z8" i="67"/>
  <c r="AA8" i="67"/>
  <c r="Q9" i="67"/>
  <c r="R9" i="67"/>
  <c r="S9" i="67"/>
  <c r="T9" i="67"/>
  <c r="U9" i="67"/>
  <c r="V9" i="67"/>
  <c r="W9" i="67"/>
  <c r="X9" i="67"/>
  <c r="Y9" i="67"/>
  <c r="Z9" i="67"/>
  <c r="AA9" i="67"/>
  <c r="Q10" i="67"/>
  <c r="R10" i="67"/>
  <c r="S10" i="67"/>
  <c r="T10" i="67"/>
  <c r="U10" i="67"/>
  <c r="V10" i="67"/>
  <c r="W10" i="67"/>
  <c r="X10" i="67"/>
  <c r="Y10" i="67"/>
  <c r="Z10" i="67"/>
  <c r="AA10" i="67"/>
  <c r="Q11" i="67"/>
  <c r="R11" i="67"/>
  <c r="S11" i="67"/>
  <c r="T11" i="67"/>
  <c r="U11" i="67"/>
  <c r="V11" i="67"/>
  <c r="W11" i="67"/>
  <c r="X11" i="67"/>
  <c r="Y11" i="67"/>
  <c r="Z11" i="67"/>
  <c r="AA11" i="67"/>
  <c r="Q12" i="67"/>
  <c r="R12" i="67"/>
  <c r="S12" i="67"/>
  <c r="T12" i="67"/>
  <c r="U12" i="67"/>
  <c r="V12" i="67"/>
  <c r="W12" i="67"/>
  <c r="X12" i="67"/>
  <c r="Y12" i="67"/>
  <c r="Z12" i="67"/>
  <c r="AA12" i="67"/>
  <c r="Q13" i="67"/>
  <c r="R13" i="67"/>
  <c r="S13" i="67"/>
  <c r="T13" i="67"/>
  <c r="U13" i="67"/>
  <c r="V13" i="67"/>
  <c r="W13" i="67"/>
  <c r="X13" i="67"/>
  <c r="Y13" i="67"/>
  <c r="Z13" i="67"/>
  <c r="AA13" i="67"/>
  <c r="Q14" i="67"/>
  <c r="R14" i="67"/>
  <c r="S14" i="67"/>
  <c r="T14" i="67"/>
  <c r="U14" i="67"/>
  <c r="V14" i="67"/>
  <c r="W14" i="67"/>
  <c r="X14" i="67"/>
  <c r="Y14" i="67"/>
  <c r="Z14" i="67"/>
  <c r="AA14" i="67"/>
  <c r="Q15" i="67"/>
  <c r="R15" i="67"/>
  <c r="S15" i="67"/>
  <c r="T15" i="67"/>
  <c r="U15" i="67"/>
  <c r="V15" i="67"/>
  <c r="W15" i="67"/>
  <c r="X15" i="67"/>
  <c r="Y15" i="67"/>
  <c r="Z15" i="67"/>
  <c r="AA15" i="67"/>
  <c r="Q16" i="67"/>
  <c r="R16" i="67"/>
  <c r="S16" i="67"/>
  <c r="T16" i="67"/>
  <c r="U16" i="67"/>
  <c r="V16" i="67"/>
  <c r="W16" i="67"/>
  <c r="X16" i="67"/>
  <c r="Y16" i="67"/>
  <c r="Z16" i="67"/>
  <c r="AA16" i="67"/>
  <c r="Q17" i="67"/>
  <c r="R17" i="67"/>
  <c r="S17" i="67"/>
  <c r="T17" i="67"/>
  <c r="U17" i="67"/>
  <c r="V17" i="67"/>
  <c r="W17" i="67"/>
  <c r="X17" i="67"/>
  <c r="Y17" i="67"/>
  <c r="Z17" i="67"/>
  <c r="AA17" i="67"/>
  <c r="Q18" i="67"/>
  <c r="R18" i="67"/>
  <c r="S18" i="67"/>
  <c r="T18" i="67"/>
  <c r="U18" i="67"/>
  <c r="V18" i="67"/>
  <c r="W18" i="67"/>
  <c r="X18" i="67"/>
  <c r="Y18" i="67"/>
  <c r="Z18" i="67"/>
  <c r="AA18" i="67"/>
  <c r="Q19" i="67"/>
  <c r="R19" i="67"/>
  <c r="S19" i="67"/>
  <c r="T19" i="67"/>
  <c r="U19" i="67"/>
  <c r="V19" i="67"/>
  <c r="W19" i="67"/>
  <c r="X19" i="67"/>
  <c r="Y19" i="67"/>
  <c r="Z19" i="67"/>
  <c r="AA19" i="67"/>
  <c r="Q20" i="67"/>
  <c r="R20" i="67"/>
  <c r="S20" i="67"/>
  <c r="T20" i="67"/>
  <c r="U20" i="67"/>
  <c r="V20" i="67"/>
  <c r="W20" i="67"/>
  <c r="X20" i="67"/>
  <c r="Y20" i="67"/>
  <c r="Z20" i="67"/>
  <c r="AA20" i="67"/>
  <c r="Q21" i="67"/>
  <c r="R21" i="67"/>
  <c r="S21" i="67"/>
  <c r="T21" i="67"/>
  <c r="U21" i="67"/>
  <c r="V21" i="67"/>
  <c r="W21" i="67"/>
  <c r="X21" i="67"/>
  <c r="Y21" i="67"/>
  <c r="Z21" i="67"/>
  <c r="AA21" i="67"/>
  <c r="Q22" i="67"/>
  <c r="R22" i="67"/>
  <c r="S22" i="67"/>
  <c r="T22" i="67"/>
  <c r="U22" i="67"/>
  <c r="V22" i="67"/>
  <c r="W22" i="67"/>
  <c r="X22" i="67"/>
  <c r="Y22" i="67"/>
  <c r="Z22" i="67"/>
  <c r="AA22" i="67"/>
  <c r="Q23" i="67"/>
  <c r="R23" i="67"/>
  <c r="S23" i="67"/>
  <c r="T23" i="67"/>
  <c r="U23" i="67"/>
  <c r="V23" i="67"/>
  <c r="W23" i="67"/>
  <c r="X23" i="67"/>
  <c r="Y23" i="67"/>
  <c r="Z23" i="67"/>
  <c r="AA23" i="67"/>
  <c r="Q24" i="67"/>
  <c r="R24" i="67"/>
  <c r="S24" i="67"/>
  <c r="T24" i="67"/>
  <c r="U24" i="67"/>
  <c r="V24" i="67"/>
  <c r="W24" i="67"/>
  <c r="X24" i="67"/>
  <c r="Y24" i="67"/>
  <c r="Z24" i="67"/>
  <c r="AA24" i="67"/>
  <c r="Q25" i="67"/>
  <c r="R25" i="67"/>
  <c r="S25" i="67"/>
  <c r="T25" i="67"/>
  <c r="U25" i="67"/>
  <c r="V25" i="67"/>
  <c r="W25" i="67"/>
  <c r="X25" i="67"/>
  <c r="Y25" i="67"/>
  <c r="Z25" i="67"/>
  <c r="AA25" i="67"/>
  <c r="Q26" i="67"/>
  <c r="R26" i="67"/>
  <c r="S26" i="67"/>
  <c r="T26" i="67"/>
  <c r="U26" i="67"/>
  <c r="V26" i="67"/>
  <c r="W26" i="67"/>
  <c r="X26" i="67"/>
  <c r="Y26" i="67"/>
  <c r="Z26" i="67"/>
  <c r="AA26" i="67"/>
  <c r="Q27" i="67"/>
  <c r="R27" i="67"/>
  <c r="S27" i="67"/>
  <c r="T27" i="67"/>
  <c r="U27" i="67"/>
  <c r="V27" i="67"/>
  <c r="W27" i="67"/>
  <c r="X27" i="67"/>
  <c r="Y27" i="67"/>
  <c r="Z27" i="67"/>
  <c r="AA27" i="67"/>
  <c r="Q28" i="67"/>
  <c r="R28" i="67"/>
  <c r="S28" i="67"/>
  <c r="T28" i="67"/>
  <c r="U28" i="67"/>
  <c r="V28" i="67"/>
  <c r="W28" i="67"/>
  <c r="X28" i="67"/>
  <c r="Y28" i="67"/>
  <c r="Z28" i="67"/>
  <c r="AA28" i="67"/>
  <c r="Q29" i="67"/>
  <c r="R29" i="67"/>
  <c r="S29" i="67"/>
  <c r="T29" i="67"/>
  <c r="U29" i="67"/>
  <c r="V29" i="67"/>
  <c r="W29" i="67"/>
  <c r="X29" i="67"/>
  <c r="Y29" i="67"/>
  <c r="Z29" i="67"/>
  <c r="AA29" i="67"/>
  <c r="Q30" i="67"/>
  <c r="R30" i="67"/>
  <c r="S30" i="67"/>
  <c r="T30" i="67"/>
  <c r="U30" i="67"/>
  <c r="V30" i="67"/>
  <c r="W30" i="67"/>
  <c r="X30" i="67"/>
  <c r="Y30" i="67"/>
  <c r="Z30" i="67"/>
  <c r="AA30" i="67"/>
  <c r="Q31" i="67"/>
  <c r="R31" i="67"/>
  <c r="S31" i="67"/>
  <c r="T31" i="67"/>
  <c r="U31" i="67"/>
  <c r="V31" i="67"/>
  <c r="W31" i="67"/>
  <c r="X31" i="67"/>
  <c r="Y31" i="67"/>
  <c r="Z31" i="67"/>
  <c r="AA31" i="67"/>
  <c r="Q32" i="67"/>
  <c r="R32" i="67"/>
  <c r="S32" i="67"/>
  <c r="T32" i="67"/>
  <c r="U32" i="67"/>
  <c r="V32" i="67"/>
  <c r="W32" i="67"/>
  <c r="X32" i="67"/>
  <c r="Y32" i="67"/>
  <c r="Z32" i="67"/>
  <c r="AA32" i="67"/>
  <c r="Q33" i="67"/>
  <c r="R33" i="67"/>
  <c r="S33" i="67"/>
  <c r="T33" i="67"/>
  <c r="U33" i="67"/>
  <c r="V33" i="67"/>
  <c r="W33" i="67"/>
  <c r="X33" i="67"/>
  <c r="Y33" i="67"/>
  <c r="Z33" i="67"/>
  <c r="AA33" i="67"/>
  <c r="Q34" i="67"/>
  <c r="R34" i="67"/>
  <c r="S34" i="67"/>
  <c r="T34" i="67"/>
  <c r="U34" i="67"/>
  <c r="V34" i="67"/>
  <c r="W34" i="67"/>
  <c r="X34" i="67"/>
  <c r="Y34" i="67"/>
  <c r="Z34" i="67"/>
  <c r="AA34" i="67"/>
  <c r="Q35" i="67"/>
  <c r="R35" i="67"/>
  <c r="S35" i="67"/>
  <c r="T35" i="67"/>
  <c r="U35" i="67"/>
  <c r="V35" i="67"/>
  <c r="W35" i="67"/>
  <c r="X35" i="67"/>
  <c r="Y35" i="67"/>
  <c r="Z35" i="67"/>
  <c r="AA35" i="67"/>
  <c r="Q36" i="67"/>
  <c r="R36" i="67"/>
  <c r="S36" i="67"/>
  <c r="T36" i="67"/>
  <c r="U36" i="67"/>
  <c r="V36" i="67"/>
  <c r="W36" i="67"/>
  <c r="X36" i="67"/>
  <c r="Y36" i="67"/>
  <c r="Z36" i="67"/>
  <c r="AA36" i="67"/>
  <c r="Q37" i="67"/>
  <c r="R37" i="67"/>
  <c r="S37" i="67"/>
  <c r="T37" i="67"/>
  <c r="U37" i="67"/>
  <c r="V37" i="67"/>
  <c r="W37" i="67"/>
  <c r="X37" i="67"/>
  <c r="Y37" i="67"/>
  <c r="Z37" i="67"/>
  <c r="AA37" i="67"/>
  <c r="Q38" i="67"/>
  <c r="R38" i="67"/>
  <c r="S38" i="67"/>
  <c r="T38" i="67"/>
  <c r="U38" i="67"/>
  <c r="V38" i="67"/>
  <c r="W38" i="67"/>
  <c r="X38" i="67"/>
  <c r="Y38" i="67"/>
  <c r="Z38" i="67"/>
  <c r="AA38" i="67"/>
  <c r="Q39" i="67"/>
  <c r="R39" i="67"/>
  <c r="S39" i="67"/>
  <c r="T39" i="67"/>
  <c r="U39" i="67"/>
  <c r="V39" i="67"/>
  <c r="W39" i="67"/>
  <c r="X39" i="67"/>
  <c r="Y39" i="67"/>
  <c r="Z39" i="67"/>
  <c r="AA39" i="67"/>
  <c r="Q40" i="67"/>
  <c r="R40" i="67"/>
  <c r="S40" i="67"/>
  <c r="T40" i="67"/>
  <c r="U40" i="67"/>
  <c r="V40" i="67"/>
  <c r="W40" i="67"/>
  <c r="X40" i="67"/>
  <c r="Y40" i="67"/>
  <c r="Z40" i="67"/>
  <c r="AA40" i="67"/>
  <c r="Q41" i="67"/>
  <c r="R41" i="67"/>
  <c r="S41" i="67"/>
  <c r="T41" i="67"/>
  <c r="U41" i="67"/>
  <c r="V41" i="67"/>
  <c r="W41" i="67"/>
  <c r="X41" i="67"/>
  <c r="Y41" i="67"/>
  <c r="Z41" i="67"/>
  <c r="AA41" i="67"/>
  <c r="Q42" i="67"/>
  <c r="R42" i="67"/>
  <c r="S42" i="67"/>
  <c r="T42" i="67"/>
  <c r="U42" i="67"/>
  <c r="V42" i="67"/>
  <c r="W42" i="67"/>
  <c r="X42" i="67"/>
  <c r="Y42" i="67"/>
  <c r="Z42" i="67"/>
  <c r="AA42" i="67"/>
  <c r="Q43" i="67"/>
  <c r="R43" i="67"/>
  <c r="S43" i="67"/>
  <c r="T43" i="67"/>
  <c r="U43" i="67"/>
  <c r="V43" i="67"/>
  <c r="W43" i="67"/>
  <c r="X43" i="67"/>
  <c r="Y43" i="67"/>
  <c r="Z43" i="67"/>
  <c r="AA43" i="67"/>
  <c r="AA2" i="67"/>
  <c r="R2" i="67"/>
  <c r="S2" i="67"/>
  <c r="T2" i="67"/>
  <c r="U2" i="67"/>
  <c r="V2" i="67"/>
  <c r="W2" i="67"/>
  <c r="X2" i="67"/>
  <c r="Y2" i="67"/>
  <c r="Z2" i="67"/>
  <c r="Q2" i="67"/>
  <c r="P36" i="67"/>
  <c r="P2" i="67"/>
  <c r="O2" i="67"/>
  <c r="C3" i="67"/>
  <c r="D3" i="67"/>
  <c r="E3" i="67"/>
  <c r="F3" i="67"/>
  <c r="G3" i="67"/>
  <c r="H3" i="67"/>
  <c r="I3" i="67"/>
  <c r="J3" i="67"/>
  <c r="K3" i="67"/>
  <c r="L3" i="67"/>
  <c r="M3" i="67"/>
  <c r="C4" i="67"/>
  <c r="D4" i="67"/>
  <c r="E4" i="67"/>
  <c r="F4" i="67"/>
  <c r="G4" i="67"/>
  <c r="H4" i="67"/>
  <c r="I4" i="67"/>
  <c r="J4" i="67"/>
  <c r="K4" i="67"/>
  <c r="L4" i="67"/>
  <c r="M4" i="67"/>
  <c r="C5" i="67"/>
  <c r="D5" i="67"/>
  <c r="E5" i="67"/>
  <c r="F5" i="67"/>
  <c r="G5" i="67"/>
  <c r="H5" i="67"/>
  <c r="I5" i="67"/>
  <c r="J5" i="67"/>
  <c r="K5" i="67"/>
  <c r="L5" i="67"/>
  <c r="M5" i="67"/>
  <c r="C6" i="67"/>
  <c r="D6" i="67"/>
  <c r="E6" i="67"/>
  <c r="F6" i="67"/>
  <c r="G6" i="67"/>
  <c r="H6" i="67"/>
  <c r="I6" i="67"/>
  <c r="J6" i="67"/>
  <c r="K6" i="67"/>
  <c r="L6" i="67"/>
  <c r="M6" i="67"/>
  <c r="C7" i="67"/>
  <c r="D7" i="67"/>
  <c r="E7" i="67"/>
  <c r="F7" i="67"/>
  <c r="G7" i="67"/>
  <c r="H7" i="67"/>
  <c r="I7" i="67"/>
  <c r="J7" i="67"/>
  <c r="K7" i="67"/>
  <c r="L7" i="67"/>
  <c r="M7" i="67"/>
  <c r="C8" i="67"/>
  <c r="D8" i="67"/>
  <c r="E8" i="67"/>
  <c r="F8" i="67"/>
  <c r="G8" i="67"/>
  <c r="H8" i="67"/>
  <c r="I8" i="67"/>
  <c r="J8" i="67"/>
  <c r="K8" i="67"/>
  <c r="L8" i="67"/>
  <c r="M8" i="67"/>
  <c r="C9" i="67"/>
  <c r="D9" i="67"/>
  <c r="E9" i="67"/>
  <c r="F9" i="67"/>
  <c r="G9" i="67"/>
  <c r="H9" i="67"/>
  <c r="I9" i="67"/>
  <c r="J9" i="67"/>
  <c r="K9" i="67"/>
  <c r="L9" i="67"/>
  <c r="M9" i="67"/>
  <c r="C10" i="67"/>
  <c r="D10" i="67"/>
  <c r="E10" i="67"/>
  <c r="F10" i="67"/>
  <c r="G10" i="67"/>
  <c r="H10" i="67"/>
  <c r="I10" i="67"/>
  <c r="J10" i="67"/>
  <c r="K10" i="67"/>
  <c r="L10" i="67"/>
  <c r="M10" i="67"/>
  <c r="C11" i="67"/>
  <c r="D11" i="67"/>
  <c r="E11" i="67"/>
  <c r="F11" i="67"/>
  <c r="G11" i="67"/>
  <c r="H11" i="67"/>
  <c r="I11" i="67"/>
  <c r="J11" i="67"/>
  <c r="K11" i="67"/>
  <c r="L11" i="67"/>
  <c r="M11" i="67"/>
  <c r="C12" i="67"/>
  <c r="D12" i="67"/>
  <c r="E12" i="67"/>
  <c r="F12" i="67"/>
  <c r="G12" i="67"/>
  <c r="H12" i="67"/>
  <c r="I12" i="67"/>
  <c r="J12" i="67"/>
  <c r="K12" i="67"/>
  <c r="L12" i="67"/>
  <c r="M12" i="67"/>
  <c r="C13" i="67"/>
  <c r="D13" i="67"/>
  <c r="E13" i="67"/>
  <c r="F13" i="67"/>
  <c r="G13" i="67"/>
  <c r="H13" i="67"/>
  <c r="I13" i="67"/>
  <c r="J13" i="67"/>
  <c r="K13" i="67"/>
  <c r="L13" i="67"/>
  <c r="M13" i="67"/>
  <c r="C14" i="67"/>
  <c r="D14" i="67"/>
  <c r="E14" i="67"/>
  <c r="F14" i="67"/>
  <c r="G14" i="67"/>
  <c r="H14" i="67"/>
  <c r="I14" i="67"/>
  <c r="J14" i="67"/>
  <c r="K14" i="67"/>
  <c r="L14" i="67"/>
  <c r="M14" i="67"/>
  <c r="C15" i="67"/>
  <c r="D15" i="67"/>
  <c r="E15" i="67"/>
  <c r="F15" i="67"/>
  <c r="G15" i="67"/>
  <c r="H15" i="67"/>
  <c r="I15" i="67"/>
  <c r="J15" i="67"/>
  <c r="K15" i="67"/>
  <c r="L15" i="67"/>
  <c r="M15" i="67"/>
  <c r="C16" i="67"/>
  <c r="D16" i="67"/>
  <c r="E16" i="67"/>
  <c r="F16" i="67"/>
  <c r="G16" i="67"/>
  <c r="H16" i="67"/>
  <c r="I16" i="67"/>
  <c r="J16" i="67"/>
  <c r="K16" i="67"/>
  <c r="L16" i="67"/>
  <c r="M16" i="67"/>
  <c r="C17" i="67"/>
  <c r="D17" i="67"/>
  <c r="E17" i="67"/>
  <c r="F17" i="67"/>
  <c r="G17" i="67"/>
  <c r="H17" i="67"/>
  <c r="I17" i="67"/>
  <c r="J17" i="67"/>
  <c r="K17" i="67"/>
  <c r="L17" i="67"/>
  <c r="M17" i="67"/>
  <c r="C18" i="67"/>
  <c r="D18" i="67"/>
  <c r="E18" i="67"/>
  <c r="F18" i="67"/>
  <c r="G18" i="67"/>
  <c r="H18" i="67"/>
  <c r="I18" i="67"/>
  <c r="J18" i="67"/>
  <c r="K18" i="67"/>
  <c r="L18" i="67"/>
  <c r="M18" i="67"/>
  <c r="C19" i="67"/>
  <c r="D19" i="67"/>
  <c r="E19" i="67"/>
  <c r="F19" i="67"/>
  <c r="G19" i="67"/>
  <c r="H19" i="67"/>
  <c r="I19" i="67"/>
  <c r="J19" i="67"/>
  <c r="K19" i="67"/>
  <c r="L19" i="67"/>
  <c r="M19" i="67"/>
  <c r="C20" i="67"/>
  <c r="D20" i="67"/>
  <c r="E20" i="67"/>
  <c r="F20" i="67"/>
  <c r="G20" i="67"/>
  <c r="H20" i="67"/>
  <c r="I20" i="67"/>
  <c r="J20" i="67"/>
  <c r="K20" i="67"/>
  <c r="L20" i="67"/>
  <c r="M20" i="67"/>
  <c r="C21" i="67"/>
  <c r="D21" i="67"/>
  <c r="E21" i="67"/>
  <c r="F21" i="67"/>
  <c r="G21" i="67"/>
  <c r="H21" i="67"/>
  <c r="I21" i="67"/>
  <c r="J21" i="67"/>
  <c r="K21" i="67"/>
  <c r="L21" i="67"/>
  <c r="M21" i="67"/>
  <c r="C22" i="67"/>
  <c r="D22" i="67"/>
  <c r="E22" i="67"/>
  <c r="F22" i="67"/>
  <c r="G22" i="67"/>
  <c r="H22" i="67"/>
  <c r="I22" i="67"/>
  <c r="J22" i="67"/>
  <c r="K22" i="67"/>
  <c r="L22" i="67"/>
  <c r="M22" i="67"/>
  <c r="C23" i="67"/>
  <c r="D23" i="67"/>
  <c r="E23" i="67"/>
  <c r="F23" i="67"/>
  <c r="G23" i="67"/>
  <c r="H23" i="67"/>
  <c r="I23" i="67"/>
  <c r="J23" i="67"/>
  <c r="K23" i="67"/>
  <c r="L23" i="67"/>
  <c r="M23" i="67"/>
  <c r="C24" i="67"/>
  <c r="D24" i="67"/>
  <c r="E24" i="67"/>
  <c r="F24" i="67"/>
  <c r="G24" i="67"/>
  <c r="H24" i="67"/>
  <c r="I24" i="67"/>
  <c r="J24" i="67"/>
  <c r="K24" i="67"/>
  <c r="L24" i="67"/>
  <c r="M24" i="67"/>
  <c r="C25" i="67"/>
  <c r="D25" i="67"/>
  <c r="E25" i="67"/>
  <c r="F25" i="67"/>
  <c r="G25" i="67"/>
  <c r="H25" i="67"/>
  <c r="I25" i="67"/>
  <c r="J25" i="67"/>
  <c r="K25" i="67"/>
  <c r="L25" i="67"/>
  <c r="M25" i="67"/>
  <c r="C26" i="67"/>
  <c r="D26" i="67"/>
  <c r="E26" i="67"/>
  <c r="F26" i="67"/>
  <c r="G26" i="67"/>
  <c r="H26" i="67"/>
  <c r="I26" i="67"/>
  <c r="J26" i="67"/>
  <c r="K26" i="67"/>
  <c r="L26" i="67"/>
  <c r="M26" i="67"/>
  <c r="C27" i="67"/>
  <c r="D27" i="67"/>
  <c r="E27" i="67"/>
  <c r="F27" i="67"/>
  <c r="G27" i="67"/>
  <c r="H27" i="67"/>
  <c r="I27" i="67"/>
  <c r="J27" i="67"/>
  <c r="K27" i="67"/>
  <c r="L27" i="67"/>
  <c r="M27" i="67"/>
  <c r="C28" i="67"/>
  <c r="D28" i="67"/>
  <c r="E28" i="67"/>
  <c r="F28" i="67"/>
  <c r="G28" i="67"/>
  <c r="H28" i="67"/>
  <c r="I28" i="67"/>
  <c r="J28" i="67"/>
  <c r="K28" i="67"/>
  <c r="L28" i="67"/>
  <c r="M28" i="67"/>
  <c r="C29" i="67"/>
  <c r="D29" i="67"/>
  <c r="E29" i="67"/>
  <c r="F29" i="67"/>
  <c r="G29" i="67"/>
  <c r="H29" i="67"/>
  <c r="I29" i="67"/>
  <c r="J29" i="67"/>
  <c r="K29" i="67"/>
  <c r="L29" i="67"/>
  <c r="M29" i="67"/>
  <c r="C30" i="67"/>
  <c r="D30" i="67"/>
  <c r="E30" i="67"/>
  <c r="F30" i="67"/>
  <c r="G30" i="67"/>
  <c r="H30" i="67"/>
  <c r="I30" i="67"/>
  <c r="J30" i="67"/>
  <c r="K30" i="67"/>
  <c r="L30" i="67"/>
  <c r="M30" i="67"/>
  <c r="C31" i="67"/>
  <c r="D31" i="67"/>
  <c r="E31" i="67"/>
  <c r="F31" i="67"/>
  <c r="G31" i="67"/>
  <c r="H31" i="67"/>
  <c r="I31" i="67"/>
  <c r="J31" i="67"/>
  <c r="K31" i="67"/>
  <c r="L31" i="67"/>
  <c r="M31" i="67"/>
  <c r="C32" i="67"/>
  <c r="D32" i="67"/>
  <c r="E32" i="67"/>
  <c r="F32" i="67"/>
  <c r="G32" i="67"/>
  <c r="H32" i="67"/>
  <c r="I32" i="67"/>
  <c r="J32" i="67"/>
  <c r="K32" i="67"/>
  <c r="L32" i="67"/>
  <c r="M32" i="67"/>
  <c r="C33" i="67"/>
  <c r="D33" i="67"/>
  <c r="E33" i="67"/>
  <c r="F33" i="67"/>
  <c r="G33" i="67"/>
  <c r="H33" i="67"/>
  <c r="I33" i="67"/>
  <c r="J33" i="67"/>
  <c r="K33" i="67"/>
  <c r="L33" i="67"/>
  <c r="M33" i="67"/>
  <c r="C34" i="67"/>
  <c r="D34" i="67"/>
  <c r="E34" i="67"/>
  <c r="F34" i="67"/>
  <c r="G34" i="67"/>
  <c r="H34" i="67"/>
  <c r="I34" i="67"/>
  <c r="J34" i="67"/>
  <c r="K34" i="67"/>
  <c r="L34" i="67"/>
  <c r="M34" i="67"/>
  <c r="C35" i="67"/>
  <c r="D35" i="67"/>
  <c r="E35" i="67"/>
  <c r="F35" i="67"/>
  <c r="G35" i="67"/>
  <c r="H35" i="67"/>
  <c r="I35" i="67"/>
  <c r="J35" i="67"/>
  <c r="K35" i="67"/>
  <c r="L35" i="67"/>
  <c r="M35" i="67"/>
  <c r="C36" i="67"/>
  <c r="D36" i="67"/>
  <c r="E36" i="67"/>
  <c r="F36" i="67"/>
  <c r="G36" i="67"/>
  <c r="H36" i="67"/>
  <c r="I36" i="67"/>
  <c r="J36" i="67"/>
  <c r="K36" i="67"/>
  <c r="L36" i="67"/>
  <c r="M36" i="67"/>
  <c r="C37" i="67"/>
  <c r="D37" i="67"/>
  <c r="E37" i="67"/>
  <c r="F37" i="67"/>
  <c r="G37" i="67"/>
  <c r="H37" i="67"/>
  <c r="I37" i="67"/>
  <c r="J37" i="67"/>
  <c r="K37" i="67"/>
  <c r="L37" i="67"/>
  <c r="M37" i="67"/>
  <c r="C38" i="67"/>
  <c r="D38" i="67"/>
  <c r="E38" i="67"/>
  <c r="F38" i="67"/>
  <c r="G38" i="67"/>
  <c r="H38" i="67"/>
  <c r="I38" i="67"/>
  <c r="J38" i="67"/>
  <c r="K38" i="67"/>
  <c r="L38" i="67"/>
  <c r="M38" i="67"/>
  <c r="C39" i="67"/>
  <c r="D39" i="67"/>
  <c r="E39" i="67"/>
  <c r="F39" i="67"/>
  <c r="G39" i="67"/>
  <c r="H39" i="67"/>
  <c r="I39" i="67"/>
  <c r="J39" i="67"/>
  <c r="K39" i="67"/>
  <c r="L39" i="67"/>
  <c r="M39" i="67"/>
  <c r="C40" i="67"/>
  <c r="D40" i="67"/>
  <c r="E40" i="67"/>
  <c r="F40" i="67"/>
  <c r="G40" i="67"/>
  <c r="H40" i="67"/>
  <c r="I40" i="67"/>
  <c r="J40" i="67"/>
  <c r="K40" i="67"/>
  <c r="L40" i="67"/>
  <c r="M40" i="67"/>
  <c r="C41" i="67"/>
  <c r="D41" i="67"/>
  <c r="E41" i="67"/>
  <c r="F41" i="67"/>
  <c r="G41" i="67"/>
  <c r="H41" i="67"/>
  <c r="I41" i="67"/>
  <c r="J41" i="67"/>
  <c r="K41" i="67"/>
  <c r="L41" i="67"/>
  <c r="M41" i="67"/>
  <c r="C42" i="67"/>
  <c r="D42" i="67"/>
  <c r="E42" i="67"/>
  <c r="F42" i="67"/>
  <c r="G42" i="67"/>
  <c r="H42" i="67"/>
  <c r="I42" i="67"/>
  <c r="J42" i="67"/>
  <c r="K42" i="67"/>
  <c r="L42" i="67"/>
  <c r="M42" i="67"/>
  <c r="C43" i="67"/>
  <c r="D43" i="67"/>
  <c r="E43" i="67"/>
  <c r="F43" i="67"/>
  <c r="G43" i="67"/>
  <c r="H43" i="67"/>
  <c r="I43" i="67"/>
  <c r="J43" i="67"/>
  <c r="K43" i="67"/>
  <c r="L43" i="67"/>
  <c r="M43" i="67"/>
  <c r="D2" i="67"/>
  <c r="E2" i="67"/>
  <c r="F2" i="67"/>
  <c r="G2" i="67"/>
  <c r="H2" i="67"/>
  <c r="I2" i="67"/>
  <c r="J2" i="67"/>
  <c r="K2" i="67"/>
  <c r="L2" i="67"/>
  <c r="M2" i="67"/>
  <c r="C2" i="67"/>
  <c r="A3" i="67"/>
  <c r="O3" i="67" s="1"/>
  <c r="A4" i="67"/>
  <c r="O4" i="67" s="1"/>
  <c r="A5" i="67"/>
  <c r="O5" i="67" s="1"/>
  <c r="A6" i="67"/>
  <c r="O6" i="67" s="1"/>
  <c r="A7" i="67"/>
  <c r="O7" i="67" s="1"/>
  <c r="A8" i="67"/>
  <c r="O8" i="67" s="1"/>
  <c r="A9" i="67"/>
  <c r="O9" i="67" s="1"/>
  <c r="A10" i="67"/>
  <c r="O10" i="67" s="1"/>
  <c r="A11" i="67"/>
  <c r="O11" i="67" s="1"/>
  <c r="A12" i="67"/>
  <c r="O12" i="67" s="1"/>
  <c r="A13" i="67"/>
  <c r="O13" i="67" s="1"/>
  <c r="A14" i="67"/>
  <c r="O14" i="67" s="1"/>
  <c r="A15" i="67"/>
  <c r="O15" i="67" s="1"/>
  <c r="A16" i="67"/>
  <c r="O16" i="67" s="1"/>
  <c r="A17" i="67"/>
  <c r="O17" i="67" s="1"/>
  <c r="A18" i="67"/>
  <c r="O18" i="67" s="1"/>
  <c r="A19" i="67"/>
  <c r="O19" i="67" s="1"/>
  <c r="A20" i="67"/>
  <c r="O20" i="67" s="1"/>
  <c r="A21" i="67"/>
  <c r="O21" i="67" s="1"/>
  <c r="A22" i="67"/>
  <c r="O22" i="67" s="1"/>
  <c r="A23" i="67"/>
  <c r="O23" i="67" s="1"/>
  <c r="A24" i="67"/>
  <c r="O24" i="67" s="1"/>
  <c r="A25" i="67"/>
  <c r="O25" i="67" s="1"/>
  <c r="A26" i="67"/>
  <c r="O26" i="67" s="1"/>
  <c r="A27" i="67"/>
  <c r="O27" i="67" s="1"/>
  <c r="A28" i="67"/>
  <c r="O28" i="67" s="1"/>
  <c r="A29" i="67"/>
  <c r="O29" i="67" s="1"/>
  <c r="A30" i="67"/>
  <c r="O30" i="67" s="1"/>
  <c r="A31" i="67"/>
  <c r="O31" i="67" s="1"/>
  <c r="A32" i="67"/>
  <c r="O32" i="67" s="1"/>
  <c r="A33" i="67"/>
  <c r="O33" i="67" s="1"/>
  <c r="A34" i="67"/>
  <c r="O34" i="67" s="1"/>
  <c r="A35" i="67"/>
  <c r="O35" i="67" s="1"/>
  <c r="A36" i="67"/>
  <c r="O36" i="67" s="1"/>
  <c r="A37" i="67"/>
  <c r="O37" i="67" s="1"/>
  <c r="A38" i="67"/>
  <c r="O38" i="67" s="1"/>
  <c r="A39" i="67"/>
  <c r="O39" i="67" s="1"/>
  <c r="A40" i="67"/>
  <c r="O40" i="67" s="1"/>
  <c r="A41" i="67"/>
  <c r="O41" i="67" s="1"/>
  <c r="A42" i="67"/>
  <c r="O42" i="67" s="1"/>
  <c r="A43" i="67"/>
  <c r="O43" i="67" s="1"/>
  <c r="A2" i="67"/>
  <c r="B29" i="67"/>
  <c r="P29" i="67" s="1"/>
  <c r="B30" i="67"/>
  <c r="P30" i="67" s="1"/>
  <c r="B31" i="67"/>
  <c r="P31" i="67" s="1"/>
  <c r="B32" i="67"/>
  <c r="P32" i="67" s="1"/>
  <c r="B33" i="67"/>
  <c r="P33" i="67" s="1"/>
  <c r="B34" i="67"/>
  <c r="P34" i="67" s="1"/>
  <c r="B35" i="67"/>
  <c r="P35" i="67" s="1"/>
  <c r="B36" i="67"/>
  <c r="B37" i="67"/>
  <c r="P37" i="67" s="1"/>
  <c r="B38" i="67"/>
  <c r="P38" i="67" s="1"/>
  <c r="B39" i="67"/>
  <c r="P39" i="67" s="1"/>
  <c r="B40" i="67"/>
  <c r="P40" i="67" s="1"/>
  <c r="B41" i="67"/>
  <c r="P41" i="67" s="1"/>
  <c r="B42" i="67"/>
  <c r="P42" i="67" s="1"/>
  <c r="B43" i="67"/>
  <c r="P43" i="67" s="1"/>
  <c r="B3" i="67"/>
  <c r="P3" i="67" s="1"/>
  <c r="B4" i="67"/>
  <c r="P4" i="67" s="1"/>
  <c r="B5" i="67"/>
  <c r="P5" i="67" s="1"/>
  <c r="B6" i="67"/>
  <c r="P6" i="67" s="1"/>
  <c r="B7" i="67"/>
  <c r="P7" i="67" s="1"/>
  <c r="B8" i="67"/>
  <c r="P8" i="67" s="1"/>
  <c r="B9" i="67"/>
  <c r="P9" i="67" s="1"/>
  <c r="B10" i="67"/>
  <c r="P10" i="67" s="1"/>
  <c r="B11" i="67"/>
  <c r="P11" i="67" s="1"/>
  <c r="B12" i="67"/>
  <c r="P12" i="67" s="1"/>
  <c r="B13" i="67"/>
  <c r="P13" i="67" s="1"/>
  <c r="B14" i="67"/>
  <c r="P14" i="67" s="1"/>
  <c r="B15" i="67"/>
  <c r="P15" i="67" s="1"/>
  <c r="B16" i="67"/>
  <c r="P16" i="67" s="1"/>
  <c r="B17" i="67"/>
  <c r="P17" i="67" s="1"/>
  <c r="B18" i="67"/>
  <c r="P18" i="67" s="1"/>
  <c r="B19" i="67"/>
  <c r="P19" i="67" s="1"/>
  <c r="B20" i="67"/>
  <c r="P20" i="67" s="1"/>
  <c r="B21" i="67"/>
  <c r="P21" i="67" s="1"/>
  <c r="B22" i="67"/>
  <c r="P22" i="67" s="1"/>
  <c r="B23" i="67"/>
  <c r="P23" i="67" s="1"/>
  <c r="B24" i="67"/>
  <c r="P24" i="67" s="1"/>
  <c r="B25" i="67"/>
  <c r="P25" i="67" s="1"/>
  <c r="B26" i="67"/>
  <c r="P26" i="67" s="1"/>
  <c r="B27" i="67"/>
  <c r="P27" i="67" s="1"/>
  <c r="B28" i="67"/>
  <c r="P28" i="67" s="1"/>
  <c r="B2" i="67"/>
  <c r="O3" i="66"/>
  <c r="O4" i="66"/>
  <c r="O5" i="66"/>
  <c r="O6" i="66"/>
  <c r="O7" i="66"/>
  <c r="O8" i="66"/>
  <c r="O9" i="66"/>
  <c r="O10" i="66"/>
  <c r="O11" i="66"/>
  <c r="O12" i="66"/>
  <c r="O13" i="66"/>
  <c r="O14" i="66"/>
  <c r="O15" i="66"/>
  <c r="O16" i="66"/>
  <c r="O17" i="66"/>
  <c r="O18" i="66"/>
  <c r="O19" i="66"/>
  <c r="O20" i="66"/>
  <c r="O21" i="66"/>
  <c r="O22" i="66"/>
  <c r="O23" i="66"/>
  <c r="O24" i="66"/>
  <c r="O25" i="66"/>
  <c r="O26" i="66"/>
  <c r="O27" i="66"/>
  <c r="O28" i="66"/>
  <c r="O29" i="66"/>
  <c r="O30" i="66"/>
  <c r="O31" i="66"/>
  <c r="O32" i="66"/>
  <c r="O33" i="66"/>
  <c r="O34" i="66"/>
  <c r="O35" i="66"/>
  <c r="O36" i="66"/>
  <c r="O37" i="66"/>
  <c r="O38" i="66"/>
  <c r="O39" i="66"/>
  <c r="O40" i="66"/>
  <c r="O41" i="66"/>
  <c r="O42" i="66"/>
  <c r="O43" i="66"/>
  <c r="O2" i="66"/>
  <c r="N3" i="66"/>
  <c r="N4" i="66"/>
  <c r="N5" i="66"/>
  <c r="N6" i="66"/>
  <c r="N7" i="66"/>
  <c r="N8" i="66"/>
  <c r="N9" i="66"/>
  <c r="N10" i="66"/>
  <c r="N11" i="66"/>
  <c r="N12" i="66"/>
  <c r="N13" i="66"/>
  <c r="N14" i="66"/>
  <c r="N15" i="66"/>
  <c r="N16" i="66"/>
  <c r="N17" i="66"/>
  <c r="N18" i="66"/>
  <c r="N19" i="66"/>
  <c r="N20" i="66"/>
  <c r="N21" i="66"/>
  <c r="N22" i="66"/>
  <c r="N23" i="66"/>
  <c r="N24" i="66"/>
  <c r="N25" i="66"/>
  <c r="N26" i="66"/>
  <c r="N27" i="66"/>
  <c r="N28" i="66"/>
  <c r="N29" i="66"/>
  <c r="N30" i="66"/>
  <c r="N31" i="66"/>
  <c r="N32" i="66"/>
  <c r="N33" i="66"/>
  <c r="N34" i="66"/>
  <c r="N35" i="66"/>
  <c r="N36" i="66"/>
  <c r="N37" i="66"/>
  <c r="N38" i="66"/>
  <c r="N39" i="66"/>
  <c r="N40" i="66"/>
  <c r="N41" i="66"/>
  <c r="N42" i="66"/>
  <c r="N43" i="66"/>
  <c r="N2" i="66"/>
  <c r="N144" i="64"/>
  <c r="N145" i="64"/>
  <c r="N146" i="64"/>
  <c r="N147" i="64"/>
  <c r="N148" i="64"/>
  <c r="N149" i="64"/>
  <c r="N150" i="64"/>
  <c r="N151" i="64"/>
  <c r="N152" i="64"/>
  <c r="N153" i="64"/>
  <c r="N154" i="64"/>
  <c r="N155" i="64"/>
  <c r="N156" i="64"/>
  <c r="N157" i="64"/>
  <c r="N158" i="64"/>
  <c r="N159" i="64"/>
  <c r="N160" i="64"/>
  <c r="N161" i="64"/>
  <c r="N162" i="64"/>
  <c r="N163" i="64"/>
  <c r="N164" i="64"/>
  <c r="N165" i="64"/>
  <c r="N166" i="64"/>
  <c r="N167" i="64"/>
  <c r="N168" i="64"/>
  <c r="N169" i="64"/>
  <c r="N143" i="64"/>
  <c r="I88" i="34"/>
  <c r="H88" i="34"/>
  <c r="G88" i="34"/>
  <c r="C88" i="34"/>
  <c r="B88" i="34"/>
  <c r="P86" i="34"/>
  <c r="P82" i="34"/>
  <c r="P80" i="34"/>
  <c r="P76" i="34"/>
  <c r="P75" i="34"/>
  <c r="P74" i="34"/>
  <c r="P73" i="34"/>
  <c r="P72" i="34"/>
  <c r="P71" i="34"/>
  <c r="P70" i="34"/>
  <c r="P69" i="34"/>
  <c r="P68" i="34"/>
  <c r="P66" i="34"/>
  <c r="P62" i="34"/>
  <c r="P60" i="34"/>
  <c r="P56" i="34"/>
  <c r="P55" i="34"/>
  <c r="P54" i="34"/>
  <c r="P53" i="34"/>
  <c r="P52" i="34"/>
  <c r="P51" i="34"/>
  <c r="P50" i="34"/>
  <c r="P49" i="34"/>
  <c r="P48" i="34"/>
  <c r="P46" i="34"/>
  <c r="P42" i="34"/>
  <c r="A42" i="34"/>
  <c r="P41" i="34"/>
  <c r="A41" i="34"/>
  <c r="A40" i="34"/>
  <c r="P39" i="34"/>
  <c r="A39" i="34"/>
  <c r="P38" i="34"/>
  <c r="A38" i="34"/>
  <c r="P37" i="34"/>
  <c r="A37" i="34"/>
  <c r="P36" i="34"/>
  <c r="A36" i="34"/>
  <c r="P35" i="34"/>
  <c r="A35" i="34"/>
  <c r="P34" i="34"/>
  <c r="A34" i="34"/>
  <c r="A33" i="34"/>
  <c r="P32" i="34"/>
  <c r="A32" i="34"/>
  <c r="P31" i="34"/>
  <c r="A31" i="34"/>
  <c r="A30" i="34"/>
  <c r="P29" i="34"/>
  <c r="A29" i="34"/>
  <c r="P28" i="34"/>
  <c r="A28" i="34"/>
  <c r="P27" i="34"/>
  <c r="A27" i="34"/>
  <c r="P26" i="34"/>
  <c r="A26" i="34"/>
  <c r="F25" i="34"/>
  <c r="P25" i="34" s="1"/>
  <c r="A25" i="34"/>
  <c r="F24" i="34"/>
  <c r="P24" i="34" s="1"/>
  <c r="A24" i="34"/>
  <c r="P23" i="34"/>
  <c r="F23" i="34"/>
  <c r="A23" i="34"/>
  <c r="F22" i="34"/>
  <c r="P22" i="34" s="1"/>
  <c r="A22" i="34"/>
  <c r="P21" i="34"/>
  <c r="F21" i="34"/>
  <c r="A21" i="34"/>
  <c r="F20" i="34"/>
  <c r="A20" i="34"/>
  <c r="P19" i="34"/>
  <c r="A19" i="34"/>
  <c r="A18" i="34"/>
  <c r="P17" i="34"/>
  <c r="A17" i="34"/>
  <c r="P16" i="34"/>
  <c r="A16" i="34"/>
  <c r="P15" i="34"/>
  <c r="A15" i="34"/>
  <c r="A88" i="34" s="1"/>
  <c r="P14" i="34"/>
  <c r="A14" i="34"/>
  <c r="P13" i="34"/>
  <c r="A13" i="34"/>
  <c r="P12" i="34"/>
  <c r="A12" i="34"/>
  <c r="A11" i="34"/>
  <c r="P10" i="34"/>
  <c r="A10" i="34"/>
  <c r="P9" i="34"/>
  <c r="A9" i="34"/>
  <c r="A8" i="34"/>
  <c r="P7" i="34"/>
  <c r="A7" i="34"/>
  <c r="S6" i="34"/>
  <c r="P6" i="34"/>
  <c r="A6" i="34"/>
  <c r="S5" i="34"/>
  <c r="P5" i="34"/>
  <c r="A5" i="34"/>
  <c r="S4" i="34"/>
  <c r="T1" i="34"/>
  <c r="S1" i="34"/>
  <c r="P87" i="34" s="1"/>
  <c r="C88" i="27"/>
  <c r="B88" i="27"/>
  <c r="A72" i="27"/>
  <c r="A71" i="27"/>
  <c r="A70" i="27"/>
  <c r="A69" i="27"/>
  <c r="A68" i="27"/>
  <c r="A67" i="27"/>
  <c r="A66" i="27"/>
  <c r="M65" i="27"/>
  <c r="A65" i="27"/>
  <c r="A64" i="27"/>
  <c r="A63" i="27"/>
  <c r="A62" i="27"/>
  <c r="M61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M49" i="27"/>
  <c r="A49" i="27"/>
  <c r="A48" i="27"/>
  <c r="A47" i="27"/>
  <c r="A46" i="27"/>
  <c r="M45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I19" i="27"/>
  <c r="A19" i="27"/>
  <c r="L18" i="27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K18" i="27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J18" i="27"/>
  <c r="J19" i="27" s="1"/>
  <c r="J20" i="27" s="1"/>
  <c r="J21" i="27" s="1"/>
  <c r="J22" i="27" s="1"/>
  <c r="I18" i="27"/>
  <c r="A18" i="27"/>
  <c r="A17" i="27"/>
  <c r="A16" i="27"/>
  <c r="A15" i="27"/>
  <c r="A14" i="27"/>
  <c r="A13" i="27"/>
  <c r="A12" i="27"/>
  <c r="M11" i="27"/>
  <c r="A11" i="27"/>
  <c r="A10" i="27"/>
  <c r="A9" i="27"/>
  <c r="M8" i="27"/>
  <c r="A8" i="27"/>
  <c r="A7" i="27"/>
  <c r="P6" i="27"/>
  <c r="A6" i="27"/>
  <c r="P5" i="27"/>
  <c r="A5" i="27"/>
  <c r="P4" i="27"/>
  <c r="P1" i="27"/>
  <c r="C88" i="26"/>
  <c r="B88" i="26"/>
  <c r="P79" i="26"/>
  <c r="P75" i="26"/>
  <c r="A73" i="26"/>
  <c r="A72" i="26"/>
  <c r="A71" i="26"/>
  <c r="P70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P57" i="26"/>
  <c r="A57" i="26"/>
  <c r="P56" i="26"/>
  <c r="A56" i="26"/>
  <c r="A55" i="26"/>
  <c r="A54" i="26"/>
  <c r="A53" i="26"/>
  <c r="A52" i="26"/>
  <c r="A51" i="26"/>
  <c r="A50" i="26"/>
  <c r="A49" i="26"/>
  <c r="A48" i="26"/>
  <c r="A47" i="26"/>
  <c r="P46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O30" i="26"/>
  <c r="O31" i="26" s="1"/>
  <c r="O32" i="26" s="1"/>
  <c r="O33" i="26" s="1"/>
  <c r="O34" i="26" s="1"/>
  <c r="O35" i="26" s="1"/>
  <c r="O36" i="26" s="1"/>
  <c r="O37" i="26" s="1"/>
  <c r="O38" i="26" s="1"/>
  <c r="O39" i="26" s="1"/>
  <c r="O40" i="26" s="1"/>
  <c r="O41" i="26" s="1"/>
  <c r="O42" i="26" s="1"/>
  <c r="O43" i="26" s="1"/>
  <c r="O44" i="26" s="1"/>
  <c r="A30" i="26"/>
  <c r="M29" i="26"/>
  <c r="M30" i="26" s="1"/>
  <c r="M31" i="26" s="1"/>
  <c r="M32" i="26" s="1"/>
  <c r="A29" i="26"/>
  <c r="O28" i="26"/>
  <c r="O29" i="26" s="1"/>
  <c r="A28" i="26"/>
  <c r="O27" i="26"/>
  <c r="A27" i="26"/>
  <c r="A26" i="26"/>
  <c r="K25" i="26"/>
  <c r="K26" i="26" s="1"/>
  <c r="K27" i="26" s="1"/>
  <c r="K28" i="26" s="1"/>
  <c r="K29" i="26" s="1"/>
  <c r="K30" i="26" s="1"/>
  <c r="K31" i="26" s="1"/>
  <c r="K32" i="26" s="1"/>
  <c r="A25" i="26"/>
  <c r="K24" i="26"/>
  <c r="A24" i="26"/>
  <c r="L23" i="26"/>
  <c r="L24" i="26" s="1"/>
  <c r="L25" i="26" s="1"/>
  <c r="L26" i="26" s="1"/>
  <c r="L27" i="26" s="1"/>
  <c r="L28" i="26" s="1"/>
  <c r="L29" i="26" s="1"/>
  <c r="L30" i="26" s="1"/>
  <c r="L31" i="26" s="1"/>
  <c r="L32" i="26" s="1"/>
  <c r="A23" i="26"/>
  <c r="O22" i="26"/>
  <c r="O23" i="26" s="1"/>
  <c r="O24" i="26" s="1"/>
  <c r="O25" i="26" s="1"/>
  <c r="O26" i="26" s="1"/>
  <c r="N22" i="26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M22" i="26"/>
  <c r="M23" i="26" s="1"/>
  <c r="M24" i="26" s="1"/>
  <c r="M25" i="26" s="1"/>
  <c r="M26" i="26" s="1"/>
  <c r="M27" i="26" s="1"/>
  <c r="M28" i="26" s="1"/>
  <c r="L22" i="26"/>
  <c r="K22" i="26"/>
  <c r="K23" i="26" s="1"/>
  <c r="A22" i="26"/>
  <c r="A21" i="26"/>
  <c r="A20" i="26"/>
  <c r="A19" i="26"/>
  <c r="A18" i="26"/>
  <c r="A17" i="26"/>
  <c r="A16" i="26"/>
  <c r="P15" i="26"/>
  <c r="A15" i="26"/>
  <c r="A14" i="26"/>
  <c r="A13" i="26"/>
  <c r="A12" i="26"/>
  <c r="A11" i="26"/>
  <c r="A10" i="26"/>
  <c r="A9" i="26"/>
  <c r="A8" i="26"/>
  <c r="A7" i="26"/>
  <c r="S6" i="26"/>
  <c r="A6" i="26"/>
  <c r="S5" i="26"/>
  <c r="A5" i="26"/>
  <c r="S4" i="26"/>
  <c r="S1" i="26"/>
  <c r="C88" i="24"/>
  <c r="B88" i="24"/>
  <c r="N85" i="24"/>
  <c r="A85" i="24"/>
  <c r="N84" i="24"/>
  <c r="A84" i="24"/>
  <c r="N83" i="24"/>
  <c r="A83" i="24"/>
  <c r="N82" i="24"/>
  <c r="A82" i="24"/>
  <c r="N81" i="24"/>
  <c r="A81" i="24"/>
  <c r="N80" i="24"/>
  <c r="A80" i="24"/>
  <c r="A79" i="24"/>
  <c r="N78" i="24"/>
  <c r="A78" i="24"/>
  <c r="N77" i="24"/>
  <c r="A77" i="24"/>
  <c r="A76" i="24"/>
  <c r="N75" i="24"/>
  <c r="A75" i="24"/>
  <c r="N74" i="24"/>
  <c r="A74" i="24"/>
  <c r="A73" i="24"/>
  <c r="A72" i="24"/>
  <c r="A71" i="24"/>
  <c r="N70" i="24"/>
  <c r="A70" i="24"/>
  <c r="N69" i="24"/>
  <c r="A69" i="24"/>
  <c r="A68" i="24"/>
  <c r="N67" i="24"/>
  <c r="A67" i="24"/>
  <c r="A66" i="24"/>
  <c r="N65" i="24"/>
  <c r="A65" i="24"/>
  <c r="N64" i="24"/>
  <c r="A64" i="24"/>
  <c r="N63" i="24"/>
  <c r="A63" i="24"/>
  <c r="N62" i="24"/>
  <c r="A62" i="24"/>
  <c r="N61" i="24"/>
  <c r="A61" i="24"/>
  <c r="N60" i="24"/>
  <c r="A60" i="24"/>
  <c r="A59" i="24"/>
  <c r="N58" i="24"/>
  <c r="A58" i="24"/>
  <c r="N57" i="24"/>
  <c r="A57" i="24"/>
  <c r="A56" i="24"/>
  <c r="N55" i="24"/>
  <c r="A55" i="24"/>
  <c r="N54" i="24"/>
  <c r="A54" i="24"/>
  <c r="A53" i="24"/>
  <c r="A52" i="24"/>
  <c r="A51" i="24"/>
  <c r="N50" i="24"/>
  <c r="A50" i="24"/>
  <c r="N49" i="24"/>
  <c r="A49" i="24"/>
  <c r="A48" i="24"/>
  <c r="N47" i="24"/>
  <c r="A47" i="24"/>
  <c r="A46" i="24"/>
  <c r="N45" i="24"/>
  <c r="A45" i="24"/>
  <c r="N44" i="24"/>
  <c r="A44" i="24"/>
  <c r="N43" i="24"/>
  <c r="A43" i="24"/>
  <c r="A42" i="24"/>
  <c r="A41" i="24"/>
  <c r="A40" i="24"/>
  <c r="M39" i="24"/>
  <c r="M40" i="24" s="1"/>
  <c r="M41" i="24" s="1"/>
  <c r="M42" i="24" s="1"/>
  <c r="A39" i="24"/>
  <c r="A38" i="24"/>
  <c r="A37" i="24"/>
  <c r="A36" i="24"/>
  <c r="A35" i="24"/>
  <c r="L34" i="24"/>
  <c r="L35" i="24" s="1"/>
  <c r="L36" i="24" s="1"/>
  <c r="L37" i="24" s="1"/>
  <c r="L38" i="24" s="1"/>
  <c r="L39" i="24" s="1"/>
  <c r="A34" i="24"/>
  <c r="A33" i="24"/>
  <c r="L32" i="24"/>
  <c r="L33" i="24" s="1"/>
  <c r="A32" i="24"/>
  <c r="K31" i="24"/>
  <c r="A31" i="24"/>
  <c r="A30" i="24"/>
  <c r="A29" i="24"/>
  <c r="A28" i="24"/>
  <c r="A27" i="24"/>
  <c r="M26" i="24"/>
  <c r="M27" i="24" s="1"/>
  <c r="M28" i="24" s="1"/>
  <c r="M29" i="24" s="1"/>
  <c r="M30" i="24" s="1"/>
  <c r="M31" i="24" s="1"/>
  <c r="M32" i="24" s="1"/>
  <c r="M33" i="24" s="1"/>
  <c r="M34" i="24" s="1"/>
  <c r="M35" i="24" s="1"/>
  <c r="M36" i="24" s="1"/>
  <c r="M37" i="24" s="1"/>
  <c r="M38" i="24" s="1"/>
  <c r="K26" i="24"/>
  <c r="K27" i="24" s="1"/>
  <c r="K28" i="24" s="1"/>
  <c r="K29" i="24" s="1"/>
  <c r="K30" i="24" s="1"/>
  <c r="A26" i="24"/>
  <c r="M25" i="24"/>
  <c r="L25" i="24"/>
  <c r="L26" i="24" s="1"/>
  <c r="L27" i="24" s="1"/>
  <c r="L28" i="24" s="1"/>
  <c r="L29" i="24" s="1"/>
  <c r="L30" i="24" s="1"/>
  <c r="L31" i="24" s="1"/>
  <c r="K25" i="24"/>
  <c r="A25" i="24"/>
  <c r="A24" i="24"/>
  <c r="N23" i="24"/>
  <c r="A23" i="24"/>
  <c r="N22" i="24"/>
  <c r="A22" i="24"/>
  <c r="N21" i="24"/>
  <c r="A21" i="24"/>
  <c r="N20" i="24"/>
  <c r="A20" i="24"/>
  <c r="A19" i="24"/>
  <c r="N18" i="24"/>
  <c r="A18" i="24"/>
  <c r="A17" i="24"/>
  <c r="N16" i="24"/>
  <c r="A16" i="24"/>
  <c r="N15" i="24"/>
  <c r="A15" i="24"/>
  <c r="N14" i="24"/>
  <c r="A14" i="24"/>
  <c r="N13" i="24"/>
  <c r="A13" i="24"/>
  <c r="N12" i="24"/>
  <c r="A12" i="24"/>
  <c r="N11" i="24"/>
  <c r="A11" i="24"/>
  <c r="N10" i="24"/>
  <c r="A10" i="24"/>
  <c r="A9" i="24"/>
  <c r="N8" i="24"/>
  <c r="A8" i="24"/>
  <c r="A7" i="24"/>
  <c r="Q6" i="24"/>
  <c r="A6" i="24"/>
  <c r="Q5" i="24"/>
  <c r="A5" i="24"/>
  <c r="A88" i="24" s="1"/>
  <c r="Q4" i="24"/>
  <c r="R1" i="24"/>
  <c r="Q1" i="24"/>
  <c r="N86" i="24" s="1"/>
  <c r="C88" i="35"/>
  <c r="B88" i="35"/>
  <c r="N70" i="35"/>
  <c r="N69" i="35"/>
  <c r="N68" i="35"/>
  <c r="N67" i="35"/>
  <c r="N66" i="35"/>
  <c r="N65" i="35"/>
  <c r="N63" i="35"/>
  <c r="N62" i="35"/>
  <c r="N61" i="35"/>
  <c r="N60" i="35"/>
  <c r="N59" i="35"/>
  <c r="N58" i="35"/>
  <c r="N57" i="35"/>
  <c r="N56" i="35"/>
  <c r="N55" i="35"/>
  <c r="N52" i="35"/>
  <c r="N51" i="35"/>
  <c r="N50" i="35"/>
  <c r="N49" i="35"/>
  <c r="N48" i="35"/>
  <c r="N47" i="35"/>
  <c r="A47" i="35"/>
  <c r="N46" i="35"/>
  <c r="A46" i="35"/>
  <c r="N45" i="35"/>
  <c r="A45" i="35"/>
  <c r="N44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N18" i="35"/>
  <c r="A18" i="35"/>
  <c r="N17" i="35"/>
  <c r="A17" i="35"/>
  <c r="A16" i="35"/>
  <c r="N15" i="35"/>
  <c r="A15" i="35"/>
  <c r="N14" i="35"/>
  <c r="A14" i="35"/>
  <c r="N13" i="35"/>
  <c r="A13" i="35"/>
  <c r="A12" i="35"/>
  <c r="N11" i="35"/>
  <c r="A11" i="35"/>
  <c r="N10" i="35"/>
  <c r="A10" i="35"/>
  <c r="A88" i="35" s="1"/>
  <c r="N9" i="35"/>
  <c r="A9" i="35"/>
  <c r="N8" i="35"/>
  <c r="A8" i="35"/>
  <c r="A7" i="35"/>
  <c r="Q6" i="35"/>
  <c r="A6" i="35"/>
  <c r="Q5" i="35"/>
  <c r="A5" i="35"/>
  <c r="Q4" i="35"/>
  <c r="R1" i="35"/>
  <c r="Q1" i="35"/>
  <c r="N64" i="35" s="1"/>
  <c r="F88" i="23"/>
  <c r="E88" i="23"/>
  <c r="C88" i="23"/>
  <c r="B88" i="23"/>
  <c r="H39" i="23"/>
  <c r="H38" i="23"/>
  <c r="H37" i="23"/>
  <c r="H36" i="23"/>
  <c r="H35" i="23"/>
  <c r="H34" i="23"/>
  <c r="H33" i="23"/>
  <c r="H32" i="23"/>
  <c r="H31" i="23"/>
  <c r="G31" i="23"/>
  <c r="A31" i="23"/>
  <c r="H30" i="23"/>
  <c r="G30" i="23"/>
  <c r="A30" i="23"/>
  <c r="H29" i="23"/>
  <c r="G29" i="23"/>
  <c r="A29" i="23"/>
  <c r="H28" i="23"/>
  <c r="G28" i="23"/>
  <c r="A28" i="23"/>
  <c r="H27" i="23"/>
  <c r="G27" i="23"/>
  <c r="A27" i="23"/>
  <c r="A26" i="23"/>
  <c r="A25" i="23"/>
  <c r="A24" i="23"/>
  <c r="A23" i="23"/>
  <c r="A22" i="23"/>
  <c r="A21" i="23"/>
  <c r="A20" i="23"/>
  <c r="K19" i="23"/>
  <c r="K20" i="23" s="1"/>
  <c r="K21" i="23" s="1"/>
  <c r="K22" i="23" s="1"/>
  <c r="K23" i="23" s="1"/>
  <c r="K24" i="23" s="1"/>
  <c r="K25" i="23" s="1"/>
  <c r="K26" i="23" s="1"/>
  <c r="K27" i="23" s="1"/>
  <c r="A19" i="23"/>
  <c r="A18" i="23"/>
  <c r="K17" i="23"/>
  <c r="K18" i="23" s="1"/>
  <c r="A17" i="23"/>
  <c r="L16" i="23"/>
  <c r="L17" i="23" s="1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K16" i="23"/>
  <c r="A16" i="23"/>
  <c r="L15" i="23"/>
  <c r="A15" i="23"/>
  <c r="M14" i="23"/>
  <c r="A14" i="23"/>
  <c r="M13" i="23"/>
  <c r="A13" i="23"/>
  <c r="M12" i="23"/>
  <c r="A12" i="23"/>
  <c r="M11" i="23"/>
  <c r="A11" i="23"/>
  <c r="M10" i="23"/>
  <c r="A10" i="23"/>
  <c r="A88" i="23" s="1"/>
  <c r="M9" i="23"/>
  <c r="A9" i="23"/>
  <c r="M8" i="23"/>
  <c r="A8" i="23"/>
  <c r="A7" i="23"/>
  <c r="P6" i="23"/>
  <c r="A6" i="23"/>
  <c r="P5" i="23"/>
  <c r="A5" i="23"/>
  <c r="P4" i="23"/>
  <c r="Q1" i="23"/>
  <c r="P1" i="23"/>
  <c r="H88" i="22"/>
  <c r="F88" i="22"/>
  <c r="E88" i="22"/>
  <c r="C88" i="22"/>
  <c r="B88" i="22"/>
  <c r="A44" i="22"/>
  <c r="A43" i="22"/>
  <c r="A42" i="22"/>
  <c r="A41" i="22"/>
  <c r="A40" i="22"/>
  <c r="A39" i="22"/>
  <c r="A38" i="22"/>
  <c r="A37" i="22"/>
  <c r="M36" i="22"/>
  <c r="A36" i="22"/>
  <c r="A35" i="22"/>
  <c r="M34" i="22"/>
  <c r="A34" i="22"/>
  <c r="M33" i="22"/>
  <c r="A33" i="22"/>
  <c r="A32" i="22"/>
  <c r="A31" i="22"/>
  <c r="A30" i="22"/>
  <c r="A29" i="22"/>
  <c r="K28" i="22"/>
  <c r="K29" i="22" s="1"/>
  <c r="K30" i="22" s="1"/>
  <c r="K31" i="22" s="1"/>
  <c r="A28" i="22"/>
  <c r="A27" i="22"/>
  <c r="A26" i="22"/>
  <c r="A25" i="22"/>
  <c r="A24" i="22"/>
  <c r="A23" i="22"/>
  <c r="A22" i="22"/>
  <c r="A21" i="22"/>
  <c r="A20" i="22"/>
  <c r="A19" i="22"/>
  <c r="A18" i="22"/>
  <c r="M17" i="22"/>
  <c r="A17" i="22"/>
  <c r="A16" i="22"/>
  <c r="A15" i="22"/>
  <c r="A14" i="22"/>
  <c r="A13" i="22"/>
  <c r="A12" i="22"/>
  <c r="A11" i="22"/>
  <c r="A10" i="22"/>
  <c r="A9" i="22"/>
  <c r="A8" i="22"/>
  <c r="A7" i="22"/>
  <c r="P6" i="22"/>
  <c r="A6" i="22"/>
  <c r="P5" i="22"/>
  <c r="K18" i="22" s="1"/>
  <c r="K19" i="22" s="1"/>
  <c r="K20" i="22" s="1"/>
  <c r="K21" i="22" s="1"/>
  <c r="K22" i="22" s="1"/>
  <c r="K23" i="22" s="1"/>
  <c r="K24" i="22" s="1"/>
  <c r="K25" i="22" s="1"/>
  <c r="K26" i="22" s="1"/>
  <c r="K27" i="22" s="1"/>
  <c r="A5" i="22"/>
  <c r="P4" i="22"/>
  <c r="P1" i="22"/>
  <c r="M38" i="22" s="1"/>
  <c r="C116" i="33"/>
  <c r="B116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L35" i="33"/>
  <c r="L36" i="33" s="1"/>
  <c r="L37" i="33" s="1"/>
  <c r="L38" i="33" s="1"/>
  <c r="A35" i="33"/>
  <c r="A34" i="33"/>
  <c r="A33" i="33"/>
  <c r="A32" i="33"/>
  <c r="A31" i="33"/>
  <c r="A30" i="33"/>
  <c r="L29" i="33"/>
  <c r="L30" i="33" s="1"/>
  <c r="L31" i="33" s="1"/>
  <c r="L32" i="33" s="1"/>
  <c r="L33" i="33" s="1"/>
  <c r="L34" i="33" s="1"/>
  <c r="A29" i="33"/>
  <c r="A28" i="33"/>
  <c r="A27" i="33"/>
  <c r="J26" i="33"/>
  <c r="J27" i="33" s="1"/>
  <c r="J28" i="33" s="1"/>
  <c r="J29" i="33" s="1"/>
  <c r="A26" i="33"/>
  <c r="A25" i="33"/>
  <c r="K24" i="33"/>
  <c r="K25" i="33" s="1"/>
  <c r="K26" i="33" s="1"/>
  <c r="K27" i="33" s="1"/>
  <c r="K28" i="33" s="1"/>
  <c r="K29" i="33" s="1"/>
  <c r="K30" i="33" s="1"/>
  <c r="A24" i="33"/>
  <c r="L23" i="33"/>
  <c r="L24" i="33" s="1"/>
  <c r="L25" i="33" s="1"/>
  <c r="L26" i="33" s="1"/>
  <c r="L27" i="33" s="1"/>
  <c r="L28" i="33" s="1"/>
  <c r="J23" i="33"/>
  <c r="J24" i="33" s="1"/>
  <c r="J25" i="33" s="1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P6" i="33"/>
  <c r="A6" i="33"/>
  <c r="P5" i="33"/>
  <c r="A5" i="33"/>
  <c r="P4" i="33"/>
  <c r="Q1" i="33"/>
  <c r="P1" i="33"/>
  <c r="C97" i="29"/>
  <c r="B97" i="29"/>
  <c r="A96" i="29"/>
  <c r="A95" i="29"/>
  <c r="A94" i="29"/>
  <c r="A93" i="29"/>
  <c r="A92" i="29"/>
  <c r="A91" i="29"/>
  <c r="M90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M78" i="29"/>
  <c r="A78" i="29"/>
  <c r="A77" i="29"/>
  <c r="A76" i="29"/>
  <c r="A75" i="29"/>
  <c r="A74" i="29"/>
  <c r="A73" i="29"/>
  <c r="A72" i="29"/>
  <c r="A71" i="29"/>
  <c r="A70" i="29"/>
  <c r="A69" i="29"/>
  <c r="M68" i="29"/>
  <c r="A68" i="29"/>
  <c r="A67" i="29"/>
  <c r="M66" i="29"/>
  <c r="A66" i="29"/>
  <c r="A65" i="29"/>
  <c r="A64" i="29"/>
  <c r="A63" i="29"/>
  <c r="A62" i="29"/>
  <c r="A61" i="29"/>
  <c r="A60" i="29"/>
  <c r="A59" i="29"/>
  <c r="A58" i="29"/>
  <c r="A57" i="29"/>
  <c r="M56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M43" i="29"/>
  <c r="A43" i="29"/>
  <c r="A42" i="29"/>
  <c r="A41" i="29"/>
  <c r="A40" i="29"/>
  <c r="M39" i="29"/>
  <c r="A39" i="29"/>
  <c r="A38" i="29"/>
  <c r="A37" i="29"/>
  <c r="A36" i="29"/>
  <c r="A35" i="29"/>
  <c r="A34" i="29"/>
  <c r="A33" i="29"/>
  <c r="A32" i="29"/>
  <c r="A31" i="29"/>
  <c r="A30" i="29"/>
  <c r="A29" i="29"/>
  <c r="K28" i="29"/>
  <c r="K29" i="29" s="1"/>
  <c r="K30" i="29" s="1"/>
  <c r="K31" i="29" s="1"/>
  <c r="A28" i="29"/>
  <c r="A27" i="29"/>
  <c r="K26" i="29"/>
  <c r="K27" i="29" s="1"/>
  <c r="A26" i="29"/>
  <c r="K25" i="29"/>
  <c r="A25" i="29"/>
  <c r="K24" i="29"/>
  <c r="A24" i="29"/>
  <c r="L23" i="29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J23" i="29"/>
  <c r="J24" i="29" s="1"/>
  <c r="J25" i="29" s="1"/>
  <c r="J26" i="29" s="1"/>
  <c r="J27" i="29" s="1"/>
  <c r="J28" i="29" s="1"/>
  <c r="J29" i="29" s="1"/>
  <c r="A23" i="29"/>
  <c r="A22" i="29"/>
  <c r="A21" i="29"/>
  <c r="A20" i="29"/>
  <c r="A19" i="29"/>
  <c r="A18" i="29"/>
  <c r="A17" i="29"/>
  <c r="A16" i="29"/>
  <c r="A15" i="29"/>
  <c r="M14" i="29"/>
  <c r="A14" i="29"/>
  <c r="M13" i="29"/>
  <c r="A13" i="29"/>
  <c r="M12" i="29"/>
  <c r="A12" i="29"/>
  <c r="A11" i="29"/>
  <c r="A10" i="29"/>
  <c r="A9" i="29"/>
  <c r="A8" i="29"/>
  <c r="A7" i="29"/>
  <c r="P6" i="29"/>
  <c r="A6" i="29"/>
  <c r="P5" i="29"/>
  <c r="A5" i="29"/>
  <c r="P4" i="29"/>
  <c r="P1" i="29"/>
  <c r="M44" i="29" s="1"/>
  <c r="C88" i="32"/>
  <c r="B88" i="32"/>
  <c r="P82" i="32"/>
  <c r="P81" i="32"/>
  <c r="P77" i="32"/>
  <c r="P76" i="32"/>
  <c r="P73" i="32"/>
  <c r="P67" i="32"/>
  <c r="P61" i="32"/>
  <c r="P53" i="32"/>
  <c r="P52" i="32"/>
  <c r="P46" i="32"/>
  <c r="P45" i="32"/>
  <c r="P42" i="32"/>
  <c r="P41" i="32"/>
  <c r="A39" i="32"/>
  <c r="A38" i="32"/>
  <c r="A37" i="32"/>
  <c r="O36" i="32"/>
  <c r="O37" i="32" s="1"/>
  <c r="O38" i="32" s="1"/>
  <c r="O39" i="32" s="1"/>
  <c r="A36" i="32"/>
  <c r="A35" i="32"/>
  <c r="A34" i="32"/>
  <c r="A33" i="32"/>
  <c r="A32" i="32"/>
  <c r="A31" i="32"/>
  <c r="A30" i="32"/>
  <c r="N29" i="32"/>
  <c r="N30" i="32" s="1"/>
  <c r="N31" i="32" s="1"/>
  <c r="N32" i="32" s="1"/>
  <c r="N33" i="32" s="1"/>
  <c r="N34" i="32" s="1"/>
  <c r="N35" i="32" s="1"/>
  <c r="N36" i="32" s="1"/>
  <c r="N37" i="32" s="1"/>
  <c r="A29" i="32"/>
  <c r="A28" i="32"/>
  <c r="A27" i="32"/>
  <c r="N26" i="32"/>
  <c r="N27" i="32" s="1"/>
  <c r="N28" i="32" s="1"/>
  <c r="A26" i="32"/>
  <c r="A25" i="32"/>
  <c r="O24" i="32"/>
  <c r="O25" i="32" s="1"/>
  <c r="O26" i="32" s="1"/>
  <c r="O27" i="32" s="1"/>
  <c r="O28" i="32" s="1"/>
  <c r="O29" i="32" s="1"/>
  <c r="O30" i="32" s="1"/>
  <c r="O31" i="32" s="1"/>
  <c r="O32" i="32" s="1"/>
  <c r="O33" i="32" s="1"/>
  <c r="O34" i="32" s="1"/>
  <c r="O35" i="32" s="1"/>
  <c r="A24" i="32"/>
  <c r="O23" i="32"/>
  <c r="L23" i="32"/>
  <c r="L24" i="32" s="1"/>
  <c r="L25" i="32" s="1"/>
  <c r="L26" i="32" s="1"/>
  <c r="A23" i="32"/>
  <c r="K22" i="32"/>
  <c r="K23" i="32" s="1"/>
  <c r="A22" i="32"/>
  <c r="N21" i="32"/>
  <c r="N22" i="32" s="1"/>
  <c r="N23" i="32" s="1"/>
  <c r="N24" i="32" s="1"/>
  <c r="N25" i="32" s="1"/>
  <c r="M21" i="32"/>
  <c r="M22" i="32" s="1"/>
  <c r="M23" i="32" s="1"/>
  <c r="M24" i="32" s="1"/>
  <c r="M25" i="32" s="1"/>
  <c r="M26" i="32" s="1"/>
  <c r="M27" i="32" s="1"/>
  <c r="M28" i="32" s="1"/>
  <c r="M29" i="32" s="1"/>
  <c r="M30" i="32" s="1"/>
  <c r="L21" i="32"/>
  <c r="L22" i="32" s="1"/>
  <c r="A21" i="32"/>
  <c r="O20" i="32"/>
  <c r="O21" i="32" s="1"/>
  <c r="O22" i="32" s="1"/>
  <c r="N20" i="32"/>
  <c r="M20" i="32"/>
  <c r="L20" i="32"/>
  <c r="K20" i="32"/>
  <c r="K21" i="32" s="1"/>
  <c r="A20" i="32"/>
  <c r="A19" i="32"/>
  <c r="P18" i="32"/>
  <c r="A18" i="32"/>
  <c r="A17" i="32"/>
  <c r="A16" i="32"/>
  <c r="P15" i="32"/>
  <c r="A15" i="32"/>
  <c r="P14" i="32"/>
  <c r="A14" i="32"/>
  <c r="A13" i="32"/>
  <c r="P12" i="32"/>
  <c r="A12" i="32"/>
  <c r="A11" i="32"/>
  <c r="V10" i="32"/>
  <c r="A10" i="32"/>
  <c r="A9" i="32"/>
  <c r="P8" i="32"/>
  <c r="A8" i="32"/>
  <c r="A7" i="32"/>
  <c r="S6" i="32"/>
  <c r="A6" i="32"/>
  <c r="S5" i="32"/>
  <c r="P5" i="32"/>
  <c r="A5" i="32"/>
  <c r="S4" i="32"/>
  <c r="T1" i="32"/>
  <c r="S1" i="32"/>
  <c r="C88" i="31"/>
  <c r="B88" i="31"/>
  <c r="P86" i="31"/>
  <c r="P85" i="31"/>
  <c r="P84" i="31"/>
  <c r="P83" i="31"/>
  <c r="P81" i="31"/>
  <c r="P80" i="31"/>
  <c r="P79" i="31"/>
  <c r="P78" i="31"/>
  <c r="P77" i="31"/>
  <c r="P73" i="31"/>
  <c r="P63" i="31"/>
  <c r="P62" i="31"/>
  <c r="P59" i="31"/>
  <c r="A55" i="31"/>
  <c r="P54" i="31"/>
  <c r="A54" i="31"/>
  <c r="P53" i="31"/>
  <c r="A53" i="31"/>
  <c r="P52" i="31"/>
  <c r="A52" i="31"/>
  <c r="A51" i="31"/>
  <c r="A50" i="31"/>
  <c r="P49" i="31"/>
  <c r="A49" i="31"/>
  <c r="A48" i="31"/>
  <c r="P47" i="31"/>
  <c r="A47" i="31"/>
  <c r="P46" i="31"/>
  <c r="A46" i="31"/>
  <c r="P45" i="31"/>
  <c r="A45" i="31"/>
  <c r="A44" i="31"/>
  <c r="A43" i="31"/>
  <c r="A42" i="31"/>
  <c r="P41" i="31"/>
  <c r="A41" i="31"/>
  <c r="A40" i="31"/>
  <c r="A39" i="31"/>
  <c r="A38" i="31"/>
  <c r="A37" i="31"/>
  <c r="A36" i="31"/>
  <c r="A35" i="31"/>
  <c r="A34" i="31"/>
  <c r="A33" i="31"/>
  <c r="A32" i="31"/>
  <c r="O31" i="31"/>
  <c r="O32" i="31" s="1"/>
  <c r="O33" i="31" s="1"/>
  <c r="O34" i="31" s="1"/>
  <c r="O35" i="31" s="1"/>
  <c r="O36" i="31" s="1"/>
  <c r="O37" i="31" s="1"/>
  <c r="O38" i="31" s="1"/>
  <c r="O39" i="31" s="1"/>
  <c r="A31" i="31"/>
  <c r="A30" i="31"/>
  <c r="A29" i="31"/>
  <c r="A28" i="31"/>
  <c r="A27" i="31"/>
  <c r="O26" i="31"/>
  <c r="O27" i="31" s="1"/>
  <c r="O28" i="31" s="1"/>
  <c r="O29" i="31" s="1"/>
  <c r="O30" i="31" s="1"/>
  <c r="N26" i="3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A26" i="31"/>
  <c r="A25" i="31"/>
  <c r="N24" i="31"/>
  <c r="N25" i="31" s="1"/>
  <c r="M24" i="31"/>
  <c r="M25" i="31" s="1"/>
  <c r="M26" i="31" s="1"/>
  <c r="M27" i="31" s="1"/>
  <c r="M28" i="31" s="1"/>
  <c r="M29" i="31" s="1"/>
  <c r="M30" i="31" s="1"/>
  <c r="A24" i="31"/>
  <c r="L23" i="31"/>
  <c r="L24" i="31" s="1"/>
  <c r="L25" i="31" s="1"/>
  <c r="L26" i="31" s="1"/>
  <c r="A23" i="31"/>
  <c r="O22" i="31"/>
  <c r="O23" i="31" s="1"/>
  <c r="O24" i="31" s="1"/>
  <c r="O25" i="31" s="1"/>
  <c r="N22" i="31"/>
  <c r="N23" i="31" s="1"/>
  <c r="L22" i="31"/>
  <c r="A22" i="31"/>
  <c r="N21" i="31"/>
  <c r="M21" i="31"/>
  <c r="M22" i="31" s="1"/>
  <c r="M23" i="31" s="1"/>
  <c r="L21" i="31"/>
  <c r="K21" i="31"/>
  <c r="K22" i="31" s="1"/>
  <c r="K23" i="31" s="1"/>
  <c r="A21" i="31"/>
  <c r="O20" i="31"/>
  <c r="O21" i="31" s="1"/>
  <c r="N20" i="31"/>
  <c r="M20" i="31"/>
  <c r="L20" i="31"/>
  <c r="K20" i="31"/>
  <c r="A20" i="31"/>
  <c r="A19" i="31"/>
  <c r="P18" i="31"/>
  <c r="A18" i="31"/>
  <c r="A17" i="31"/>
  <c r="A16" i="31"/>
  <c r="P15" i="31"/>
  <c r="A15" i="31"/>
  <c r="A14" i="31"/>
  <c r="P13" i="31"/>
  <c r="A13" i="31"/>
  <c r="P12" i="31"/>
  <c r="A12" i="31"/>
  <c r="A11" i="31"/>
  <c r="V10" i="31"/>
  <c r="A10" i="31"/>
  <c r="P9" i="31"/>
  <c r="A9" i="31"/>
  <c r="A8" i="31"/>
  <c r="A7" i="31"/>
  <c r="S6" i="31"/>
  <c r="P6" i="31"/>
  <c r="A6" i="31"/>
  <c r="S5" i="31"/>
  <c r="A5" i="31"/>
  <c r="S4" i="31"/>
  <c r="S1" i="31"/>
  <c r="P58" i="31" s="1"/>
  <c r="C88" i="38"/>
  <c r="B88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P69" i="38"/>
  <c r="A69" i="38"/>
  <c r="A68" i="38"/>
  <c r="A67" i="38"/>
  <c r="A66" i="38"/>
  <c r="A65" i="38"/>
  <c r="A64" i="38"/>
  <c r="A63" i="38"/>
  <c r="A62" i="38"/>
  <c r="A61" i="38"/>
  <c r="A60" i="38"/>
  <c r="A59" i="38"/>
  <c r="P58" i="38"/>
  <c r="A58" i="38"/>
  <c r="A57" i="38"/>
  <c r="A56" i="38"/>
  <c r="P55" i="38"/>
  <c r="A55" i="38"/>
  <c r="P54" i="38"/>
  <c r="A54" i="38"/>
  <c r="A53" i="38"/>
  <c r="A52" i="38"/>
  <c r="A51" i="38"/>
  <c r="A50" i="38"/>
  <c r="A49" i="38"/>
  <c r="A48" i="38"/>
  <c r="A47" i="38"/>
  <c r="A46" i="38"/>
  <c r="P45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O25" i="38"/>
  <c r="O26" i="38" s="1"/>
  <c r="O27" i="38" s="1"/>
  <c r="O28" i="38" s="1"/>
  <c r="O29" i="38" s="1"/>
  <c r="O30" i="38" s="1"/>
  <c r="O31" i="38" s="1"/>
  <c r="O32" i="38" s="1"/>
  <c r="O33" i="38" s="1"/>
  <c r="O34" i="38" s="1"/>
  <c r="O35" i="38" s="1"/>
  <c r="O36" i="38" s="1"/>
  <c r="O37" i="38" s="1"/>
  <c r="O38" i="38" s="1"/>
  <c r="O39" i="38" s="1"/>
  <c r="O40" i="38" s="1"/>
  <c r="O41" i="38" s="1"/>
  <c r="O42" i="38" s="1"/>
  <c r="O43" i="38" s="1"/>
  <c r="O44" i="38" s="1"/>
  <c r="N25" i="38"/>
  <c r="N26" i="38" s="1"/>
  <c r="N27" i="38" s="1"/>
  <c r="N28" i="38" s="1"/>
  <c r="N29" i="38" s="1"/>
  <c r="N30" i="38" s="1"/>
  <c r="N31" i="38" s="1"/>
  <c r="N32" i="38" s="1"/>
  <c r="A25" i="38"/>
  <c r="L24" i="38"/>
  <c r="L25" i="38" s="1"/>
  <c r="L26" i="38" s="1"/>
  <c r="L27" i="38" s="1"/>
  <c r="L28" i="38" s="1"/>
  <c r="A24" i="38"/>
  <c r="O23" i="38"/>
  <c r="O24" i="38" s="1"/>
  <c r="N23" i="38"/>
  <c r="N24" i="38" s="1"/>
  <c r="L23" i="38"/>
  <c r="K23" i="38"/>
  <c r="K24" i="38" s="1"/>
  <c r="A23" i="38"/>
  <c r="O22" i="38"/>
  <c r="N22" i="38"/>
  <c r="M22" i="38"/>
  <c r="M23" i="38" s="1"/>
  <c r="M24" i="38" s="1"/>
  <c r="M25" i="38" s="1"/>
  <c r="M26" i="38" s="1"/>
  <c r="M27" i="38" s="1"/>
  <c r="M28" i="38" s="1"/>
  <c r="M29" i="38" s="1"/>
  <c r="M30" i="38" s="1"/>
  <c r="L22" i="38"/>
  <c r="K22" i="38"/>
  <c r="A22" i="38"/>
  <c r="A21" i="38"/>
  <c r="A20" i="38"/>
  <c r="A19" i="38"/>
  <c r="A18" i="38"/>
  <c r="A17" i="38"/>
  <c r="A16" i="38"/>
  <c r="A15" i="38"/>
  <c r="A14" i="38"/>
  <c r="A13" i="38"/>
  <c r="A12" i="38"/>
  <c r="P11" i="38"/>
  <c r="A11" i="38"/>
  <c r="A10" i="38"/>
  <c r="A9" i="38"/>
  <c r="P8" i="38"/>
  <c r="A8" i="38"/>
  <c r="A7" i="38"/>
  <c r="S6" i="38"/>
  <c r="A6" i="38"/>
  <c r="S5" i="38"/>
  <c r="A5" i="38"/>
  <c r="S4" i="38"/>
  <c r="S1" i="38"/>
  <c r="P81" i="38" s="1"/>
  <c r="I88" i="42"/>
  <c r="H88" i="42"/>
  <c r="G88" i="42"/>
  <c r="C88" i="42"/>
  <c r="B88" i="42"/>
  <c r="N87" i="42"/>
  <c r="N86" i="42"/>
  <c r="N85" i="42"/>
  <c r="N84" i="42"/>
  <c r="N82" i="42"/>
  <c r="N67" i="42"/>
  <c r="N64" i="42"/>
  <c r="N60" i="42"/>
  <c r="N59" i="42"/>
  <c r="N57" i="42"/>
  <c r="N56" i="42"/>
  <c r="N55" i="42"/>
  <c r="N54" i="42"/>
  <c r="N48" i="42"/>
  <c r="N44" i="42"/>
  <c r="A44" i="42"/>
  <c r="N43" i="42"/>
  <c r="A43" i="42"/>
  <c r="A42" i="42"/>
  <c r="A41" i="42"/>
  <c r="A40" i="42"/>
  <c r="N39" i="42"/>
  <c r="A39" i="42"/>
  <c r="A38" i="42"/>
  <c r="A37" i="42"/>
  <c r="N36" i="42"/>
  <c r="A36" i="42"/>
  <c r="A35" i="42"/>
  <c r="A34" i="42"/>
  <c r="A33" i="42"/>
  <c r="A32" i="42"/>
  <c r="N31" i="42"/>
  <c r="A31" i="42"/>
  <c r="A30" i="42"/>
  <c r="A29" i="42"/>
  <c r="A28" i="42"/>
  <c r="A27" i="42"/>
  <c r="A26" i="42"/>
  <c r="A25" i="42"/>
  <c r="A24" i="42"/>
  <c r="N23" i="42"/>
  <c r="A23" i="42"/>
  <c r="A22" i="42"/>
  <c r="N21" i="42"/>
  <c r="A21" i="42"/>
  <c r="N20" i="42"/>
  <c r="A20" i="42"/>
  <c r="J19" i="42"/>
  <c r="A19" i="42"/>
  <c r="J18" i="42"/>
  <c r="A18" i="42"/>
  <c r="A17" i="42"/>
  <c r="A16" i="42"/>
  <c r="N15" i="42"/>
  <c r="A15" i="42"/>
  <c r="A14" i="42"/>
  <c r="N13" i="42"/>
  <c r="A13" i="42"/>
  <c r="N12" i="42"/>
  <c r="A12" i="42"/>
  <c r="A11" i="42"/>
  <c r="A10" i="42"/>
  <c r="A9" i="42"/>
  <c r="A8" i="42"/>
  <c r="N7" i="42"/>
  <c r="A7" i="42"/>
  <c r="Q6" i="42"/>
  <c r="A6" i="42"/>
  <c r="Q5" i="42"/>
  <c r="N5" i="42"/>
  <c r="A5" i="42"/>
  <c r="Q4" i="42"/>
  <c r="R1" i="42"/>
  <c r="Q1" i="42"/>
  <c r="C88" i="41"/>
  <c r="B88" i="41"/>
  <c r="N84" i="41"/>
  <c r="N78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N50" i="41"/>
  <c r="A50" i="41"/>
  <c r="A49" i="41"/>
  <c r="A48" i="41"/>
  <c r="N47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I34" i="41"/>
  <c r="A34" i="41"/>
  <c r="I33" i="41"/>
  <c r="A33" i="41"/>
  <c r="L32" i="41"/>
  <c r="A32" i="41"/>
  <c r="L31" i="41"/>
  <c r="A31" i="41"/>
  <c r="L30" i="41"/>
  <c r="A30" i="41"/>
  <c r="L29" i="41"/>
  <c r="A29" i="41"/>
  <c r="A28" i="41"/>
  <c r="A27" i="41"/>
  <c r="A26" i="41"/>
  <c r="A25" i="41"/>
  <c r="A24" i="41"/>
  <c r="K23" i="41"/>
  <c r="K24" i="41" s="1"/>
  <c r="K25" i="41" s="1"/>
  <c r="K26" i="41" s="1"/>
  <c r="K27" i="41" s="1"/>
  <c r="A23" i="41"/>
  <c r="K22" i="41"/>
  <c r="A22" i="41"/>
  <c r="A21" i="41"/>
  <c r="A20" i="41"/>
  <c r="J19" i="41"/>
  <c r="J20" i="41" s="1"/>
  <c r="A19" i="41"/>
  <c r="J18" i="41"/>
  <c r="A18" i="41"/>
  <c r="A17" i="41"/>
  <c r="N16" i="41"/>
  <c r="A16" i="41"/>
  <c r="A15" i="41"/>
  <c r="A14" i="41"/>
  <c r="A13" i="41"/>
  <c r="A12" i="41"/>
  <c r="Q11" i="41"/>
  <c r="A11" i="41"/>
  <c r="A10" i="41"/>
  <c r="A9" i="41"/>
  <c r="A8" i="41"/>
  <c r="A7" i="41"/>
  <c r="Q6" i="41"/>
  <c r="A6" i="41"/>
  <c r="Q5" i="41"/>
  <c r="A5" i="41"/>
  <c r="Q4" i="41"/>
  <c r="Q1" i="41"/>
  <c r="I88" i="43"/>
  <c r="G88" i="43"/>
  <c r="F88" i="43"/>
  <c r="C88" i="43"/>
  <c r="B88" i="43"/>
  <c r="A81" i="43"/>
  <c r="A80" i="43"/>
  <c r="A79" i="43"/>
  <c r="N78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N34" i="43"/>
  <c r="A34" i="43"/>
  <c r="A33" i="43"/>
  <c r="A32" i="43"/>
  <c r="I31" i="43"/>
  <c r="A31" i="43"/>
  <c r="A30" i="43"/>
  <c r="A29" i="43"/>
  <c r="A28" i="43"/>
  <c r="A27" i="43"/>
  <c r="A26" i="43"/>
  <c r="A25" i="43"/>
  <c r="A24" i="43"/>
  <c r="A23" i="43"/>
  <c r="N22" i="43"/>
  <c r="A22" i="43"/>
  <c r="A21" i="43"/>
  <c r="A20" i="43"/>
  <c r="A19" i="43"/>
  <c r="A18" i="43"/>
  <c r="A17" i="43"/>
  <c r="L16" i="43"/>
  <c r="L17" i="43" s="1"/>
  <c r="L18" i="43" s="1"/>
  <c r="A16" i="43"/>
  <c r="A15" i="43"/>
  <c r="A14" i="43"/>
  <c r="A13" i="43"/>
  <c r="A12" i="43"/>
  <c r="A11" i="43"/>
  <c r="A10" i="43"/>
  <c r="A9" i="43"/>
  <c r="A8" i="43"/>
  <c r="A7" i="43"/>
  <c r="Q6" i="43"/>
  <c r="Q5" i="43" s="1"/>
  <c r="A6" i="43"/>
  <c r="A5" i="43"/>
  <c r="Q4" i="43"/>
  <c r="Q1" i="43"/>
  <c r="N70" i="43" s="1"/>
  <c r="G88" i="39"/>
  <c r="C88" i="39"/>
  <c r="B88" i="39"/>
  <c r="A81" i="39"/>
  <c r="A80" i="39"/>
  <c r="A79" i="39"/>
  <c r="A78" i="39"/>
  <c r="A77" i="39"/>
  <c r="A76" i="39"/>
  <c r="A75" i="39"/>
  <c r="A74" i="39"/>
  <c r="N73" i="39"/>
  <c r="A73" i="39"/>
  <c r="A72" i="39"/>
  <c r="N71" i="39"/>
  <c r="A71" i="39"/>
  <c r="A70" i="39"/>
  <c r="A69" i="39"/>
  <c r="A68" i="39"/>
  <c r="A67" i="39"/>
  <c r="A66" i="39"/>
  <c r="A65" i="39"/>
  <c r="A64" i="39"/>
  <c r="A63" i="39"/>
  <c r="N62" i="39"/>
  <c r="A62" i="39"/>
  <c r="A61" i="39"/>
  <c r="A60" i="39"/>
  <c r="A59" i="39"/>
  <c r="A58" i="39"/>
  <c r="A57" i="39"/>
  <c r="A56" i="39"/>
  <c r="A55" i="39"/>
  <c r="A54" i="39"/>
  <c r="A53" i="39"/>
  <c r="N52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N40" i="39"/>
  <c r="A40" i="39"/>
  <c r="A39" i="39"/>
  <c r="A38" i="39"/>
  <c r="A37" i="39"/>
  <c r="A36" i="39"/>
  <c r="A35" i="39"/>
  <c r="A34" i="39"/>
  <c r="M33" i="39"/>
  <c r="M34" i="39" s="1"/>
  <c r="M35" i="39" s="1"/>
  <c r="A33" i="39"/>
  <c r="M32" i="39"/>
  <c r="A32" i="39"/>
  <c r="A31" i="39"/>
  <c r="A30" i="39"/>
  <c r="N29" i="39"/>
  <c r="A29" i="39"/>
  <c r="A28" i="39"/>
  <c r="A27" i="39"/>
  <c r="L26" i="39"/>
  <c r="L27" i="39" s="1"/>
  <c r="A26" i="39"/>
  <c r="L25" i="39"/>
  <c r="A25" i="39"/>
  <c r="L24" i="39"/>
  <c r="A24" i="39"/>
  <c r="A23" i="39"/>
  <c r="A22" i="39"/>
  <c r="A21" i="39"/>
  <c r="A20" i="39"/>
  <c r="A19" i="39"/>
  <c r="A18" i="39"/>
  <c r="J17" i="39"/>
  <c r="J18" i="39" s="1"/>
  <c r="J19" i="39" s="1"/>
  <c r="J20" i="39" s="1"/>
  <c r="J21" i="39" s="1"/>
  <c r="J22" i="39" s="1"/>
  <c r="A17" i="39"/>
  <c r="J16" i="39"/>
  <c r="A16" i="39"/>
  <c r="A15" i="39"/>
  <c r="A14" i="39"/>
  <c r="A13" i="39"/>
  <c r="N12" i="39"/>
  <c r="A12" i="39"/>
  <c r="A11" i="39"/>
  <c r="A10" i="39"/>
  <c r="A9" i="39"/>
  <c r="A8" i="39"/>
  <c r="A7" i="39"/>
  <c r="Q6" i="39"/>
  <c r="Q5" i="39" s="1"/>
  <c r="A6" i="39"/>
  <c r="A5" i="39"/>
  <c r="Q4" i="39"/>
  <c r="Q1" i="39"/>
  <c r="N41" i="39" s="1"/>
  <c r="C88" i="36"/>
  <c r="B88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N51" i="36"/>
  <c r="A51" i="36"/>
  <c r="N50" i="36"/>
  <c r="A50" i="36"/>
  <c r="A49" i="36"/>
  <c r="A48" i="36"/>
  <c r="A47" i="36"/>
  <c r="A46" i="36"/>
  <c r="N45" i="36"/>
  <c r="A45" i="36"/>
  <c r="N44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L25" i="36"/>
  <c r="L26" i="36" s="1"/>
  <c r="L27" i="36" s="1"/>
  <c r="L28" i="36" s="1"/>
  <c r="L29" i="36" s="1"/>
  <c r="L30" i="36" s="1"/>
  <c r="K25" i="36"/>
  <c r="K26" i="36" s="1"/>
  <c r="K27" i="36" s="1"/>
  <c r="K28" i="36" s="1"/>
  <c r="K29" i="36" s="1"/>
  <c r="A25" i="36"/>
  <c r="M24" i="36"/>
  <c r="M25" i="36" s="1"/>
  <c r="M26" i="36" s="1"/>
  <c r="M27" i="36" s="1"/>
  <c r="M28" i="36" s="1"/>
  <c r="M29" i="36" s="1"/>
  <c r="M30" i="36" s="1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L24" i="36"/>
  <c r="K24" i="36"/>
  <c r="A24" i="36"/>
  <c r="K23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Q6" i="36"/>
  <c r="Q5" i="36" s="1"/>
  <c r="A6" i="36"/>
  <c r="A5" i="36"/>
  <c r="Q4" i="36"/>
  <c r="R1" i="36"/>
  <c r="Q1" i="36"/>
  <c r="N49" i="36" s="1"/>
  <c r="C88" i="47"/>
  <c r="B88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N55" i="47"/>
  <c r="A55" i="47"/>
  <c r="N54" i="47"/>
  <c r="A54" i="47"/>
  <c r="N53" i="47"/>
  <c r="A53" i="47"/>
  <c r="N52" i="47"/>
  <c r="A52" i="47"/>
  <c r="N51" i="47"/>
  <c r="A51" i="47"/>
  <c r="A50" i="47"/>
  <c r="A49" i="47"/>
  <c r="A48" i="47"/>
  <c r="A47" i="47"/>
  <c r="A46" i="47"/>
  <c r="A45" i="47"/>
  <c r="N44" i="47"/>
  <c r="A44" i="47"/>
  <c r="N43" i="47"/>
  <c r="A43" i="47"/>
  <c r="I42" i="47"/>
  <c r="A42" i="47"/>
  <c r="I41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L28" i="47"/>
  <c r="L29" i="47" s="1"/>
  <c r="L30" i="47" s="1"/>
  <c r="A28" i="47"/>
  <c r="L27" i="47"/>
  <c r="A27" i="47"/>
  <c r="L26" i="47"/>
  <c r="A26" i="47"/>
  <c r="M25" i="47"/>
  <c r="M26" i="47" s="1"/>
  <c r="M27" i="47" s="1"/>
  <c r="M28" i="47" s="1"/>
  <c r="M29" i="47" s="1"/>
  <c r="M30" i="47" s="1"/>
  <c r="M31" i="47" s="1"/>
  <c r="M32" i="47" s="1"/>
  <c r="M33" i="47" s="1"/>
  <c r="M34" i="47" s="1"/>
  <c r="M35" i="47" s="1"/>
  <c r="M36" i="47" s="1"/>
  <c r="M37" i="47" s="1"/>
  <c r="M38" i="47" s="1"/>
  <c r="M39" i="47" s="1"/>
  <c r="M40" i="47" s="1"/>
  <c r="M41" i="47" s="1"/>
  <c r="M42" i="47" s="1"/>
  <c r="L25" i="47"/>
  <c r="K25" i="47"/>
  <c r="K26" i="47" s="1"/>
  <c r="K27" i="47" s="1"/>
  <c r="K28" i="47" s="1"/>
  <c r="K29" i="47" s="1"/>
  <c r="A25" i="47"/>
  <c r="M24" i="47"/>
  <c r="L24" i="47"/>
  <c r="A24" i="47"/>
  <c r="K23" i="47"/>
  <c r="K24" i="47" s="1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Q6" i="47"/>
  <c r="A6" i="47"/>
  <c r="Q5" i="47"/>
  <c r="A5" i="47"/>
  <c r="Q4" i="47"/>
  <c r="Q1" i="47"/>
  <c r="N46" i="47" s="1"/>
  <c r="C88" i="48"/>
  <c r="B88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N46" i="48"/>
  <c r="A46" i="48"/>
  <c r="N45" i="48"/>
  <c r="A45" i="48"/>
  <c r="N44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M31" i="48"/>
  <c r="M32" i="48" s="1"/>
  <c r="M33" i="48" s="1"/>
  <c r="M34" i="48" s="1"/>
  <c r="M35" i="48" s="1"/>
  <c r="M36" i="48" s="1"/>
  <c r="M37" i="48" s="1"/>
  <c r="M38" i="48" s="1"/>
  <c r="M39" i="48" s="1"/>
  <c r="M40" i="48" s="1"/>
  <c r="M41" i="48" s="1"/>
  <c r="A31" i="48"/>
  <c r="L30" i="48"/>
  <c r="A30" i="48"/>
  <c r="A29" i="48"/>
  <c r="L28" i="48"/>
  <c r="L29" i="48" s="1"/>
  <c r="A28" i="48"/>
  <c r="M27" i="48"/>
  <c r="M28" i="48" s="1"/>
  <c r="M29" i="48" s="1"/>
  <c r="M30" i="48" s="1"/>
  <c r="A27" i="48"/>
  <c r="A26" i="48"/>
  <c r="M25" i="48"/>
  <c r="M26" i="48" s="1"/>
  <c r="L25" i="48"/>
  <c r="L26" i="48" s="1"/>
  <c r="L27" i="48" s="1"/>
  <c r="J25" i="48"/>
  <c r="A25" i="48"/>
  <c r="M24" i="48"/>
  <c r="L24" i="48"/>
  <c r="J24" i="48"/>
  <c r="A24" i="48"/>
  <c r="K23" i="48"/>
  <c r="K24" i="48" s="1"/>
  <c r="K25" i="48" s="1"/>
  <c r="A23" i="48"/>
  <c r="A22" i="48"/>
  <c r="A21" i="48"/>
  <c r="A20" i="48"/>
  <c r="A19" i="48"/>
  <c r="A18" i="48"/>
  <c r="A17" i="48"/>
  <c r="Q16" i="48"/>
  <c r="A16" i="48"/>
  <c r="Q15" i="48"/>
  <c r="A15" i="48"/>
  <c r="Q14" i="48"/>
  <c r="A14" i="48"/>
  <c r="Q13" i="48"/>
  <c r="A13" i="48"/>
  <c r="Q12" i="48"/>
  <c r="A12" i="48"/>
  <c r="A11" i="48"/>
  <c r="A10" i="48"/>
  <c r="A9" i="48"/>
  <c r="A88" i="48" s="1"/>
  <c r="A8" i="48"/>
  <c r="A7" i="48"/>
  <c r="Q6" i="48"/>
  <c r="Q5" i="48" s="1"/>
  <c r="A6" i="48"/>
  <c r="A5" i="48"/>
  <c r="Q4" i="48"/>
  <c r="Q1" i="48"/>
  <c r="N50" i="48" s="1"/>
  <c r="C88" i="15"/>
  <c r="B88" i="15"/>
  <c r="D81" i="15"/>
  <c r="A81" i="15"/>
  <c r="D80" i="15"/>
  <c r="A80" i="15"/>
  <c r="D79" i="15"/>
  <c r="A79" i="15"/>
  <c r="D78" i="15"/>
  <c r="A78" i="15"/>
  <c r="D77" i="15"/>
  <c r="A77" i="15"/>
  <c r="D76" i="15"/>
  <c r="A76" i="15"/>
  <c r="D75" i="15"/>
  <c r="A75" i="15"/>
  <c r="D74" i="15"/>
  <c r="A74" i="15"/>
  <c r="D73" i="15"/>
  <c r="A73" i="15"/>
  <c r="D72" i="15"/>
  <c r="A72" i="15"/>
  <c r="D71" i="15"/>
  <c r="A71" i="15"/>
  <c r="D70" i="15"/>
  <c r="A70" i="15"/>
  <c r="D69" i="15"/>
  <c r="A69" i="15"/>
  <c r="D68" i="15"/>
  <c r="A68" i="15"/>
  <c r="D67" i="15"/>
  <c r="A67" i="15"/>
  <c r="D66" i="15"/>
  <c r="A66" i="15"/>
  <c r="D65" i="15"/>
  <c r="A65" i="15"/>
  <c r="D64" i="15"/>
  <c r="A64" i="15"/>
  <c r="D63" i="15"/>
  <c r="A63" i="15"/>
  <c r="D62" i="15"/>
  <c r="A62" i="15"/>
  <c r="D61" i="15"/>
  <c r="A61" i="15"/>
  <c r="D60" i="15"/>
  <c r="A60" i="15"/>
  <c r="D59" i="15"/>
  <c r="A59" i="15"/>
  <c r="D58" i="15"/>
  <c r="A58" i="15"/>
  <c r="D57" i="15"/>
  <c r="A57" i="15"/>
  <c r="D56" i="15"/>
  <c r="A56" i="15"/>
  <c r="D55" i="15"/>
  <c r="A55" i="15"/>
  <c r="D54" i="15"/>
  <c r="A54" i="15"/>
  <c r="D53" i="15"/>
  <c r="A53" i="15"/>
  <c r="D52" i="15"/>
  <c r="A52" i="15"/>
  <c r="D51" i="15"/>
  <c r="A51" i="15"/>
  <c r="D50" i="15"/>
  <c r="A50" i="15"/>
  <c r="D49" i="15"/>
  <c r="A49" i="15"/>
  <c r="D48" i="15"/>
  <c r="A48" i="15"/>
  <c r="D47" i="15"/>
  <c r="A47" i="15"/>
  <c r="D46" i="15"/>
  <c r="A46" i="15"/>
  <c r="D45" i="15"/>
  <c r="A45" i="15"/>
  <c r="D44" i="15"/>
  <c r="A44" i="15"/>
  <c r="D43" i="15"/>
  <c r="A43" i="15"/>
  <c r="D42" i="15"/>
  <c r="A42" i="15"/>
  <c r="D41" i="15"/>
  <c r="A41" i="15"/>
  <c r="D40" i="15"/>
  <c r="A40" i="15"/>
  <c r="D39" i="15"/>
  <c r="A39" i="15"/>
  <c r="D38" i="15"/>
  <c r="H38" i="15" s="1"/>
  <c r="A38" i="15"/>
  <c r="D37" i="15"/>
  <c r="H37" i="15" s="1"/>
  <c r="A37" i="15"/>
  <c r="D36" i="15"/>
  <c r="H36" i="15" s="1"/>
  <c r="M36" i="15" s="1"/>
  <c r="A36" i="15"/>
  <c r="M35" i="15"/>
  <c r="D35" i="15"/>
  <c r="H35" i="15" s="1"/>
  <c r="A35" i="15"/>
  <c r="D34" i="15"/>
  <c r="H34" i="15" s="1"/>
  <c r="A34" i="15"/>
  <c r="D33" i="15"/>
  <c r="H33" i="15" s="1"/>
  <c r="A33" i="15"/>
  <c r="H32" i="15"/>
  <c r="D32" i="15"/>
  <c r="A32" i="15"/>
  <c r="D31" i="15"/>
  <c r="H31" i="15" s="1"/>
  <c r="M31" i="15" s="1"/>
  <c r="A31" i="15"/>
  <c r="D30" i="15"/>
  <c r="A30" i="15"/>
  <c r="K29" i="15"/>
  <c r="K30" i="15" s="1"/>
  <c r="F29" i="15"/>
  <c r="D29" i="15"/>
  <c r="H29" i="15" s="1"/>
  <c r="A29" i="15"/>
  <c r="H28" i="15"/>
  <c r="G28" i="15"/>
  <c r="D28" i="15"/>
  <c r="F28" i="15" s="1"/>
  <c r="A28" i="15"/>
  <c r="J27" i="15"/>
  <c r="J28" i="15" s="1"/>
  <c r="J29" i="15" s="1"/>
  <c r="H27" i="15"/>
  <c r="F27" i="15"/>
  <c r="D27" i="15"/>
  <c r="G27" i="15" s="1"/>
  <c r="A27" i="15"/>
  <c r="D26" i="15"/>
  <c r="A26" i="15"/>
  <c r="H25" i="15"/>
  <c r="G25" i="15"/>
  <c r="F25" i="15"/>
  <c r="D25" i="15"/>
  <c r="A25" i="15"/>
  <c r="M24" i="15"/>
  <c r="L24" i="15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K24" i="15"/>
  <c r="K25" i="15" s="1"/>
  <c r="K26" i="15" s="1"/>
  <c r="K27" i="15" s="1"/>
  <c r="K28" i="15" s="1"/>
  <c r="J24" i="15"/>
  <c r="J25" i="15" s="1"/>
  <c r="J26" i="15" s="1"/>
  <c r="H24" i="15"/>
  <c r="F24" i="15"/>
  <c r="D24" i="15"/>
  <c r="G24" i="15" s="1"/>
  <c r="A24" i="15"/>
  <c r="L23" i="15"/>
  <c r="J23" i="15"/>
  <c r="D23" i="15"/>
  <c r="F23" i="15" s="1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P6" i="15"/>
  <c r="A6" i="15"/>
  <c r="P5" i="15"/>
  <c r="A5" i="15"/>
  <c r="P4" i="15"/>
  <c r="Q1" i="15"/>
  <c r="P1" i="15"/>
  <c r="C88" i="46"/>
  <c r="B88" i="46"/>
  <c r="A88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N55" i="46"/>
  <c r="A55" i="46"/>
  <c r="A54" i="46"/>
  <c r="N53" i="46"/>
  <c r="A53" i="46"/>
  <c r="N52" i="46"/>
  <c r="A52" i="46"/>
  <c r="A51" i="46"/>
  <c r="N50" i="46"/>
  <c r="A50" i="46"/>
  <c r="N49" i="46"/>
  <c r="A49" i="46"/>
  <c r="N48" i="46"/>
  <c r="A48" i="46"/>
  <c r="A47" i="46"/>
  <c r="N46" i="46"/>
  <c r="A46" i="46"/>
  <c r="N45" i="46"/>
  <c r="A45" i="46"/>
  <c r="N44" i="46"/>
  <c r="A44" i="46"/>
  <c r="N43" i="46"/>
  <c r="A43" i="46"/>
  <c r="A42" i="46"/>
  <c r="A41" i="46"/>
  <c r="A40" i="46"/>
  <c r="M39" i="46"/>
  <c r="M40" i="46" s="1"/>
  <c r="M41" i="46" s="1"/>
  <c r="M42" i="46" s="1"/>
  <c r="A39" i="46"/>
  <c r="A38" i="46"/>
  <c r="A37" i="46"/>
  <c r="A36" i="46"/>
  <c r="A35" i="46"/>
  <c r="A34" i="46"/>
  <c r="A33" i="46"/>
  <c r="A32" i="46"/>
  <c r="A31" i="46"/>
  <c r="A30" i="46"/>
  <c r="A29" i="46"/>
  <c r="A28" i="46"/>
  <c r="L27" i="46"/>
  <c r="L28" i="46" s="1"/>
  <c r="L29" i="46" s="1"/>
  <c r="L30" i="46" s="1"/>
  <c r="K27" i="46"/>
  <c r="K28" i="46" s="1"/>
  <c r="K29" i="46" s="1"/>
  <c r="A27" i="46"/>
  <c r="L26" i="46"/>
  <c r="A26" i="46"/>
  <c r="A25" i="46"/>
  <c r="M24" i="46"/>
  <c r="M25" i="46" s="1"/>
  <c r="M26" i="46" s="1"/>
  <c r="M27" i="46" s="1"/>
  <c r="M28" i="46" s="1"/>
  <c r="M29" i="46" s="1"/>
  <c r="M30" i="46" s="1"/>
  <c r="M31" i="46" s="1"/>
  <c r="M32" i="46" s="1"/>
  <c r="M33" i="46" s="1"/>
  <c r="M34" i="46" s="1"/>
  <c r="M35" i="46" s="1"/>
  <c r="M36" i="46" s="1"/>
  <c r="M37" i="46" s="1"/>
  <c r="M38" i="46" s="1"/>
  <c r="L24" i="46"/>
  <c r="L25" i="46" s="1"/>
  <c r="A24" i="46"/>
  <c r="K23" i="46"/>
  <c r="K24" i="46" s="1"/>
  <c r="K25" i="46" s="1"/>
  <c r="K26" i="46" s="1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Q6" i="46"/>
  <c r="A6" i="46"/>
  <c r="Q5" i="46"/>
  <c r="A5" i="46"/>
  <c r="Q4" i="46"/>
  <c r="R1" i="46"/>
  <c r="Q1" i="46"/>
  <c r="N54" i="46" s="1"/>
  <c r="C88" i="45"/>
  <c r="B88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N55" i="45"/>
  <c r="A55" i="45"/>
  <c r="A54" i="45"/>
  <c r="A53" i="45"/>
  <c r="A52" i="45"/>
  <c r="N51" i="45"/>
  <c r="A51" i="45"/>
  <c r="N50" i="45"/>
  <c r="A50" i="45"/>
  <c r="A49" i="45"/>
  <c r="A48" i="45"/>
  <c r="A47" i="45"/>
  <c r="A46" i="45"/>
  <c r="N45" i="45"/>
  <c r="A45" i="45"/>
  <c r="A44" i="45"/>
  <c r="N43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L29" i="45"/>
  <c r="L30" i="45" s="1"/>
  <c r="A29" i="45"/>
  <c r="M28" i="45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M39" i="45" s="1"/>
  <c r="M40" i="45" s="1"/>
  <c r="M41" i="45" s="1"/>
  <c r="M42" i="45" s="1"/>
  <c r="A28" i="45"/>
  <c r="M27" i="45"/>
  <c r="A27" i="45"/>
  <c r="L26" i="45"/>
  <c r="L27" i="45" s="1"/>
  <c r="L28" i="45" s="1"/>
  <c r="A26" i="45"/>
  <c r="M25" i="45"/>
  <c r="M26" i="45" s="1"/>
  <c r="A25" i="45"/>
  <c r="M24" i="45"/>
  <c r="L24" i="45"/>
  <c r="L25" i="45" s="1"/>
  <c r="A24" i="45"/>
  <c r="K23" i="45"/>
  <c r="K24" i="45" s="1"/>
  <c r="K25" i="45" s="1"/>
  <c r="K26" i="45" s="1"/>
  <c r="K27" i="45" s="1"/>
  <c r="K28" i="45" s="1"/>
  <c r="K29" i="45" s="1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Q6" i="45"/>
  <c r="Q5" i="45" s="1"/>
  <c r="A6" i="45"/>
  <c r="A5" i="45"/>
  <c r="Q4" i="45"/>
  <c r="Q1" i="45"/>
  <c r="F89" i="51"/>
  <c r="I88" i="51"/>
  <c r="H88" i="51"/>
  <c r="G88" i="51"/>
  <c r="F88" i="51"/>
  <c r="C88" i="51"/>
  <c r="B88" i="51"/>
  <c r="A81" i="51"/>
  <c r="A80" i="51"/>
  <c r="A79" i="51"/>
  <c r="A78" i="51"/>
  <c r="A77" i="51"/>
  <c r="N76" i="51"/>
  <c r="A76" i="51"/>
  <c r="A75" i="51"/>
  <c r="A74" i="51"/>
  <c r="A73" i="51"/>
  <c r="A72" i="51"/>
  <c r="N71" i="51"/>
  <c r="A71" i="51"/>
  <c r="A70" i="51"/>
  <c r="N69" i="51"/>
  <c r="A69" i="51"/>
  <c r="N68" i="51"/>
  <c r="A68" i="51"/>
  <c r="N67" i="51"/>
  <c r="A67" i="51"/>
  <c r="N66" i="51"/>
  <c r="A66" i="51"/>
  <c r="A65" i="51"/>
  <c r="A64" i="51"/>
  <c r="A63" i="51"/>
  <c r="A62" i="51"/>
  <c r="N61" i="51"/>
  <c r="A61" i="51"/>
  <c r="N60" i="51"/>
  <c r="A60" i="51"/>
  <c r="N59" i="51"/>
  <c r="A59" i="51"/>
  <c r="N58" i="51"/>
  <c r="A58" i="51"/>
  <c r="N57" i="51"/>
  <c r="A57" i="51"/>
  <c r="A56" i="51"/>
  <c r="A55" i="51"/>
  <c r="N54" i="51"/>
  <c r="A54" i="51"/>
  <c r="A53" i="51"/>
  <c r="N52" i="51"/>
  <c r="A52" i="51"/>
  <c r="A51" i="51"/>
  <c r="A50" i="51"/>
  <c r="N49" i="51"/>
  <c r="A49" i="51"/>
  <c r="A48" i="51"/>
  <c r="A47" i="51"/>
  <c r="A46" i="51"/>
  <c r="N45" i="51"/>
  <c r="A45" i="51"/>
  <c r="A44" i="51"/>
  <c r="N43" i="51"/>
  <c r="A43" i="51"/>
  <c r="I42" i="51"/>
  <c r="A42" i="51"/>
  <c r="I41" i="51"/>
  <c r="A41" i="51"/>
  <c r="I40" i="51"/>
  <c r="A40" i="51"/>
  <c r="I39" i="51"/>
  <c r="A39" i="51"/>
  <c r="I38" i="51"/>
  <c r="A38" i="51"/>
  <c r="I37" i="51"/>
  <c r="A37" i="51"/>
  <c r="I36" i="51"/>
  <c r="A36" i="51"/>
  <c r="I35" i="51"/>
  <c r="A35" i="51"/>
  <c r="I34" i="51"/>
  <c r="A34" i="51"/>
  <c r="M33" i="51"/>
  <c r="I33" i="51"/>
  <c r="A33" i="51"/>
  <c r="M32" i="51"/>
  <c r="N32" i="51" s="1"/>
  <c r="I32" i="51"/>
  <c r="A32" i="51"/>
  <c r="I31" i="51"/>
  <c r="H31" i="51"/>
  <c r="A31" i="51"/>
  <c r="N30" i="51"/>
  <c r="A30" i="51"/>
  <c r="N29" i="51"/>
  <c r="A29" i="51"/>
  <c r="N28" i="51"/>
  <c r="A28" i="51"/>
  <c r="N27" i="51"/>
  <c r="A27" i="51"/>
  <c r="N26" i="51"/>
  <c r="A26" i="51"/>
  <c r="N25" i="51"/>
  <c r="A25" i="51"/>
  <c r="A24" i="51"/>
  <c r="A23" i="51"/>
  <c r="N22" i="51"/>
  <c r="A22" i="51"/>
  <c r="N21" i="51"/>
  <c r="A21" i="51"/>
  <c r="N20" i="51"/>
  <c r="A20" i="51"/>
  <c r="N19" i="51"/>
  <c r="A19" i="51"/>
  <c r="N18" i="51"/>
  <c r="A18" i="51"/>
  <c r="A17" i="51"/>
  <c r="N16" i="51"/>
  <c r="A16" i="51"/>
  <c r="A15" i="51"/>
  <c r="N14" i="51"/>
  <c r="A14" i="51"/>
  <c r="A13" i="51"/>
  <c r="A12" i="51"/>
  <c r="A11" i="51"/>
  <c r="A10" i="51"/>
  <c r="N9" i="51"/>
  <c r="A9" i="51"/>
  <c r="N8" i="51"/>
  <c r="A8" i="51"/>
  <c r="N7" i="51"/>
  <c r="A7" i="51"/>
  <c r="Q6" i="51"/>
  <c r="A6" i="51"/>
  <c r="Q5" i="51"/>
  <c r="A5" i="51"/>
  <c r="Q4" i="51"/>
  <c r="Q1" i="51"/>
  <c r="H88" i="50"/>
  <c r="G88" i="50"/>
  <c r="F88" i="50"/>
  <c r="F89" i="50" s="1"/>
  <c r="G118" i="16" s="1"/>
  <c r="C88" i="50"/>
  <c r="B88" i="50"/>
  <c r="A88" i="50"/>
  <c r="A81" i="50"/>
  <c r="A80" i="50"/>
  <c r="A79" i="50"/>
  <c r="A78" i="50"/>
  <c r="A77" i="50"/>
  <c r="A76" i="50"/>
  <c r="N75" i="50"/>
  <c r="A75" i="50"/>
  <c r="N74" i="50"/>
  <c r="A74" i="50"/>
  <c r="N73" i="50"/>
  <c r="A73" i="50"/>
  <c r="A72" i="50"/>
  <c r="A71" i="50"/>
  <c r="A70" i="50"/>
  <c r="N69" i="50"/>
  <c r="A69" i="50"/>
  <c r="A68" i="50"/>
  <c r="A67" i="50"/>
  <c r="A66" i="50"/>
  <c r="N65" i="50"/>
  <c r="A65" i="50"/>
  <c r="N64" i="50"/>
  <c r="I64" i="50"/>
  <c r="I88" i="50" s="1"/>
  <c r="A64" i="50"/>
  <c r="A63" i="50"/>
  <c r="A62" i="50"/>
  <c r="A61" i="50"/>
  <c r="A60" i="50"/>
  <c r="N59" i="50"/>
  <c r="A59" i="50"/>
  <c r="N58" i="50"/>
  <c r="A58" i="50"/>
  <c r="N57" i="50"/>
  <c r="A57" i="50"/>
  <c r="A56" i="50"/>
  <c r="A55" i="50"/>
  <c r="A54" i="50"/>
  <c r="A53" i="50"/>
  <c r="N52" i="50"/>
  <c r="A52" i="50"/>
  <c r="A51" i="50"/>
  <c r="A50" i="50"/>
  <c r="A49" i="50"/>
  <c r="A48" i="50"/>
  <c r="N47" i="50"/>
  <c r="A47" i="50"/>
  <c r="A46" i="50"/>
  <c r="A45" i="50"/>
  <c r="A44" i="50"/>
  <c r="A43" i="50"/>
  <c r="N42" i="50"/>
  <c r="A42" i="50"/>
  <c r="N41" i="50"/>
  <c r="A41" i="50"/>
  <c r="N40" i="50"/>
  <c r="A40" i="50"/>
  <c r="A39" i="50"/>
  <c r="A38" i="50"/>
  <c r="A37" i="50"/>
  <c r="A36" i="50"/>
  <c r="A35" i="50"/>
  <c r="N34" i="50"/>
  <c r="A34" i="50"/>
  <c r="A33" i="50"/>
  <c r="N32" i="50"/>
  <c r="A32" i="50"/>
  <c r="N31" i="50"/>
  <c r="A31" i="50"/>
  <c r="A30" i="50"/>
  <c r="A29" i="50"/>
  <c r="A28" i="50"/>
  <c r="A27" i="50"/>
  <c r="A26" i="50"/>
  <c r="A25" i="50"/>
  <c r="A24" i="50"/>
  <c r="A23" i="50"/>
  <c r="A22" i="50"/>
  <c r="N21" i="50"/>
  <c r="A21" i="50"/>
  <c r="A20" i="50"/>
  <c r="N19" i="50"/>
  <c r="A19" i="50"/>
  <c r="N18" i="50"/>
  <c r="A18" i="50"/>
  <c r="A17" i="50"/>
  <c r="N16" i="50"/>
  <c r="A16" i="50"/>
  <c r="A15" i="50"/>
  <c r="N14" i="50"/>
  <c r="A14" i="50"/>
  <c r="A13" i="50"/>
  <c r="N12" i="50"/>
  <c r="A12" i="50"/>
  <c r="A11" i="50"/>
  <c r="Q10" i="50"/>
  <c r="N10" i="50"/>
  <c r="A10" i="50"/>
  <c r="A9" i="50"/>
  <c r="A8" i="50"/>
  <c r="A7" i="50"/>
  <c r="Q6" i="50"/>
  <c r="Q5" i="50" s="1"/>
  <c r="A6" i="50"/>
  <c r="A5" i="50"/>
  <c r="Q4" i="50"/>
  <c r="R1" i="50"/>
  <c r="Q1" i="50"/>
  <c r="G88" i="49"/>
  <c r="C88" i="49"/>
  <c r="B88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N43" i="49"/>
  <c r="A43" i="49"/>
  <c r="I42" i="49"/>
  <c r="A42" i="49"/>
  <c r="I41" i="49"/>
  <c r="A41" i="49"/>
  <c r="I40" i="49"/>
  <c r="H40" i="49"/>
  <c r="H88" i="49" s="1"/>
  <c r="G40" i="49"/>
  <c r="F40" i="49"/>
  <c r="F88" i="49" s="1"/>
  <c r="A40" i="49"/>
  <c r="A39" i="49"/>
  <c r="A38" i="49"/>
  <c r="A37" i="49"/>
  <c r="A36" i="49"/>
  <c r="A35" i="49"/>
  <c r="A34" i="49"/>
  <c r="A33" i="49"/>
  <c r="N32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Q6" i="49"/>
  <c r="A6" i="49"/>
  <c r="A88" i="49" s="1"/>
  <c r="Q5" i="49"/>
  <c r="A5" i="49"/>
  <c r="Q4" i="49"/>
  <c r="Q1" i="49"/>
  <c r="N42" i="49" s="1"/>
  <c r="C88" i="53"/>
  <c r="B88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N52" i="53"/>
  <c r="A52" i="53"/>
  <c r="A51" i="53"/>
  <c r="A88" i="53" s="1"/>
  <c r="A50" i="53"/>
  <c r="N49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M35" i="53"/>
  <c r="M36" i="53" s="1"/>
  <c r="M37" i="53" s="1"/>
  <c r="M38" i="53" s="1"/>
  <c r="M39" i="53" s="1"/>
  <c r="M40" i="53" s="1"/>
  <c r="M41" i="53" s="1"/>
  <c r="M42" i="53" s="1"/>
  <c r="A35" i="53"/>
  <c r="A34" i="53"/>
  <c r="A33" i="53"/>
  <c r="A32" i="53"/>
  <c r="A31" i="53"/>
  <c r="A30" i="53"/>
  <c r="A29" i="53"/>
  <c r="M28" i="53"/>
  <c r="M29" i="53" s="1"/>
  <c r="M30" i="53" s="1"/>
  <c r="M31" i="53" s="1"/>
  <c r="M32" i="53" s="1"/>
  <c r="M33" i="53" s="1"/>
  <c r="M34" i="53" s="1"/>
  <c r="A28" i="53"/>
  <c r="A27" i="53"/>
  <c r="A26" i="53"/>
  <c r="A25" i="53"/>
  <c r="A24" i="53"/>
  <c r="A23" i="53"/>
  <c r="M22" i="53"/>
  <c r="M23" i="53" s="1"/>
  <c r="M24" i="53" s="1"/>
  <c r="M25" i="53" s="1"/>
  <c r="M26" i="53" s="1"/>
  <c r="M27" i="53" s="1"/>
  <c r="A22" i="53"/>
  <c r="A21" i="53"/>
  <c r="M20" i="53"/>
  <c r="M21" i="53" s="1"/>
  <c r="A20" i="53"/>
  <c r="A19" i="53"/>
  <c r="M18" i="53"/>
  <c r="M19" i="53" s="1"/>
  <c r="L18" i="53"/>
  <c r="L19" i="53" s="1"/>
  <c r="L20" i="53" s="1"/>
  <c r="L21" i="53" s="1"/>
  <c r="L22" i="53" s="1"/>
  <c r="L23" i="53" s="1"/>
  <c r="L24" i="53" s="1"/>
  <c r="K18" i="53"/>
  <c r="K19" i="53" s="1"/>
  <c r="K20" i="53" s="1"/>
  <c r="K21" i="53" s="1"/>
  <c r="K22" i="53" s="1"/>
  <c r="K23" i="53" s="1"/>
  <c r="A18" i="53"/>
  <c r="A17" i="53"/>
  <c r="N16" i="53"/>
  <c r="A16" i="53"/>
  <c r="A15" i="53"/>
  <c r="A14" i="53"/>
  <c r="A13" i="53"/>
  <c r="A12" i="53"/>
  <c r="A11" i="53"/>
  <c r="A10" i="53"/>
  <c r="A9" i="53"/>
  <c r="A8" i="53"/>
  <c r="A7" i="53"/>
  <c r="Q6" i="53"/>
  <c r="A6" i="53"/>
  <c r="Q5" i="53"/>
  <c r="A5" i="53"/>
  <c r="Q4" i="53"/>
  <c r="Q1" i="53"/>
  <c r="C88" i="52"/>
  <c r="B88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N52" i="52"/>
  <c r="A52" i="52"/>
  <c r="A51" i="52"/>
  <c r="A50" i="52"/>
  <c r="A49" i="52"/>
  <c r="A48" i="52"/>
  <c r="N47" i="52"/>
  <c r="A47" i="52"/>
  <c r="A46" i="52"/>
  <c r="A45" i="52"/>
  <c r="A44" i="52"/>
  <c r="A43" i="52"/>
  <c r="A42" i="52"/>
  <c r="A41" i="52"/>
  <c r="A40" i="52"/>
  <c r="M39" i="52"/>
  <c r="M40" i="52" s="1"/>
  <c r="M41" i="52" s="1"/>
  <c r="M42" i="52" s="1"/>
  <c r="L39" i="52"/>
  <c r="L40" i="52" s="1"/>
  <c r="L41" i="52" s="1"/>
  <c r="L42" i="52" s="1"/>
  <c r="A39" i="52"/>
  <c r="L38" i="52"/>
  <c r="A38" i="52"/>
  <c r="L37" i="52"/>
  <c r="A37" i="52"/>
  <c r="M36" i="52"/>
  <c r="M37" i="52" s="1"/>
  <c r="M38" i="52" s="1"/>
  <c r="L36" i="52"/>
  <c r="K36" i="52"/>
  <c r="K37" i="52" s="1"/>
  <c r="K38" i="52" s="1"/>
  <c r="K39" i="52" s="1"/>
  <c r="K40" i="52" s="1"/>
  <c r="K41" i="52" s="1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Q6" i="52"/>
  <c r="Q5" i="52" s="1"/>
  <c r="A6" i="52"/>
  <c r="A5" i="52"/>
  <c r="Q4" i="52"/>
  <c r="R1" i="52"/>
  <c r="Q1" i="52"/>
  <c r="N48" i="52" s="1"/>
  <c r="C88" i="44"/>
  <c r="B88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N55" i="44"/>
  <c r="A55" i="44"/>
  <c r="N54" i="44"/>
  <c r="A54" i="44"/>
  <c r="N53" i="44"/>
  <c r="A53" i="44"/>
  <c r="N52" i="44"/>
  <c r="A52" i="44"/>
  <c r="N51" i="44"/>
  <c r="A51" i="44"/>
  <c r="N50" i="44"/>
  <c r="A50" i="44"/>
  <c r="A49" i="44"/>
  <c r="N48" i="44"/>
  <c r="A48" i="44"/>
  <c r="N47" i="44"/>
  <c r="A47" i="44"/>
  <c r="N46" i="44"/>
  <c r="A46" i="44"/>
  <c r="N45" i="44"/>
  <c r="A45" i="44"/>
  <c r="N44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L26" i="44"/>
  <c r="L27" i="44" s="1"/>
  <c r="L28" i="44" s="1"/>
  <c r="L29" i="44" s="1"/>
  <c r="L30" i="44" s="1"/>
  <c r="A26" i="44"/>
  <c r="L25" i="44"/>
  <c r="A25" i="44"/>
  <c r="M24" i="44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L24" i="44"/>
  <c r="A24" i="44"/>
  <c r="K23" i="44"/>
  <c r="K24" i="44" s="1"/>
  <c r="K25" i="44" s="1"/>
  <c r="K26" i="44" s="1"/>
  <c r="K27" i="44" s="1"/>
  <c r="K28" i="44" s="1"/>
  <c r="K29" i="44" s="1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Q6" i="44"/>
  <c r="Q5" i="44" s="1"/>
  <c r="A6" i="44"/>
  <c r="A5" i="44"/>
  <c r="Q4" i="44"/>
  <c r="R1" i="44"/>
  <c r="Q1" i="44"/>
  <c r="N43" i="44" s="1"/>
  <c r="G88" i="61"/>
  <c r="C88" i="61"/>
  <c r="B88" i="61"/>
  <c r="P87" i="61"/>
  <c r="P86" i="61"/>
  <c r="P83" i="61"/>
  <c r="P81" i="61"/>
  <c r="P80" i="61"/>
  <c r="P79" i="61"/>
  <c r="P78" i="61"/>
  <c r="A77" i="61"/>
  <c r="A76" i="61"/>
  <c r="A75" i="61"/>
  <c r="P74" i="61"/>
  <c r="A74" i="61"/>
  <c r="P73" i="61"/>
  <c r="A73" i="61"/>
  <c r="P72" i="61"/>
  <c r="A72" i="61"/>
  <c r="P71" i="61"/>
  <c r="A71" i="61"/>
  <c r="A70" i="61"/>
  <c r="A69" i="61"/>
  <c r="P68" i="61"/>
  <c r="A68" i="61"/>
  <c r="P67" i="61"/>
  <c r="A67" i="61"/>
  <c r="P66" i="61"/>
  <c r="A66" i="61"/>
  <c r="A65" i="61"/>
  <c r="P64" i="61"/>
  <c r="A64" i="61"/>
  <c r="P63" i="61"/>
  <c r="A63" i="61"/>
  <c r="P62" i="61"/>
  <c r="A62" i="61"/>
  <c r="P61" i="61"/>
  <c r="A61" i="61"/>
  <c r="P60" i="61"/>
  <c r="A60" i="61"/>
  <c r="P59" i="61"/>
  <c r="A59" i="61"/>
  <c r="P58" i="61"/>
  <c r="A58" i="61"/>
  <c r="P57" i="61"/>
  <c r="A57" i="61"/>
  <c r="A56" i="61"/>
  <c r="A55" i="61"/>
  <c r="P54" i="61"/>
  <c r="A54" i="61"/>
  <c r="P53" i="61"/>
  <c r="A53" i="61"/>
  <c r="P52" i="61"/>
  <c r="A52" i="61"/>
  <c r="P51" i="61"/>
  <c r="A51" i="61"/>
  <c r="P50" i="61"/>
  <c r="A50" i="61"/>
  <c r="A49" i="61"/>
  <c r="A48" i="61"/>
  <c r="P47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N35" i="61"/>
  <c r="N36" i="61" s="1"/>
  <c r="N37" i="61" s="1"/>
  <c r="N38" i="61" s="1"/>
  <c r="N39" i="61" s="1"/>
  <c r="N40" i="61" s="1"/>
  <c r="N41" i="61" s="1"/>
  <c r="N42" i="61" s="1"/>
  <c r="N43" i="61" s="1"/>
  <c r="N44" i="61" s="1"/>
  <c r="N45" i="61" s="1"/>
  <c r="N46" i="61" s="1"/>
  <c r="A35" i="61"/>
  <c r="N34" i="61"/>
  <c r="A34" i="61"/>
  <c r="N33" i="61"/>
  <c r="A33" i="61"/>
  <c r="A32" i="61"/>
  <c r="A31" i="61"/>
  <c r="A30" i="61"/>
  <c r="A29" i="61"/>
  <c r="A28" i="61"/>
  <c r="A27" i="61"/>
  <c r="A26" i="61"/>
  <c r="M25" i="61"/>
  <c r="H25" i="61"/>
  <c r="A25" i="61"/>
  <c r="P24" i="61"/>
  <c r="A24" i="61"/>
  <c r="A23" i="61"/>
  <c r="A22" i="61"/>
  <c r="A21" i="61"/>
  <c r="A20" i="61"/>
  <c r="A19" i="61"/>
  <c r="K18" i="61"/>
  <c r="K19" i="61" s="1"/>
  <c r="K20" i="61" s="1"/>
  <c r="K21" i="61" s="1"/>
  <c r="K22" i="61" s="1"/>
  <c r="K23" i="61" s="1"/>
  <c r="A18" i="61"/>
  <c r="A17" i="61"/>
  <c r="P16" i="61"/>
  <c r="A16" i="61"/>
  <c r="P15" i="61"/>
  <c r="A15" i="61"/>
  <c r="P14" i="61"/>
  <c r="A14" i="61"/>
  <c r="P13" i="61"/>
  <c r="A13" i="61"/>
  <c r="U12" i="61"/>
  <c r="I34" i="61" s="1"/>
  <c r="P34" i="61" s="1"/>
  <c r="P12" i="61"/>
  <c r="A12" i="61"/>
  <c r="U11" i="61"/>
  <c r="P11" i="61"/>
  <c r="A11" i="61"/>
  <c r="P10" i="61"/>
  <c r="A10" i="61"/>
  <c r="A9" i="61"/>
  <c r="P8" i="61"/>
  <c r="A8" i="61"/>
  <c r="P7" i="61"/>
  <c r="A7" i="61"/>
  <c r="S6" i="61"/>
  <c r="P6" i="61"/>
  <c r="A6" i="61"/>
  <c r="S5" i="61"/>
  <c r="P5" i="61"/>
  <c r="A5" i="61"/>
  <c r="S4" i="61"/>
  <c r="T1" i="61"/>
  <c r="S1" i="61"/>
  <c r="P77" i="61" s="1"/>
  <c r="I88" i="60"/>
  <c r="C88" i="60"/>
  <c r="B88" i="60"/>
  <c r="A77" i="60"/>
  <c r="P76" i="60"/>
  <c r="A76" i="60"/>
  <c r="A75" i="60"/>
  <c r="A74" i="60"/>
  <c r="A73" i="60"/>
  <c r="P72" i="60"/>
  <c r="A72" i="60"/>
  <c r="P71" i="60"/>
  <c r="A71" i="60"/>
  <c r="A70" i="60"/>
  <c r="A69" i="60"/>
  <c r="A68" i="60"/>
  <c r="A67" i="60"/>
  <c r="A66" i="60"/>
  <c r="A65" i="60"/>
  <c r="A64" i="60"/>
  <c r="A63" i="60"/>
  <c r="A62" i="60"/>
  <c r="A61" i="60"/>
  <c r="A60" i="60"/>
  <c r="A59" i="60"/>
  <c r="A58" i="60"/>
  <c r="P57" i="60"/>
  <c r="A57" i="60"/>
  <c r="A56" i="60"/>
  <c r="A55" i="60"/>
  <c r="A54" i="60"/>
  <c r="A53" i="60"/>
  <c r="A52" i="60"/>
  <c r="A51" i="60"/>
  <c r="A50" i="60"/>
  <c r="P49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M23" i="60"/>
  <c r="M24" i="60" s="1"/>
  <c r="M25" i="60" s="1"/>
  <c r="M26" i="60" s="1"/>
  <c r="M27" i="60" s="1"/>
  <c r="M28" i="60" s="1"/>
  <c r="M29" i="60" s="1"/>
  <c r="A23" i="60"/>
  <c r="M22" i="60"/>
  <c r="L22" i="60"/>
  <c r="L23" i="60" s="1"/>
  <c r="L24" i="60" s="1"/>
  <c r="L25" i="60" s="1"/>
  <c r="K22" i="60"/>
  <c r="A22" i="60"/>
  <c r="A21" i="60"/>
  <c r="L20" i="60"/>
  <c r="L21" i="60" s="1"/>
  <c r="A20" i="60"/>
  <c r="M19" i="60"/>
  <c r="M20" i="60" s="1"/>
  <c r="M21" i="60" s="1"/>
  <c r="L19" i="60"/>
  <c r="K19" i="60"/>
  <c r="K20" i="60" s="1"/>
  <c r="K21" i="60" s="1"/>
  <c r="A19" i="60"/>
  <c r="A18" i="60"/>
  <c r="A17" i="60"/>
  <c r="A16" i="60"/>
  <c r="P15" i="60"/>
  <c r="A15" i="60"/>
  <c r="A14" i="60"/>
  <c r="A13" i="60"/>
  <c r="A12" i="60"/>
  <c r="A11" i="60"/>
  <c r="A10" i="60"/>
  <c r="A9" i="60"/>
  <c r="A8" i="60"/>
  <c r="A7" i="60"/>
  <c r="S6" i="60"/>
  <c r="A6" i="60"/>
  <c r="S5" i="60"/>
  <c r="A5" i="60"/>
  <c r="S4" i="60"/>
  <c r="S1" i="60"/>
  <c r="H88" i="59"/>
  <c r="G88" i="59"/>
  <c r="C88" i="59"/>
  <c r="B88" i="59"/>
  <c r="A77" i="59"/>
  <c r="A76" i="59"/>
  <c r="A75" i="59"/>
  <c r="A74" i="59"/>
  <c r="A73" i="59"/>
  <c r="A72" i="59"/>
  <c r="A71" i="59"/>
  <c r="A70" i="59"/>
  <c r="A69" i="59"/>
  <c r="A68" i="59"/>
  <c r="P67" i="59"/>
  <c r="A67" i="59"/>
  <c r="A66" i="59"/>
  <c r="A65" i="59"/>
  <c r="A64" i="59"/>
  <c r="A63" i="59"/>
  <c r="A62" i="59"/>
  <c r="A61" i="59"/>
  <c r="A60" i="59"/>
  <c r="P59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P28" i="59"/>
  <c r="N28" i="59"/>
  <c r="N29" i="59" s="1"/>
  <c r="N30" i="59" s="1"/>
  <c r="N31" i="59" s="1"/>
  <c r="N32" i="59" s="1"/>
  <c r="N33" i="59" s="1"/>
  <c r="N34" i="59" s="1"/>
  <c r="N35" i="59" s="1"/>
  <c r="N36" i="59" s="1"/>
  <c r="N37" i="59" s="1"/>
  <c r="N38" i="59" s="1"/>
  <c r="N39" i="59" s="1"/>
  <c r="N40" i="59" s="1"/>
  <c r="N41" i="59" s="1"/>
  <c r="N42" i="59" s="1"/>
  <c r="N43" i="59" s="1"/>
  <c r="N44" i="59" s="1"/>
  <c r="N45" i="59" s="1"/>
  <c r="N46" i="59" s="1"/>
  <c r="I28" i="59"/>
  <c r="I29" i="59" s="1"/>
  <c r="A28" i="59"/>
  <c r="A27" i="59"/>
  <c r="A26" i="59"/>
  <c r="A25" i="59"/>
  <c r="A24" i="59"/>
  <c r="K23" i="59"/>
  <c r="K24" i="59" s="1"/>
  <c r="K25" i="59" s="1"/>
  <c r="K26" i="59" s="1"/>
  <c r="A23" i="59"/>
  <c r="A22" i="59"/>
  <c r="A21" i="59"/>
  <c r="A20" i="59"/>
  <c r="K19" i="59"/>
  <c r="K20" i="59" s="1"/>
  <c r="K21" i="59" s="1"/>
  <c r="K22" i="59" s="1"/>
  <c r="A19" i="59"/>
  <c r="A18" i="59"/>
  <c r="A17" i="59"/>
  <c r="P16" i="59"/>
  <c r="A16" i="59"/>
  <c r="A15" i="59"/>
  <c r="A14" i="59"/>
  <c r="A13" i="59"/>
  <c r="A12" i="59"/>
  <c r="A11" i="59"/>
  <c r="A10" i="59"/>
  <c r="A9" i="59"/>
  <c r="A8" i="59"/>
  <c r="A7" i="59"/>
  <c r="S6" i="59"/>
  <c r="A6" i="59"/>
  <c r="S5" i="59"/>
  <c r="A5" i="59"/>
  <c r="S4" i="59"/>
  <c r="S1" i="59"/>
  <c r="P49" i="59" s="1"/>
  <c r="I88" i="58"/>
  <c r="H88" i="58"/>
  <c r="G88" i="58"/>
  <c r="C88" i="58"/>
  <c r="B88" i="58"/>
  <c r="P83" i="58"/>
  <c r="P78" i="58"/>
  <c r="P67" i="58"/>
  <c r="P65" i="58"/>
  <c r="P61" i="58"/>
  <c r="P60" i="58"/>
  <c r="A60" i="58"/>
  <c r="A59" i="58"/>
  <c r="A58" i="58"/>
  <c r="A57" i="58"/>
  <c r="P56" i="58"/>
  <c r="A56" i="58"/>
  <c r="A55" i="58"/>
  <c r="A54" i="58"/>
  <c r="A53" i="58"/>
  <c r="P52" i="58"/>
  <c r="A52" i="58"/>
  <c r="A51" i="58"/>
  <c r="P50" i="58"/>
  <c r="A50" i="58"/>
  <c r="P49" i="58"/>
  <c r="A49" i="58"/>
  <c r="A48" i="58"/>
  <c r="A47" i="58"/>
  <c r="A46" i="58"/>
  <c r="P45" i="58"/>
  <c r="A45" i="58"/>
  <c r="A44" i="58"/>
  <c r="A43" i="58"/>
  <c r="A42" i="58"/>
  <c r="P41" i="58"/>
  <c r="A41" i="58"/>
  <c r="A40" i="58"/>
  <c r="A39" i="58"/>
  <c r="A38" i="58"/>
  <c r="A37" i="58"/>
  <c r="N36" i="58"/>
  <c r="A36" i="58"/>
  <c r="N35" i="58"/>
  <c r="A35" i="58"/>
  <c r="P34" i="58"/>
  <c r="N34" i="58"/>
  <c r="A34" i="58"/>
  <c r="A33" i="58"/>
  <c r="P32" i="58"/>
  <c r="A32" i="58"/>
  <c r="A31" i="58"/>
  <c r="A30" i="58"/>
  <c r="P29" i="58"/>
  <c r="A29" i="58"/>
  <c r="A28" i="58"/>
  <c r="A27" i="58"/>
  <c r="A26" i="58"/>
  <c r="A25" i="58"/>
  <c r="A24" i="58"/>
  <c r="A23" i="58"/>
  <c r="A22" i="58"/>
  <c r="A21" i="58"/>
  <c r="A20" i="58"/>
  <c r="K19" i="58"/>
  <c r="K20" i="58" s="1"/>
  <c r="K21" i="58" s="1"/>
  <c r="K22" i="58" s="1"/>
  <c r="K23" i="58" s="1"/>
  <c r="K24" i="58" s="1"/>
  <c r="K25" i="58" s="1"/>
  <c r="K26" i="58" s="1"/>
  <c r="K27" i="58" s="1"/>
  <c r="A19" i="58"/>
  <c r="A18" i="58"/>
  <c r="A17" i="58"/>
  <c r="A16" i="58"/>
  <c r="A15" i="58"/>
  <c r="U14" i="58"/>
  <c r="I33" i="58" s="1"/>
  <c r="A14" i="58"/>
  <c r="U13" i="58"/>
  <c r="A13" i="58"/>
  <c r="U12" i="58"/>
  <c r="P12" i="58"/>
  <c r="A12" i="58"/>
  <c r="U11" i="58"/>
  <c r="P11" i="58"/>
  <c r="A11" i="58"/>
  <c r="P10" i="58"/>
  <c r="A10" i="58"/>
  <c r="A9" i="58"/>
  <c r="A8" i="58"/>
  <c r="A7" i="58"/>
  <c r="S6" i="58"/>
  <c r="A6" i="58"/>
  <c r="S5" i="58"/>
  <c r="A5" i="58"/>
  <c r="S4" i="58"/>
  <c r="T1" i="58"/>
  <c r="S1" i="58"/>
  <c r="H88" i="57"/>
  <c r="C88" i="57"/>
  <c r="B88" i="57"/>
  <c r="P73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I42" i="57"/>
  <c r="A42" i="57"/>
  <c r="I41" i="57"/>
  <c r="A41" i="57"/>
  <c r="A40" i="57"/>
  <c r="I39" i="57"/>
  <c r="A39" i="57"/>
  <c r="I38" i="57"/>
  <c r="A38" i="57"/>
  <c r="A37" i="57"/>
  <c r="N36" i="57"/>
  <c r="N37" i="57" s="1"/>
  <c r="N38" i="57" s="1"/>
  <c r="N39" i="57" s="1"/>
  <c r="I36" i="57"/>
  <c r="P36" i="57" s="1"/>
  <c r="A36" i="57"/>
  <c r="A35" i="57"/>
  <c r="N34" i="57"/>
  <c r="N35" i="57" s="1"/>
  <c r="A34" i="57"/>
  <c r="I33" i="57"/>
  <c r="A33" i="57"/>
  <c r="A32" i="57"/>
  <c r="A31" i="57"/>
  <c r="A30" i="57"/>
  <c r="A29" i="57"/>
  <c r="A28" i="57"/>
  <c r="A27" i="57"/>
  <c r="A26" i="57"/>
  <c r="A25" i="57"/>
  <c r="A24" i="57"/>
  <c r="A23" i="57"/>
  <c r="L22" i="57"/>
  <c r="L23" i="57" s="1"/>
  <c r="A22" i="57"/>
  <c r="L21" i="57"/>
  <c r="A21" i="57"/>
  <c r="A20" i="57"/>
  <c r="K19" i="57"/>
  <c r="A19" i="57"/>
  <c r="A18" i="57"/>
  <c r="P17" i="57"/>
  <c r="A17" i="57"/>
  <c r="A16" i="57"/>
  <c r="A15" i="57"/>
  <c r="U14" i="57"/>
  <c r="A14" i="57"/>
  <c r="U13" i="57"/>
  <c r="A13" i="57"/>
  <c r="U12" i="57"/>
  <c r="A12" i="57"/>
  <c r="U11" i="57"/>
  <c r="P11" i="57"/>
  <c r="A11" i="57"/>
  <c r="A10" i="57"/>
  <c r="A9" i="57"/>
  <c r="A8" i="57"/>
  <c r="A7" i="57"/>
  <c r="S6" i="57"/>
  <c r="A6" i="57"/>
  <c r="S5" i="57"/>
  <c r="A5" i="57"/>
  <c r="S4" i="57"/>
  <c r="S1" i="57"/>
  <c r="P74" i="57" s="1"/>
  <c r="C88" i="56"/>
  <c r="B88" i="56"/>
  <c r="P87" i="56"/>
  <c r="P79" i="56"/>
  <c r="P76" i="56"/>
  <c r="P72" i="56"/>
  <c r="P70" i="56"/>
  <c r="P65" i="56"/>
  <c r="P63" i="56"/>
  <c r="P62" i="56"/>
  <c r="A60" i="56"/>
  <c r="A59" i="56"/>
  <c r="A58" i="56"/>
  <c r="A57" i="56"/>
  <c r="A56" i="56"/>
  <c r="A55" i="56"/>
  <c r="P54" i="56"/>
  <c r="A54" i="56"/>
  <c r="P53" i="56"/>
  <c r="A53" i="56"/>
  <c r="A52" i="56"/>
  <c r="A51" i="56"/>
  <c r="A50" i="56"/>
  <c r="A49" i="56"/>
  <c r="P48" i="56"/>
  <c r="A48" i="56"/>
  <c r="A47" i="56"/>
  <c r="A46" i="56"/>
  <c r="A45" i="56"/>
  <c r="P44" i="56"/>
  <c r="A44" i="56"/>
  <c r="I43" i="56"/>
  <c r="A43" i="56"/>
  <c r="I42" i="56"/>
  <c r="A42" i="56"/>
  <c r="I41" i="56"/>
  <c r="A41" i="56"/>
  <c r="I40" i="56"/>
  <c r="A40" i="56"/>
  <c r="I39" i="56"/>
  <c r="A39" i="56"/>
  <c r="N38" i="56"/>
  <c r="I38" i="56"/>
  <c r="A38" i="56"/>
  <c r="I37" i="56"/>
  <c r="P37" i="56" s="1"/>
  <c r="A37" i="56"/>
  <c r="I36" i="56"/>
  <c r="A36" i="56"/>
  <c r="N35" i="56"/>
  <c r="N36" i="56" s="1"/>
  <c r="N37" i="56" s="1"/>
  <c r="I35" i="56"/>
  <c r="P35" i="56" s="1"/>
  <c r="A35" i="56"/>
  <c r="N34" i="56"/>
  <c r="P34" i="56" s="1"/>
  <c r="I34" i="56"/>
  <c r="A34" i="56"/>
  <c r="I33" i="56"/>
  <c r="A33" i="56"/>
  <c r="P32" i="56"/>
  <c r="A32" i="56"/>
  <c r="A31" i="56"/>
  <c r="P30" i="56"/>
  <c r="A30" i="56"/>
  <c r="A29" i="56"/>
  <c r="P28" i="56"/>
  <c r="A28" i="56"/>
  <c r="A27" i="56"/>
  <c r="A26" i="56"/>
  <c r="P25" i="56"/>
  <c r="A25" i="56"/>
  <c r="A24" i="56"/>
  <c r="A23" i="56"/>
  <c r="A22" i="56"/>
  <c r="M21" i="56"/>
  <c r="M22" i="56" s="1"/>
  <c r="M23" i="56" s="1"/>
  <c r="A21" i="56"/>
  <c r="A20" i="56"/>
  <c r="A19" i="56"/>
  <c r="K18" i="56"/>
  <c r="A18" i="56"/>
  <c r="A17" i="56"/>
  <c r="K16" i="56"/>
  <c r="K17" i="56" s="1"/>
  <c r="A16" i="56"/>
  <c r="K15" i="56"/>
  <c r="A15" i="56"/>
  <c r="U14" i="56"/>
  <c r="A14" i="56"/>
  <c r="U13" i="56"/>
  <c r="A13" i="56"/>
  <c r="U12" i="56"/>
  <c r="A12" i="56"/>
  <c r="U11" i="56"/>
  <c r="P11" i="56"/>
  <c r="A11" i="56"/>
  <c r="P10" i="56"/>
  <c r="A10" i="56"/>
  <c r="A9" i="56"/>
  <c r="A8" i="56"/>
  <c r="A7" i="56"/>
  <c r="S6" i="56"/>
  <c r="A6" i="56"/>
  <c r="S5" i="56"/>
  <c r="P5" i="56"/>
  <c r="A5" i="56"/>
  <c r="S4" i="56"/>
  <c r="S1" i="56"/>
  <c r="C88" i="54"/>
  <c r="B88" i="54"/>
  <c r="A88" i="54"/>
  <c r="P86" i="54"/>
  <c r="P81" i="54"/>
  <c r="P80" i="54"/>
  <c r="P79" i="54"/>
  <c r="P77" i="54"/>
  <c r="P76" i="54"/>
  <c r="P75" i="54"/>
  <c r="P74" i="54"/>
  <c r="P73" i="54"/>
  <c r="P72" i="54"/>
  <c r="P71" i="54"/>
  <c r="P70" i="54"/>
  <c r="P64" i="54"/>
  <c r="P63" i="54"/>
  <c r="P59" i="54"/>
  <c r="P57" i="54"/>
  <c r="P56" i="54"/>
  <c r="P55" i="54"/>
  <c r="P54" i="54"/>
  <c r="P53" i="54"/>
  <c r="P52" i="54"/>
  <c r="P51" i="54"/>
  <c r="P50" i="54"/>
  <c r="P49" i="54"/>
  <c r="P48" i="54"/>
  <c r="A44" i="54"/>
  <c r="P43" i="54"/>
  <c r="A43" i="54"/>
  <c r="A42" i="54"/>
  <c r="A41" i="54"/>
  <c r="P40" i="54"/>
  <c r="A40" i="54"/>
  <c r="A39" i="54"/>
  <c r="A38" i="54"/>
  <c r="A37" i="54"/>
  <c r="N36" i="54"/>
  <c r="N37" i="54" s="1"/>
  <c r="N38" i="54" s="1"/>
  <c r="N39" i="54" s="1"/>
  <c r="A36" i="54"/>
  <c r="A35" i="54"/>
  <c r="N34" i="54"/>
  <c r="N35" i="54" s="1"/>
  <c r="A34" i="54"/>
  <c r="N33" i="54"/>
  <c r="A33" i="54"/>
  <c r="A32" i="54"/>
  <c r="A31" i="54"/>
  <c r="A30" i="54"/>
  <c r="A29" i="54"/>
  <c r="A28" i="54"/>
  <c r="A27" i="54"/>
  <c r="A26" i="54"/>
  <c r="A25" i="54"/>
  <c r="N24" i="54"/>
  <c r="N25" i="54" s="1"/>
  <c r="N26" i="54" s="1"/>
  <c r="N27" i="54" s="1"/>
  <c r="N28" i="54" s="1"/>
  <c r="N29" i="54" s="1"/>
  <c r="N30" i="54" s="1"/>
  <c r="N31" i="54" s="1"/>
  <c r="N32" i="54" s="1"/>
  <c r="L24" i="54"/>
  <c r="L25" i="54" s="1"/>
  <c r="L26" i="54" s="1"/>
  <c r="L27" i="54" s="1"/>
  <c r="A24" i="54"/>
  <c r="A23" i="54"/>
  <c r="L22" i="54"/>
  <c r="L23" i="54" s="1"/>
  <c r="K22" i="54"/>
  <c r="A22" i="54"/>
  <c r="N21" i="54"/>
  <c r="N22" i="54" s="1"/>
  <c r="N23" i="54" s="1"/>
  <c r="M21" i="54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L21" i="54"/>
  <c r="A21" i="54"/>
  <c r="A20" i="54"/>
  <c r="P19" i="54"/>
  <c r="A19" i="54"/>
  <c r="P18" i="54"/>
  <c r="A18" i="54"/>
  <c r="P17" i="54"/>
  <c r="A17" i="54"/>
  <c r="P16" i="54"/>
  <c r="A16" i="54"/>
  <c r="A15" i="54"/>
  <c r="A14" i="54"/>
  <c r="P13" i="54"/>
  <c r="A13" i="54"/>
  <c r="A12" i="54"/>
  <c r="P11" i="54"/>
  <c r="A11" i="54"/>
  <c r="P10" i="54"/>
  <c r="A10" i="54"/>
  <c r="P9" i="54"/>
  <c r="A9" i="54"/>
  <c r="P8" i="54"/>
  <c r="A8" i="54"/>
  <c r="P7" i="54"/>
  <c r="A7" i="54"/>
  <c r="S6" i="54"/>
  <c r="A6" i="54"/>
  <c r="S5" i="54"/>
  <c r="A5" i="54"/>
  <c r="S4" i="54"/>
  <c r="S1" i="54"/>
  <c r="G88" i="55"/>
  <c r="C88" i="55"/>
  <c r="B88" i="55"/>
  <c r="P87" i="55"/>
  <c r="P86" i="55"/>
  <c r="P81" i="55"/>
  <c r="P79" i="55"/>
  <c r="P75" i="55"/>
  <c r="P74" i="55"/>
  <c r="P73" i="55"/>
  <c r="P72" i="55"/>
  <c r="P69" i="55"/>
  <c r="P68" i="55"/>
  <c r="P67" i="55"/>
  <c r="P66" i="55"/>
  <c r="P65" i="55"/>
  <c r="P59" i="55"/>
  <c r="P58" i="55"/>
  <c r="P55" i="55"/>
  <c r="P54" i="55"/>
  <c r="P53" i="55"/>
  <c r="P52" i="55"/>
  <c r="P51" i="55"/>
  <c r="P50" i="55"/>
  <c r="P49" i="55"/>
  <c r="P48" i="55"/>
  <c r="P47" i="55"/>
  <c r="P46" i="55"/>
  <c r="P45" i="55"/>
  <c r="A44" i="55"/>
  <c r="A43" i="55"/>
  <c r="A42" i="55"/>
  <c r="A41" i="55"/>
  <c r="A40" i="55"/>
  <c r="A39" i="55"/>
  <c r="A38" i="55"/>
  <c r="A37" i="55"/>
  <c r="A36" i="55"/>
  <c r="A35" i="55"/>
  <c r="A34" i="55"/>
  <c r="N33" i="55"/>
  <c r="N34" i="55" s="1"/>
  <c r="N35" i="55" s="1"/>
  <c r="N36" i="55" s="1"/>
  <c r="N37" i="55" s="1"/>
  <c r="N38" i="55" s="1"/>
  <c r="N39" i="55" s="1"/>
  <c r="N40" i="55" s="1"/>
  <c r="N41" i="55" s="1"/>
  <c r="N42" i="55" s="1"/>
  <c r="A33" i="55"/>
  <c r="A32" i="55"/>
  <c r="A31" i="55"/>
  <c r="A30" i="55"/>
  <c r="A29" i="55"/>
  <c r="M28" i="55"/>
  <c r="M29" i="55" s="1"/>
  <c r="M30" i="55" s="1"/>
  <c r="M31" i="55" s="1"/>
  <c r="A28" i="55"/>
  <c r="A27" i="55"/>
  <c r="A26" i="55"/>
  <c r="A25" i="55"/>
  <c r="A24" i="55"/>
  <c r="A23" i="55"/>
  <c r="A22" i="55"/>
  <c r="K21" i="55"/>
  <c r="K22" i="55" s="1"/>
  <c r="K23" i="55" s="1"/>
  <c r="K24" i="55" s="1"/>
  <c r="K25" i="55" s="1"/>
  <c r="K26" i="55" s="1"/>
  <c r="A21" i="55"/>
  <c r="A20" i="55"/>
  <c r="P19" i="55"/>
  <c r="A19" i="55"/>
  <c r="P18" i="55"/>
  <c r="A18" i="55"/>
  <c r="P17" i="55"/>
  <c r="A17" i="55"/>
  <c r="P16" i="55"/>
  <c r="A16" i="55"/>
  <c r="A15" i="55"/>
  <c r="A14" i="55"/>
  <c r="P13" i="55"/>
  <c r="A13" i="55"/>
  <c r="A12" i="55"/>
  <c r="P11" i="55"/>
  <c r="A11" i="55"/>
  <c r="P10" i="55"/>
  <c r="A10" i="55"/>
  <c r="P9" i="55"/>
  <c r="A9" i="55"/>
  <c r="P8" i="55"/>
  <c r="A8" i="55"/>
  <c r="P7" i="55"/>
  <c r="A7" i="55"/>
  <c r="A88" i="55" s="1"/>
  <c r="S6" i="55"/>
  <c r="P6" i="55"/>
  <c r="A6" i="55"/>
  <c r="S5" i="55"/>
  <c r="A5" i="55"/>
  <c r="S4" i="55"/>
  <c r="T1" i="55"/>
  <c r="S1" i="55"/>
  <c r="P70" i="55" s="1"/>
  <c r="C88" i="37"/>
  <c r="B88" i="37"/>
  <c r="P87" i="37"/>
  <c r="P77" i="37"/>
  <c r="P76" i="37"/>
  <c r="P75" i="37"/>
  <c r="P70" i="37"/>
  <c r="P69" i="37"/>
  <c r="P68" i="37"/>
  <c r="P60" i="37"/>
  <c r="P58" i="37"/>
  <c r="P56" i="37"/>
  <c r="P54" i="37"/>
  <c r="P52" i="37"/>
  <c r="P51" i="37"/>
  <c r="A41" i="37"/>
  <c r="A40" i="37"/>
  <c r="A39" i="37"/>
  <c r="A38" i="37"/>
  <c r="A37" i="37"/>
  <c r="A36" i="37"/>
  <c r="A35" i="37"/>
  <c r="A34" i="37"/>
  <c r="A33" i="37"/>
  <c r="A88" i="37" s="1"/>
  <c r="A32" i="37"/>
  <c r="A31" i="37"/>
  <c r="A30" i="37"/>
  <c r="A29" i="37"/>
  <c r="A28" i="37"/>
  <c r="A27" i="37"/>
  <c r="A26" i="37"/>
  <c r="M25" i="37"/>
  <c r="M26" i="37" s="1"/>
  <c r="M27" i="37" s="1"/>
  <c r="M28" i="37" s="1"/>
  <c r="M29" i="37" s="1"/>
  <c r="M30" i="37" s="1"/>
  <c r="A25" i="37"/>
  <c r="A24" i="37"/>
  <c r="A23" i="37"/>
  <c r="L22" i="37"/>
  <c r="L23" i="37" s="1"/>
  <c r="L24" i="37" s="1"/>
  <c r="L25" i="37" s="1"/>
  <c r="L26" i="37" s="1"/>
  <c r="K22" i="37"/>
  <c r="K23" i="37" s="1"/>
  <c r="A22" i="37"/>
  <c r="K21" i="37"/>
  <c r="A21" i="37"/>
  <c r="N20" i="37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M20" i="37"/>
  <c r="M21" i="37" s="1"/>
  <c r="M22" i="37" s="1"/>
  <c r="M23" i="37" s="1"/>
  <c r="M24" i="37" s="1"/>
  <c r="L20" i="37"/>
  <c r="L21" i="37" s="1"/>
  <c r="K20" i="37"/>
  <c r="A20" i="37"/>
  <c r="A19" i="37"/>
  <c r="A18" i="37"/>
  <c r="A17" i="37"/>
  <c r="P16" i="37"/>
  <c r="A16" i="37"/>
  <c r="A15" i="37"/>
  <c r="A14" i="37"/>
  <c r="P13" i="37"/>
  <c r="A13" i="37"/>
  <c r="A12" i="37"/>
  <c r="A11" i="37"/>
  <c r="A10" i="37"/>
  <c r="A9" i="37"/>
  <c r="A8" i="37"/>
  <c r="P7" i="37"/>
  <c r="A7" i="37"/>
  <c r="S6" i="37"/>
  <c r="P6" i="37"/>
  <c r="A6" i="37"/>
  <c r="S5" i="37"/>
  <c r="P5" i="37"/>
  <c r="A5" i="37"/>
  <c r="S4" i="37"/>
  <c r="T1" i="37"/>
  <c r="S1" i="37"/>
  <c r="P61" i="37" s="1"/>
  <c r="C88" i="28"/>
  <c r="B88" i="28"/>
  <c r="P78" i="28"/>
  <c r="P77" i="28"/>
  <c r="P55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P22" i="28"/>
  <c r="A22" i="28"/>
  <c r="A21" i="28"/>
  <c r="A20" i="28"/>
  <c r="A19" i="28"/>
  <c r="P18" i="28"/>
  <c r="A18" i="28"/>
  <c r="A17" i="28"/>
  <c r="A16" i="28"/>
  <c r="A15" i="28"/>
  <c r="A14" i="28"/>
  <c r="A13" i="28"/>
  <c r="A12" i="28"/>
  <c r="A88" i="28" s="1"/>
  <c r="A11" i="28"/>
  <c r="A10" i="28"/>
  <c r="A9" i="28"/>
  <c r="A8" i="28"/>
  <c r="A7" i="28"/>
  <c r="S6" i="28"/>
  <c r="A6" i="28"/>
  <c r="S5" i="28"/>
  <c r="A5" i="28"/>
  <c r="S4" i="28"/>
  <c r="F9" i="16" s="1"/>
  <c r="S1" i="28"/>
  <c r="P82" i="28" s="1"/>
  <c r="C88" i="25"/>
  <c r="B88" i="25"/>
  <c r="P87" i="25"/>
  <c r="P86" i="25"/>
  <c r="P85" i="25"/>
  <c r="P84" i="25"/>
  <c r="P81" i="25"/>
  <c r="P80" i="25"/>
  <c r="P79" i="25"/>
  <c r="P78" i="25"/>
  <c r="P76" i="25"/>
  <c r="P75" i="25"/>
  <c r="P73" i="25"/>
  <c r="P72" i="25"/>
  <c r="P71" i="25"/>
  <c r="P70" i="25"/>
  <c r="P69" i="25"/>
  <c r="P67" i="25"/>
  <c r="P66" i="25"/>
  <c r="P65" i="25"/>
  <c r="P64" i="25"/>
  <c r="P63" i="25"/>
  <c r="P62" i="25"/>
  <c r="P59" i="25"/>
  <c r="P58" i="25"/>
  <c r="P57" i="25"/>
  <c r="P56" i="25"/>
  <c r="P53" i="25"/>
  <c r="P52" i="25"/>
  <c r="P51" i="25"/>
  <c r="P50" i="25"/>
  <c r="P49" i="25"/>
  <c r="P47" i="25"/>
  <c r="P46" i="25"/>
  <c r="P45" i="25"/>
  <c r="P44" i="25"/>
  <c r="A44" i="25"/>
  <c r="P43" i="25"/>
  <c r="A43" i="25"/>
  <c r="A42" i="25"/>
  <c r="P41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N26" i="25"/>
  <c r="N27" i="25" s="1"/>
  <c r="N28" i="25" s="1"/>
  <c r="N29" i="25" s="1"/>
  <c r="N30" i="25" s="1"/>
  <c r="N31" i="25" s="1"/>
  <c r="N32" i="25" s="1"/>
  <c r="N33" i="25" s="1"/>
  <c r="N34" i="25" s="1"/>
  <c r="N35" i="25" s="1"/>
  <c r="N36" i="25" s="1"/>
  <c r="N37" i="25" s="1"/>
  <c r="N38" i="25" s="1"/>
  <c r="N39" i="25" s="1"/>
  <c r="A26" i="25"/>
  <c r="A25" i="25"/>
  <c r="M24" i="25"/>
  <c r="M25" i="25" s="1"/>
  <c r="M26" i="25" s="1"/>
  <c r="M27" i="25" s="1"/>
  <c r="M28" i="25" s="1"/>
  <c r="M29" i="25" s="1"/>
  <c r="M30" i="25" s="1"/>
  <c r="L24" i="25"/>
  <c r="L25" i="25" s="1"/>
  <c r="L26" i="25" s="1"/>
  <c r="A24" i="25"/>
  <c r="O23" i="25"/>
  <c r="O24" i="25" s="1"/>
  <c r="O25" i="25" s="1"/>
  <c r="O26" i="25" s="1"/>
  <c r="O27" i="25" s="1"/>
  <c r="O28" i="25" s="1"/>
  <c r="O29" i="25" s="1"/>
  <c r="O30" i="25" s="1"/>
  <c r="O31" i="25" s="1"/>
  <c r="O32" i="25" s="1"/>
  <c r="O33" i="25" s="1"/>
  <c r="O34" i="25" s="1"/>
  <c r="O35" i="25" s="1"/>
  <c r="O36" i="25" s="1"/>
  <c r="O37" i="25" s="1"/>
  <c r="O38" i="25" s="1"/>
  <c r="O39" i="25" s="1"/>
  <c r="L23" i="25"/>
  <c r="A23" i="25"/>
  <c r="A22" i="25"/>
  <c r="O21" i="25"/>
  <c r="O22" i="25" s="1"/>
  <c r="N21" i="25"/>
  <c r="N22" i="25" s="1"/>
  <c r="N23" i="25" s="1"/>
  <c r="N24" i="25" s="1"/>
  <c r="N25" i="25" s="1"/>
  <c r="M21" i="25"/>
  <c r="M22" i="25" s="1"/>
  <c r="M23" i="25" s="1"/>
  <c r="K21" i="25"/>
  <c r="K22" i="25" s="1"/>
  <c r="A21" i="25"/>
  <c r="O20" i="25"/>
  <c r="N20" i="25"/>
  <c r="M20" i="25"/>
  <c r="L20" i="25"/>
  <c r="L21" i="25" s="1"/>
  <c r="L22" i="25" s="1"/>
  <c r="K20" i="25"/>
  <c r="A20" i="25"/>
  <c r="A19" i="25"/>
  <c r="P18" i="25"/>
  <c r="A18" i="25"/>
  <c r="A17" i="25"/>
  <c r="P16" i="25"/>
  <c r="A16" i="25"/>
  <c r="P15" i="25"/>
  <c r="A15" i="25"/>
  <c r="A14" i="25"/>
  <c r="P13" i="25"/>
  <c r="A13" i="25"/>
  <c r="P12" i="25"/>
  <c r="A12" i="25"/>
  <c r="P11" i="25"/>
  <c r="A11" i="25"/>
  <c r="A10" i="25"/>
  <c r="P9" i="25"/>
  <c r="A9" i="25"/>
  <c r="P8" i="25"/>
  <c r="A8" i="25"/>
  <c r="P7" i="25"/>
  <c r="A7" i="25"/>
  <c r="S6" i="25"/>
  <c r="P6" i="25"/>
  <c r="A6" i="25"/>
  <c r="S5" i="25"/>
  <c r="A5" i="25"/>
  <c r="S4" i="25"/>
  <c r="T1" i="25"/>
  <c r="S1" i="25"/>
  <c r="F69" i="62"/>
  <c r="I68" i="62"/>
  <c r="F68" i="62"/>
  <c r="C68" i="62"/>
  <c r="B68" i="62"/>
  <c r="P66" i="62"/>
  <c r="P46" i="62"/>
  <c r="A41" i="62"/>
  <c r="A40" i="62"/>
  <c r="A39" i="62"/>
  <c r="A38" i="62"/>
  <c r="A37" i="62"/>
  <c r="A36" i="62"/>
  <c r="A35" i="62"/>
  <c r="A34" i="62"/>
  <c r="N33" i="62"/>
  <c r="A33" i="62"/>
  <c r="A32" i="62"/>
  <c r="H31" i="62"/>
  <c r="A31" i="62"/>
  <c r="H30" i="62"/>
  <c r="A30" i="62"/>
  <c r="H29" i="62"/>
  <c r="A29" i="62"/>
  <c r="H28" i="62"/>
  <c r="A28" i="62"/>
  <c r="H27" i="62"/>
  <c r="A27" i="62"/>
  <c r="H26" i="62"/>
  <c r="A26" i="62"/>
  <c r="H25" i="62"/>
  <c r="A25" i="62"/>
  <c r="H24" i="62"/>
  <c r="A24" i="62"/>
  <c r="H23" i="62"/>
  <c r="A23" i="62"/>
  <c r="M22" i="62"/>
  <c r="M23" i="62" s="1"/>
  <c r="M24" i="62" s="1"/>
  <c r="H22" i="62"/>
  <c r="A22" i="62"/>
  <c r="M21" i="62"/>
  <c r="H21" i="62"/>
  <c r="A21" i="62"/>
  <c r="H20" i="62"/>
  <c r="A20" i="62"/>
  <c r="G19" i="62"/>
  <c r="A19" i="62"/>
  <c r="G18" i="62"/>
  <c r="A18" i="62"/>
  <c r="P17" i="62"/>
  <c r="G17" i="62"/>
  <c r="A17" i="62"/>
  <c r="A16" i="62"/>
  <c r="A15" i="62"/>
  <c r="K14" i="62"/>
  <c r="K15" i="62" s="1"/>
  <c r="A14" i="62"/>
  <c r="A13" i="62"/>
  <c r="K12" i="62"/>
  <c r="K13" i="62" s="1"/>
  <c r="A12" i="62"/>
  <c r="A11" i="62"/>
  <c r="A10" i="62"/>
  <c r="A9" i="62"/>
  <c r="P8" i="62"/>
  <c r="A8" i="62"/>
  <c r="A7" i="62"/>
  <c r="S6" i="62"/>
  <c r="A6" i="62"/>
  <c r="S5" i="62"/>
  <c r="A5" i="62"/>
  <c r="A68" i="62" s="1"/>
  <c r="S4" i="62"/>
  <c r="S1" i="62"/>
  <c r="P65" i="62" s="1"/>
  <c r="F69" i="40"/>
  <c r="G20" i="16" s="1"/>
  <c r="I68" i="40"/>
  <c r="C68" i="40"/>
  <c r="B68" i="40"/>
  <c r="P67" i="40"/>
  <c r="P66" i="40"/>
  <c r="P64" i="40"/>
  <c r="P63" i="40"/>
  <c r="P62" i="40"/>
  <c r="P61" i="40"/>
  <c r="P59" i="40"/>
  <c r="P58" i="40"/>
  <c r="P57" i="40"/>
  <c r="P56" i="40"/>
  <c r="P55" i="40"/>
  <c r="P54" i="40"/>
  <c r="P53" i="40"/>
  <c r="P52" i="40"/>
  <c r="P51" i="40"/>
  <c r="P50" i="40"/>
  <c r="P49" i="40"/>
  <c r="P48" i="40"/>
  <c r="P47" i="40"/>
  <c r="P46" i="40"/>
  <c r="P44" i="40"/>
  <c r="P43" i="40"/>
  <c r="P42" i="40"/>
  <c r="A41" i="40"/>
  <c r="A40" i="40"/>
  <c r="A39" i="40"/>
  <c r="A38" i="40"/>
  <c r="A37" i="40"/>
  <c r="A36" i="40"/>
  <c r="A35" i="40"/>
  <c r="A34" i="40"/>
  <c r="N33" i="40"/>
  <c r="A33" i="40"/>
  <c r="P32" i="40"/>
  <c r="A32" i="40"/>
  <c r="A31" i="40"/>
  <c r="A30" i="40"/>
  <c r="A29" i="40"/>
  <c r="A28" i="40"/>
  <c r="A27" i="40"/>
  <c r="A26" i="40"/>
  <c r="A25" i="40"/>
  <c r="A24" i="40"/>
  <c r="A23" i="40"/>
  <c r="M22" i="40"/>
  <c r="P22" i="40" s="1"/>
  <c r="A22" i="40"/>
  <c r="M21" i="40"/>
  <c r="P21" i="40" s="1"/>
  <c r="A21" i="40"/>
  <c r="A20" i="40"/>
  <c r="A19" i="40"/>
  <c r="A18" i="40"/>
  <c r="A17" i="40"/>
  <c r="A16" i="40"/>
  <c r="A15" i="40"/>
  <c r="A14" i="40"/>
  <c r="A13" i="40"/>
  <c r="K12" i="40"/>
  <c r="K13" i="40" s="1"/>
  <c r="K14" i="40" s="1"/>
  <c r="K15" i="40" s="1"/>
  <c r="K16" i="40" s="1"/>
  <c r="A12" i="40"/>
  <c r="A11" i="40"/>
  <c r="P10" i="40"/>
  <c r="A10" i="40"/>
  <c r="P9" i="40"/>
  <c r="A9" i="40"/>
  <c r="P8" i="40"/>
  <c r="A8" i="40"/>
  <c r="P7" i="40"/>
  <c r="A7" i="40"/>
  <c r="S6" i="40"/>
  <c r="P6" i="40"/>
  <c r="A6" i="40"/>
  <c r="A68" i="40" s="1"/>
  <c r="S5" i="40"/>
  <c r="P5" i="40"/>
  <c r="A5" i="40"/>
  <c r="S4" i="40"/>
  <c r="F20" i="16" s="1"/>
  <c r="T1" i="40"/>
  <c r="S1" i="40"/>
  <c r="P65" i="40" s="1"/>
  <c r="G2860" i="16"/>
  <c r="G2801" i="16"/>
  <c r="F2778" i="16"/>
  <c r="F2777" i="16"/>
  <c r="F2776" i="16"/>
  <c r="F2775" i="16"/>
  <c r="H2673" i="16"/>
  <c r="H2672" i="16"/>
  <c r="H2671" i="16"/>
  <c r="D2655" i="16"/>
  <c r="D2654" i="16"/>
  <c r="D2653" i="16"/>
  <c r="D2652" i="16"/>
  <c r="G2534" i="16"/>
  <c r="G2459" i="16"/>
  <c r="D2259" i="16"/>
  <c r="G2210" i="16"/>
  <c r="F2200" i="16"/>
  <c r="F1898" i="16"/>
  <c r="F1872" i="16"/>
  <c r="F1667" i="16"/>
  <c r="F1020" i="16"/>
  <c r="J161" i="16"/>
  <c r="F161" i="16"/>
  <c r="F160" i="16"/>
  <c r="E160" i="16"/>
  <c r="F159" i="16"/>
  <c r="F158" i="16"/>
  <c r="F157" i="16"/>
  <c r="F156" i="16"/>
  <c r="D156" i="16"/>
  <c r="B156" i="16"/>
  <c r="F155" i="16"/>
  <c r="I154" i="16"/>
  <c r="F154" i="16"/>
  <c r="F153" i="16"/>
  <c r="E153" i="16"/>
  <c r="Q3" i="53" s="1"/>
  <c r="E25" i="53" s="1"/>
  <c r="I25" i="53" s="1"/>
  <c r="N25" i="53" s="1"/>
  <c r="D153" i="16"/>
  <c r="Q2" i="53" s="1"/>
  <c r="F152" i="16"/>
  <c r="F151" i="16"/>
  <c r="J150" i="16"/>
  <c r="F150" i="16"/>
  <c r="D150" i="16"/>
  <c r="I150" i="16" s="1"/>
  <c r="I149" i="16"/>
  <c r="F149" i="16"/>
  <c r="F148" i="16"/>
  <c r="F147" i="16"/>
  <c r="A147" i="16"/>
  <c r="B147" i="16" s="1"/>
  <c r="F146" i="16"/>
  <c r="F145" i="16"/>
  <c r="F144" i="16"/>
  <c r="A144" i="16"/>
  <c r="B144" i="16" s="1"/>
  <c r="F143" i="16"/>
  <c r="F142" i="16"/>
  <c r="F141" i="16"/>
  <c r="E141" i="16"/>
  <c r="F140" i="16"/>
  <c r="A140" i="16"/>
  <c r="B140" i="16" s="1"/>
  <c r="F139" i="16"/>
  <c r="A139" i="16"/>
  <c r="B139" i="16" s="1"/>
  <c r="F138" i="16"/>
  <c r="F137" i="16"/>
  <c r="F136" i="16"/>
  <c r="D136" i="16"/>
  <c r="J136" i="16" s="1"/>
  <c r="A136" i="16"/>
  <c r="B136" i="16" s="1"/>
  <c r="F135" i="16"/>
  <c r="F134" i="16"/>
  <c r="F133" i="16"/>
  <c r="F132" i="16"/>
  <c r="F131" i="16"/>
  <c r="F130" i="16"/>
  <c r="F129" i="16"/>
  <c r="F128" i="16"/>
  <c r="F127" i="16"/>
  <c r="E127" i="16"/>
  <c r="F126" i="16"/>
  <c r="F125" i="16"/>
  <c r="F124" i="16"/>
  <c r="F123" i="16"/>
  <c r="F122" i="16"/>
  <c r="F121" i="16"/>
  <c r="G120" i="16"/>
  <c r="F120" i="16"/>
  <c r="G119" i="16"/>
  <c r="J119" i="16" s="1"/>
  <c r="F119" i="16"/>
  <c r="F118" i="16"/>
  <c r="D118" i="16"/>
  <c r="Q2" i="50" s="1"/>
  <c r="G117" i="16"/>
  <c r="F117" i="16"/>
  <c r="F116" i="16"/>
  <c r="E116" i="16"/>
  <c r="F115" i="16"/>
  <c r="F114" i="16"/>
  <c r="F113" i="16"/>
  <c r="A113" i="16"/>
  <c r="B113" i="16" s="1"/>
  <c r="G112" i="16"/>
  <c r="F112" i="16"/>
  <c r="F111" i="16"/>
  <c r="F110" i="16"/>
  <c r="F109" i="16"/>
  <c r="F108" i="16"/>
  <c r="F107" i="16"/>
  <c r="A107" i="16"/>
  <c r="B107" i="16" s="1"/>
  <c r="F106" i="16"/>
  <c r="F105" i="16"/>
  <c r="F104" i="16"/>
  <c r="F103" i="16"/>
  <c r="F102" i="16"/>
  <c r="F101" i="16"/>
  <c r="F100" i="16"/>
  <c r="F99" i="16"/>
  <c r="F98" i="16"/>
  <c r="F97" i="16"/>
  <c r="G96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D82" i="16"/>
  <c r="J82" i="16" s="1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A69" i="16"/>
  <c r="B69" i="16" s="1"/>
  <c r="F68" i="16"/>
  <c r="F67" i="16"/>
  <c r="F66" i="16"/>
  <c r="F65" i="16"/>
  <c r="F64" i="16"/>
  <c r="F63" i="16"/>
  <c r="F62" i="16"/>
  <c r="F61" i="16"/>
  <c r="E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J43" i="16"/>
  <c r="I43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G29" i="16"/>
  <c r="F29" i="16"/>
  <c r="F28" i="16"/>
  <c r="F27" i="16"/>
  <c r="F26" i="16"/>
  <c r="F25" i="16"/>
  <c r="F24" i="16"/>
  <c r="F23" i="16"/>
  <c r="D23" i="16"/>
  <c r="Q2" i="43" s="1"/>
  <c r="F22" i="16"/>
  <c r="G21" i="16"/>
  <c r="F21" i="16"/>
  <c r="F19" i="16"/>
  <c r="F18" i="16"/>
  <c r="E18" i="16"/>
  <c r="S3" i="38" s="1"/>
  <c r="D18" i="16"/>
  <c r="S2" i="38" s="1"/>
  <c r="F17" i="16"/>
  <c r="F16" i="16"/>
  <c r="F15" i="16"/>
  <c r="G14" i="16"/>
  <c r="F14" i="16"/>
  <c r="F13" i="16"/>
  <c r="F12" i="16"/>
  <c r="F11" i="16"/>
  <c r="F10" i="16"/>
  <c r="G9" i="16"/>
  <c r="F8" i="16"/>
  <c r="F7" i="16"/>
  <c r="F6" i="16"/>
  <c r="F5" i="16"/>
  <c r="F4" i="16"/>
  <c r="F3" i="16"/>
  <c r="F2" i="16"/>
  <c r="I2889" i="13"/>
  <c r="H2889" i="13"/>
  <c r="G2889" i="13"/>
  <c r="F2889" i="13"/>
  <c r="E2889" i="13"/>
  <c r="D2889" i="13"/>
  <c r="C2889" i="13"/>
  <c r="B2889" i="13"/>
  <c r="A2889" i="13"/>
  <c r="I2888" i="13"/>
  <c r="H2888" i="13"/>
  <c r="G2888" i="13"/>
  <c r="F2888" i="13"/>
  <c r="E2888" i="13"/>
  <c r="D2888" i="13"/>
  <c r="C2888" i="13"/>
  <c r="B2888" i="13"/>
  <c r="A2888" i="13"/>
  <c r="I2887" i="13"/>
  <c r="H2887" i="13"/>
  <c r="G2887" i="13"/>
  <c r="F2887" i="13"/>
  <c r="E2887" i="13"/>
  <c r="D2887" i="13"/>
  <c r="E161" i="16" s="1"/>
  <c r="C2887" i="13"/>
  <c r="B2887" i="13"/>
  <c r="A2887" i="13"/>
  <c r="I2886" i="13"/>
  <c r="H2886" i="13"/>
  <c r="G2886" i="13"/>
  <c r="F2886" i="13"/>
  <c r="E2886" i="13"/>
  <c r="D2886" i="13"/>
  <c r="C2886" i="13"/>
  <c r="B2886" i="13"/>
  <c r="A2886" i="13"/>
  <c r="I2885" i="13"/>
  <c r="H2885" i="13"/>
  <c r="G2885" i="13"/>
  <c r="F2885" i="13"/>
  <c r="E2885" i="13"/>
  <c r="D2885" i="13"/>
  <c r="C2885" i="13"/>
  <c r="B2885" i="13"/>
  <c r="A2885" i="13"/>
  <c r="I2884" i="13"/>
  <c r="H2884" i="13"/>
  <c r="G2884" i="13"/>
  <c r="F2884" i="13"/>
  <c r="E2884" i="13"/>
  <c r="D2884" i="13"/>
  <c r="C2884" i="13"/>
  <c r="B2884" i="13"/>
  <c r="A2884" i="13"/>
  <c r="I2883" i="13"/>
  <c r="H2883" i="13"/>
  <c r="G2883" i="13"/>
  <c r="F2883" i="13"/>
  <c r="E2883" i="13"/>
  <c r="D2883" i="13"/>
  <c r="C2883" i="13"/>
  <c r="B2883" i="13"/>
  <c r="A2883" i="13"/>
  <c r="I2882" i="13"/>
  <c r="H2882" i="13"/>
  <c r="G2882" i="13"/>
  <c r="F2882" i="13"/>
  <c r="E2882" i="13"/>
  <c r="D2882" i="13"/>
  <c r="C2882" i="13"/>
  <c r="B2882" i="13"/>
  <c r="A2882" i="13"/>
  <c r="I2881" i="13"/>
  <c r="H2881" i="13"/>
  <c r="G2881" i="13"/>
  <c r="F2881" i="13"/>
  <c r="E2881" i="13"/>
  <c r="D2881" i="13"/>
  <c r="C2881" i="13"/>
  <c r="B2881" i="13"/>
  <c r="A2881" i="13"/>
  <c r="I2880" i="13"/>
  <c r="H2880" i="13"/>
  <c r="G2880" i="13"/>
  <c r="F2880" i="13"/>
  <c r="E2880" i="13"/>
  <c r="D2880" i="13"/>
  <c r="C2880" i="13"/>
  <c r="B2880" i="13"/>
  <c r="A2880" i="13"/>
  <c r="I2879" i="13"/>
  <c r="H2879" i="13"/>
  <c r="G2879" i="13"/>
  <c r="F2879" i="13"/>
  <c r="E2879" i="13"/>
  <c r="D2879" i="13"/>
  <c r="C2879" i="13"/>
  <c r="B2879" i="13"/>
  <c r="A2879" i="13"/>
  <c r="I2878" i="13"/>
  <c r="H2878" i="13"/>
  <c r="G2878" i="13"/>
  <c r="F2878" i="13"/>
  <c r="E2878" i="13"/>
  <c r="D2878" i="13"/>
  <c r="C2878" i="13"/>
  <c r="B2878" i="13"/>
  <c r="A2878" i="13"/>
  <c r="I2877" i="13"/>
  <c r="A161" i="16" s="1"/>
  <c r="B161" i="16" s="1"/>
  <c r="H2877" i="13"/>
  <c r="G2877" i="13"/>
  <c r="F2877" i="13"/>
  <c r="D161" i="16" s="1"/>
  <c r="I161" i="16" s="1"/>
  <c r="E2877" i="13"/>
  <c r="D2877" i="13"/>
  <c r="C2877" i="13"/>
  <c r="B2877" i="13"/>
  <c r="A2877" i="13"/>
  <c r="I2876" i="13"/>
  <c r="H2876" i="13"/>
  <c r="G2876" i="13"/>
  <c r="F2876" i="13"/>
  <c r="E2876" i="13"/>
  <c r="D2876" i="13"/>
  <c r="C2876" i="13"/>
  <c r="B2876" i="13"/>
  <c r="A2876" i="13"/>
  <c r="I2875" i="13"/>
  <c r="H2875" i="13"/>
  <c r="G2875" i="13"/>
  <c r="F2875" i="13"/>
  <c r="E2875" i="13"/>
  <c r="D2875" i="13"/>
  <c r="C2875" i="13"/>
  <c r="B2875" i="13"/>
  <c r="A2875" i="13"/>
  <c r="I2874" i="13"/>
  <c r="H2874" i="13"/>
  <c r="G2874" i="13"/>
  <c r="F2874" i="13"/>
  <c r="E2874" i="13"/>
  <c r="D2874" i="13"/>
  <c r="C2874" i="13"/>
  <c r="B2874" i="13"/>
  <c r="A2874" i="13"/>
  <c r="I2873" i="13"/>
  <c r="H2873" i="13"/>
  <c r="G2873" i="13"/>
  <c r="F2873" i="13"/>
  <c r="E2873" i="13"/>
  <c r="D2873" i="13"/>
  <c r="C2873" i="13"/>
  <c r="B2873" i="13"/>
  <c r="A2873" i="13"/>
  <c r="I2872" i="13"/>
  <c r="H2872" i="13"/>
  <c r="G2872" i="13"/>
  <c r="F2872" i="13"/>
  <c r="E2872" i="13"/>
  <c r="D2872" i="13"/>
  <c r="C2872" i="13"/>
  <c r="B2872" i="13"/>
  <c r="A2872" i="13"/>
  <c r="I2871" i="13"/>
  <c r="H2871" i="13"/>
  <c r="G2871" i="13"/>
  <c r="F2871" i="13"/>
  <c r="E2871" i="13"/>
  <c r="D2871" i="13"/>
  <c r="C2871" i="13"/>
  <c r="B2871" i="13"/>
  <c r="A2871" i="13"/>
  <c r="I2870" i="13"/>
  <c r="H2870" i="13"/>
  <c r="G2870" i="13"/>
  <c r="F2870" i="13"/>
  <c r="E2870" i="13"/>
  <c r="D2870" i="13"/>
  <c r="C2870" i="13"/>
  <c r="B2870" i="13"/>
  <c r="A2870" i="13"/>
  <c r="I2869" i="13"/>
  <c r="H2869" i="13"/>
  <c r="G2869" i="13"/>
  <c r="F2869" i="13"/>
  <c r="E2869" i="13"/>
  <c r="D2869" i="13"/>
  <c r="C2869" i="13"/>
  <c r="B2869" i="13"/>
  <c r="A2869" i="13"/>
  <c r="I2868" i="13"/>
  <c r="H2868" i="13"/>
  <c r="G2868" i="13"/>
  <c r="F2868" i="13"/>
  <c r="E2868" i="13"/>
  <c r="D2868" i="13"/>
  <c r="C2868" i="13"/>
  <c r="B2868" i="13"/>
  <c r="A2868" i="13"/>
  <c r="I2867" i="13"/>
  <c r="H2867" i="13"/>
  <c r="G2867" i="13"/>
  <c r="F2867" i="13"/>
  <c r="E2867" i="13"/>
  <c r="D2867" i="13"/>
  <c r="C2867" i="13"/>
  <c r="B2867" i="13"/>
  <c r="A2867" i="13"/>
  <c r="I2866" i="13"/>
  <c r="H2866" i="13"/>
  <c r="G2866" i="13"/>
  <c r="F2866" i="13"/>
  <c r="E2866" i="13"/>
  <c r="D2866" i="13"/>
  <c r="C2866" i="13"/>
  <c r="B2866" i="13"/>
  <c r="A2866" i="13"/>
  <c r="I2865" i="13"/>
  <c r="H2865" i="13"/>
  <c r="G2865" i="13"/>
  <c r="F2865" i="13"/>
  <c r="E2865" i="13"/>
  <c r="D2865" i="13"/>
  <c r="C2865" i="13"/>
  <c r="B2865" i="13"/>
  <c r="A2865" i="13"/>
  <c r="I2864" i="13"/>
  <c r="H2864" i="13"/>
  <c r="G2864" i="13"/>
  <c r="F2864" i="13"/>
  <c r="E2864" i="13"/>
  <c r="D2864" i="13"/>
  <c r="C2864" i="13"/>
  <c r="B2864" i="13"/>
  <c r="A2864" i="13"/>
  <c r="I2863" i="13"/>
  <c r="H2863" i="13"/>
  <c r="G2863" i="13"/>
  <c r="F2863" i="13"/>
  <c r="E2863" i="13"/>
  <c r="D2863" i="13"/>
  <c r="C2863" i="13"/>
  <c r="B2863" i="13"/>
  <c r="A2863" i="13"/>
  <c r="I2862" i="13"/>
  <c r="A160" i="16" s="1"/>
  <c r="B160" i="16" s="1"/>
  <c r="H2862" i="13"/>
  <c r="G2862" i="13"/>
  <c r="F2862" i="13"/>
  <c r="D160" i="16" s="1"/>
  <c r="E2862" i="13"/>
  <c r="D2862" i="13"/>
  <c r="C2862" i="13"/>
  <c r="G2860" i="13" s="1"/>
  <c r="B2862" i="13"/>
  <c r="A2862" i="13"/>
  <c r="I2861" i="13"/>
  <c r="H2861" i="13"/>
  <c r="G2861" i="13"/>
  <c r="F2861" i="13"/>
  <c r="E2861" i="13"/>
  <c r="D2861" i="13"/>
  <c r="C2861" i="13"/>
  <c r="B2861" i="13"/>
  <c r="A2861" i="13"/>
  <c r="I2860" i="13"/>
  <c r="H2860" i="13"/>
  <c r="E2860" i="13"/>
  <c r="D2860" i="13"/>
  <c r="C2860" i="13"/>
  <c r="B2860" i="13"/>
  <c r="A2860" i="13"/>
  <c r="I2859" i="13"/>
  <c r="H2859" i="13"/>
  <c r="G2859" i="13"/>
  <c r="F2859" i="13"/>
  <c r="E2859" i="13"/>
  <c r="D2859" i="13"/>
  <c r="C2859" i="13"/>
  <c r="B2859" i="13"/>
  <c r="A2859" i="13"/>
  <c r="I2858" i="13"/>
  <c r="H2858" i="13"/>
  <c r="G2858" i="13"/>
  <c r="F2858" i="13"/>
  <c r="E2858" i="13"/>
  <c r="D2858" i="13"/>
  <c r="E159" i="16" s="1"/>
  <c r="C2858" i="13"/>
  <c r="B2858" i="13"/>
  <c r="A2858" i="13"/>
  <c r="I2857" i="13"/>
  <c r="H2857" i="13"/>
  <c r="G2857" i="13"/>
  <c r="F2857" i="13"/>
  <c r="E2857" i="13"/>
  <c r="D2857" i="13"/>
  <c r="C2857" i="13"/>
  <c r="B2857" i="13"/>
  <c r="A2857" i="13"/>
  <c r="I2856" i="13"/>
  <c r="H2856" i="13"/>
  <c r="G2856" i="13"/>
  <c r="F2856" i="13"/>
  <c r="E2856" i="13"/>
  <c r="D2856" i="13"/>
  <c r="C2856" i="13"/>
  <c r="B2856" i="13"/>
  <c r="A2856" i="13"/>
  <c r="I2855" i="13"/>
  <c r="H2855" i="13"/>
  <c r="G2855" i="13"/>
  <c r="F2855" i="13"/>
  <c r="E2855" i="13"/>
  <c r="D2855" i="13"/>
  <c r="C2855" i="13"/>
  <c r="B2855" i="13"/>
  <c r="A2855" i="13"/>
  <c r="I2854" i="13"/>
  <c r="H2854" i="13"/>
  <c r="G2854" i="13"/>
  <c r="F2854" i="13"/>
  <c r="E2854" i="13"/>
  <c r="D2854" i="13"/>
  <c r="C2854" i="13"/>
  <c r="B2854" i="13"/>
  <c r="A2854" i="13"/>
  <c r="I2853" i="13"/>
  <c r="H2853" i="13"/>
  <c r="G2853" i="13"/>
  <c r="F2853" i="13"/>
  <c r="E2853" i="13"/>
  <c r="D2853" i="13"/>
  <c r="C2853" i="13"/>
  <c r="B2853" i="13"/>
  <c r="A2853" i="13"/>
  <c r="I2852" i="13"/>
  <c r="H2852" i="13"/>
  <c r="G2852" i="13"/>
  <c r="F2852" i="13"/>
  <c r="E2852" i="13"/>
  <c r="D2852" i="13"/>
  <c r="C2852" i="13"/>
  <c r="B2852" i="13"/>
  <c r="A2852" i="13"/>
  <c r="I2851" i="13"/>
  <c r="H2851" i="13"/>
  <c r="G2851" i="13"/>
  <c r="F2851" i="13"/>
  <c r="E2851" i="13"/>
  <c r="D2851" i="13"/>
  <c r="C2851" i="13"/>
  <c r="B2851" i="13"/>
  <c r="A2851" i="13"/>
  <c r="I2850" i="13"/>
  <c r="H2850" i="13"/>
  <c r="G2850" i="13"/>
  <c r="F2850" i="13"/>
  <c r="E2850" i="13"/>
  <c r="D2850" i="13"/>
  <c r="C2850" i="13"/>
  <c r="B2850" i="13"/>
  <c r="A2850" i="13"/>
  <c r="I2849" i="13"/>
  <c r="H2849" i="13"/>
  <c r="G2849" i="13"/>
  <c r="F2849" i="13"/>
  <c r="E2849" i="13"/>
  <c r="D2849" i="13"/>
  <c r="C2849" i="13"/>
  <c r="B2849" i="13"/>
  <c r="A2849" i="13"/>
  <c r="I2848" i="13"/>
  <c r="H2848" i="13"/>
  <c r="G2848" i="13"/>
  <c r="F2848" i="13"/>
  <c r="E2848" i="13"/>
  <c r="D2848" i="13"/>
  <c r="C2848" i="13"/>
  <c r="B2848" i="13"/>
  <c r="A2848" i="13"/>
  <c r="I2847" i="13"/>
  <c r="A159" i="16" s="1"/>
  <c r="B159" i="16" s="1"/>
  <c r="H2847" i="13"/>
  <c r="G2847" i="13"/>
  <c r="F2847" i="13"/>
  <c r="D159" i="16" s="1"/>
  <c r="E2847" i="13"/>
  <c r="D2847" i="13"/>
  <c r="C2847" i="13"/>
  <c r="B2847" i="13"/>
  <c r="A2847" i="13"/>
  <c r="I2846" i="13"/>
  <c r="H2846" i="13"/>
  <c r="G2846" i="13"/>
  <c r="F2846" i="13"/>
  <c r="E2846" i="13"/>
  <c r="D2846" i="13"/>
  <c r="C2846" i="13"/>
  <c r="B2846" i="13"/>
  <c r="A2846" i="13"/>
  <c r="I2845" i="13"/>
  <c r="H2845" i="13"/>
  <c r="G2845" i="13"/>
  <c r="F2845" i="13"/>
  <c r="E2845" i="13"/>
  <c r="D2845" i="13"/>
  <c r="C2845" i="13"/>
  <c r="B2845" i="13"/>
  <c r="A2845" i="13"/>
  <c r="I2844" i="13"/>
  <c r="H2844" i="13"/>
  <c r="G2844" i="13"/>
  <c r="F2844" i="13"/>
  <c r="E2844" i="13"/>
  <c r="D2844" i="13"/>
  <c r="C2844" i="13"/>
  <c r="B2844" i="13"/>
  <c r="A2844" i="13"/>
  <c r="I2843" i="13"/>
  <c r="H2843" i="13"/>
  <c r="G2843" i="13"/>
  <c r="F2843" i="13"/>
  <c r="E2843" i="13"/>
  <c r="D2843" i="13"/>
  <c r="C2843" i="13"/>
  <c r="B2843" i="13"/>
  <c r="A2843" i="13"/>
  <c r="I2842" i="13"/>
  <c r="H2842" i="13"/>
  <c r="G2842" i="13"/>
  <c r="F2842" i="13"/>
  <c r="E2842" i="13"/>
  <c r="D2842" i="13"/>
  <c r="C2842" i="13"/>
  <c r="B2842" i="13"/>
  <c r="A2842" i="13"/>
  <c r="I2841" i="13"/>
  <c r="H2841" i="13"/>
  <c r="G2841" i="13"/>
  <c r="F2841" i="13"/>
  <c r="E2841" i="13"/>
  <c r="D2841" i="13"/>
  <c r="E158" i="16" s="1"/>
  <c r="C2841" i="13"/>
  <c r="B2841" i="13"/>
  <c r="A2841" i="13"/>
  <c r="I2840" i="13"/>
  <c r="H2840" i="13"/>
  <c r="G2840" i="13"/>
  <c r="F2840" i="13"/>
  <c r="E2840" i="13"/>
  <c r="D2840" i="13"/>
  <c r="C2840" i="13"/>
  <c r="B2840" i="13"/>
  <c r="A2840" i="13"/>
  <c r="I2839" i="13"/>
  <c r="H2839" i="13"/>
  <c r="G2839" i="13"/>
  <c r="F2839" i="13"/>
  <c r="E2839" i="13"/>
  <c r="D2839" i="13"/>
  <c r="C2839" i="13"/>
  <c r="B2839" i="13"/>
  <c r="A2839" i="13"/>
  <c r="I2838" i="13"/>
  <c r="H2838" i="13"/>
  <c r="G2838" i="13"/>
  <c r="F2838" i="13"/>
  <c r="E2838" i="13"/>
  <c r="D2838" i="13"/>
  <c r="C2838" i="13"/>
  <c r="B2838" i="13"/>
  <c r="A2838" i="13"/>
  <c r="I2837" i="13"/>
  <c r="H2837" i="13"/>
  <c r="G2837" i="13"/>
  <c r="F2837" i="13"/>
  <c r="E2837" i="13"/>
  <c r="D2837" i="13"/>
  <c r="C2837" i="13"/>
  <c r="B2837" i="13"/>
  <c r="A2837" i="13"/>
  <c r="I2836" i="13"/>
  <c r="H2836" i="13"/>
  <c r="G2836" i="13"/>
  <c r="F2836" i="13"/>
  <c r="E2836" i="13"/>
  <c r="D2836" i="13"/>
  <c r="C2836" i="13"/>
  <c r="B2836" i="13"/>
  <c r="A2836" i="13"/>
  <c r="I2835" i="13"/>
  <c r="H2835" i="13"/>
  <c r="G2835" i="13"/>
  <c r="F2835" i="13"/>
  <c r="E2835" i="13"/>
  <c r="D2835" i="13"/>
  <c r="C2835" i="13"/>
  <c r="B2835" i="13"/>
  <c r="A2835" i="13"/>
  <c r="I2834" i="13"/>
  <c r="H2834" i="13"/>
  <c r="G2834" i="13"/>
  <c r="F2834" i="13"/>
  <c r="E2834" i="13"/>
  <c r="D2834" i="13"/>
  <c r="C2834" i="13"/>
  <c r="B2834" i="13"/>
  <c r="A2834" i="13"/>
  <c r="I2833" i="13"/>
  <c r="H2833" i="13"/>
  <c r="G2833" i="13"/>
  <c r="F2833" i="13"/>
  <c r="E2833" i="13"/>
  <c r="D2833" i="13"/>
  <c r="C2833" i="13"/>
  <c r="B2833" i="13"/>
  <c r="A2833" i="13"/>
  <c r="I2832" i="13"/>
  <c r="A158" i="16" s="1"/>
  <c r="B158" i="16" s="1"/>
  <c r="H2832" i="13"/>
  <c r="G2832" i="13"/>
  <c r="F2832" i="13"/>
  <c r="D158" i="16" s="1"/>
  <c r="E2832" i="13"/>
  <c r="D2832" i="13"/>
  <c r="C2832" i="13"/>
  <c r="B2832" i="13"/>
  <c r="A2832" i="13"/>
  <c r="I2831" i="13"/>
  <c r="H2831" i="13"/>
  <c r="G2831" i="13"/>
  <c r="F2831" i="13"/>
  <c r="E2831" i="13"/>
  <c r="D2831" i="13"/>
  <c r="C2831" i="13"/>
  <c r="B2831" i="13"/>
  <c r="A2831" i="13"/>
  <c r="I2830" i="13"/>
  <c r="H2830" i="13"/>
  <c r="G2830" i="13"/>
  <c r="F2830" i="13"/>
  <c r="E2830" i="13"/>
  <c r="D2830" i="13"/>
  <c r="C2830" i="13"/>
  <c r="B2830" i="13"/>
  <c r="A2830" i="13"/>
  <c r="I2829" i="13"/>
  <c r="H2829" i="13"/>
  <c r="G2829" i="13"/>
  <c r="F2829" i="13"/>
  <c r="E2829" i="13"/>
  <c r="D2829" i="13"/>
  <c r="C2829" i="13"/>
  <c r="B2829" i="13"/>
  <c r="A2829" i="13"/>
  <c r="I2828" i="13"/>
  <c r="H2828" i="13"/>
  <c r="G2828" i="13"/>
  <c r="F2828" i="13"/>
  <c r="E2828" i="13"/>
  <c r="D2828" i="13"/>
  <c r="C2828" i="13"/>
  <c r="B2828" i="13"/>
  <c r="A2828" i="13"/>
  <c r="I2827" i="13"/>
  <c r="H2827" i="13"/>
  <c r="G2827" i="13"/>
  <c r="F2827" i="13"/>
  <c r="E2827" i="13"/>
  <c r="D2827" i="13"/>
  <c r="C2827" i="13"/>
  <c r="B2827" i="13"/>
  <c r="A2827" i="13"/>
  <c r="I2826" i="13"/>
  <c r="H2826" i="13"/>
  <c r="G2826" i="13"/>
  <c r="F2826" i="13"/>
  <c r="E2826" i="13"/>
  <c r="D2826" i="13"/>
  <c r="C2826" i="13"/>
  <c r="B2826" i="13"/>
  <c r="A2826" i="13"/>
  <c r="I2825" i="13"/>
  <c r="H2825" i="13"/>
  <c r="G2825" i="13"/>
  <c r="F2825" i="13"/>
  <c r="E2825" i="13"/>
  <c r="D2825" i="13"/>
  <c r="C2825" i="13"/>
  <c r="B2825" i="13"/>
  <c r="A2825" i="13"/>
  <c r="I2824" i="13"/>
  <c r="H2824" i="13"/>
  <c r="G2824" i="13"/>
  <c r="F2824" i="13"/>
  <c r="E2824" i="13"/>
  <c r="D2824" i="13"/>
  <c r="E157" i="16" s="1"/>
  <c r="C2824" i="13"/>
  <c r="B2824" i="13"/>
  <c r="A2824" i="13"/>
  <c r="I2823" i="13"/>
  <c r="H2823" i="13"/>
  <c r="G2823" i="13"/>
  <c r="F2823" i="13"/>
  <c r="E2823" i="13"/>
  <c r="D2823" i="13"/>
  <c r="C2823" i="13"/>
  <c r="B2823" i="13"/>
  <c r="A2823" i="13"/>
  <c r="I2822" i="13"/>
  <c r="H2822" i="13"/>
  <c r="G2822" i="13"/>
  <c r="F2822" i="13"/>
  <c r="E2822" i="13"/>
  <c r="D2822" i="13"/>
  <c r="C2822" i="13"/>
  <c r="B2822" i="13"/>
  <c r="A2822" i="13"/>
  <c r="I2821" i="13"/>
  <c r="H2821" i="13"/>
  <c r="G2821" i="13"/>
  <c r="F2821" i="13"/>
  <c r="E2821" i="13"/>
  <c r="D2821" i="13"/>
  <c r="C2821" i="13"/>
  <c r="B2821" i="13"/>
  <c r="A2821" i="13"/>
  <c r="I2820" i="13"/>
  <c r="H2820" i="13"/>
  <c r="G2820" i="13"/>
  <c r="F2820" i="13"/>
  <c r="E2820" i="13"/>
  <c r="D2820" i="13"/>
  <c r="C2820" i="13"/>
  <c r="B2820" i="13"/>
  <c r="A2820" i="13"/>
  <c r="I2819" i="13"/>
  <c r="H2819" i="13"/>
  <c r="G2819" i="13"/>
  <c r="F2819" i="13"/>
  <c r="E2819" i="13"/>
  <c r="D2819" i="13"/>
  <c r="C2819" i="13"/>
  <c r="B2819" i="13"/>
  <c r="A2819" i="13"/>
  <c r="I2818" i="13"/>
  <c r="H2818" i="13"/>
  <c r="G2818" i="13"/>
  <c r="F2818" i="13"/>
  <c r="E2818" i="13"/>
  <c r="D2818" i="13"/>
  <c r="C2818" i="13"/>
  <c r="B2818" i="13"/>
  <c r="A2818" i="13"/>
  <c r="I2817" i="13"/>
  <c r="H2817" i="13"/>
  <c r="G2817" i="13"/>
  <c r="F2817" i="13"/>
  <c r="E2817" i="13"/>
  <c r="D2817" i="13"/>
  <c r="C2817" i="13"/>
  <c r="B2817" i="13"/>
  <c r="A2817" i="13"/>
  <c r="I2816" i="13"/>
  <c r="H2816" i="13"/>
  <c r="G2816" i="13"/>
  <c r="F2816" i="13"/>
  <c r="E2816" i="13"/>
  <c r="D2816" i="13"/>
  <c r="C2816" i="13"/>
  <c r="B2816" i="13"/>
  <c r="A2816" i="13"/>
  <c r="I2815" i="13"/>
  <c r="H2815" i="13"/>
  <c r="G2815" i="13"/>
  <c r="F2815" i="13"/>
  <c r="E2815" i="13"/>
  <c r="D2815" i="13"/>
  <c r="C2815" i="13"/>
  <c r="B2815" i="13"/>
  <c r="A2815" i="13"/>
  <c r="I2814" i="13"/>
  <c r="A157" i="16" s="1"/>
  <c r="B157" i="16" s="1"/>
  <c r="H2814" i="13"/>
  <c r="G2814" i="13"/>
  <c r="F2814" i="13"/>
  <c r="D157" i="16" s="1"/>
  <c r="E2814" i="13"/>
  <c r="D2814" i="13"/>
  <c r="C2814" i="13"/>
  <c r="B2814" i="13"/>
  <c r="A2814" i="13"/>
  <c r="I2813" i="13"/>
  <c r="H2813" i="13"/>
  <c r="G2813" i="13"/>
  <c r="F2813" i="13"/>
  <c r="E2813" i="13"/>
  <c r="D2813" i="13"/>
  <c r="C2813" i="13"/>
  <c r="B2813" i="13"/>
  <c r="A2813" i="13"/>
  <c r="I2812" i="13"/>
  <c r="H2812" i="13"/>
  <c r="G2812" i="13"/>
  <c r="F2812" i="13"/>
  <c r="E2812" i="13"/>
  <c r="D2812" i="13"/>
  <c r="C2812" i="13"/>
  <c r="B2812" i="13"/>
  <c r="A2812" i="13"/>
  <c r="I2811" i="13"/>
  <c r="H2811" i="13"/>
  <c r="G2811" i="13"/>
  <c r="F2811" i="13"/>
  <c r="E2811" i="13"/>
  <c r="D2811" i="13"/>
  <c r="C2811" i="13"/>
  <c r="B2811" i="13"/>
  <c r="A2811" i="13"/>
  <c r="I2810" i="13"/>
  <c r="H2810" i="13"/>
  <c r="G2810" i="13"/>
  <c r="F2810" i="13"/>
  <c r="E2810" i="13"/>
  <c r="D2810" i="13"/>
  <c r="C2810" i="13"/>
  <c r="B2810" i="13"/>
  <c r="A2810" i="13"/>
  <c r="I2809" i="13"/>
  <c r="H2809" i="13"/>
  <c r="G2809" i="13"/>
  <c r="F2809" i="13"/>
  <c r="E2809" i="13"/>
  <c r="D2809" i="13"/>
  <c r="C2809" i="13"/>
  <c r="B2809" i="13"/>
  <c r="A2809" i="13"/>
  <c r="I2808" i="13"/>
  <c r="H2808" i="13"/>
  <c r="G2808" i="13"/>
  <c r="F2808" i="13"/>
  <c r="E2808" i="13"/>
  <c r="D2808" i="13"/>
  <c r="C2808" i="13"/>
  <c r="B2808" i="13"/>
  <c r="A2808" i="13"/>
  <c r="I2807" i="13"/>
  <c r="H2807" i="13"/>
  <c r="G2807" i="13"/>
  <c r="F2807" i="13"/>
  <c r="E2807" i="13"/>
  <c r="D2807" i="13"/>
  <c r="C2807" i="13"/>
  <c r="B2807" i="13"/>
  <c r="A2807" i="13"/>
  <c r="I2806" i="13"/>
  <c r="H2806" i="13"/>
  <c r="G2806" i="13"/>
  <c r="F2806" i="13"/>
  <c r="E2806" i="13"/>
  <c r="D2806" i="13"/>
  <c r="C2806" i="13"/>
  <c r="B2806" i="13"/>
  <c r="A2806" i="13"/>
  <c r="I2805" i="13"/>
  <c r="H2805" i="13"/>
  <c r="G2805" i="13"/>
  <c r="F2805" i="13"/>
  <c r="E2805" i="13"/>
  <c r="D2805" i="13"/>
  <c r="C2805" i="13"/>
  <c r="B2805" i="13"/>
  <c r="A2805" i="13"/>
  <c r="I2804" i="13"/>
  <c r="A156" i="16" s="1"/>
  <c r="H2804" i="13"/>
  <c r="G2804" i="13"/>
  <c r="F2804" i="13"/>
  <c r="E2804" i="13"/>
  <c r="D2804" i="13"/>
  <c r="C2804" i="13"/>
  <c r="B2804" i="13"/>
  <c r="A2804" i="13"/>
  <c r="I2803" i="13"/>
  <c r="H2803" i="13"/>
  <c r="G2803" i="13"/>
  <c r="F2803" i="13"/>
  <c r="E2803" i="13"/>
  <c r="D2803" i="13"/>
  <c r="C2803" i="13"/>
  <c r="B2803" i="13"/>
  <c r="A2803" i="13"/>
  <c r="I2802" i="13"/>
  <c r="H2802" i="13"/>
  <c r="G2802" i="13"/>
  <c r="F2802" i="13"/>
  <c r="E2802" i="13"/>
  <c r="D2802" i="13"/>
  <c r="C2802" i="13"/>
  <c r="B2802" i="13"/>
  <c r="A2802" i="13"/>
  <c r="I2801" i="13"/>
  <c r="H2801" i="13"/>
  <c r="G2801" i="13"/>
  <c r="E156" i="16" s="1"/>
  <c r="E2801" i="13"/>
  <c r="D2801" i="13"/>
  <c r="C2801" i="13"/>
  <c r="B2801" i="13"/>
  <c r="A2801" i="13"/>
  <c r="I2800" i="13"/>
  <c r="H2800" i="13"/>
  <c r="G2800" i="13"/>
  <c r="F2800" i="13"/>
  <c r="E2800" i="13"/>
  <c r="D2800" i="13"/>
  <c r="C2800" i="13"/>
  <c r="B2800" i="13"/>
  <c r="A2800" i="13"/>
  <c r="I2799" i="13"/>
  <c r="H2799" i="13"/>
  <c r="G2799" i="13"/>
  <c r="F2799" i="13"/>
  <c r="E2799" i="13"/>
  <c r="D2799" i="13"/>
  <c r="C2799" i="13"/>
  <c r="B2799" i="13"/>
  <c r="A2799" i="13"/>
  <c r="I2798" i="13"/>
  <c r="H2798" i="13"/>
  <c r="G2798" i="13"/>
  <c r="F2798" i="13"/>
  <c r="E2798" i="13"/>
  <c r="D2798" i="13"/>
  <c r="C2798" i="13"/>
  <c r="B2798" i="13"/>
  <c r="A2798" i="13"/>
  <c r="I2797" i="13"/>
  <c r="H2797" i="13"/>
  <c r="G2797" i="13"/>
  <c r="F2797" i="13"/>
  <c r="E2797" i="13"/>
  <c r="D2797" i="13"/>
  <c r="C2797" i="13"/>
  <c r="B2797" i="13"/>
  <c r="A2797" i="13"/>
  <c r="I2796" i="13"/>
  <c r="H2796" i="13"/>
  <c r="G2796" i="13"/>
  <c r="F2796" i="13"/>
  <c r="E2796" i="13"/>
  <c r="D2796" i="13"/>
  <c r="C2796" i="13"/>
  <c r="B2796" i="13"/>
  <c r="A2796" i="13"/>
  <c r="I2795" i="13"/>
  <c r="H2795" i="13"/>
  <c r="G2795" i="13"/>
  <c r="F2795" i="13"/>
  <c r="E2795" i="13"/>
  <c r="D2795" i="13"/>
  <c r="C2795" i="13"/>
  <c r="B2795" i="13"/>
  <c r="A2795" i="13"/>
  <c r="I2794" i="13"/>
  <c r="H2794" i="13"/>
  <c r="G2794" i="13"/>
  <c r="F2794" i="13"/>
  <c r="E2794" i="13"/>
  <c r="D2794" i="13"/>
  <c r="C2794" i="13"/>
  <c r="B2794" i="13"/>
  <c r="A2794" i="13"/>
  <c r="I2793" i="13"/>
  <c r="H2793" i="13"/>
  <c r="G2793" i="13"/>
  <c r="F2793" i="13"/>
  <c r="E2793" i="13"/>
  <c r="D2793" i="13"/>
  <c r="C2793" i="13"/>
  <c r="B2793" i="13"/>
  <c r="A2793" i="13"/>
  <c r="I2792" i="13"/>
  <c r="H2792" i="13"/>
  <c r="G2792" i="13"/>
  <c r="F2792" i="13"/>
  <c r="E2792" i="13"/>
  <c r="D2792" i="13"/>
  <c r="C2792" i="13"/>
  <c r="B2792" i="13"/>
  <c r="A2792" i="13"/>
  <c r="I2791" i="13"/>
  <c r="H2791" i="13"/>
  <c r="G2791" i="13"/>
  <c r="F2791" i="13"/>
  <c r="E2791" i="13"/>
  <c r="D2791" i="13"/>
  <c r="C2791" i="13"/>
  <c r="B2791" i="13"/>
  <c r="A2791" i="13"/>
  <c r="I2790" i="13"/>
  <c r="H2790" i="13"/>
  <c r="G2790" i="13"/>
  <c r="F2790" i="13"/>
  <c r="E2790" i="13"/>
  <c r="D2790" i="13"/>
  <c r="C2790" i="13"/>
  <c r="B2790" i="13"/>
  <c r="A2790" i="13"/>
  <c r="I2789" i="13"/>
  <c r="H2789" i="13"/>
  <c r="G2789" i="13"/>
  <c r="F2789" i="13"/>
  <c r="E2789" i="13"/>
  <c r="D2789" i="13"/>
  <c r="C2789" i="13"/>
  <c r="B2789" i="13"/>
  <c r="A2789" i="13"/>
  <c r="I2788" i="13"/>
  <c r="H2788" i="13"/>
  <c r="G2788" i="13"/>
  <c r="F2788" i="13"/>
  <c r="E2788" i="13"/>
  <c r="D2788" i="13"/>
  <c r="C2788" i="13"/>
  <c r="B2788" i="13"/>
  <c r="A2788" i="13"/>
  <c r="I2787" i="13"/>
  <c r="H2787" i="13"/>
  <c r="G2787" i="13"/>
  <c r="F2787" i="13"/>
  <c r="E2787" i="13"/>
  <c r="D2787" i="13"/>
  <c r="C2787" i="13"/>
  <c r="B2787" i="13"/>
  <c r="A2787" i="13"/>
  <c r="I2786" i="13"/>
  <c r="H2786" i="13"/>
  <c r="G2786" i="13"/>
  <c r="F2786" i="13"/>
  <c r="E2786" i="13"/>
  <c r="D2786" i="13"/>
  <c r="C2786" i="13"/>
  <c r="B2786" i="13"/>
  <c r="A2786" i="13"/>
  <c r="I2785" i="13"/>
  <c r="H2785" i="13"/>
  <c r="G2785" i="13"/>
  <c r="F2785" i="13"/>
  <c r="E2785" i="13"/>
  <c r="D2785" i="13"/>
  <c r="C2785" i="13"/>
  <c r="F2776" i="13" s="1"/>
  <c r="B2785" i="13"/>
  <c r="A2785" i="13"/>
  <c r="I2784" i="13"/>
  <c r="H2784" i="13"/>
  <c r="G2784" i="13"/>
  <c r="F2784" i="13"/>
  <c r="D155" i="16" s="1"/>
  <c r="S2" i="61" s="1"/>
  <c r="E2784" i="13"/>
  <c r="D2784" i="13"/>
  <c r="C2784" i="13"/>
  <c r="F2775" i="13" s="1"/>
  <c r="E155" i="16" s="1"/>
  <c r="S3" i="61" s="1"/>
  <c r="B2784" i="13"/>
  <c r="A2784" i="13"/>
  <c r="I2783" i="13"/>
  <c r="H2783" i="13"/>
  <c r="G2783" i="13"/>
  <c r="F2783" i="13"/>
  <c r="E2783" i="13"/>
  <c r="D2783" i="13"/>
  <c r="C2783" i="13"/>
  <c r="B2783" i="13"/>
  <c r="A2783" i="13"/>
  <c r="I2782" i="13"/>
  <c r="H2782" i="13"/>
  <c r="G2782" i="13"/>
  <c r="F2782" i="13"/>
  <c r="E2782" i="13"/>
  <c r="D2782" i="13"/>
  <c r="C2782" i="13"/>
  <c r="B2782" i="13"/>
  <c r="A2782" i="13"/>
  <c r="I2781" i="13"/>
  <c r="H2781" i="13"/>
  <c r="G2781" i="13"/>
  <c r="F2781" i="13"/>
  <c r="E2781" i="13"/>
  <c r="D2781" i="13"/>
  <c r="C2781" i="13"/>
  <c r="B2781" i="13"/>
  <c r="A2781" i="13"/>
  <c r="I2780" i="13"/>
  <c r="H2780" i="13"/>
  <c r="G2780" i="13"/>
  <c r="F2780" i="13"/>
  <c r="E2780" i="13"/>
  <c r="D2780" i="13"/>
  <c r="C2780" i="13"/>
  <c r="B2780" i="13"/>
  <c r="A2780" i="13"/>
  <c r="I2779" i="13"/>
  <c r="H2779" i="13"/>
  <c r="G2779" i="13"/>
  <c r="F2779" i="13"/>
  <c r="E2779" i="13"/>
  <c r="D2779" i="13"/>
  <c r="C2779" i="13"/>
  <c r="B2779" i="13"/>
  <c r="A2779" i="13"/>
  <c r="I2778" i="13"/>
  <c r="H2778" i="13"/>
  <c r="G2778" i="13"/>
  <c r="F2778" i="13"/>
  <c r="E2778" i="13"/>
  <c r="D2778" i="13"/>
  <c r="C2778" i="13"/>
  <c r="B2778" i="13"/>
  <c r="A2778" i="13"/>
  <c r="I2777" i="13"/>
  <c r="H2777" i="13"/>
  <c r="G2777" i="13"/>
  <c r="F2777" i="13"/>
  <c r="E2777" i="13"/>
  <c r="D2777" i="13"/>
  <c r="C2777" i="13"/>
  <c r="B2777" i="13"/>
  <c r="A2777" i="13"/>
  <c r="I2776" i="13"/>
  <c r="H2776" i="13"/>
  <c r="G2776" i="13"/>
  <c r="E2776" i="13"/>
  <c r="D2776" i="13"/>
  <c r="C2776" i="13"/>
  <c r="B2776" i="13"/>
  <c r="A2776" i="13"/>
  <c r="I2775" i="13"/>
  <c r="H2775" i="13"/>
  <c r="G2775" i="13"/>
  <c r="E2775" i="13"/>
  <c r="D2775" i="13"/>
  <c r="C2775" i="13"/>
  <c r="B2775" i="13"/>
  <c r="A2775" i="13"/>
  <c r="I2774" i="13"/>
  <c r="A155" i="16" s="1"/>
  <c r="B155" i="16" s="1"/>
  <c r="H2774" i="13"/>
  <c r="G2774" i="13"/>
  <c r="F2774" i="13"/>
  <c r="E2774" i="13"/>
  <c r="D2774" i="13"/>
  <c r="C2774" i="13"/>
  <c r="B2774" i="13"/>
  <c r="A2774" i="13"/>
  <c r="I2773" i="13"/>
  <c r="H2773" i="13"/>
  <c r="G2773" i="13"/>
  <c r="E2773" i="13"/>
  <c r="D2773" i="13"/>
  <c r="C2773" i="13"/>
  <c r="B2773" i="13"/>
  <c r="A2773" i="13"/>
  <c r="I2772" i="13"/>
  <c r="H2772" i="13"/>
  <c r="G2772" i="13"/>
  <c r="F2772" i="13"/>
  <c r="E2772" i="13"/>
  <c r="D2772" i="13"/>
  <c r="C2772" i="13"/>
  <c r="B2772" i="13"/>
  <c r="A2772" i="13"/>
  <c r="I2771" i="13"/>
  <c r="H2771" i="13"/>
  <c r="G2771" i="13"/>
  <c r="F2771" i="13"/>
  <c r="E2771" i="13"/>
  <c r="D2771" i="13"/>
  <c r="C2771" i="13"/>
  <c r="B2771" i="13"/>
  <c r="A2771" i="13"/>
  <c r="I2770" i="13"/>
  <c r="H2770" i="13"/>
  <c r="G2770" i="13"/>
  <c r="F2770" i="13"/>
  <c r="E2770" i="13"/>
  <c r="D2770" i="13"/>
  <c r="C2770" i="13"/>
  <c r="B2770" i="13"/>
  <c r="A2770" i="13"/>
  <c r="I2769" i="13"/>
  <c r="H2769" i="13"/>
  <c r="G2769" i="13"/>
  <c r="F2769" i="13"/>
  <c r="E2769" i="13"/>
  <c r="D2769" i="13"/>
  <c r="C2769" i="13"/>
  <c r="B2769" i="13"/>
  <c r="A2769" i="13"/>
  <c r="I2768" i="13"/>
  <c r="H2768" i="13"/>
  <c r="G2768" i="13"/>
  <c r="F2768" i="13"/>
  <c r="E2768" i="13"/>
  <c r="D2768" i="13"/>
  <c r="C2768" i="13"/>
  <c r="B2768" i="13"/>
  <c r="A2768" i="13"/>
  <c r="I2767" i="13"/>
  <c r="H2767" i="13"/>
  <c r="G2767" i="13"/>
  <c r="F2767" i="13"/>
  <c r="E2767" i="13"/>
  <c r="D2767" i="13"/>
  <c r="C2767" i="13"/>
  <c r="B2767" i="13"/>
  <c r="A2767" i="13"/>
  <c r="I2766" i="13"/>
  <c r="H2766" i="13"/>
  <c r="G2766" i="13"/>
  <c r="F2766" i="13"/>
  <c r="E2766" i="13"/>
  <c r="D2766" i="13"/>
  <c r="C2766" i="13"/>
  <c r="B2766" i="13"/>
  <c r="A2766" i="13"/>
  <c r="I2765" i="13"/>
  <c r="H2765" i="13"/>
  <c r="G2765" i="13"/>
  <c r="F2765" i="13"/>
  <c r="E2765" i="13"/>
  <c r="D2765" i="13"/>
  <c r="C2765" i="13"/>
  <c r="B2765" i="13"/>
  <c r="A2765" i="13"/>
  <c r="I2764" i="13"/>
  <c r="H2764" i="13"/>
  <c r="G2764" i="13"/>
  <c r="F2764" i="13"/>
  <c r="E2764" i="13"/>
  <c r="D2764" i="13"/>
  <c r="C2764" i="13"/>
  <c r="B2764" i="13"/>
  <c r="A2764" i="13"/>
  <c r="I2763" i="13"/>
  <c r="H2763" i="13"/>
  <c r="G2763" i="13"/>
  <c r="F2763" i="13"/>
  <c r="E2763" i="13"/>
  <c r="D2763" i="13"/>
  <c r="C2763" i="13"/>
  <c r="B2763" i="13"/>
  <c r="A2763" i="13"/>
  <c r="I2762" i="13"/>
  <c r="H2762" i="13"/>
  <c r="G2762" i="13"/>
  <c r="F2762" i="13"/>
  <c r="E2762" i="13"/>
  <c r="D2762" i="13"/>
  <c r="C2762" i="13"/>
  <c r="B2762" i="13"/>
  <c r="A2762" i="13"/>
  <c r="I2761" i="13"/>
  <c r="H2761" i="13"/>
  <c r="G2761" i="13"/>
  <c r="F2761" i="13"/>
  <c r="E2761" i="13"/>
  <c r="D2761" i="13"/>
  <c r="C2761" i="13"/>
  <c r="B2761" i="13"/>
  <c r="A2761" i="13"/>
  <c r="I2760" i="13"/>
  <c r="H2760" i="13"/>
  <c r="G2760" i="13"/>
  <c r="F2760" i="13"/>
  <c r="E2760" i="13"/>
  <c r="D2760" i="13"/>
  <c r="C2760" i="13"/>
  <c r="B2760" i="13"/>
  <c r="A2760" i="13"/>
  <c r="I2759" i="13"/>
  <c r="H2759" i="13"/>
  <c r="G2759" i="13"/>
  <c r="F2759" i="13"/>
  <c r="E2759" i="13"/>
  <c r="D2759" i="13"/>
  <c r="C2759" i="13"/>
  <c r="B2759" i="13"/>
  <c r="A2759" i="13"/>
  <c r="I2758" i="13"/>
  <c r="H2758" i="13"/>
  <c r="G2758" i="13"/>
  <c r="F2758" i="13"/>
  <c r="E2758" i="13"/>
  <c r="D2758" i="13"/>
  <c r="C2758" i="13"/>
  <c r="B2758" i="13"/>
  <c r="A2758" i="13"/>
  <c r="I2757" i="13"/>
  <c r="H2757" i="13"/>
  <c r="G2757" i="13"/>
  <c r="F2757" i="13"/>
  <c r="E2757" i="13"/>
  <c r="D2757" i="13"/>
  <c r="C2757" i="13"/>
  <c r="B2757" i="13"/>
  <c r="A2757" i="13"/>
  <c r="I2756" i="13"/>
  <c r="H2756" i="13"/>
  <c r="G2756" i="13"/>
  <c r="F2756" i="13"/>
  <c r="E2756" i="13"/>
  <c r="D2756" i="13"/>
  <c r="C2756" i="13"/>
  <c r="B2756" i="13"/>
  <c r="A2756" i="13"/>
  <c r="I2755" i="13"/>
  <c r="H2755" i="13"/>
  <c r="G2755" i="13"/>
  <c r="F2755" i="13"/>
  <c r="E2755" i="13"/>
  <c r="D2755" i="13"/>
  <c r="C2755" i="13"/>
  <c r="B2755" i="13"/>
  <c r="A2755" i="13"/>
  <c r="I2754" i="13"/>
  <c r="H2754" i="13"/>
  <c r="G2754" i="13"/>
  <c r="F2754" i="13"/>
  <c r="E2754" i="13"/>
  <c r="D2754" i="13"/>
  <c r="C2754" i="13"/>
  <c r="B2754" i="13"/>
  <c r="A2754" i="13"/>
  <c r="I2753" i="13"/>
  <c r="H2753" i="13"/>
  <c r="G2753" i="13"/>
  <c r="F2753" i="13"/>
  <c r="E2753" i="13"/>
  <c r="D2753" i="13"/>
  <c r="C2753" i="13"/>
  <c r="B2753" i="13"/>
  <c r="A2753" i="13"/>
  <c r="I2752" i="13"/>
  <c r="H2752" i="13"/>
  <c r="G2752" i="13"/>
  <c r="F2752" i="13"/>
  <c r="E2752" i="13"/>
  <c r="D2752" i="13"/>
  <c r="C2752" i="13"/>
  <c r="B2752" i="13"/>
  <c r="A2752" i="13"/>
  <c r="I2751" i="13"/>
  <c r="H2751" i="13"/>
  <c r="G2751" i="13"/>
  <c r="F2751" i="13"/>
  <c r="E2751" i="13"/>
  <c r="D2751" i="13"/>
  <c r="C2751" i="13"/>
  <c r="B2751" i="13"/>
  <c r="A2751" i="13"/>
  <c r="I2750" i="13"/>
  <c r="H2750" i="13"/>
  <c r="G2750" i="13"/>
  <c r="F2750" i="13"/>
  <c r="E2750" i="13"/>
  <c r="D2750" i="13"/>
  <c r="E154" i="16" s="1"/>
  <c r="C2750" i="13"/>
  <c r="B2750" i="13"/>
  <c r="A2750" i="13"/>
  <c r="I2749" i="13"/>
  <c r="H2749" i="13"/>
  <c r="G2749" i="13"/>
  <c r="F2749" i="13"/>
  <c r="E2749" i="13"/>
  <c r="D2749" i="13"/>
  <c r="C2749" i="13"/>
  <c r="B2749" i="13"/>
  <c r="A2749" i="13"/>
  <c r="I2748" i="13"/>
  <c r="H2748" i="13"/>
  <c r="G2748" i="13"/>
  <c r="F2748" i="13"/>
  <c r="E2748" i="13"/>
  <c r="D2748" i="13"/>
  <c r="C2748" i="13"/>
  <c r="B2748" i="13"/>
  <c r="A2748" i="13"/>
  <c r="I2747" i="13"/>
  <c r="H2747" i="13"/>
  <c r="G2747" i="13"/>
  <c r="F2747" i="13"/>
  <c r="E2747" i="13"/>
  <c r="D2747" i="13"/>
  <c r="C2747" i="13"/>
  <c r="B2747" i="13"/>
  <c r="A2747" i="13"/>
  <c r="I2746" i="13"/>
  <c r="H2746" i="13"/>
  <c r="G2746" i="13"/>
  <c r="F2746" i="13"/>
  <c r="E2746" i="13"/>
  <c r="D2746" i="13"/>
  <c r="C2746" i="13"/>
  <c r="B2746" i="13"/>
  <c r="A2746" i="13"/>
  <c r="I2745" i="13"/>
  <c r="H2745" i="13"/>
  <c r="G2745" i="13"/>
  <c r="F2745" i="13"/>
  <c r="E2745" i="13"/>
  <c r="D2745" i="13"/>
  <c r="C2745" i="13"/>
  <c r="B2745" i="13"/>
  <c r="A2745" i="13"/>
  <c r="I2744" i="13"/>
  <c r="H2744" i="13"/>
  <c r="G2744" i="13"/>
  <c r="F2744" i="13"/>
  <c r="E2744" i="13"/>
  <c r="D2744" i="13"/>
  <c r="C2744" i="13"/>
  <c r="B2744" i="13"/>
  <c r="A2744" i="13"/>
  <c r="I2743" i="13"/>
  <c r="H2743" i="13"/>
  <c r="G2743" i="13"/>
  <c r="F2743" i="13"/>
  <c r="E2743" i="13"/>
  <c r="D2743" i="13"/>
  <c r="C2743" i="13"/>
  <c r="B2743" i="13"/>
  <c r="A2743" i="13"/>
  <c r="I2742" i="13"/>
  <c r="H2742" i="13"/>
  <c r="G2742" i="13"/>
  <c r="F2742" i="13"/>
  <c r="E2742" i="13"/>
  <c r="D2742" i="13"/>
  <c r="C2742" i="13"/>
  <c r="B2742" i="13"/>
  <c r="A2742" i="13"/>
  <c r="I2741" i="13"/>
  <c r="A154" i="16" s="1"/>
  <c r="B154" i="16" s="1"/>
  <c r="H2741" i="13"/>
  <c r="G2741" i="13"/>
  <c r="F2741" i="13"/>
  <c r="D154" i="16" s="1"/>
  <c r="J154" i="16" s="1"/>
  <c r="E2741" i="13"/>
  <c r="D2741" i="13"/>
  <c r="C2741" i="13"/>
  <c r="B2741" i="13"/>
  <c r="A2741" i="13"/>
  <c r="I2740" i="13"/>
  <c r="H2740" i="13"/>
  <c r="G2740" i="13"/>
  <c r="F2740" i="13"/>
  <c r="E2740" i="13"/>
  <c r="D2740" i="13"/>
  <c r="C2740" i="13"/>
  <c r="B2740" i="13"/>
  <c r="A2740" i="13"/>
  <c r="I2739" i="13"/>
  <c r="H2739" i="13"/>
  <c r="G2739" i="13"/>
  <c r="F2739" i="13"/>
  <c r="E2739" i="13"/>
  <c r="D2739" i="13"/>
  <c r="C2739" i="13"/>
  <c r="B2739" i="13"/>
  <c r="A2739" i="13"/>
  <c r="I2738" i="13"/>
  <c r="H2738" i="13"/>
  <c r="G2738" i="13"/>
  <c r="F2738" i="13"/>
  <c r="E2738" i="13"/>
  <c r="D2738" i="13"/>
  <c r="C2738" i="13"/>
  <c r="B2738" i="13"/>
  <c r="A2738" i="13"/>
  <c r="I2737" i="13"/>
  <c r="H2737" i="13"/>
  <c r="G2737" i="13"/>
  <c r="F2737" i="13"/>
  <c r="E2737" i="13"/>
  <c r="D2737" i="13"/>
  <c r="C2737" i="13"/>
  <c r="B2737" i="13"/>
  <c r="A2737" i="13"/>
  <c r="I2736" i="13"/>
  <c r="H2736" i="13"/>
  <c r="G2736" i="13"/>
  <c r="F2736" i="13"/>
  <c r="E2736" i="13"/>
  <c r="D2736" i="13"/>
  <c r="C2736" i="13"/>
  <c r="B2736" i="13"/>
  <c r="A2736" i="13"/>
  <c r="I2735" i="13"/>
  <c r="H2735" i="13"/>
  <c r="G2735" i="13"/>
  <c r="F2735" i="13"/>
  <c r="E2735" i="13"/>
  <c r="D2735" i="13"/>
  <c r="C2735" i="13"/>
  <c r="B2735" i="13"/>
  <c r="A2735" i="13"/>
  <c r="I2734" i="13"/>
  <c r="H2734" i="13"/>
  <c r="G2734" i="13"/>
  <c r="F2734" i="13"/>
  <c r="E2734" i="13"/>
  <c r="D2734" i="13"/>
  <c r="C2734" i="13"/>
  <c r="B2734" i="13"/>
  <c r="A2734" i="13"/>
  <c r="I2733" i="13"/>
  <c r="H2733" i="13"/>
  <c r="G2733" i="13"/>
  <c r="F2733" i="13"/>
  <c r="E2733" i="13"/>
  <c r="D2733" i="13"/>
  <c r="C2733" i="13"/>
  <c r="B2733" i="13"/>
  <c r="A2733" i="13"/>
  <c r="I2732" i="13"/>
  <c r="H2732" i="13"/>
  <c r="G2732" i="13"/>
  <c r="F2732" i="13"/>
  <c r="E2732" i="13"/>
  <c r="D2732" i="13"/>
  <c r="C2732" i="13"/>
  <c r="B2732" i="13"/>
  <c r="A2732" i="13"/>
  <c r="I2731" i="13"/>
  <c r="H2731" i="13"/>
  <c r="G2731" i="13"/>
  <c r="F2731" i="13"/>
  <c r="E2731" i="13"/>
  <c r="D2731" i="13"/>
  <c r="C2731" i="13"/>
  <c r="B2731" i="13"/>
  <c r="A2731" i="13"/>
  <c r="I2730" i="13"/>
  <c r="H2730" i="13"/>
  <c r="G2730" i="13"/>
  <c r="F2730" i="13"/>
  <c r="E2730" i="13"/>
  <c r="D2730" i="13"/>
  <c r="C2730" i="13"/>
  <c r="B2730" i="13"/>
  <c r="A2730" i="13"/>
  <c r="I2729" i="13"/>
  <c r="H2729" i="13"/>
  <c r="G2729" i="13"/>
  <c r="F2729" i="13"/>
  <c r="E2729" i="13"/>
  <c r="D2729" i="13"/>
  <c r="C2729" i="13"/>
  <c r="B2729" i="13"/>
  <c r="A2729" i="13"/>
  <c r="I2728" i="13"/>
  <c r="H2728" i="13"/>
  <c r="G2728" i="13"/>
  <c r="F2728" i="13"/>
  <c r="E2728" i="13"/>
  <c r="D2728" i="13"/>
  <c r="C2728" i="13"/>
  <c r="B2728" i="13"/>
  <c r="A2728" i="13"/>
  <c r="I2727" i="13"/>
  <c r="H2727" i="13"/>
  <c r="G2727" i="13"/>
  <c r="F2727" i="13"/>
  <c r="E2727" i="13"/>
  <c r="D2727" i="13"/>
  <c r="C2727" i="13"/>
  <c r="B2727" i="13"/>
  <c r="A2727" i="13"/>
  <c r="I2726" i="13"/>
  <c r="H2726" i="13"/>
  <c r="G2726" i="13"/>
  <c r="F2726" i="13"/>
  <c r="E2726" i="13"/>
  <c r="D2726" i="13"/>
  <c r="C2726" i="13"/>
  <c r="B2726" i="13"/>
  <c r="A2726" i="13"/>
  <c r="I2725" i="13"/>
  <c r="A153" i="16" s="1"/>
  <c r="B153" i="16" s="1"/>
  <c r="H2725" i="13"/>
  <c r="G2725" i="13"/>
  <c r="F2725" i="13"/>
  <c r="E2725" i="13"/>
  <c r="D2725" i="13"/>
  <c r="C2725" i="13"/>
  <c r="B2725" i="13"/>
  <c r="A2725" i="13"/>
  <c r="I2724" i="13"/>
  <c r="H2724" i="13"/>
  <c r="G2724" i="13"/>
  <c r="F2724" i="13"/>
  <c r="E2724" i="13"/>
  <c r="D2724" i="13"/>
  <c r="C2724" i="13"/>
  <c r="B2724" i="13"/>
  <c r="A2724" i="13"/>
  <c r="I2723" i="13"/>
  <c r="H2723" i="13"/>
  <c r="G2723" i="13"/>
  <c r="F2723" i="13"/>
  <c r="E2723" i="13"/>
  <c r="D2723" i="13"/>
  <c r="C2723" i="13"/>
  <c r="B2723" i="13"/>
  <c r="A2723" i="13"/>
  <c r="I2722" i="13"/>
  <c r="H2722" i="13"/>
  <c r="G2722" i="13"/>
  <c r="F2722" i="13"/>
  <c r="E2722" i="13"/>
  <c r="D2722" i="13"/>
  <c r="C2722" i="13"/>
  <c r="B2722" i="13"/>
  <c r="A2722" i="13"/>
  <c r="I2721" i="13"/>
  <c r="H2721" i="13"/>
  <c r="G2721" i="13"/>
  <c r="F2721" i="13"/>
  <c r="E2721" i="13"/>
  <c r="D2721" i="13"/>
  <c r="C2721" i="13"/>
  <c r="B2721" i="13"/>
  <c r="A2721" i="13"/>
  <c r="I2720" i="13"/>
  <c r="H2720" i="13"/>
  <c r="G2720" i="13"/>
  <c r="F2720" i="13"/>
  <c r="E2720" i="13"/>
  <c r="D2720" i="13"/>
  <c r="C2720" i="13"/>
  <c r="B2720" i="13"/>
  <c r="A2720" i="13"/>
  <c r="I2719" i="13"/>
  <c r="H2719" i="13"/>
  <c r="G2719" i="13"/>
  <c r="F2719" i="13"/>
  <c r="E2719" i="13"/>
  <c r="D2719" i="13"/>
  <c r="C2719" i="13"/>
  <c r="B2719" i="13"/>
  <c r="A2719" i="13"/>
  <c r="I2718" i="13"/>
  <c r="H2718" i="13"/>
  <c r="G2718" i="13"/>
  <c r="F2718" i="13"/>
  <c r="E2718" i="13"/>
  <c r="D2718" i="13"/>
  <c r="C2718" i="13"/>
  <c r="B2718" i="13"/>
  <c r="A2718" i="13"/>
  <c r="I2717" i="13"/>
  <c r="H2717" i="13"/>
  <c r="G2717" i="13"/>
  <c r="F2717" i="13"/>
  <c r="E2717" i="13"/>
  <c r="D2717" i="13"/>
  <c r="C2717" i="13"/>
  <c r="B2717" i="13"/>
  <c r="A2717" i="13"/>
  <c r="I2716" i="13"/>
  <c r="H2716" i="13"/>
  <c r="G2716" i="13"/>
  <c r="F2716" i="13"/>
  <c r="E2716" i="13"/>
  <c r="D2716" i="13"/>
  <c r="E152" i="16" s="1"/>
  <c r="C2716" i="13"/>
  <c r="B2716" i="13"/>
  <c r="A2716" i="13"/>
  <c r="I2715" i="13"/>
  <c r="H2715" i="13"/>
  <c r="G2715" i="13"/>
  <c r="F2715" i="13"/>
  <c r="E2715" i="13"/>
  <c r="D2715" i="13"/>
  <c r="C2715" i="13"/>
  <c r="B2715" i="13"/>
  <c r="A2715" i="13"/>
  <c r="I2714" i="13"/>
  <c r="H2714" i="13"/>
  <c r="G2714" i="13"/>
  <c r="F2714" i="13"/>
  <c r="E2714" i="13"/>
  <c r="D2714" i="13"/>
  <c r="C2714" i="13"/>
  <c r="B2714" i="13"/>
  <c r="A2714" i="13"/>
  <c r="I2713" i="13"/>
  <c r="H2713" i="13"/>
  <c r="G2713" i="13"/>
  <c r="F2713" i="13"/>
  <c r="E2713" i="13"/>
  <c r="D2713" i="13"/>
  <c r="C2713" i="13"/>
  <c r="B2713" i="13"/>
  <c r="A2713" i="13"/>
  <c r="I2712" i="13"/>
  <c r="H2712" i="13"/>
  <c r="G2712" i="13"/>
  <c r="F2712" i="13"/>
  <c r="E2712" i="13"/>
  <c r="D2712" i="13"/>
  <c r="C2712" i="13"/>
  <c r="B2712" i="13"/>
  <c r="A2712" i="13"/>
  <c r="I2711" i="13"/>
  <c r="H2711" i="13"/>
  <c r="G2711" i="13"/>
  <c r="F2711" i="13"/>
  <c r="E2711" i="13"/>
  <c r="D2711" i="13"/>
  <c r="C2711" i="13"/>
  <c r="B2711" i="13"/>
  <c r="A2711" i="13"/>
  <c r="I2710" i="13"/>
  <c r="H2710" i="13"/>
  <c r="G2710" i="13"/>
  <c r="F2710" i="13"/>
  <c r="E2710" i="13"/>
  <c r="D2710" i="13"/>
  <c r="C2710" i="13"/>
  <c r="B2710" i="13"/>
  <c r="A2710" i="13"/>
  <c r="I2709" i="13"/>
  <c r="H2709" i="13"/>
  <c r="G2709" i="13"/>
  <c r="F2709" i="13"/>
  <c r="E2709" i="13"/>
  <c r="D2709" i="13"/>
  <c r="C2709" i="13"/>
  <c r="B2709" i="13"/>
  <c r="A2709" i="13"/>
  <c r="I2708" i="13"/>
  <c r="H2708" i="13"/>
  <c r="G2708" i="13"/>
  <c r="F2708" i="13"/>
  <c r="E2708" i="13"/>
  <c r="D2708" i="13"/>
  <c r="C2708" i="13"/>
  <c r="B2708" i="13"/>
  <c r="A2708" i="13"/>
  <c r="I2707" i="13"/>
  <c r="A152" i="16" s="1"/>
  <c r="B152" i="16" s="1"/>
  <c r="H2707" i="13"/>
  <c r="G2707" i="13"/>
  <c r="F2707" i="13"/>
  <c r="D152" i="16" s="1"/>
  <c r="I152" i="16" s="1"/>
  <c r="E2707" i="13"/>
  <c r="D2707" i="13"/>
  <c r="C2707" i="13"/>
  <c r="B2707" i="13"/>
  <c r="A2707" i="13"/>
  <c r="I2706" i="13"/>
  <c r="H2706" i="13"/>
  <c r="G2706" i="13"/>
  <c r="F2706" i="13"/>
  <c r="E2706" i="13"/>
  <c r="D2706" i="13"/>
  <c r="C2706" i="13"/>
  <c r="B2706" i="13"/>
  <c r="A2706" i="13"/>
  <c r="I2705" i="13"/>
  <c r="H2705" i="13"/>
  <c r="G2705" i="13"/>
  <c r="F2705" i="13"/>
  <c r="E2705" i="13"/>
  <c r="D2705" i="13"/>
  <c r="C2705" i="13"/>
  <c r="B2705" i="13"/>
  <c r="A2705" i="13"/>
  <c r="I2704" i="13"/>
  <c r="H2704" i="13"/>
  <c r="G2704" i="13"/>
  <c r="F2704" i="13"/>
  <c r="E2704" i="13"/>
  <c r="D2704" i="13"/>
  <c r="C2704" i="13"/>
  <c r="B2704" i="13"/>
  <c r="A2704" i="13"/>
  <c r="I2703" i="13"/>
  <c r="H2703" i="13"/>
  <c r="G2703" i="13"/>
  <c r="F2703" i="13"/>
  <c r="E2703" i="13"/>
  <c r="D2703" i="13"/>
  <c r="C2703" i="13"/>
  <c r="B2703" i="13"/>
  <c r="A2703" i="13"/>
  <c r="I2702" i="13"/>
  <c r="H2702" i="13"/>
  <c r="G2702" i="13"/>
  <c r="F2702" i="13"/>
  <c r="E2702" i="13"/>
  <c r="D2702" i="13"/>
  <c r="C2702" i="13"/>
  <c r="B2702" i="13"/>
  <c r="A2702" i="13"/>
  <c r="I2701" i="13"/>
  <c r="H2701" i="13"/>
  <c r="G2701" i="13"/>
  <c r="F2701" i="13"/>
  <c r="E2701" i="13"/>
  <c r="D2701" i="13"/>
  <c r="C2701" i="13"/>
  <c r="B2701" i="13"/>
  <c r="A2701" i="13"/>
  <c r="I2700" i="13"/>
  <c r="H2700" i="13"/>
  <c r="G2700" i="13"/>
  <c r="F2700" i="13"/>
  <c r="E2700" i="13"/>
  <c r="D2700" i="13"/>
  <c r="C2700" i="13"/>
  <c r="B2700" i="13"/>
  <c r="A2700" i="13"/>
  <c r="I2699" i="13"/>
  <c r="H2699" i="13"/>
  <c r="G2699" i="13"/>
  <c r="F2699" i="13"/>
  <c r="E2699" i="13"/>
  <c r="D2699" i="13"/>
  <c r="E151" i="16" s="1"/>
  <c r="C2699" i="13"/>
  <c r="B2699" i="13"/>
  <c r="A2699" i="13"/>
  <c r="I2698" i="13"/>
  <c r="H2698" i="13"/>
  <c r="G2698" i="13"/>
  <c r="F2698" i="13"/>
  <c r="E2698" i="13"/>
  <c r="D2698" i="13"/>
  <c r="C2698" i="13"/>
  <c r="B2698" i="13"/>
  <c r="A2698" i="13"/>
  <c r="I2697" i="13"/>
  <c r="H2697" i="13"/>
  <c r="G2697" i="13"/>
  <c r="F2697" i="13"/>
  <c r="E2697" i="13"/>
  <c r="D2697" i="13"/>
  <c r="C2697" i="13"/>
  <c r="B2697" i="13"/>
  <c r="A2697" i="13"/>
  <c r="I2696" i="13"/>
  <c r="H2696" i="13"/>
  <c r="G2696" i="13"/>
  <c r="F2696" i="13"/>
  <c r="E2696" i="13"/>
  <c r="D2696" i="13"/>
  <c r="C2696" i="13"/>
  <c r="B2696" i="13"/>
  <c r="A2696" i="13"/>
  <c r="I2695" i="13"/>
  <c r="H2695" i="13"/>
  <c r="G2695" i="13"/>
  <c r="F2695" i="13"/>
  <c r="E2695" i="13"/>
  <c r="D2695" i="13"/>
  <c r="C2695" i="13"/>
  <c r="B2695" i="13"/>
  <c r="A2695" i="13"/>
  <c r="I2694" i="13"/>
  <c r="H2694" i="13"/>
  <c r="G2694" i="13"/>
  <c r="F2694" i="13"/>
  <c r="E2694" i="13"/>
  <c r="D2694" i="13"/>
  <c r="C2694" i="13"/>
  <c r="B2694" i="13"/>
  <c r="A2694" i="13"/>
  <c r="I2693" i="13"/>
  <c r="H2693" i="13"/>
  <c r="G2693" i="13"/>
  <c r="F2693" i="13"/>
  <c r="E2693" i="13"/>
  <c r="D2693" i="13"/>
  <c r="C2693" i="13"/>
  <c r="B2693" i="13"/>
  <c r="A2693" i="13"/>
  <c r="I2692" i="13"/>
  <c r="H2692" i="13"/>
  <c r="G2692" i="13"/>
  <c r="F2692" i="13"/>
  <c r="E2692" i="13"/>
  <c r="D2692" i="13"/>
  <c r="C2692" i="13"/>
  <c r="B2692" i="13"/>
  <c r="A2692" i="13"/>
  <c r="I2691" i="13"/>
  <c r="H2691" i="13"/>
  <c r="G2691" i="13"/>
  <c r="F2691" i="13"/>
  <c r="E2691" i="13"/>
  <c r="D2691" i="13"/>
  <c r="C2691" i="13"/>
  <c r="B2691" i="13"/>
  <c r="A2691" i="13"/>
  <c r="I2690" i="13"/>
  <c r="H2690" i="13"/>
  <c r="G2690" i="13"/>
  <c r="F2690" i="13"/>
  <c r="E2690" i="13"/>
  <c r="D2690" i="13"/>
  <c r="C2690" i="13"/>
  <c r="B2690" i="13"/>
  <c r="A2690" i="13"/>
  <c r="I2689" i="13"/>
  <c r="A151" i="16" s="1"/>
  <c r="B151" i="16" s="1"/>
  <c r="H2689" i="13"/>
  <c r="G2689" i="13"/>
  <c r="F2689" i="13"/>
  <c r="D151" i="16" s="1"/>
  <c r="E2689" i="13"/>
  <c r="D2689" i="13"/>
  <c r="C2689" i="13"/>
  <c r="B2689" i="13"/>
  <c r="A2689" i="13"/>
  <c r="I2688" i="13"/>
  <c r="H2688" i="13"/>
  <c r="G2688" i="13"/>
  <c r="F2688" i="13"/>
  <c r="E2688" i="13"/>
  <c r="D2688" i="13"/>
  <c r="C2688" i="13"/>
  <c r="B2688" i="13"/>
  <c r="A2688" i="13"/>
  <c r="I2687" i="13"/>
  <c r="H2687" i="13"/>
  <c r="G2687" i="13"/>
  <c r="F2687" i="13"/>
  <c r="E2687" i="13"/>
  <c r="D2687" i="13"/>
  <c r="C2687" i="13"/>
  <c r="B2687" i="13"/>
  <c r="A2687" i="13"/>
  <c r="I2686" i="13"/>
  <c r="H2686" i="13"/>
  <c r="G2686" i="13"/>
  <c r="F2686" i="13"/>
  <c r="E2686" i="13"/>
  <c r="D2686" i="13"/>
  <c r="C2686" i="13"/>
  <c r="B2686" i="13"/>
  <c r="A2686" i="13"/>
  <c r="I2685" i="13"/>
  <c r="H2685" i="13"/>
  <c r="G2685" i="13"/>
  <c r="F2685" i="13"/>
  <c r="E2685" i="13"/>
  <c r="D2685" i="13"/>
  <c r="C2685" i="13"/>
  <c r="B2685" i="13"/>
  <c r="A2685" i="13"/>
  <c r="I2684" i="13"/>
  <c r="H2684" i="13"/>
  <c r="G2684" i="13"/>
  <c r="F2684" i="13"/>
  <c r="E2684" i="13"/>
  <c r="D2684" i="13"/>
  <c r="C2684" i="13"/>
  <c r="B2684" i="13"/>
  <c r="A2684" i="13"/>
  <c r="I2683" i="13"/>
  <c r="H2683" i="13"/>
  <c r="G2683" i="13"/>
  <c r="F2683" i="13"/>
  <c r="E2683" i="13"/>
  <c r="D2683" i="13"/>
  <c r="C2683" i="13"/>
  <c r="B2683" i="13"/>
  <c r="A2683" i="13"/>
  <c r="I2682" i="13"/>
  <c r="H2682" i="13"/>
  <c r="G2682" i="13"/>
  <c r="F2682" i="13"/>
  <c r="E2682" i="13"/>
  <c r="D2682" i="13"/>
  <c r="C2682" i="13"/>
  <c r="B2682" i="13"/>
  <c r="A2682" i="13"/>
  <c r="I2681" i="13"/>
  <c r="H2681" i="13"/>
  <c r="G2681" i="13"/>
  <c r="F2681" i="13"/>
  <c r="E2681" i="13"/>
  <c r="D2681" i="13"/>
  <c r="C2681" i="13"/>
  <c r="B2681" i="13"/>
  <c r="A2681" i="13"/>
  <c r="I2680" i="13"/>
  <c r="H2680" i="13"/>
  <c r="G2680" i="13"/>
  <c r="F2680" i="13"/>
  <c r="E2680" i="13"/>
  <c r="D2680" i="13"/>
  <c r="C2680" i="13"/>
  <c r="B2680" i="13"/>
  <c r="A2680" i="13"/>
  <c r="I2679" i="13"/>
  <c r="H2679" i="13"/>
  <c r="G2679" i="13"/>
  <c r="F2679" i="13"/>
  <c r="E2679" i="13"/>
  <c r="D2679" i="13"/>
  <c r="C2679" i="13"/>
  <c r="B2679" i="13"/>
  <c r="A2679" i="13"/>
  <c r="I2678" i="13"/>
  <c r="H2678" i="13"/>
  <c r="G2678" i="13"/>
  <c r="F2678" i="13"/>
  <c r="E2678" i="13"/>
  <c r="D2678" i="13"/>
  <c r="C2678" i="13"/>
  <c r="B2678" i="13"/>
  <c r="A2678" i="13"/>
  <c r="I2677" i="13"/>
  <c r="H2677" i="13"/>
  <c r="G2677" i="13"/>
  <c r="F2677" i="13"/>
  <c r="E2677" i="13"/>
  <c r="D2677" i="13"/>
  <c r="C2677" i="13"/>
  <c r="B2677" i="13"/>
  <c r="A2677" i="13"/>
  <c r="I2676" i="13"/>
  <c r="H2676" i="13"/>
  <c r="G2676" i="13"/>
  <c r="F2676" i="13"/>
  <c r="E2676" i="13"/>
  <c r="D2676" i="13"/>
  <c r="C2676" i="13"/>
  <c r="B2676" i="13"/>
  <c r="A2676" i="13"/>
  <c r="I2675" i="13"/>
  <c r="H2675" i="13"/>
  <c r="G2675" i="13"/>
  <c r="F2675" i="13"/>
  <c r="E2675" i="13"/>
  <c r="D2675" i="13"/>
  <c r="C2675" i="13"/>
  <c r="B2675" i="13"/>
  <c r="A2675" i="13"/>
  <c r="I2674" i="13"/>
  <c r="H2674" i="13"/>
  <c r="G2674" i="13"/>
  <c r="F2674" i="13"/>
  <c r="E2674" i="13"/>
  <c r="D2674" i="13"/>
  <c r="C2674" i="13"/>
  <c r="B2674" i="13"/>
  <c r="A2674" i="13"/>
  <c r="I2673" i="13"/>
  <c r="G2673" i="13"/>
  <c r="F2673" i="13"/>
  <c r="E2673" i="13"/>
  <c r="H2673" i="13" s="1"/>
  <c r="D2673" i="13"/>
  <c r="C2673" i="13"/>
  <c r="B2673" i="13"/>
  <c r="A2673" i="13"/>
  <c r="I2672" i="13"/>
  <c r="G2672" i="13"/>
  <c r="F2672" i="13"/>
  <c r="E2672" i="13"/>
  <c r="D2672" i="13"/>
  <c r="C2672" i="13"/>
  <c r="H2672" i="13" s="1"/>
  <c r="B2672" i="13"/>
  <c r="A2672" i="13"/>
  <c r="I2671" i="13"/>
  <c r="A150" i="16" s="1"/>
  <c r="B150" i="16" s="1"/>
  <c r="H2671" i="13"/>
  <c r="E150" i="16" s="1"/>
  <c r="G2671" i="13"/>
  <c r="F2671" i="13"/>
  <c r="E2671" i="13"/>
  <c r="D2671" i="13"/>
  <c r="C2671" i="13"/>
  <c r="B2671" i="13"/>
  <c r="A2671" i="13"/>
  <c r="I2670" i="13"/>
  <c r="G2670" i="13"/>
  <c r="F2670" i="13"/>
  <c r="E2670" i="13"/>
  <c r="D2670" i="13"/>
  <c r="C2670" i="13"/>
  <c r="B2670" i="13"/>
  <c r="A2670" i="13"/>
  <c r="I2669" i="13"/>
  <c r="H2669" i="13"/>
  <c r="G2669" i="13"/>
  <c r="F2669" i="13"/>
  <c r="E2669" i="13"/>
  <c r="D2669" i="13"/>
  <c r="C2669" i="13"/>
  <c r="B2669" i="13"/>
  <c r="A2669" i="13"/>
  <c r="I2668" i="13"/>
  <c r="H2668" i="13"/>
  <c r="G2668" i="13"/>
  <c r="F2668" i="13"/>
  <c r="E2668" i="13"/>
  <c r="D2668" i="13"/>
  <c r="C2668" i="13"/>
  <c r="B2668" i="13"/>
  <c r="A2668" i="13"/>
  <c r="I2667" i="13"/>
  <c r="H2667" i="13"/>
  <c r="G2667" i="13"/>
  <c r="F2667" i="13"/>
  <c r="E2667" i="13"/>
  <c r="D2667" i="13"/>
  <c r="C2667" i="13"/>
  <c r="B2667" i="13"/>
  <c r="A2667" i="13"/>
  <c r="I2666" i="13"/>
  <c r="H2666" i="13"/>
  <c r="G2666" i="13"/>
  <c r="F2666" i="13"/>
  <c r="E2666" i="13"/>
  <c r="D2666" i="13"/>
  <c r="C2666" i="13"/>
  <c r="B2666" i="13"/>
  <c r="A2666" i="13"/>
  <c r="I2665" i="13"/>
  <c r="H2665" i="13"/>
  <c r="G2665" i="13"/>
  <c r="F2665" i="13"/>
  <c r="E2665" i="13"/>
  <c r="D2665" i="13"/>
  <c r="C2665" i="13"/>
  <c r="D2655" i="13" s="1"/>
  <c r="B2665" i="13"/>
  <c r="A2665" i="13"/>
  <c r="I2664" i="13"/>
  <c r="H2664" i="13"/>
  <c r="G2664" i="13"/>
  <c r="F2664" i="13"/>
  <c r="E2664" i="13"/>
  <c r="D2654" i="13" s="1"/>
  <c r="D2664" i="13"/>
  <c r="C2664" i="13"/>
  <c r="B2664" i="13"/>
  <c r="A2664" i="13"/>
  <c r="I2663" i="13"/>
  <c r="H2663" i="13"/>
  <c r="G2663" i="13"/>
  <c r="F2663" i="13"/>
  <c r="E2663" i="13"/>
  <c r="D2663" i="13"/>
  <c r="C2663" i="13"/>
  <c r="B2663" i="13"/>
  <c r="A2663" i="13"/>
  <c r="I2662" i="13"/>
  <c r="A149" i="16" s="1"/>
  <c r="B149" i="16" s="1"/>
  <c r="H2662" i="13"/>
  <c r="G2662" i="13"/>
  <c r="F2662" i="13"/>
  <c r="D149" i="16" s="1"/>
  <c r="J149" i="16" s="1"/>
  <c r="E2662" i="13"/>
  <c r="D2662" i="13"/>
  <c r="C2662" i="13"/>
  <c r="D2652" i="13" s="1"/>
  <c r="E149" i="16" s="1"/>
  <c r="B2662" i="13"/>
  <c r="A2662" i="13"/>
  <c r="I2661" i="13"/>
  <c r="H2661" i="13"/>
  <c r="G2661" i="13"/>
  <c r="F2661" i="13"/>
  <c r="E2661" i="13"/>
  <c r="D2661" i="13"/>
  <c r="C2661" i="13"/>
  <c r="B2661" i="13"/>
  <c r="A2661" i="13"/>
  <c r="I2660" i="13"/>
  <c r="H2660" i="13"/>
  <c r="G2660" i="13"/>
  <c r="F2660" i="13"/>
  <c r="E2660" i="13"/>
  <c r="D2660" i="13"/>
  <c r="C2660" i="13"/>
  <c r="B2660" i="13"/>
  <c r="A2660" i="13"/>
  <c r="I2659" i="13"/>
  <c r="H2659" i="13"/>
  <c r="G2659" i="13"/>
  <c r="F2659" i="13"/>
  <c r="E2659" i="13"/>
  <c r="D2659" i="13"/>
  <c r="C2659" i="13"/>
  <c r="B2659" i="13"/>
  <c r="A2659" i="13"/>
  <c r="I2658" i="13"/>
  <c r="H2658" i="13"/>
  <c r="G2658" i="13"/>
  <c r="F2658" i="13"/>
  <c r="E2658" i="13"/>
  <c r="D2658" i="13"/>
  <c r="C2658" i="13"/>
  <c r="B2658" i="13"/>
  <c r="A2658" i="13"/>
  <c r="I2657" i="13"/>
  <c r="H2657" i="13"/>
  <c r="G2657" i="13"/>
  <c r="F2657" i="13"/>
  <c r="E2657" i="13"/>
  <c r="D2657" i="13"/>
  <c r="C2657" i="13"/>
  <c r="B2657" i="13"/>
  <c r="A2657" i="13"/>
  <c r="I2656" i="13"/>
  <c r="H2656" i="13"/>
  <c r="G2656" i="13"/>
  <c r="F2656" i="13"/>
  <c r="E2656" i="13"/>
  <c r="D2656" i="13"/>
  <c r="C2656" i="13"/>
  <c r="B2656" i="13"/>
  <c r="A2656" i="13"/>
  <c r="I2655" i="13"/>
  <c r="H2655" i="13"/>
  <c r="G2655" i="13"/>
  <c r="F2655" i="13"/>
  <c r="E2655" i="13"/>
  <c r="C2655" i="13"/>
  <c r="B2655" i="13"/>
  <c r="A2655" i="13"/>
  <c r="I2654" i="13"/>
  <c r="H2654" i="13"/>
  <c r="G2654" i="13"/>
  <c r="F2654" i="13"/>
  <c r="E2654" i="13"/>
  <c r="C2654" i="13"/>
  <c r="B2654" i="13"/>
  <c r="A2654" i="13"/>
  <c r="I2653" i="13"/>
  <c r="H2653" i="13"/>
  <c r="G2653" i="13"/>
  <c r="F2653" i="13"/>
  <c r="E2653" i="13"/>
  <c r="D2653" i="13"/>
  <c r="C2653" i="13"/>
  <c r="B2653" i="13"/>
  <c r="A2653" i="13"/>
  <c r="I2652" i="13"/>
  <c r="H2652" i="13"/>
  <c r="G2652" i="13"/>
  <c r="F2652" i="13"/>
  <c r="E2652" i="13"/>
  <c r="C2652" i="13"/>
  <c r="B2652" i="13"/>
  <c r="A2652" i="13"/>
  <c r="I2651" i="13"/>
  <c r="H2651" i="13"/>
  <c r="G2651" i="13"/>
  <c r="F2651" i="13"/>
  <c r="E2651" i="13"/>
  <c r="D2651" i="13"/>
  <c r="C2651" i="13"/>
  <c r="B2651" i="13"/>
  <c r="A2651" i="13"/>
  <c r="I2650" i="13"/>
  <c r="H2650" i="13"/>
  <c r="G2650" i="13"/>
  <c r="F2650" i="13"/>
  <c r="E2650" i="13"/>
  <c r="C2650" i="13"/>
  <c r="B2650" i="13"/>
  <c r="A2650" i="13"/>
  <c r="I2649" i="13"/>
  <c r="H2649" i="13"/>
  <c r="G2649" i="13"/>
  <c r="F2649" i="13"/>
  <c r="E2649" i="13"/>
  <c r="D2649" i="13"/>
  <c r="C2649" i="13"/>
  <c r="B2649" i="13"/>
  <c r="A2649" i="13"/>
  <c r="I2648" i="13"/>
  <c r="H2648" i="13"/>
  <c r="G2648" i="13"/>
  <c r="F2648" i="13"/>
  <c r="E2648" i="13"/>
  <c r="D2648" i="13"/>
  <c r="C2648" i="13"/>
  <c r="B2648" i="13"/>
  <c r="A2648" i="13"/>
  <c r="I2647" i="13"/>
  <c r="H2647" i="13"/>
  <c r="G2647" i="13"/>
  <c r="F2647" i="13"/>
  <c r="E2647" i="13"/>
  <c r="D2647" i="13"/>
  <c r="C2647" i="13"/>
  <c r="B2647" i="13"/>
  <c r="A2647" i="13"/>
  <c r="I2646" i="13"/>
  <c r="H2646" i="13"/>
  <c r="G2646" i="13"/>
  <c r="F2646" i="13"/>
  <c r="E2646" i="13"/>
  <c r="D2646" i="13"/>
  <c r="E148" i="16" s="1"/>
  <c r="C2646" i="13"/>
  <c r="B2646" i="13"/>
  <c r="A2646" i="13"/>
  <c r="I2645" i="13"/>
  <c r="H2645" i="13"/>
  <c r="G2645" i="13"/>
  <c r="F2645" i="13"/>
  <c r="E2645" i="13"/>
  <c r="D2645" i="13"/>
  <c r="C2645" i="13"/>
  <c r="B2645" i="13"/>
  <c r="A2645" i="13"/>
  <c r="I2644" i="13"/>
  <c r="H2644" i="13"/>
  <c r="G2644" i="13"/>
  <c r="F2644" i="13"/>
  <c r="E2644" i="13"/>
  <c r="D2644" i="13"/>
  <c r="C2644" i="13"/>
  <c r="B2644" i="13"/>
  <c r="A2644" i="13"/>
  <c r="I2643" i="13"/>
  <c r="H2643" i="13"/>
  <c r="G2643" i="13"/>
  <c r="F2643" i="13"/>
  <c r="E2643" i="13"/>
  <c r="D2643" i="13"/>
  <c r="C2643" i="13"/>
  <c r="B2643" i="13"/>
  <c r="A2643" i="13"/>
  <c r="I2642" i="13"/>
  <c r="H2642" i="13"/>
  <c r="G2642" i="13"/>
  <c r="F2642" i="13"/>
  <c r="E2642" i="13"/>
  <c r="D2642" i="13"/>
  <c r="C2642" i="13"/>
  <c r="B2642" i="13"/>
  <c r="A2642" i="13"/>
  <c r="I2641" i="13"/>
  <c r="H2641" i="13"/>
  <c r="G2641" i="13"/>
  <c r="F2641" i="13"/>
  <c r="E2641" i="13"/>
  <c r="D2641" i="13"/>
  <c r="C2641" i="13"/>
  <c r="B2641" i="13"/>
  <c r="A2641" i="13"/>
  <c r="I2640" i="13"/>
  <c r="H2640" i="13"/>
  <c r="G2640" i="13"/>
  <c r="F2640" i="13"/>
  <c r="E2640" i="13"/>
  <c r="D2640" i="13"/>
  <c r="C2640" i="13"/>
  <c r="B2640" i="13"/>
  <c r="A2640" i="13"/>
  <c r="I2639" i="13"/>
  <c r="H2639" i="13"/>
  <c r="G2639" i="13"/>
  <c r="F2639" i="13"/>
  <c r="E2639" i="13"/>
  <c r="D2639" i="13"/>
  <c r="C2639" i="13"/>
  <c r="B2639" i="13"/>
  <c r="A2639" i="13"/>
  <c r="I2638" i="13"/>
  <c r="H2638" i="13"/>
  <c r="G2638" i="13"/>
  <c r="F2638" i="13"/>
  <c r="E2638" i="13"/>
  <c r="D2638" i="13"/>
  <c r="C2638" i="13"/>
  <c r="B2638" i="13"/>
  <c r="A2638" i="13"/>
  <c r="I2637" i="13"/>
  <c r="H2637" i="13"/>
  <c r="G2637" i="13"/>
  <c r="F2637" i="13"/>
  <c r="E2637" i="13"/>
  <c r="D2637" i="13"/>
  <c r="C2637" i="13"/>
  <c r="B2637" i="13"/>
  <c r="A2637" i="13"/>
  <c r="I2636" i="13"/>
  <c r="A148" i="16" s="1"/>
  <c r="B148" i="16" s="1"/>
  <c r="H2636" i="13"/>
  <c r="G2636" i="13"/>
  <c r="F2636" i="13"/>
  <c r="D148" i="16" s="1"/>
  <c r="E2636" i="13"/>
  <c r="D2636" i="13"/>
  <c r="C2636" i="13"/>
  <c r="B2636" i="13"/>
  <c r="A2636" i="13"/>
  <c r="I2635" i="13"/>
  <c r="H2635" i="13"/>
  <c r="G2635" i="13"/>
  <c r="F2635" i="13"/>
  <c r="E2635" i="13"/>
  <c r="D2635" i="13"/>
  <c r="C2635" i="13"/>
  <c r="B2635" i="13"/>
  <c r="A2635" i="13"/>
  <c r="I2634" i="13"/>
  <c r="H2634" i="13"/>
  <c r="G2634" i="13"/>
  <c r="F2634" i="13"/>
  <c r="E2634" i="13"/>
  <c r="D2634" i="13"/>
  <c r="C2634" i="13"/>
  <c r="B2634" i="13"/>
  <c r="A2634" i="13"/>
  <c r="I2633" i="13"/>
  <c r="H2633" i="13"/>
  <c r="G2633" i="13"/>
  <c r="F2633" i="13"/>
  <c r="E2633" i="13"/>
  <c r="D2633" i="13"/>
  <c r="C2633" i="13"/>
  <c r="B2633" i="13"/>
  <c r="A2633" i="13"/>
  <c r="I2632" i="13"/>
  <c r="H2632" i="13"/>
  <c r="G2632" i="13"/>
  <c r="F2632" i="13"/>
  <c r="E2632" i="13"/>
  <c r="D2632" i="13"/>
  <c r="C2632" i="13"/>
  <c r="B2632" i="13"/>
  <c r="A2632" i="13"/>
  <c r="I2631" i="13"/>
  <c r="H2631" i="13"/>
  <c r="G2631" i="13"/>
  <c r="F2631" i="13"/>
  <c r="E2631" i="13"/>
  <c r="D2631" i="13"/>
  <c r="C2631" i="13"/>
  <c r="B2631" i="13"/>
  <c r="A2631" i="13"/>
  <c r="I2630" i="13"/>
  <c r="H2630" i="13"/>
  <c r="G2630" i="13"/>
  <c r="F2630" i="13"/>
  <c r="E2630" i="13"/>
  <c r="D2630" i="13"/>
  <c r="C2630" i="13"/>
  <c r="B2630" i="13"/>
  <c r="A2630" i="13"/>
  <c r="I2629" i="13"/>
  <c r="H2629" i="13"/>
  <c r="G2629" i="13"/>
  <c r="F2629" i="13"/>
  <c r="E2629" i="13"/>
  <c r="D2629" i="13"/>
  <c r="C2629" i="13"/>
  <c r="B2629" i="13"/>
  <c r="A2629" i="13"/>
  <c r="I2628" i="13"/>
  <c r="H2628" i="13"/>
  <c r="G2628" i="13"/>
  <c r="F2628" i="13"/>
  <c r="E2628" i="13"/>
  <c r="D2628" i="13"/>
  <c r="C2628" i="13"/>
  <c r="B2628" i="13"/>
  <c r="A2628" i="13"/>
  <c r="I2627" i="13"/>
  <c r="H2627" i="13"/>
  <c r="G2627" i="13"/>
  <c r="F2627" i="13"/>
  <c r="E2627" i="13"/>
  <c r="D2627" i="13"/>
  <c r="E147" i="16" s="1"/>
  <c r="C2627" i="13"/>
  <c r="B2627" i="13"/>
  <c r="A2627" i="13"/>
  <c r="I2626" i="13"/>
  <c r="H2626" i="13"/>
  <c r="G2626" i="13"/>
  <c r="F2626" i="13"/>
  <c r="E2626" i="13"/>
  <c r="D2626" i="13"/>
  <c r="C2626" i="13"/>
  <c r="B2626" i="13"/>
  <c r="A2626" i="13"/>
  <c r="I2625" i="13"/>
  <c r="H2625" i="13"/>
  <c r="G2625" i="13"/>
  <c r="F2625" i="13"/>
  <c r="E2625" i="13"/>
  <c r="D2625" i="13"/>
  <c r="C2625" i="13"/>
  <c r="B2625" i="13"/>
  <c r="A2625" i="13"/>
  <c r="I2624" i="13"/>
  <c r="H2624" i="13"/>
  <c r="G2624" i="13"/>
  <c r="F2624" i="13"/>
  <c r="E2624" i="13"/>
  <c r="D2624" i="13"/>
  <c r="C2624" i="13"/>
  <c r="B2624" i="13"/>
  <c r="A2624" i="13"/>
  <c r="I2623" i="13"/>
  <c r="H2623" i="13"/>
  <c r="G2623" i="13"/>
  <c r="F2623" i="13"/>
  <c r="E2623" i="13"/>
  <c r="D2623" i="13"/>
  <c r="C2623" i="13"/>
  <c r="B2623" i="13"/>
  <c r="A2623" i="13"/>
  <c r="I2622" i="13"/>
  <c r="H2622" i="13"/>
  <c r="G2622" i="13"/>
  <c r="F2622" i="13"/>
  <c r="E2622" i="13"/>
  <c r="D2622" i="13"/>
  <c r="C2622" i="13"/>
  <c r="B2622" i="13"/>
  <c r="A2622" i="13"/>
  <c r="I2621" i="13"/>
  <c r="H2621" i="13"/>
  <c r="G2621" i="13"/>
  <c r="F2621" i="13"/>
  <c r="E2621" i="13"/>
  <c r="D2621" i="13"/>
  <c r="C2621" i="13"/>
  <c r="B2621" i="13"/>
  <c r="A2621" i="13"/>
  <c r="I2620" i="13"/>
  <c r="H2620" i="13"/>
  <c r="G2620" i="13"/>
  <c r="F2620" i="13"/>
  <c r="E2620" i="13"/>
  <c r="D2620" i="13"/>
  <c r="C2620" i="13"/>
  <c r="B2620" i="13"/>
  <c r="A2620" i="13"/>
  <c r="I2619" i="13"/>
  <c r="H2619" i="13"/>
  <c r="G2619" i="13"/>
  <c r="F2619" i="13"/>
  <c r="E2619" i="13"/>
  <c r="D2619" i="13"/>
  <c r="C2619" i="13"/>
  <c r="B2619" i="13"/>
  <c r="A2619" i="13"/>
  <c r="I2618" i="13"/>
  <c r="H2618" i="13"/>
  <c r="G2618" i="13"/>
  <c r="F2618" i="13"/>
  <c r="E2618" i="13"/>
  <c r="D2618" i="13"/>
  <c r="C2618" i="13"/>
  <c r="B2618" i="13"/>
  <c r="A2618" i="13"/>
  <c r="I2617" i="13"/>
  <c r="H2617" i="13"/>
  <c r="G2617" i="13"/>
  <c r="F2617" i="13"/>
  <c r="D147" i="16" s="1"/>
  <c r="E2617" i="13"/>
  <c r="D2617" i="13"/>
  <c r="C2617" i="13"/>
  <c r="B2617" i="13"/>
  <c r="A2617" i="13"/>
  <c r="I2616" i="13"/>
  <c r="H2616" i="13"/>
  <c r="G2616" i="13"/>
  <c r="F2616" i="13"/>
  <c r="E2616" i="13"/>
  <c r="D2616" i="13"/>
  <c r="C2616" i="13"/>
  <c r="B2616" i="13"/>
  <c r="A2616" i="13"/>
  <c r="I2615" i="13"/>
  <c r="H2615" i="13"/>
  <c r="G2615" i="13"/>
  <c r="F2615" i="13"/>
  <c r="E2615" i="13"/>
  <c r="D2615" i="13"/>
  <c r="C2615" i="13"/>
  <c r="B2615" i="13"/>
  <c r="A2615" i="13"/>
  <c r="I2614" i="13"/>
  <c r="H2614" i="13"/>
  <c r="G2614" i="13"/>
  <c r="F2614" i="13"/>
  <c r="E2614" i="13"/>
  <c r="D2614" i="13"/>
  <c r="C2614" i="13"/>
  <c r="B2614" i="13"/>
  <c r="A2614" i="13"/>
  <c r="I2613" i="13"/>
  <c r="H2613" i="13"/>
  <c r="G2613" i="13"/>
  <c r="F2613" i="13"/>
  <c r="E2613" i="13"/>
  <c r="D2613" i="13"/>
  <c r="C2613" i="13"/>
  <c r="B2613" i="13"/>
  <c r="A2613" i="13"/>
  <c r="I2612" i="13"/>
  <c r="H2612" i="13"/>
  <c r="G2612" i="13"/>
  <c r="F2612" i="13"/>
  <c r="E2612" i="13"/>
  <c r="D2612" i="13"/>
  <c r="C2612" i="13"/>
  <c r="B2612" i="13"/>
  <c r="A2612" i="13"/>
  <c r="I2611" i="13"/>
  <c r="H2611" i="13"/>
  <c r="G2611" i="13"/>
  <c r="F2611" i="13"/>
  <c r="E2611" i="13"/>
  <c r="D2611" i="13"/>
  <c r="C2611" i="13"/>
  <c r="B2611" i="13"/>
  <c r="A2611" i="13"/>
  <c r="I2610" i="13"/>
  <c r="H2610" i="13"/>
  <c r="G2610" i="13"/>
  <c r="F2610" i="13"/>
  <c r="E2610" i="13"/>
  <c r="D2610" i="13"/>
  <c r="E146" i="16" s="1"/>
  <c r="C2610" i="13"/>
  <c r="B2610" i="13"/>
  <c r="A2610" i="13"/>
  <c r="I2609" i="13"/>
  <c r="H2609" i="13"/>
  <c r="G2609" i="13"/>
  <c r="F2609" i="13"/>
  <c r="E2609" i="13"/>
  <c r="D2609" i="13"/>
  <c r="C2609" i="13"/>
  <c r="B2609" i="13"/>
  <c r="A2609" i="13"/>
  <c r="I2608" i="13"/>
  <c r="H2608" i="13"/>
  <c r="G2608" i="13"/>
  <c r="F2608" i="13"/>
  <c r="E2608" i="13"/>
  <c r="D2608" i="13"/>
  <c r="C2608" i="13"/>
  <c r="B2608" i="13"/>
  <c r="A2608" i="13"/>
  <c r="I2607" i="13"/>
  <c r="H2607" i="13"/>
  <c r="G2607" i="13"/>
  <c r="F2607" i="13"/>
  <c r="E2607" i="13"/>
  <c r="D2607" i="13"/>
  <c r="C2607" i="13"/>
  <c r="B2607" i="13"/>
  <c r="A2607" i="13"/>
  <c r="I2606" i="13"/>
  <c r="H2606" i="13"/>
  <c r="G2606" i="13"/>
  <c r="F2606" i="13"/>
  <c r="E2606" i="13"/>
  <c r="D2606" i="13"/>
  <c r="C2606" i="13"/>
  <c r="B2606" i="13"/>
  <c r="A2606" i="13"/>
  <c r="I2605" i="13"/>
  <c r="H2605" i="13"/>
  <c r="G2605" i="13"/>
  <c r="F2605" i="13"/>
  <c r="E2605" i="13"/>
  <c r="D2605" i="13"/>
  <c r="C2605" i="13"/>
  <c r="B2605" i="13"/>
  <c r="A2605" i="13"/>
  <c r="I2604" i="13"/>
  <c r="H2604" i="13"/>
  <c r="G2604" i="13"/>
  <c r="F2604" i="13"/>
  <c r="E2604" i="13"/>
  <c r="D2604" i="13"/>
  <c r="C2604" i="13"/>
  <c r="B2604" i="13"/>
  <c r="A2604" i="13"/>
  <c r="I2603" i="13"/>
  <c r="H2603" i="13"/>
  <c r="G2603" i="13"/>
  <c r="F2603" i="13"/>
  <c r="E2603" i="13"/>
  <c r="D2603" i="13"/>
  <c r="C2603" i="13"/>
  <c r="B2603" i="13"/>
  <c r="A2603" i="13"/>
  <c r="I2602" i="13"/>
  <c r="H2602" i="13"/>
  <c r="G2602" i="13"/>
  <c r="F2602" i="13"/>
  <c r="E2602" i="13"/>
  <c r="D2602" i="13"/>
  <c r="C2602" i="13"/>
  <c r="B2602" i="13"/>
  <c r="A2602" i="13"/>
  <c r="I2601" i="13"/>
  <c r="H2601" i="13"/>
  <c r="G2601" i="13"/>
  <c r="F2601" i="13"/>
  <c r="E2601" i="13"/>
  <c r="D2601" i="13"/>
  <c r="C2601" i="13"/>
  <c r="B2601" i="13"/>
  <c r="A2601" i="13"/>
  <c r="I2600" i="13"/>
  <c r="A146" i="16" s="1"/>
  <c r="B146" i="16" s="1"/>
  <c r="H2600" i="13"/>
  <c r="G2600" i="13"/>
  <c r="F2600" i="13"/>
  <c r="D146" i="16" s="1"/>
  <c r="J146" i="16" s="1"/>
  <c r="E2600" i="13"/>
  <c r="D2600" i="13"/>
  <c r="C2600" i="13"/>
  <c r="B2600" i="13"/>
  <c r="A2600" i="13"/>
  <c r="I2599" i="13"/>
  <c r="H2599" i="13"/>
  <c r="G2599" i="13"/>
  <c r="F2599" i="13"/>
  <c r="E2599" i="13"/>
  <c r="D2599" i="13"/>
  <c r="C2599" i="13"/>
  <c r="B2599" i="13"/>
  <c r="A2599" i="13"/>
  <c r="I2598" i="13"/>
  <c r="H2598" i="13"/>
  <c r="G2598" i="13"/>
  <c r="F2598" i="13"/>
  <c r="E2598" i="13"/>
  <c r="D2598" i="13"/>
  <c r="C2598" i="13"/>
  <c r="B2598" i="13"/>
  <c r="A2598" i="13"/>
  <c r="I2597" i="13"/>
  <c r="H2597" i="13"/>
  <c r="G2597" i="13"/>
  <c r="F2597" i="13"/>
  <c r="E2597" i="13"/>
  <c r="D2597" i="13"/>
  <c r="C2597" i="13"/>
  <c r="B2597" i="13"/>
  <c r="A2597" i="13"/>
  <c r="I2596" i="13"/>
  <c r="H2596" i="13"/>
  <c r="G2596" i="13"/>
  <c r="F2596" i="13"/>
  <c r="E2596" i="13"/>
  <c r="D2596" i="13"/>
  <c r="C2596" i="13"/>
  <c r="B2596" i="13"/>
  <c r="A2596" i="13"/>
  <c r="I2595" i="13"/>
  <c r="H2595" i="13"/>
  <c r="G2595" i="13"/>
  <c r="F2595" i="13"/>
  <c r="E2595" i="13"/>
  <c r="D2595" i="13"/>
  <c r="C2595" i="13"/>
  <c r="B2595" i="13"/>
  <c r="A2595" i="13"/>
  <c r="I2594" i="13"/>
  <c r="H2594" i="13"/>
  <c r="G2594" i="13"/>
  <c r="F2594" i="13"/>
  <c r="E2594" i="13"/>
  <c r="D2594" i="13"/>
  <c r="C2594" i="13"/>
  <c r="B2594" i="13"/>
  <c r="A2594" i="13"/>
  <c r="I2593" i="13"/>
  <c r="H2593" i="13"/>
  <c r="G2593" i="13"/>
  <c r="F2593" i="13"/>
  <c r="E2593" i="13"/>
  <c r="D2593" i="13"/>
  <c r="C2593" i="13"/>
  <c r="B2593" i="13"/>
  <c r="A2593" i="13"/>
  <c r="I2592" i="13"/>
  <c r="H2592" i="13"/>
  <c r="G2592" i="13"/>
  <c r="F2592" i="13"/>
  <c r="E2592" i="13"/>
  <c r="D2592" i="13"/>
  <c r="E145" i="16" s="1"/>
  <c r="C2592" i="13"/>
  <c r="B2592" i="13"/>
  <c r="A2592" i="13"/>
  <c r="I2591" i="13"/>
  <c r="H2591" i="13"/>
  <c r="G2591" i="13"/>
  <c r="F2591" i="13"/>
  <c r="E2591" i="13"/>
  <c r="D2591" i="13"/>
  <c r="C2591" i="13"/>
  <c r="B2591" i="13"/>
  <c r="A2591" i="13"/>
  <c r="I2590" i="13"/>
  <c r="H2590" i="13"/>
  <c r="G2590" i="13"/>
  <c r="F2590" i="13"/>
  <c r="E2590" i="13"/>
  <c r="D2590" i="13"/>
  <c r="C2590" i="13"/>
  <c r="B2590" i="13"/>
  <c r="A2590" i="13"/>
  <c r="I2589" i="13"/>
  <c r="H2589" i="13"/>
  <c r="G2589" i="13"/>
  <c r="F2589" i="13"/>
  <c r="E2589" i="13"/>
  <c r="D2589" i="13"/>
  <c r="C2589" i="13"/>
  <c r="B2589" i="13"/>
  <c r="A2589" i="13"/>
  <c r="I2588" i="13"/>
  <c r="H2588" i="13"/>
  <c r="G2588" i="13"/>
  <c r="F2588" i="13"/>
  <c r="E2588" i="13"/>
  <c r="D2588" i="13"/>
  <c r="C2588" i="13"/>
  <c r="B2588" i="13"/>
  <c r="A2588" i="13"/>
  <c r="I2587" i="13"/>
  <c r="H2587" i="13"/>
  <c r="G2587" i="13"/>
  <c r="F2587" i="13"/>
  <c r="E2587" i="13"/>
  <c r="D2587" i="13"/>
  <c r="C2587" i="13"/>
  <c r="B2587" i="13"/>
  <c r="A2587" i="13"/>
  <c r="I2586" i="13"/>
  <c r="H2586" i="13"/>
  <c r="G2586" i="13"/>
  <c r="F2586" i="13"/>
  <c r="E2586" i="13"/>
  <c r="D2586" i="13"/>
  <c r="C2586" i="13"/>
  <c r="B2586" i="13"/>
  <c r="A2586" i="13"/>
  <c r="I2585" i="13"/>
  <c r="H2585" i="13"/>
  <c r="G2585" i="13"/>
  <c r="F2585" i="13"/>
  <c r="E2585" i="13"/>
  <c r="D2585" i="13"/>
  <c r="C2585" i="13"/>
  <c r="B2585" i="13"/>
  <c r="A2585" i="13"/>
  <c r="I2584" i="13"/>
  <c r="H2584" i="13"/>
  <c r="G2584" i="13"/>
  <c r="F2584" i="13"/>
  <c r="E2584" i="13"/>
  <c r="D2584" i="13"/>
  <c r="C2584" i="13"/>
  <c r="B2584" i="13"/>
  <c r="A2584" i="13"/>
  <c r="I2583" i="13"/>
  <c r="A145" i="16" s="1"/>
  <c r="B145" i="16" s="1"/>
  <c r="H2583" i="13"/>
  <c r="G2583" i="13"/>
  <c r="F2583" i="13"/>
  <c r="D145" i="16" s="1"/>
  <c r="E2583" i="13"/>
  <c r="D2583" i="13"/>
  <c r="C2583" i="13"/>
  <c r="B2583" i="13"/>
  <c r="A2583" i="13"/>
  <c r="I2582" i="13"/>
  <c r="H2582" i="13"/>
  <c r="G2582" i="13"/>
  <c r="F2582" i="13"/>
  <c r="E2582" i="13"/>
  <c r="D2582" i="13"/>
  <c r="C2582" i="13"/>
  <c r="B2582" i="13"/>
  <c r="A2582" i="13"/>
  <c r="I2581" i="13"/>
  <c r="H2581" i="13"/>
  <c r="G2581" i="13"/>
  <c r="F2581" i="13"/>
  <c r="E2581" i="13"/>
  <c r="D2581" i="13"/>
  <c r="C2581" i="13"/>
  <c r="B2581" i="13"/>
  <c r="A2581" i="13"/>
  <c r="I2580" i="13"/>
  <c r="H2580" i="13"/>
  <c r="G2580" i="13"/>
  <c r="F2580" i="13"/>
  <c r="E2580" i="13"/>
  <c r="D2580" i="13"/>
  <c r="C2580" i="13"/>
  <c r="B2580" i="13"/>
  <c r="A2580" i="13"/>
  <c r="I2579" i="13"/>
  <c r="H2579" i="13"/>
  <c r="G2579" i="13"/>
  <c r="F2579" i="13"/>
  <c r="E2579" i="13"/>
  <c r="D2579" i="13"/>
  <c r="C2579" i="13"/>
  <c r="B2579" i="13"/>
  <c r="A2579" i="13"/>
  <c r="I2578" i="13"/>
  <c r="H2578" i="13"/>
  <c r="G2578" i="13"/>
  <c r="F2578" i="13"/>
  <c r="E2578" i="13"/>
  <c r="D2578" i="13"/>
  <c r="C2578" i="13"/>
  <c r="B2578" i="13"/>
  <c r="A2578" i="13"/>
  <c r="I2577" i="13"/>
  <c r="H2577" i="13"/>
  <c r="G2577" i="13"/>
  <c r="F2577" i="13"/>
  <c r="E2577" i="13"/>
  <c r="D2577" i="13"/>
  <c r="C2577" i="13"/>
  <c r="B2577" i="13"/>
  <c r="A2577" i="13"/>
  <c r="I2576" i="13"/>
  <c r="H2576" i="13"/>
  <c r="G2576" i="13"/>
  <c r="F2576" i="13"/>
  <c r="E2576" i="13"/>
  <c r="D2576" i="13"/>
  <c r="C2576" i="13"/>
  <c r="B2576" i="13"/>
  <c r="A2576" i="13"/>
  <c r="I2575" i="13"/>
  <c r="H2575" i="13"/>
  <c r="G2575" i="13"/>
  <c r="F2575" i="13"/>
  <c r="E2575" i="13"/>
  <c r="D2575" i="13"/>
  <c r="E144" i="16" s="1"/>
  <c r="C2575" i="13"/>
  <c r="B2575" i="13"/>
  <c r="A2575" i="13"/>
  <c r="I2574" i="13"/>
  <c r="H2574" i="13"/>
  <c r="G2574" i="13"/>
  <c r="F2574" i="13"/>
  <c r="E2574" i="13"/>
  <c r="D2574" i="13"/>
  <c r="C2574" i="13"/>
  <c r="B2574" i="13"/>
  <c r="A2574" i="13"/>
  <c r="I2573" i="13"/>
  <c r="H2573" i="13"/>
  <c r="G2573" i="13"/>
  <c r="F2573" i="13"/>
  <c r="E2573" i="13"/>
  <c r="D2573" i="13"/>
  <c r="C2573" i="13"/>
  <c r="B2573" i="13"/>
  <c r="A2573" i="13"/>
  <c r="I2572" i="13"/>
  <c r="H2572" i="13"/>
  <c r="G2572" i="13"/>
  <c r="F2572" i="13"/>
  <c r="E2572" i="13"/>
  <c r="D2572" i="13"/>
  <c r="C2572" i="13"/>
  <c r="B2572" i="13"/>
  <c r="A2572" i="13"/>
  <c r="I2571" i="13"/>
  <c r="H2571" i="13"/>
  <c r="G2571" i="13"/>
  <c r="F2571" i="13"/>
  <c r="E2571" i="13"/>
  <c r="D2571" i="13"/>
  <c r="C2571" i="13"/>
  <c r="B2571" i="13"/>
  <c r="A2571" i="13"/>
  <c r="I2570" i="13"/>
  <c r="H2570" i="13"/>
  <c r="G2570" i="13"/>
  <c r="F2570" i="13"/>
  <c r="E2570" i="13"/>
  <c r="D2570" i="13"/>
  <c r="C2570" i="13"/>
  <c r="B2570" i="13"/>
  <c r="A2570" i="13"/>
  <c r="I2569" i="13"/>
  <c r="H2569" i="13"/>
  <c r="G2569" i="13"/>
  <c r="F2569" i="13"/>
  <c r="E2569" i="13"/>
  <c r="D2569" i="13"/>
  <c r="C2569" i="13"/>
  <c r="B2569" i="13"/>
  <c r="A2569" i="13"/>
  <c r="I2568" i="13"/>
  <c r="H2568" i="13"/>
  <c r="G2568" i="13"/>
  <c r="F2568" i="13"/>
  <c r="E2568" i="13"/>
  <c r="D2568" i="13"/>
  <c r="C2568" i="13"/>
  <c r="B2568" i="13"/>
  <c r="A2568" i="13"/>
  <c r="I2567" i="13"/>
  <c r="H2567" i="13"/>
  <c r="G2567" i="13"/>
  <c r="F2567" i="13"/>
  <c r="E2567" i="13"/>
  <c r="D2567" i="13"/>
  <c r="C2567" i="13"/>
  <c r="B2567" i="13"/>
  <c r="A2567" i="13"/>
  <c r="I2566" i="13"/>
  <c r="H2566" i="13"/>
  <c r="G2566" i="13"/>
  <c r="F2566" i="13"/>
  <c r="D144" i="16" s="1"/>
  <c r="E2566" i="13"/>
  <c r="D2566" i="13"/>
  <c r="C2566" i="13"/>
  <c r="B2566" i="13"/>
  <c r="A2566" i="13"/>
  <c r="I2565" i="13"/>
  <c r="H2565" i="13"/>
  <c r="G2565" i="13"/>
  <c r="F2565" i="13"/>
  <c r="E2565" i="13"/>
  <c r="D2565" i="13"/>
  <c r="C2565" i="13"/>
  <c r="B2565" i="13"/>
  <c r="A2565" i="13"/>
  <c r="I2564" i="13"/>
  <c r="H2564" i="13"/>
  <c r="G2564" i="13"/>
  <c r="F2564" i="13"/>
  <c r="E2564" i="13"/>
  <c r="D2564" i="13"/>
  <c r="C2564" i="13"/>
  <c r="B2564" i="13"/>
  <c r="A2564" i="13"/>
  <c r="I2563" i="13"/>
  <c r="H2563" i="13"/>
  <c r="G2563" i="13"/>
  <c r="F2563" i="13"/>
  <c r="E2563" i="13"/>
  <c r="D2563" i="13"/>
  <c r="C2563" i="13"/>
  <c r="B2563" i="13"/>
  <c r="A2563" i="13"/>
  <c r="I2562" i="13"/>
  <c r="H2562" i="13"/>
  <c r="G2562" i="13"/>
  <c r="F2562" i="13"/>
  <c r="E2562" i="13"/>
  <c r="D2562" i="13"/>
  <c r="C2562" i="13"/>
  <c r="B2562" i="13"/>
  <c r="A2562" i="13"/>
  <c r="I2561" i="13"/>
  <c r="H2561" i="13"/>
  <c r="G2561" i="13"/>
  <c r="F2561" i="13"/>
  <c r="E2561" i="13"/>
  <c r="D2561" i="13"/>
  <c r="C2561" i="13"/>
  <c r="B2561" i="13"/>
  <c r="A2561" i="13"/>
  <c r="I2560" i="13"/>
  <c r="H2560" i="13"/>
  <c r="G2560" i="13"/>
  <c r="F2560" i="13"/>
  <c r="E2560" i="13"/>
  <c r="D2560" i="13"/>
  <c r="C2560" i="13"/>
  <c r="B2560" i="13"/>
  <c r="A2560" i="13"/>
  <c r="I2559" i="13"/>
  <c r="H2559" i="13"/>
  <c r="G2559" i="13"/>
  <c r="F2559" i="13"/>
  <c r="E2559" i="13"/>
  <c r="D2559" i="13"/>
  <c r="C2559" i="13"/>
  <c r="B2559" i="13"/>
  <c r="A2559" i="13"/>
  <c r="I2558" i="13"/>
  <c r="H2558" i="13"/>
  <c r="G2558" i="13"/>
  <c r="F2558" i="13"/>
  <c r="E2558" i="13"/>
  <c r="D2558" i="13"/>
  <c r="C2558" i="13"/>
  <c r="B2558" i="13"/>
  <c r="A2558" i="13"/>
  <c r="I2557" i="13"/>
  <c r="H2557" i="13"/>
  <c r="G2557" i="13"/>
  <c r="F2557" i="13"/>
  <c r="E2557" i="13"/>
  <c r="D2557" i="13"/>
  <c r="C2557" i="13"/>
  <c r="B2557" i="13"/>
  <c r="A2557" i="13"/>
  <c r="I2556" i="13"/>
  <c r="H2556" i="13"/>
  <c r="G2556" i="13"/>
  <c r="F2556" i="13"/>
  <c r="E2556" i="13"/>
  <c r="D2556" i="13"/>
  <c r="E143" i="16" s="1"/>
  <c r="C2556" i="13"/>
  <c r="B2556" i="13"/>
  <c r="A2556" i="13"/>
  <c r="I2555" i="13"/>
  <c r="H2555" i="13"/>
  <c r="G2555" i="13"/>
  <c r="F2555" i="13"/>
  <c r="E2555" i="13"/>
  <c r="D2555" i="13"/>
  <c r="C2555" i="13"/>
  <c r="B2555" i="13"/>
  <c r="A2555" i="13"/>
  <c r="I2554" i="13"/>
  <c r="H2554" i="13"/>
  <c r="G2554" i="13"/>
  <c r="F2554" i="13"/>
  <c r="E2554" i="13"/>
  <c r="D2554" i="13"/>
  <c r="C2554" i="13"/>
  <c r="B2554" i="13"/>
  <c r="A2554" i="13"/>
  <c r="I2553" i="13"/>
  <c r="H2553" i="13"/>
  <c r="G2553" i="13"/>
  <c r="F2553" i="13"/>
  <c r="E2553" i="13"/>
  <c r="D2553" i="13"/>
  <c r="C2553" i="13"/>
  <c r="B2553" i="13"/>
  <c r="A2553" i="13"/>
  <c r="I2552" i="13"/>
  <c r="H2552" i="13"/>
  <c r="G2552" i="13"/>
  <c r="F2552" i="13"/>
  <c r="E2552" i="13"/>
  <c r="D2552" i="13"/>
  <c r="C2552" i="13"/>
  <c r="B2552" i="13"/>
  <c r="A2552" i="13"/>
  <c r="I2551" i="13"/>
  <c r="H2551" i="13"/>
  <c r="G2551" i="13"/>
  <c r="F2551" i="13"/>
  <c r="E2551" i="13"/>
  <c r="D2551" i="13"/>
  <c r="C2551" i="13"/>
  <c r="B2551" i="13"/>
  <c r="A2551" i="13"/>
  <c r="I2550" i="13"/>
  <c r="H2550" i="13"/>
  <c r="G2550" i="13"/>
  <c r="F2550" i="13"/>
  <c r="E2550" i="13"/>
  <c r="D2550" i="13"/>
  <c r="C2550" i="13"/>
  <c r="B2550" i="13"/>
  <c r="A2550" i="13"/>
  <c r="I2549" i="13"/>
  <c r="H2549" i="13"/>
  <c r="G2549" i="13"/>
  <c r="F2549" i="13"/>
  <c r="E2549" i="13"/>
  <c r="D2549" i="13"/>
  <c r="C2549" i="13"/>
  <c r="B2549" i="13"/>
  <c r="A2549" i="13"/>
  <c r="I2548" i="13"/>
  <c r="H2548" i="13"/>
  <c r="G2548" i="13"/>
  <c r="F2548" i="13"/>
  <c r="E2548" i="13"/>
  <c r="D2548" i="13"/>
  <c r="C2548" i="13"/>
  <c r="B2548" i="13"/>
  <c r="A2548" i="13"/>
  <c r="I2547" i="13"/>
  <c r="H2547" i="13"/>
  <c r="G2547" i="13"/>
  <c r="F2547" i="13"/>
  <c r="E2547" i="13"/>
  <c r="D2547" i="13"/>
  <c r="C2547" i="13"/>
  <c r="B2547" i="13"/>
  <c r="A2547" i="13"/>
  <c r="I2546" i="13"/>
  <c r="A143" i="16" s="1"/>
  <c r="B143" i="16" s="1"/>
  <c r="H2546" i="13"/>
  <c r="G2546" i="13"/>
  <c r="F2546" i="13"/>
  <c r="D143" i="16" s="1"/>
  <c r="J143" i="16" s="1"/>
  <c r="E2546" i="13"/>
  <c r="D2546" i="13"/>
  <c r="C2546" i="13"/>
  <c r="B2546" i="13"/>
  <c r="A2546" i="13"/>
  <c r="I2545" i="13"/>
  <c r="H2545" i="13"/>
  <c r="G2545" i="13"/>
  <c r="F2545" i="13"/>
  <c r="E2545" i="13"/>
  <c r="D2545" i="13"/>
  <c r="C2545" i="13"/>
  <c r="B2545" i="13"/>
  <c r="A2545" i="13"/>
  <c r="I2544" i="13"/>
  <c r="H2544" i="13"/>
  <c r="G2544" i="13"/>
  <c r="F2544" i="13"/>
  <c r="E2544" i="13"/>
  <c r="D2544" i="13"/>
  <c r="C2544" i="13"/>
  <c r="B2544" i="13"/>
  <c r="A2544" i="13"/>
  <c r="I2543" i="13"/>
  <c r="H2543" i="13"/>
  <c r="G2543" i="13"/>
  <c r="F2543" i="13"/>
  <c r="E2543" i="13"/>
  <c r="D2543" i="13"/>
  <c r="C2543" i="13"/>
  <c r="B2543" i="13"/>
  <c r="A2543" i="13"/>
  <c r="I2542" i="13"/>
  <c r="H2542" i="13"/>
  <c r="G2542" i="13"/>
  <c r="F2542" i="13"/>
  <c r="E2542" i="13"/>
  <c r="D2542" i="13"/>
  <c r="C2542" i="13"/>
  <c r="B2542" i="13"/>
  <c r="A2542" i="13"/>
  <c r="I2541" i="13"/>
  <c r="H2541" i="13"/>
  <c r="G2541" i="13"/>
  <c r="F2541" i="13"/>
  <c r="E2541" i="13"/>
  <c r="D2541" i="13"/>
  <c r="C2541" i="13"/>
  <c r="B2541" i="13"/>
  <c r="A2541" i="13"/>
  <c r="I2540" i="13"/>
  <c r="H2540" i="13"/>
  <c r="G2540" i="13"/>
  <c r="F2540" i="13"/>
  <c r="E2540" i="13"/>
  <c r="D2540" i="13"/>
  <c r="C2540" i="13"/>
  <c r="B2540" i="13"/>
  <c r="A2540" i="13"/>
  <c r="I2539" i="13"/>
  <c r="H2539" i="13"/>
  <c r="G2539" i="13"/>
  <c r="F2539" i="13"/>
  <c r="E2539" i="13"/>
  <c r="D2539" i="13"/>
  <c r="C2539" i="13"/>
  <c r="B2539" i="13"/>
  <c r="A2539" i="13"/>
  <c r="I2538" i="13"/>
  <c r="H2538" i="13"/>
  <c r="G2538" i="13"/>
  <c r="F2538" i="13"/>
  <c r="E2538" i="13"/>
  <c r="D2538" i="13"/>
  <c r="C2538" i="13"/>
  <c r="B2538" i="13"/>
  <c r="A2538" i="13"/>
  <c r="I2537" i="13"/>
  <c r="H2537" i="13"/>
  <c r="G2537" i="13"/>
  <c r="F2537" i="13"/>
  <c r="E2537" i="13"/>
  <c r="D2537" i="13"/>
  <c r="C2537" i="13"/>
  <c r="B2537" i="13"/>
  <c r="A2537" i="13"/>
  <c r="I2536" i="13"/>
  <c r="A142" i="16" s="1"/>
  <c r="B142" i="16" s="1"/>
  <c r="H2536" i="13"/>
  <c r="G2536" i="13"/>
  <c r="F2536" i="13"/>
  <c r="D142" i="16" s="1"/>
  <c r="E2536" i="13"/>
  <c r="D2536" i="13"/>
  <c r="C2536" i="13"/>
  <c r="G2534" i="13" s="1"/>
  <c r="E142" i="16" s="1"/>
  <c r="B2536" i="13"/>
  <c r="A2536" i="13"/>
  <c r="I2535" i="13"/>
  <c r="H2535" i="13"/>
  <c r="G2535" i="13"/>
  <c r="F2535" i="13"/>
  <c r="E2535" i="13"/>
  <c r="D2535" i="13"/>
  <c r="C2535" i="13"/>
  <c r="B2535" i="13"/>
  <c r="A2535" i="13"/>
  <c r="I2534" i="13"/>
  <c r="H2534" i="13"/>
  <c r="E2534" i="13"/>
  <c r="D2534" i="13"/>
  <c r="C2534" i="13"/>
  <c r="B2534" i="13"/>
  <c r="A2534" i="13"/>
  <c r="I2533" i="13"/>
  <c r="H2533" i="13"/>
  <c r="G2533" i="13"/>
  <c r="F2533" i="13"/>
  <c r="E2533" i="13"/>
  <c r="D2533" i="13"/>
  <c r="C2533" i="13"/>
  <c r="B2533" i="13"/>
  <c r="A2533" i="13"/>
  <c r="I2532" i="13"/>
  <c r="H2532" i="13"/>
  <c r="G2532" i="13"/>
  <c r="F2532" i="13"/>
  <c r="E2532" i="13"/>
  <c r="D2532" i="13"/>
  <c r="C2532" i="13"/>
  <c r="B2532" i="13"/>
  <c r="A2532" i="13"/>
  <c r="I2531" i="13"/>
  <c r="H2531" i="13"/>
  <c r="G2531" i="13"/>
  <c r="F2531" i="13"/>
  <c r="E2531" i="13"/>
  <c r="D2531" i="13"/>
  <c r="C2531" i="13"/>
  <c r="B2531" i="13"/>
  <c r="A2531" i="13"/>
  <c r="I2530" i="13"/>
  <c r="H2530" i="13"/>
  <c r="G2530" i="13"/>
  <c r="F2530" i="13"/>
  <c r="E2530" i="13"/>
  <c r="D2530" i="13"/>
  <c r="C2530" i="13"/>
  <c r="B2530" i="13"/>
  <c r="A2530" i="13"/>
  <c r="I2529" i="13"/>
  <c r="H2529" i="13"/>
  <c r="G2529" i="13"/>
  <c r="F2529" i="13"/>
  <c r="E2529" i="13"/>
  <c r="D2529" i="13"/>
  <c r="C2529" i="13"/>
  <c r="B2529" i="13"/>
  <c r="A2529" i="13"/>
  <c r="I2528" i="13"/>
  <c r="H2528" i="13"/>
  <c r="G2528" i="13"/>
  <c r="F2528" i="13"/>
  <c r="E2528" i="13"/>
  <c r="D2528" i="13"/>
  <c r="C2528" i="13"/>
  <c r="B2528" i="13"/>
  <c r="A2528" i="13"/>
  <c r="I2527" i="13"/>
  <c r="H2527" i="13"/>
  <c r="G2527" i="13"/>
  <c r="F2527" i="13"/>
  <c r="E2527" i="13"/>
  <c r="D2527" i="13"/>
  <c r="C2527" i="13"/>
  <c r="B2527" i="13"/>
  <c r="A2527" i="13"/>
  <c r="I2526" i="13"/>
  <c r="H2526" i="13"/>
  <c r="G2526" i="13"/>
  <c r="F2526" i="13"/>
  <c r="E2526" i="13"/>
  <c r="D2526" i="13"/>
  <c r="C2526" i="13"/>
  <c r="B2526" i="13"/>
  <c r="A2526" i="13"/>
  <c r="I2525" i="13"/>
  <c r="H2525" i="13"/>
  <c r="G2525" i="13"/>
  <c r="F2525" i="13"/>
  <c r="E2525" i="13"/>
  <c r="D2525" i="13"/>
  <c r="C2525" i="13"/>
  <c r="B2525" i="13"/>
  <c r="A2525" i="13"/>
  <c r="I2524" i="13"/>
  <c r="H2524" i="13"/>
  <c r="G2524" i="13"/>
  <c r="F2524" i="13"/>
  <c r="E2524" i="13"/>
  <c r="D2524" i="13"/>
  <c r="C2524" i="13"/>
  <c r="B2524" i="13"/>
  <c r="A2524" i="13"/>
  <c r="I2523" i="13"/>
  <c r="H2523" i="13"/>
  <c r="G2523" i="13"/>
  <c r="F2523" i="13"/>
  <c r="E2523" i="13"/>
  <c r="D2523" i="13"/>
  <c r="C2523" i="13"/>
  <c r="B2523" i="13"/>
  <c r="A2523" i="13"/>
  <c r="I2522" i="13"/>
  <c r="H2522" i="13"/>
  <c r="G2522" i="13"/>
  <c r="F2522" i="13"/>
  <c r="E2522" i="13"/>
  <c r="D2522" i="13"/>
  <c r="C2522" i="13"/>
  <c r="B2522" i="13"/>
  <c r="A2522" i="13"/>
  <c r="I2521" i="13"/>
  <c r="H2521" i="13"/>
  <c r="G2521" i="13"/>
  <c r="F2521" i="13"/>
  <c r="E2521" i="13"/>
  <c r="D2521" i="13"/>
  <c r="C2521" i="13"/>
  <c r="B2521" i="13"/>
  <c r="A2521" i="13"/>
  <c r="I2520" i="13"/>
  <c r="H2520" i="13"/>
  <c r="G2520" i="13"/>
  <c r="F2520" i="13"/>
  <c r="E2520" i="13"/>
  <c r="D2520" i="13"/>
  <c r="C2520" i="13"/>
  <c r="B2520" i="13"/>
  <c r="A2520" i="13"/>
  <c r="I2519" i="13"/>
  <c r="H2519" i="13"/>
  <c r="G2519" i="13"/>
  <c r="F2519" i="13"/>
  <c r="E2519" i="13"/>
  <c r="D2519" i="13"/>
  <c r="C2519" i="13"/>
  <c r="B2519" i="13"/>
  <c r="A2519" i="13"/>
  <c r="I2518" i="13"/>
  <c r="A141" i="16" s="1"/>
  <c r="B141" i="16" s="1"/>
  <c r="H2518" i="13"/>
  <c r="G2518" i="13"/>
  <c r="F2518" i="13"/>
  <c r="D141" i="16" s="1"/>
  <c r="J141" i="16" s="1"/>
  <c r="E2518" i="13"/>
  <c r="D2518" i="13"/>
  <c r="C2518" i="13"/>
  <c r="B2518" i="13"/>
  <c r="A2518" i="13"/>
  <c r="I2517" i="13"/>
  <c r="H2517" i="13"/>
  <c r="G2517" i="13"/>
  <c r="F2517" i="13"/>
  <c r="E2517" i="13"/>
  <c r="D2517" i="13"/>
  <c r="C2517" i="13"/>
  <c r="B2517" i="13"/>
  <c r="A2517" i="13"/>
  <c r="I2516" i="13"/>
  <c r="H2516" i="13"/>
  <c r="G2516" i="13"/>
  <c r="F2516" i="13"/>
  <c r="E2516" i="13"/>
  <c r="D2516" i="13"/>
  <c r="C2516" i="13"/>
  <c r="B2516" i="13"/>
  <c r="A2516" i="13"/>
  <c r="I2515" i="13"/>
  <c r="H2515" i="13"/>
  <c r="G2515" i="13"/>
  <c r="F2515" i="13"/>
  <c r="E2515" i="13"/>
  <c r="D2515" i="13"/>
  <c r="C2515" i="13"/>
  <c r="B2515" i="13"/>
  <c r="A2515" i="13"/>
  <c r="I2514" i="13"/>
  <c r="H2514" i="13"/>
  <c r="G2514" i="13"/>
  <c r="F2514" i="13"/>
  <c r="E2514" i="13"/>
  <c r="D2514" i="13"/>
  <c r="C2514" i="13"/>
  <c r="B2514" i="13"/>
  <c r="A2514" i="13"/>
  <c r="I2513" i="13"/>
  <c r="H2513" i="13"/>
  <c r="G2513" i="13"/>
  <c r="F2513" i="13"/>
  <c r="E2513" i="13"/>
  <c r="D2513" i="13"/>
  <c r="C2513" i="13"/>
  <c r="B2513" i="13"/>
  <c r="A2513" i="13"/>
  <c r="I2512" i="13"/>
  <c r="H2512" i="13"/>
  <c r="G2512" i="13"/>
  <c r="F2512" i="13"/>
  <c r="E2512" i="13"/>
  <c r="D2512" i="13"/>
  <c r="C2512" i="13"/>
  <c r="B2512" i="13"/>
  <c r="A2512" i="13"/>
  <c r="I2511" i="13"/>
  <c r="H2511" i="13"/>
  <c r="G2511" i="13"/>
  <c r="F2511" i="13"/>
  <c r="E2511" i="13"/>
  <c r="D2511" i="13"/>
  <c r="E140" i="16" s="1"/>
  <c r="C2511" i="13"/>
  <c r="B2511" i="13"/>
  <c r="A2511" i="13"/>
  <c r="I2510" i="13"/>
  <c r="H2510" i="13"/>
  <c r="G2510" i="13"/>
  <c r="F2510" i="13"/>
  <c r="E2510" i="13"/>
  <c r="D2510" i="13"/>
  <c r="C2510" i="13"/>
  <c r="B2510" i="13"/>
  <c r="A2510" i="13"/>
  <c r="I2509" i="13"/>
  <c r="H2509" i="13"/>
  <c r="G2509" i="13"/>
  <c r="F2509" i="13"/>
  <c r="E2509" i="13"/>
  <c r="D2509" i="13"/>
  <c r="C2509" i="13"/>
  <c r="B2509" i="13"/>
  <c r="A2509" i="13"/>
  <c r="I2508" i="13"/>
  <c r="H2508" i="13"/>
  <c r="G2508" i="13"/>
  <c r="F2508" i="13"/>
  <c r="E2508" i="13"/>
  <c r="D2508" i="13"/>
  <c r="C2508" i="13"/>
  <c r="B2508" i="13"/>
  <c r="A2508" i="13"/>
  <c r="I2507" i="13"/>
  <c r="H2507" i="13"/>
  <c r="G2507" i="13"/>
  <c r="F2507" i="13"/>
  <c r="E2507" i="13"/>
  <c r="D2507" i="13"/>
  <c r="C2507" i="13"/>
  <c r="B2507" i="13"/>
  <c r="A2507" i="13"/>
  <c r="I2506" i="13"/>
  <c r="H2506" i="13"/>
  <c r="G2506" i="13"/>
  <c r="F2506" i="13"/>
  <c r="E2506" i="13"/>
  <c r="D2506" i="13"/>
  <c r="C2506" i="13"/>
  <c r="B2506" i="13"/>
  <c r="A2506" i="13"/>
  <c r="I2505" i="13"/>
  <c r="H2505" i="13"/>
  <c r="G2505" i="13"/>
  <c r="F2505" i="13"/>
  <c r="E2505" i="13"/>
  <c r="D2505" i="13"/>
  <c r="C2505" i="13"/>
  <c r="B2505" i="13"/>
  <c r="A2505" i="13"/>
  <c r="I2504" i="13"/>
  <c r="H2504" i="13"/>
  <c r="G2504" i="13"/>
  <c r="F2504" i="13"/>
  <c r="E2504" i="13"/>
  <c r="D2504" i="13"/>
  <c r="C2504" i="13"/>
  <c r="B2504" i="13"/>
  <c r="A2504" i="13"/>
  <c r="I2503" i="13"/>
  <c r="H2503" i="13"/>
  <c r="G2503" i="13"/>
  <c r="F2503" i="13"/>
  <c r="E2503" i="13"/>
  <c r="D2503" i="13"/>
  <c r="C2503" i="13"/>
  <c r="B2503" i="13"/>
  <c r="A2503" i="13"/>
  <c r="I2502" i="13"/>
  <c r="H2502" i="13"/>
  <c r="G2502" i="13"/>
  <c r="F2502" i="13"/>
  <c r="E2502" i="13"/>
  <c r="D2502" i="13"/>
  <c r="C2502" i="13"/>
  <c r="B2502" i="13"/>
  <c r="A2502" i="13"/>
  <c r="I2501" i="13"/>
  <c r="H2501" i="13"/>
  <c r="G2501" i="13"/>
  <c r="F2501" i="13"/>
  <c r="D140" i="16" s="1"/>
  <c r="J140" i="16" s="1"/>
  <c r="E2501" i="13"/>
  <c r="D2501" i="13"/>
  <c r="C2501" i="13"/>
  <c r="B2501" i="13"/>
  <c r="A2501" i="13"/>
  <c r="I2500" i="13"/>
  <c r="H2500" i="13"/>
  <c r="G2500" i="13"/>
  <c r="F2500" i="13"/>
  <c r="E2500" i="13"/>
  <c r="D2500" i="13"/>
  <c r="C2500" i="13"/>
  <c r="B2500" i="13"/>
  <c r="A2500" i="13"/>
  <c r="I2499" i="13"/>
  <c r="H2499" i="13"/>
  <c r="G2499" i="13"/>
  <c r="F2499" i="13"/>
  <c r="E2499" i="13"/>
  <c r="D2499" i="13"/>
  <c r="C2499" i="13"/>
  <c r="B2499" i="13"/>
  <c r="A2499" i="13"/>
  <c r="I2498" i="13"/>
  <c r="H2498" i="13"/>
  <c r="G2498" i="13"/>
  <c r="F2498" i="13"/>
  <c r="E2498" i="13"/>
  <c r="D2498" i="13"/>
  <c r="C2498" i="13"/>
  <c r="B2498" i="13"/>
  <c r="A2498" i="13"/>
  <c r="I2497" i="13"/>
  <c r="H2497" i="13"/>
  <c r="G2497" i="13"/>
  <c r="F2497" i="13"/>
  <c r="E2497" i="13"/>
  <c r="D2497" i="13"/>
  <c r="C2497" i="13"/>
  <c r="B2497" i="13"/>
  <c r="A2497" i="13"/>
  <c r="I2496" i="13"/>
  <c r="H2496" i="13"/>
  <c r="G2496" i="13"/>
  <c r="F2496" i="13"/>
  <c r="E2496" i="13"/>
  <c r="D2496" i="13"/>
  <c r="E139" i="16" s="1"/>
  <c r="C2496" i="13"/>
  <c r="B2496" i="13"/>
  <c r="A2496" i="13"/>
  <c r="I2495" i="13"/>
  <c r="H2495" i="13"/>
  <c r="G2495" i="13"/>
  <c r="F2495" i="13"/>
  <c r="E2495" i="13"/>
  <c r="D2495" i="13"/>
  <c r="C2495" i="13"/>
  <c r="B2495" i="13"/>
  <c r="A2495" i="13"/>
  <c r="I2494" i="13"/>
  <c r="H2494" i="13"/>
  <c r="G2494" i="13"/>
  <c r="F2494" i="13"/>
  <c r="E2494" i="13"/>
  <c r="D2494" i="13"/>
  <c r="C2494" i="13"/>
  <c r="B2494" i="13"/>
  <c r="A2494" i="13"/>
  <c r="I2493" i="13"/>
  <c r="H2493" i="13"/>
  <c r="G2493" i="13"/>
  <c r="F2493" i="13"/>
  <c r="E2493" i="13"/>
  <c r="D2493" i="13"/>
  <c r="C2493" i="13"/>
  <c r="B2493" i="13"/>
  <c r="A2493" i="13"/>
  <c r="I2492" i="13"/>
  <c r="H2492" i="13"/>
  <c r="G2492" i="13"/>
  <c r="F2492" i="13"/>
  <c r="E2492" i="13"/>
  <c r="D2492" i="13"/>
  <c r="C2492" i="13"/>
  <c r="B2492" i="13"/>
  <c r="A2492" i="13"/>
  <c r="I2491" i="13"/>
  <c r="H2491" i="13"/>
  <c r="G2491" i="13"/>
  <c r="F2491" i="13"/>
  <c r="E2491" i="13"/>
  <c r="D2491" i="13"/>
  <c r="C2491" i="13"/>
  <c r="B2491" i="13"/>
  <c r="A2491" i="13"/>
  <c r="I2490" i="13"/>
  <c r="H2490" i="13"/>
  <c r="G2490" i="13"/>
  <c r="F2490" i="13"/>
  <c r="E2490" i="13"/>
  <c r="D2490" i="13"/>
  <c r="C2490" i="13"/>
  <c r="B2490" i="13"/>
  <c r="A2490" i="13"/>
  <c r="I2489" i="13"/>
  <c r="H2489" i="13"/>
  <c r="G2489" i="13"/>
  <c r="F2489" i="13"/>
  <c r="E2489" i="13"/>
  <c r="D2489" i="13"/>
  <c r="C2489" i="13"/>
  <c r="B2489" i="13"/>
  <c r="A2489" i="13"/>
  <c r="I2488" i="13"/>
  <c r="H2488" i="13"/>
  <c r="G2488" i="13"/>
  <c r="F2488" i="13"/>
  <c r="D139" i="16" s="1"/>
  <c r="E2488" i="13"/>
  <c r="D2488" i="13"/>
  <c r="C2488" i="13"/>
  <c r="B2488" i="13"/>
  <c r="A2488" i="13"/>
  <c r="I2487" i="13"/>
  <c r="H2487" i="13"/>
  <c r="G2487" i="13"/>
  <c r="F2487" i="13"/>
  <c r="E2487" i="13"/>
  <c r="D2487" i="13"/>
  <c r="C2487" i="13"/>
  <c r="B2487" i="13"/>
  <c r="A2487" i="13"/>
  <c r="I2486" i="13"/>
  <c r="H2486" i="13"/>
  <c r="G2486" i="13"/>
  <c r="F2486" i="13"/>
  <c r="E2486" i="13"/>
  <c r="D2486" i="13"/>
  <c r="C2486" i="13"/>
  <c r="B2486" i="13"/>
  <c r="A2486" i="13"/>
  <c r="I2485" i="13"/>
  <c r="H2485" i="13"/>
  <c r="G2485" i="13"/>
  <c r="F2485" i="13"/>
  <c r="E2485" i="13"/>
  <c r="D2485" i="13"/>
  <c r="C2485" i="13"/>
  <c r="B2485" i="13"/>
  <c r="A2485" i="13"/>
  <c r="I2484" i="13"/>
  <c r="H2484" i="13"/>
  <c r="G2484" i="13"/>
  <c r="F2484" i="13"/>
  <c r="E2484" i="13"/>
  <c r="D2484" i="13"/>
  <c r="C2484" i="13"/>
  <c r="B2484" i="13"/>
  <c r="A2484" i="13"/>
  <c r="I2483" i="13"/>
  <c r="H2483" i="13"/>
  <c r="G2483" i="13"/>
  <c r="F2483" i="13"/>
  <c r="E2483" i="13"/>
  <c r="D2483" i="13"/>
  <c r="C2483" i="13"/>
  <c r="B2483" i="13"/>
  <c r="A2483" i="13"/>
  <c r="I2482" i="13"/>
  <c r="H2482" i="13"/>
  <c r="G2482" i="13"/>
  <c r="F2482" i="13"/>
  <c r="E2482" i="13"/>
  <c r="D2482" i="13"/>
  <c r="E138" i="16" s="1"/>
  <c r="C2482" i="13"/>
  <c r="B2482" i="13"/>
  <c r="A2482" i="13"/>
  <c r="I2481" i="13"/>
  <c r="H2481" i="13"/>
  <c r="G2481" i="13"/>
  <c r="F2481" i="13"/>
  <c r="E2481" i="13"/>
  <c r="D2481" i="13"/>
  <c r="C2481" i="13"/>
  <c r="B2481" i="13"/>
  <c r="A2481" i="13"/>
  <c r="I2480" i="13"/>
  <c r="H2480" i="13"/>
  <c r="G2480" i="13"/>
  <c r="F2480" i="13"/>
  <c r="E2480" i="13"/>
  <c r="D2480" i="13"/>
  <c r="C2480" i="13"/>
  <c r="B2480" i="13"/>
  <c r="A2480" i="13"/>
  <c r="I2479" i="13"/>
  <c r="H2479" i="13"/>
  <c r="G2479" i="13"/>
  <c r="F2479" i="13"/>
  <c r="E2479" i="13"/>
  <c r="D2479" i="13"/>
  <c r="C2479" i="13"/>
  <c r="B2479" i="13"/>
  <c r="A2479" i="13"/>
  <c r="I2478" i="13"/>
  <c r="H2478" i="13"/>
  <c r="G2478" i="13"/>
  <c r="F2478" i="13"/>
  <c r="E2478" i="13"/>
  <c r="D2478" i="13"/>
  <c r="C2478" i="13"/>
  <c r="B2478" i="13"/>
  <c r="A2478" i="13"/>
  <c r="I2477" i="13"/>
  <c r="H2477" i="13"/>
  <c r="G2477" i="13"/>
  <c r="F2477" i="13"/>
  <c r="E2477" i="13"/>
  <c r="D2477" i="13"/>
  <c r="C2477" i="13"/>
  <c r="B2477" i="13"/>
  <c r="A2477" i="13"/>
  <c r="I2476" i="13"/>
  <c r="H2476" i="13"/>
  <c r="G2476" i="13"/>
  <c r="F2476" i="13"/>
  <c r="E2476" i="13"/>
  <c r="D2476" i="13"/>
  <c r="C2476" i="13"/>
  <c r="B2476" i="13"/>
  <c r="A2476" i="13"/>
  <c r="I2475" i="13"/>
  <c r="H2475" i="13"/>
  <c r="G2475" i="13"/>
  <c r="F2475" i="13"/>
  <c r="E2475" i="13"/>
  <c r="D2475" i="13"/>
  <c r="C2475" i="13"/>
  <c r="B2475" i="13"/>
  <c r="A2475" i="13"/>
  <c r="I2474" i="13"/>
  <c r="H2474" i="13"/>
  <c r="G2474" i="13"/>
  <c r="F2474" i="13"/>
  <c r="E2474" i="13"/>
  <c r="D2474" i="13"/>
  <c r="C2474" i="13"/>
  <c r="B2474" i="13"/>
  <c r="A2474" i="13"/>
  <c r="I2473" i="13"/>
  <c r="H2473" i="13"/>
  <c r="G2473" i="13"/>
  <c r="F2473" i="13"/>
  <c r="E2473" i="13"/>
  <c r="D2473" i="13"/>
  <c r="C2473" i="13"/>
  <c r="B2473" i="13"/>
  <c r="A2473" i="13"/>
  <c r="I2472" i="13"/>
  <c r="A138" i="16" s="1"/>
  <c r="B138" i="16" s="1"/>
  <c r="H2472" i="13"/>
  <c r="G2472" i="13"/>
  <c r="F2472" i="13"/>
  <c r="D138" i="16" s="1"/>
  <c r="E2472" i="13"/>
  <c r="D2472" i="13"/>
  <c r="C2472" i="13"/>
  <c r="B2472" i="13"/>
  <c r="A2472" i="13"/>
  <c r="I2471" i="13"/>
  <c r="H2471" i="13"/>
  <c r="G2471" i="13"/>
  <c r="F2471" i="13"/>
  <c r="E2471" i="13"/>
  <c r="D2471" i="13"/>
  <c r="C2471" i="13"/>
  <c r="B2471" i="13"/>
  <c r="A2471" i="13"/>
  <c r="I2470" i="13"/>
  <c r="H2470" i="13"/>
  <c r="G2470" i="13"/>
  <c r="F2470" i="13"/>
  <c r="E2470" i="13"/>
  <c r="D2470" i="13"/>
  <c r="C2470" i="13"/>
  <c r="B2470" i="13"/>
  <c r="A2470" i="13"/>
  <c r="I2469" i="13"/>
  <c r="H2469" i="13"/>
  <c r="G2469" i="13"/>
  <c r="F2469" i="13"/>
  <c r="E2469" i="13"/>
  <c r="D2469" i="13"/>
  <c r="C2469" i="13"/>
  <c r="B2469" i="13"/>
  <c r="A2469" i="13"/>
  <c r="I2468" i="13"/>
  <c r="H2468" i="13"/>
  <c r="G2468" i="13"/>
  <c r="F2468" i="13"/>
  <c r="E2468" i="13"/>
  <c r="D2468" i="13"/>
  <c r="C2468" i="13"/>
  <c r="B2468" i="13"/>
  <c r="A2468" i="13"/>
  <c r="I2467" i="13"/>
  <c r="H2467" i="13"/>
  <c r="G2467" i="13"/>
  <c r="F2467" i="13"/>
  <c r="E2467" i="13"/>
  <c r="D2467" i="13"/>
  <c r="C2467" i="13"/>
  <c r="B2467" i="13"/>
  <c r="A2467" i="13"/>
  <c r="I2466" i="13"/>
  <c r="H2466" i="13"/>
  <c r="G2466" i="13"/>
  <c r="F2466" i="13"/>
  <c r="E2466" i="13"/>
  <c r="D2466" i="13"/>
  <c r="C2466" i="13"/>
  <c r="B2466" i="13"/>
  <c r="A2466" i="13"/>
  <c r="I2465" i="13"/>
  <c r="H2465" i="13"/>
  <c r="G2465" i="13"/>
  <c r="F2465" i="13"/>
  <c r="E2465" i="13"/>
  <c r="D2465" i="13"/>
  <c r="C2465" i="13"/>
  <c r="B2465" i="13"/>
  <c r="A2465" i="13"/>
  <c r="I2464" i="13"/>
  <c r="H2464" i="13"/>
  <c r="G2464" i="13"/>
  <c r="F2464" i="13"/>
  <c r="E2464" i="13"/>
  <c r="D2464" i="13"/>
  <c r="C2464" i="13"/>
  <c r="B2464" i="13"/>
  <c r="A2464" i="13"/>
  <c r="I2463" i="13"/>
  <c r="H2463" i="13"/>
  <c r="G2463" i="13"/>
  <c r="F2463" i="13"/>
  <c r="E2463" i="13"/>
  <c r="D2463" i="13"/>
  <c r="C2463" i="13"/>
  <c r="B2463" i="13"/>
  <c r="A2463" i="13"/>
  <c r="I2462" i="13"/>
  <c r="H2462" i="13"/>
  <c r="G2462" i="13"/>
  <c r="F2462" i="13"/>
  <c r="E2462" i="13"/>
  <c r="D2462" i="13"/>
  <c r="C2462" i="13"/>
  <c r="B2462" i="13"/>
  <c r="A2462" i="13"/>
  <c r="I2461" i="13"/>
  <c r="A137" i="16" s="1"/>
  <c r="B137" i="16" s="1"/>
  <c r="H2461" i="13"/>
  <c r="G2461" i="13"/>
  <c r="F2461" i="13"/>
  <c r="D137" i="16" s="1"/>
  <c r="E2461" i="13"/>
  <c r="D2461" i="13"/>
  <c r="C2461" i="13"/>
  <c r="B2461" i="13"/>
  <c r="A2461" i="13"/>
  <c r="I2460" i="13"/>
  <c r="H2460" i="13"/>
  <c r="G2460" i="13"/>
  <c r="F2460" i="13"/>
  <c r="E2460" i="13"/>
  <c r="D2460" i="13"/>
  <c r="C2460" i="13"/>
  <c r="B2460" i="13"/>
  <c r="A2460" i="13"/>
  <c r="I2459" i="13"/>
  <c r="H2459" i="13"/>
  <c r="G2459" i="13"/>
  <c r="E137" i="16" s="1"/>
  <c r="E2459" i="13"/>
  <c r="D2459" i="13"/>
  <c r="C2459" i="13"/>
  <c r="B2459" i="13"/>
  <c r="A2459" i="13"/>
  <c r="I2458" i="13"/>
  <c r="H2458" i="13"/>
  <c r="G2458" i="13"/>
  <c r="F2458" i="13"/>
  <c r="E2458" i="13"/>
  <c r="D2458" i="13"/>
  <c r="C2458" i="13"/>
  <c r="B2458" i="13"/>
  <c r="A2458" i="13"/>
  <c r="I2457" i="13"/>
  <c r="H2457" i="13"/>
  <c r="G2457" i="13"/>
  <c r="F2457" i="13"/>
  <c r="E2457" i="13"/>
  <c r="D2457" i="13"/>
  <c r="C2457" i="13"/>
  <c r="B2457" i="13"/>
  <c r="A2457" i="13"/>
  <c r="I2456" i="13"/>
  <c r="H2456" i="13"/>
  <c r="G2456" i="13"/>
  <c r="F2456" i="13"/>
  <c r="E2456" i="13"/>
  <c r="D2456" i="13"/>
  <c r="C2456" i="13"/>
  <c r="B2456" i="13"/>
  <c r="A2456" i="13"/>
  <c r="I2455" i="13"/>
  <c r="H2455" i="13"/>
  <c r="G2455" i="13"/>
  <c r="F2455" i="13"/>
  <c r="E2455" i="13"/>
  <c r="D2455" i="13"/>
  <c r="C2455" i="13"/>
  <c r="B2455" i="13"/>
  <c r="A2455" i="13"/>
  <c r="I2454" i="13"/>
  <c r="H2454" i="13"/>
  <c r="G2454" i="13"/>
  <c r="F2454" i="13"/>
  <c r="E2454" i="13"/>
  <c r="D2454" i="13"/>
  <c r="C2454" i="13"/>
  <c r="B2454" i="13"/>
  <c r="A2454" i="13"/>
  <c r="I2453" i="13"/>
  <c r="H2453" i="13"/>
  <c r="G2453" i="13"/>
  <c r="F2453" i="13"/>
  <c r="E2453" i="13"/>
  <c r="D2453" i="13"/>
  <c r="E136" i="16" s="1"/>
  <c r="C2453" i="13"/>
  <c r="B2453" i="13"/>
  <c r="A2453" i="13"/>
  <c r="I2452" i="13"/>
  <c r="H2452" i="13"/>
  <c r="G2452" i="13"/>
  <c r="F2452" i="13"/>
  <c r="E2452" i="13"/>
  <c r="D2452" i="13"/>
  <c r="C2452" i="13"/>
  <c r="B2452" i="13"/>
  <c r="A2452" i="13"/>
  <c r="I2451" i="13"/>
  <c r="H2451" i="13"/>
  <c r="G2451" i="13"/>
  <c r="F2451" i="13"/>
  <c r="E2451" i="13"/>
  <c r="D2451" i="13"/>
  <c r="C2451" i="13"/>
  <c r="B2451" i="13"/>
  <c r="A2451" i="13"/>
  <c r="I2450" i="13"/>
  <c r="H2450" i="13"/>
  <c r="G2450" i="13"/>
  <c r="F2450" i="13"/>
  <c r="E2450" i="13"/>
  <c r="D2450" i="13"/>
  <c r="C2450" i="13"/>
  <c r="B2450" i="13"/>
  <c r="A2450" i="13"/>
  <c r="I2449" i="13"/>
  <c r="H2449" i="13"/>
  <c r="G2449" i="13"/>
  <c r="F2449" i="13"/>
  <c r="E2449" i="13"/>
  <c r="D2449" i="13"/>
  <c r="C2449" i="13"/>
  <c r="B2449" i="13"/>
  <c r="A2449" i="13"/>
  <c r="I2448" i="13"/>
  <c r="H2448" i="13"/>
  <c r="G2448" i="13"/>
  <c r="F2448" i="13"/>
  <c r="E2448" i="13"/>
  <c r="D2448" i="13"/>
  <c r="C2448" i="13"/>
  <c r="B2448" i="13"/>
  <c r="A2448" i="13"/>
  <c r="I2447" i="13"/>
  <c r="H2447" i="13"/>
  <c r="G2447" i="13"/>
  <c r="F2447" i="13"/>
  <c r="E2447" i="13"/>
  <c r="D2447" i="13"/>
  <c r="C2447" i="13"/>
  <c r="B2447" i="13"/>
  <c r="A2447" i="13"/>
  <c r="I2446" i="13"/>
  <c r="H2446" i="13"/>
  <c r="G2446" i="13"/>
  <c r="F2446" i="13"/>
  <c r="E2446" i="13"/>
  <c r="D2446" i="13"/>
  <c r="C2446" i="13"/>
  <c r="B2446" i="13"/>
  <c r="A2446" i="13"/>
  <c r="I2445" i="13"/>
  <c r="H2445" i="13"/>
  <c r="G2445" i="13"/>
  <c r="F2445" i="13"/>
  <c r="E2445" i="13"/>
  <c r="D2445" i="13"/>
  <c r="C2445" i="13"/>
  <c r="B2445" i="13"/>
  <c r="A2445" i="13"/>
  <c r="I2444" i="13"/>
  <c r="H2444" i="13"/>
  <c r="G2444" i="13"/>
  <c r="F2444" i="13"/>
  <c r="E2444" i="13"/>
  <c r="D2444" i="13"/>
  <c r="C2444" i="13"/>
  <c r="B2444" i="13"/>
  <c r="A2444" i="13"/>
  <c r="I2443" i="13"/>
  <c r="H2443" i="13"/>
  <c r="G2443" i="13"/>
  <c r="F2443" i="13"/>
  <c r="E2443" i="13"/>
  <c r="D2443" i="13"/>
  <c r="C2443" i="13"/>
  <c r="B2443" i="13"/>
  <c r="A2443" i="13"/>
  <c r="I2442" i="13"/>
  <c r="H2442" i="13"/>
  <c r="G2442" i="13"/>
  <c r="F2442" i="13"/>
  <c r="E2442" i="13"/>
  <c r="D2442" i="13"/>
  <c r="C2442" i="13"/>
  <c r="B2442" i="13"/>
  <c r="A2442" i="13"/>
  <c r="I2441" i="13"/>
  <c r="H2441" i="13"/>
  <c r="G2441" i="13"/>
  <c r="F2441" i="13"/>
  <c r="E2441" i="13"/>
  <c r="D2441" i="13"/>
  <c r="C2441" i="13"/>
  <c r="B2441" i="13"/>
  <c r="A2441" i="13"/>
  <c r="I2440" i="13"/>
  <c r="H2440" i="13"/>
  <c r="G2440" i="13"/>
  <c r="F2440" i="13"/>
  <c r="E2440" i="13"/>
  <c r="D2440" i="13"/>
  <c r="C2440" i="13"/>
  <c r="B2440" i="13"/>
  <c r="A2440" i="13"/>
  <c r="I2439" i="13"/>
  <c r="H2439" i="13"/>
  <c r="G2439" i="13"/>
  <c r="F2439" i="13"/>
  <c r="E2439" i="13"/>
  <c r="D2439" i="13"/>
  <c r="C2439" i="13"/>
  <c r="B2439" i="13"/>
  <c r="A2439" i="13"/>
  <c r="I2438" i="13"/>
  <c r="H2438" i="13"/>
  <c r="G2438" i="13"/>
  <c r="F2438" i="13"/>
  <c r="E2438" i="13"/>
  <c r="D2438" i="13"/>
  <c r="C2438" i="13"/>
  <c r="B2438" i="13"/>
  <c r="A2438" i="13"/>
  <c r="I2437" i="13"/>
  <c r="H2437" i="13"/>
  <c r="G2437" i="13"/>
  <c r="F2437" i="13"/>
  <c r="E2437" i="13"/>
  <c r="D2437" i="13"/>
  <c r="C2437" i="13"/>
  <c r="B2437" i="13"/>
  <c r="A2437" i="13"/>
  <c r="I2436" i="13"/>
  <c r="H2436" i="13"/>
  <c r="G2436" i="13"/>
  <c r="F2436" i="13"/>
  <c r="E2436" i="13"/>
  <c r="D2436" i="13"/>
  <c r="E135" i="16" s="1"/>
  <c r="C2436" i="13"/>
  <c r="B2436" i="13"/>
  <c r="A2436" i="13"/>
  <c r="I2435" i="13"/>
  <c r="H2435" i="13"/>
  <c r="G2435" i="13"/>
  <c r="F2435" i="13"/>
  <c r="E2435" i="13"/>
  <c r="D2435" i="13"/>
  <c r="C2435" i="13"/>
  <c r="B2435" i="13"/>
  <c r="A2435" i="13"/>
  <c r="I2434" i="13"/>
  <c r="H2434" i="13"/>
  <c r="G2434" i="13"/>
  <c r="F2434" i="13"/>
  <c r="E2434" i="13"/>
  <c r="D2434" i="13"/>
  <c r="C2434" i="13"/>
  <c r="B2434" i="13"/>
  <c r="A2434" i="13"/>
  <c r="I2433" i="13"/>
  <c r="H2433" i="13"/>
  <c r="G2433" i="13"/>
  <c r="F2433" i="13"/>
  <c r="E2433" i="13"/>
  <c r="D2433" i="13"/>
  <c r="C2433" i="13"/>
  <c r="B2433" i="13"/>
  <c r="A2433" i="13"/>
  <c r="I2432" i="13"/>
  <c r="H2432" i="13"/>
  <c r="G2432" i="13"/>
  <c r="F2432" i="13"/>
  <c r="E2432" i="13"/>
  <c r="D2432" i="13"/>
  <c r="C2432" i="13"/>
  <c r="B2432" i="13"/>
  <c r="A2432" i="13"/>
  <c r="I2431" i="13"/>
  <c r="H2431" i="13"/>
  <c r="G2431" i="13"/>
  <c r="F2431" i="13"/>
  <c r="E2431" i="13"/>
  <c r="D2431" i="13"/>
  <c r="C2431" i="13"/>
  <c r="B2431" i="13"/>
  <c r="A2431" i="13"/>
  <c r="I2430" i="13"/>
  <c r="H2430" i="13"/>
  <c r="G2430" i="13"/>
  <c r="F2430" i="13"/>
  <c r="E2430" i="13"/>
  <c r="D2430" i="13"/>
  <c r="C2430" i="13"/>
  <c r="B2430" i="13"/>
  <c r="A2430" i="13"/>
  <c r="I2429" i="13"/>
  <c r="H2429" i="13"/>
  <c r="G2429" i="13"/>
  <c r="F2429" i="13"/>
  <c r="E2429" i="13"/>
  <c r="D2429" i="13"/>
  <c r="C2429" i="13"/>
  <c r="B2429" i="13"/>
  <c r="A2429" i="13"/>
  <c r="I2428" i="13"/>
  <c r="H2428" i="13"/>
  <c r="G2428" i="13"/>
  <c r="F2428" i="13"/>
  <c r="E2428" i="13"/>
  <c r="D2428" i="13"/>
  <c r="C2428" i="13"/>
  <c r="B2428" i="13"/>
  <c r="A2428" i="13"/>
  <c r="I2427" i="13"/>
  <c r="A135" i="16" s="1"/>
  <c r="B135" i="16" s="1"/>
  <c r="H2427" i="13"/>
  <c r="G2427" i="13"/>
  <c r="F2427" i="13"/>
  <c r="D135" i="16" s="1"/>
  <c r="J135" i="16" s="1"/>
  <c r="E2427" i="13"/>
  <c r="D2427" i="13"/>
  <c r="C2427" i="13"/>
  <c r="B2427" i="13"/>
  <c r="A2427" i="13"/>
  <c r="I2426" i="13"/>
  <c r="H2426" i="13"/>
  <c r="G2426" i="13"/>
  <c r="F2426" i="13"/>
  <c r="E2426" i="13"/>
  <c r="D2426" i="13"/>
  <c r="C2426" i="13"/>
  <c r="B2426" i="13"/>
  <c r="A2426" i="13"/>
  <c r="I2425" i="13"/>
  <c r="H2425" i="13"/>
  <c r="G2425" i="13"/>
  <c r="F2425" i="13"/>
  <c r="E2425" i="13"/>
  <c r="D2425" i="13"/>
  <c r="C2425" i="13"/>
  <c r="B2425" i="13"/>
  <c r="A2425" i="13"/>
  <c r="I2424" i="13"/>
  <c r="H2424" i="13"/>
  <c r="G2424" i="13"/>
  <c r="F2424" i="13"/>
  <c r="E2424" i="13"/>
  <c r="D2424" i="13"/>
  <c r="C2424" i="13"/>
  <c r="B2424" i="13"/>
  <c r="A2424" i="13"/>
  <c r="I2423" i="13"/>
  <c r="H2423" i="13"/>
  <c r="G2423" i="13"/>
  <c r="F2423" i="13"/>
  <c r="E2423" i="13"/>
  <c r="D2423" i="13"/>
  <c r="C2423" i="13"/>
  <c r="B2423" i="13"/>
  <c r="A2423" i="13"/>
  <c r="I2422" i="13"/>
  <c r="H2422" i="13"/>
  <c r="G2422" i="13"/>
  <c r="F2422" i="13"/>
  <c r="E2422" i="13"/>
  <c r="D2422" i="13"/>
  <c r="C2422" i="13"/>
  <c r="B2422" i="13"/>
  <c r="A2422" i="13"/>
  <c r="I2421" i="13"/>
  <c r="H2421" i="13"/>
  <c r="G2421" i="13"/>
  <c r="F2421" i="13"/>
  <c r="E2421" i="13"/>
  <c r="D2421" i="13"/>
  <c r="C2421" i="13"/>
  <c r="B2421" i="13"/>
  <c r="A2421" i="13"/>
  <c r="I2420" i="13"/>
  <c r="H2420" i="13"/>
  <c r="G2420" i="13"/>
  <c r="F2420" i="13"/>
  <c r="E2420" i="13"/>
  <c r="D2420" i="13"/>
  <c r="C2420" i="13"/>
  <c r="B2420" i="13"/>
  <c r="A2420" i="13"/>
  <c r="I2419" i="13"/>
  <c r="H2419" i="13"/>
  <c r="G2419" i="13"/>
  <c r="F2419" i="13"/>
  <c r="E2419" i="13"/>
  <c r="D2419" i="13"/>
  <c r="C2419" i="13"/>
  <c r="B2419" i="13"/>
  <c r="A2419" i="13"/>
  <c r="I2418" i="13"/>
  <c r="H2418" i="13"/>
  <c r="G2418" i="13"/>
  <c r="F2418" i="13"/>
  <c r="E2418" i="13"/>
  <c r="D2418" i="13"/>
  <c r="E134" i="16" s="1"/>
  <c r="C2418" i="13"/>
  <c r="B2418" i="13"/>
  <c r="A2418" i="13"/>
  <c r="I2417" i="13"/>
  <c r="H2417" i="13"/>
  <c r="G2417" i="13"/>
  <c r="F2417" i="13"/>
  <c r="E2417" i="13"/>
  <c r="D2417" i="13"/>
  <c r="C2417" i="13"/>
  <c r="B2417" i="13"/>
  <c r="A2417" i="13"/>
  <c r="I2416" i="13"/>
  <c r="H2416" i="13"/>
  <c r="G2416" i="13"/>
  <c r="F2416" i="13"/>
  <c r="E2416" i="13"/>
  <c r="D2416" i="13"/>
  <c r="C2416" i="13"/>
  <c r="B2416" i="13"/>
  <c r="A2416" i="13"/>
  <c r="I2415" i="13"/>
  <c r="H2415" i="13"/>
  <c r="G2415" i="13"/>
  <c r="F2415" i="13"/>
  <c r="E2415" i="13"/>
  <c r="D2415" i="13"/>
  <c r="C2415" i="13"/>
  <c r="B2415" i="13"/>
  <c r="A2415" i="13"/>
  <c r="I2414" i="13"/>
  <c r="H2414" i="13"/>
  <c r="G2414" i="13"/>
  <c r="F2414" i="13"/>
  <c r="E2414" i="13"/>
  <c r="D2414" i="13"/>
  <c r="C2414" i="13"/>
  <c r="B2414" i="13"/>
  <c r="A2414" i="13"/>
  <c r="I2413" i="13"/>
  <c r="H2413" i="13"/>
  <c r="G2413" i="13"/>
  <c r="F2413" i="13"/>
  <c r="E2413" i="13"/>
  <c r="D2413" i="13"/>
  <c r="C2413" i="13"/>
  <c r="B2413" i="13"/>
  <c r="A2413" i="13"/>
  <c r="I2412" i="13"/>
  <c r="H2412" i="13"/>
  <c r="G2412" i="13"/>
  <c r="F2412" i="13"/>
  <c r="E2412" i="13"/>
  <c r="D2412" i="13"/>
  <c r="C2412" i="13"/>
  <c r="B2412" i="13"/>
  <c r="A2412" i="13"/>
  <c r="I2411" i="13"/>
  <c r="H2411" i="13"/>
  <c r="G2411" i="13"/>
  <c r="F2411" i="13"/>
  <c r="E2411" i="13"/>
  <c r="D2411" i="13"/>
  <c r="C2411" i="13"/>
  <c r="B2411" i="13"/>
  <c r="A2411" i="13"/>
  <c r="I2410" i="13"/>
  <c r="H2410" i="13"/>
  <c r="G2410" i="13"/>
  <c r="F2410" i="13"/>
  <c r="E2410" i="13"/>
  <c r="D2410" i="13"/>
  <c r="C2410" i="13"/>
  <c r="B2410" i="13"/>
  <c r="A2410" i="13"/>
  <c r="I2409" i="13"/>
  <c r="H2409" i="13"/>
  <c r="G2409" i="13"/>
  <c r="F2409" i="13"/>
  <c r="E2409" i="13"/>
  <c r="D2409" i="13"/>
  <c r="C2409" i="13"/>
  <c r="B2409" i="13"/>
  <c r="A2409" i="13"/>
  <c r="I2408" i="13"/>
  <c r="A134" i="16" s="1"/>
  <c r="B134" i="16" s="1"/>
  <c r="H2408" i="13"/>
  <c r="G2408" i="13"/>
  <c r="F2408" i="13"/>
  <c r="D134" i="16" s="1"/>
  <c r="E2408" i="13"/>
  <c r="D2408" i="13"/>
  <c r="C2408" i="13"/>
  <c r="B2408" i="13"/>
  <c r="A2408" i="13"/>
  <c r="I2407" i="13"/>
  <c r="H2407" i="13"/>
  <c r="G2407" i="13"/>
  <c r="F2407" i="13"/>
  <c r="E2407" i="13"/>
  <c r="D2407" i="13"/>
  <c r="C2407" i="13"/>
  <c r="B2407" i="13"/>
  <c r="A2407" i="13"/>
  <c r="I2406" i="13"/>
  <c r="H2406" i="13"/>
  <c r="G2406" i="13"/>
  <c r="F2406" i="13"/>
  <c r="E2406" i="13"/>
  <c r="D2406" i="13"/>
  <c r="C2406" i="13"/>
  <c r="B2406" i="13"/>
  <c r="A2406" i="13"/>
  <c r="I2405" i="13"/>
  <c r="H2405" i="13"/>
  <c r="G2405" i="13"/>
  <c r="F2405" i="13"/>
  <c r="E2405" i="13"/>
  <c r="D2405" i="13"/>
  <c r="C2405" i="13"/>
  <c r="B2405" i="13"/>
  <c r="A2405" i="13"/>
  <c r="I2404" i="13"/>
  <c r="H2404" i="13"/>
  <c r="G2404" i="13"/>
  <c r="F2404" i="13"/>
  <c r="E2404" i="13"/>
  <c r="D2404" i="13"/>
  <c r="C2404" i="13"/>
  <c r="B2404" i="13"/>
  <c r="A2404" i="13"/>
  <c r="I2403" i="13"/>
  <c r="H2403" i="13"/>
  <c r="G2403" i="13"/>
  <c r="F2403" i="13"/>
  <c r="E2403" i="13"/>
  <c r="D2403" i="13"/>
  <c r="C2403" i="13"/>
  <c r="B2403" i="13"/>
  <c r="A2403" i="13"/>
  <c r="I2402" i="13"/>
  <c r="H2402" i="13"/>
  <c r="G2402" i="13"/>
  <c r="F2402" i="13"/>
  <c r="E2402" i="13"/>
  <c r="D2402" i="13"/>
  <c r="C2402" i="13"/>
  <c r="B2402" i="13"/>
  <c r="A2402" i="13"/>
  <c r="I2401" i="13"/>
  <c r="H2401" i="13"/>
  <c r="G2401" i="13"/>
  <c r="F2401" i="13"/>
  <c r="E2401" i="13"/>
  <c r="D2401" i="13"/>
  <c r="E133" i="16" s="1"/>
  <c r="C2401" i="13"/>
  <c r="B2401" i="13"/>
  <c r="A2401" i="13"/>
  <c r="I2400" i="13"/>
  <c r="H2400" i="13"/>
  <c r="G2400" i="13"/>
  <c r="F2400" i="13"/>
  <c r="E2400" i="13"/>
  <c r="D2400" i="13"/>
  <c r="C2400" i="13"/>
  <c r="B2400" i="13"/>
  <c r="A2400" i="13"/>
  <c r="I2399" i="13"/>
  <c r="H2399" i="13"/>
  <c r="G2399" i="13"/>
  <c r="F2399" i="13"/>
  <c r="E2399" i="13"/>
  <c r="D2399" i="13"/>
  <c r="C2399" i="13"/>
  <c r="B2399" i="13"/>
  <c r="A2399" i="13"/>
  <c r="I2398" i="13"/>
  <c r="H2398" i="13"/>
  <c r="G2398" i="13"/>
  <c r="F2398" i="13"/>
  <c r="E2398" i="13"/>
  <c r="D2398" i="13"/>
  <c r="C2398" i="13"/>
  <c r="B2398" i="13"/>
  <c r="A2398" i="13"/>
  <c r="I2397" i="13"/>
  <c r="H2397" i="13"/>
  <c r="G2397" i="13"/>
  <c r="F2397" i="13"/>
  <c r="E2397" i="13"/>
  <c r="D2397" i="13"/>
  <c r="C2397" i="13"/>
  <c r="B2397" i="13"/>
  <c r="A2397" i="13"/>
  <c r="I2396" i="13"/>
  <c r="H2396" i="13"/>
  <c r="G2396" i="13"/>
  <c r="F2396" i="13"/>
  <c r="E2396" i="13"/>
  <c r="D2396" i="13"/>
  <c r="C2396" i="13"/>
  <c r="B2396" i="13"/>
  <c r="A2396" i="13"/>
  <c r="I2395" i="13"/>
  <c r="H2395" i="13"/>
  <c r="G2395" i="13"/>
  <c r="F2395" i="13"/>
  <c r="E2395" i="13"/>
  <c r="D2395" i="13"/>
  <c r="C2395" i="13"/>
  <c r="B2395" i="13"/>
  <c r="A2395" i="13"/>
  <c r="I2394" i="13"/>
  <c r="H2394" i="13"/>
  <c r="G2394" i="13"/>
  <c r="F2394" i="13"/>
  <c r="E2394" i="13"/>
  <c r="D2394" i="13"/>
  <c r="C2394" i="13"/>
  <c r="B2394" i="13"/>
  <c r="A2394" i="13"/>
  <c r="I2393" i="13"/>
  <c r="H2393" i="13"/>
  <c r="G2393" i="13"/>
  <c r="F2393" i="13"/>
  <c r="E2393" i="13"/>
  <c r="D2393" i="13"/>
  <c r="C2393" i="13"/>
  <c r="B2393" i="13"/>
  <c r="A2393" i="13"/>
  <c r="I2392" i="13"/>
  <c r="H2392" i="13"/>
  <c r="G2392" i="13"/>
  <c r="F2392" i="13"/>
  <c r="E2392" i="13"/>
  <c r="D2392" i="13"/>
  <c r="C2392" i="13"/>
  <c r="B2392" i="13"/>
  <c r="A2392" i="13"/>
  <c r="I2391" i="13"/>
  <c r="A133" i="16" s="1"/>
  <c r="B133" i="16" s="1"/>
  <c r="H2391" i="13"/>
  <c r="G2391" i="13"/>
  <c r="F2391" i="13"/>
  <c r="D133" i="16" s="1"/>
  <c r="E2391" i="13"/>
  <c r="D2391" i="13"/>
  <c r="C2391" i="13"/>
  <c r="B2391" i="13"/>
  <c r="A2391" i="13"/>
  <c r="I2390" i="13"/>
  <c r="H2390" i="13"/>
  <c r="G2390" i="13"/>
  <c r="F2390" i="13"/>
  <c r="E2390" i="13"/>
  <c r="D2390" i="13"/>
  <c r="C2390" i="13"/>
  <c r="B2390" i="13"/>
  <c r="A2390" i="13"/>
  <c r="I2389" i="13"/>
  <c r="H2389" i="13"/>
  <c r="G2389" i="13"/>
  <c r="F2389" i="13"/>
  <c r="E2389" i="13"/>
  <c r="D2389" i="13"/>
  <c r="C2389" i="13"/>
  <c r="B2389" i="13"/>
  <c r="A2389" i="13"/>
  <c r="I2388" i="13"/>
  <c r="H2388" i="13"/>
  <c r="G2388" i="13"/>
  <c r="F2388" i="13"/>
  <c r="E2388" i="13"/>
  <c r="D2388" i="13"/>
  <c r="C2388" i="13"/>
  <c r="B2388" i="13"/>
  <c r="A2388" i="13"/>
  <c r="I2387" i="13"/>
  <c r="H2387" i="13"/>
  <c r="G2387" i="13"/>
  <c r="F2387" i="13"/>
  <c r="E2387" i="13"/>
  <c r="D2387" i="13"/>
  <c r="C2387" i="13"/>
  <c r="B2387" i="13"/>
  <c r="A2387" i="13"/>
  <c r="I2386" i="13"/>
  <c r="H2386" i="13"/>
  <c r="G2386" i="13"/>
  <c r="F2386" i="13"/>
  <c r="E2386" i="13"/>
  <c r="D2386" i="13"/>
  <c r="E132" i="16" s="1"/>
  <c r="C2386" i="13"/>
  <c r="B2386" i="13"/>
  <c r="A2386" i="13"/>
  <c r="I2385" i="13"/>
  <c r="H2385" i="13"/>
  <c r="G2385" i="13"/>
  <c r="F2385" i="13"/>
  <c r="E2385" i="13"/>
  <c r="D2385" i="13"/>
  <c r="C2385" i="13"/>
  <c r="B2385" i="13"/>
  <c r="A2385" i="13"/>
  <c r="I2384" i="13"/>
  <c r="H2384" i="13"/>
  <c r="G2384" i="13"/>
  <c r="F2384" i="13"/>
  <c r="E2384" i="13"/>
  <c r="D2384" i="13"/>
  <c r="C2384" i="13"/>
  <c r="B2384" i="13"/>
  <c r="A2384" i="13"/>
  <c r="I2383" i="13"/>
  <c r="H2383" i="13"/>
  <c r="G2383" i="13"/>
  <c r="F2383" i="13"/>
  <c r="E2383" i="13"/>
  <c r="D2383" i="13"/>
  <c r="C2383" i="13"/>
  <c r="B2383" i="13"/>
  <c r="A2383" i="13"/>
  <c r="I2382" i="13"/>
  <c r="H2382" i="13"/>
  <c r="G2382" i="13"/>
  <c r="F2382" i="13"/>
  <c r="E2382" i="13"/>
  <c r="D2382" i="13"/>
  <c r="C2382" i="13"/>
  <c r="B2382" i="13"/>
  <c r="A2382" i="13"/>
  <c r="I2381" i="13"/>
  <c r="H2381" i="13"/>
  <c r="G2381" i="13"/>
  <c r="F2381" i="13"/>
  <c r="E2381" i="13"/>
  <c r="D2381" i="13"/>
  <c r="C2381" i="13"/>
  <c r="B2381" i="13"/>
  <c r="A2381" i="13"/>
  <c r="I2380" i="13"/>
  <c r="A132" i="16" s="1"/>
  <c r="B132" i="16" s="1"/>
  <c r="H2380" i="13"/>
  <c r="G2380" i="13"/>
  <c r="F2380" i="13"/>
  <c r="D132" i="16" s="1"/>
  <c r="E2380" i="13"/>
  <c r="D2380" i="13"/>
  <c r="C2380" i="13"/>
  <c r="B2380" i="13"/>
  <c r="A2380" i="13"/>
  <c r="I2379" i="13"/>
  <c r="H2379" i="13"/>
  <c r="G2379" i="13"/>
  <c r="F2379" i="13"/>
  <c r="E2379" i="13"/>
  <c r="D2379" i="13"/>
  <c r="C2379" i="13"/>
  <c r="B2379" i="13"/>
  <c r="A2379" i="13"/>
  <c r="I2378" i="13"/>
  <c r="H2378" i="13"/>
  <c r="G2378" i="13"/>
  <c r="F2378" i="13"/>
  <c r="E2378" i="13"/>
  <c r="D2378" i="13"/>
  <c r="C2378" i="13"/>
  <c r="B2378" i="13"/>
  <c r="A2378" i="13"/>
  <c r="I2377" i="13"/>
  <c r="H2377" i="13"/>
  <c r="G2377" i="13"/>
  <c r="F2377" i="13"/>
  <c r="E2377" i="13"/>
  <c r="D2377" i="13"/>
  <c r="C2377" i="13"/>
  <c r="B2377" i="13"/>
  <c r="A2377" i="13"/>
  <c r="I2376" i="13"/>
  <c r="H2376" i="13"/>
  <c r="G2376" i="13"/>
  <c r="F2376" i="13"/>
  <c r="E2376" i="13"/>
  <c r="D2376" i="13"/>
  <c r="C2376" i="13"/>
  <c r="B2376" i="13"/>
  <c r="A2376" i="13"/>
  <c r="I2375" i="13"/>
  <c r="H2375" i="13"/>
  <c r="G2375" i="13"/>
  <c r="F2375" i="13"/>
  <c r="E2375" i="13"/>
  <c r="D2375" i="13"/>
  <c r="C2375" i="13"/>
  <c r="B2375" i="13"/>
  <c r="A2375" i="13"/>
  <c r="I2374" i="13"/>
  <c r="H2374" i="13"/>
  <c r="G2374" i="13"/>
  <c r="F2374" i="13"/>
  <c r="E2374" i="13"/>
  <c r="D2374" i="13"/>
  <c r="C2374" i="13"/>
  <c r="B2374" i="13"/>
  <c r="A2374" i="13"/>
  <c r="I2373" i="13"/>
  <c r="H2373" i="13"/>
  <c r="G2373" i="13"/>
  <c r="F2373" i="13"/>
  <c r="E2373" i="13"/>
  <c r="D2373" i="13"/>
  <c r="E131" i="16" s="1"/>
  <c r="C2373" i="13"/>
  <c r="B2373" i="13"/>
  <c r="A2373" i="13"/>
  <c r="I2372" i="13"/>
  <c r="H2372" i="13"/>
  <c r="G2372" i="13"/>
  <c r="F2372" i="13"/>
  <c r="E2372" i="13"/>
  <c r="D2372" i="13"/>
  <c r="C2372" i="13"/>
  <c r="B2372" i="13"/>
  <c r="A2372" i="13"/>
  <c r="I2371" i="13"/>
  <c r="H2371" i="13"/>
  <c r="G2371" i="13"/>
  <c r="F2371" i="13"/>
  <c r="E2371" i="13"/>
  <c r="D2371" i="13"/>
  <c r="C2371" i="13"/>
  <c r="B2371" i="13"/>
  <c r="A2371" i="13"/>
  <c r="I2370" i="13"/>
  <c r="H2370" i="13"/>
  <c r="G2370" i="13"/>
  <c r="F2370" i="13"/>
  <c r="E2370" i="13"/>
  <c r="D2370" i="13"/>
  <c r="C2370" i="13"/>
  <c r="B2370" i="13"/>
  <c r="A2370" i="13"/>
  <c r="I2369" i="13"/>
  <c r="H2369" i="13"/>
  <c r="G2369" i="13"/>
  <c r="F2369" i="13"/>
  <c r="E2369" i="13"/>
  <c r="D2369" i="13"/>
  <c r="C2369" i="13"/>
  <c r="B2369" i="13"/>
  <c r="A2369" i="13"/>
  <c r="I2368" i="13"/>
  <c r="H2368" i="13"/>
  <c r="G2368" i="13"/>
  <c r="F2368" i="13"/>
  <c r="E2368" i="13"/>
  <c r="D2368" i="13"/>
  <c r="C2368" i="13"/>
  <c r="B2368" i="13"/>
  <c r="A2368" i="13"/>
  <c r="I2367" i="13"/>
  <c r="H2367" i="13"/>
  <c r="G2367" i="13"/>
  <c r="F2367" i="13"/>
  <c r="E2367" i="13"/>
  <c r="D2367" i="13"/>
  <c r="C2367" i="13"/>
  <c r="B2367" i="13"/>
  <c r="A2367" i="13"/>
  <c r="I2366" i="13"/>
  <c r="H2366" i="13"/>
  <c r="G2366" i="13"/>
  <c r="F2366" i="13"/>
  <c r="E2366" i="13"/>
  <c r="D2366" i="13"/>
  <c r="C2366" i="13"/>
  <c r="B2366" i="13"/>
  <c r="A2366" i="13"/>
  <c r="I2365" i="13"/>
  <c r="H2365" i="13"/>
  <c r="G2365" i="13"/>
  <c r="F2365" i="13"/>
  <c r="E2365" i="13"/>
  <c r="D2365" i="13"/>
  <c r="C2365" i="13"/>
  <c r="B2365" i="13"/>
  <c r="A2365" i="13"/>
  <c r="I2364" i="13"/>
  <c r="A131" i="16" s="1"/>
  <c r="B131" i="16" s="1"/>
  <c r="H2364" i="13"/>
  <c r="G2364" i="13"/>
  <c r="F2364" i="13"/>
  <c r="D131" i="16" s="1"/>
  <c r="E2364" i="13"/>
  <c r="D2364" i="13"/>
  <c r="C2364" i="13"/>
  <c r="B2364" i="13"/>
  <c r="A2364" i="13"/>
  <c r="I2363" i="13"/>
  <c r="H2363" i="13"/>
  <c r="G2363" i="13"/>
  <c r="F2363" i="13"/>
  <c r="E2363" i="13"/>
  <c r="D2363" i="13"/>
  <c r="C2363" i="13"/>
  <c r="B2363" i="13"/>
  <c r="A2363" i="13"/>
  <c r="I2362" i="13"/>
  <c r="H2362" i="13"/>
  <c r="G2362" i="13"/>
  <c r="F2362" i="13"/>
  <c r="E2362" i="13"/>
  <c r="D2362" i="13"/>
  <c r="C2362" i="13"/>
  <c r="B2362" i="13"/>
  <c r="A2362" i="13"/>
  <c r="I2361" i="13"/>
  <c r="H2361" i="13"/>
  <c r="G2361" i="13"/>
  <c r="F2361" i="13"/>
  <c r="E2361" i="13"/>
  <c r="D2361" i="13"/>
  <c r="C2361" i="13"/>
  <c r="B2361" i="13"/>
  <c r="A2361" i="13"/>
  <c r="I2360" i="13"/>
  <c r="H2360" i="13"/>
  <c r="G2360" i="13"/>
  <c r="F2360" i="13"/>
  <c r="E2360" i="13"/>
  <c r="D2360" i="13"/>
  <c r="C2360" i="13"/>
  <c r="B2360" i="13"/>
  <c r="A2360" i="13"/>
  <c r="I2359" i="13"/>
  <c r="H2359" i="13"/>
  <c r="G2359" i="13"/>
  <c r="F2359" i="13"/>
  <c r="E2359" i="13"/>
  <c r="D2359" i="13"/>
  <c r="C2359" i="13"/>
  <c r="B2359" i="13"/>
  <c r="A2359" i="13"/>
  <c r="I2358" i="13"/>
  <c r="H2358" i="13"/>
  <c r="G2358" i="13"/>
  <c r="F2358" i="13"/>
  <c r="E2358" i="13"/>
  <c r="D2358" i="13"/>
  <c r="E130" i="16" s="1"/>
  <c r="C2358" i="13"/>
  <c r="B2358" i="13"/>
  <c r="A2358" i="13"/>
  <c r="I2357" i="13"/>
  <c r="H2357" i="13"/>
  <c r="G2357" i="13"/>
  <c r="F2357" i="13"/>
  <c r="E2357" i="13"/>
  <c r="D2357" i="13"/>
  <c r="C2357" i="13"/>
  <c r="B2357" i="13"/>
  <c r="A2357" i="13"/>
  <c r="I2356" i="13"/>
  <c r="H2356" i="13"/>
  <c r="G2356" i="13"/>
  <c r="F2356" i="13"/>
  <c r="E2356" i="13"/>
  <c r="D2356" i="13"/>
  <c r="C2356" i="13"/>
  <c r="B2356" i="13"/>
  <c r="A2356" i="13"/>
  <c r="I2355" i="13"/>
  <c r="H2355" i="13"/>
  <c r="G2355" i="13"/>
  <c r="F2355" i="13"/>
  <c r="E2355" i="13"/>
  <c r="D2355" i="13"/>
  <c r="C2355" i="13"/>
  <c r="B2355" i="13"/>
  <c r="A2355" i="13"/>
  <c r="I2354" i="13"/>
  <c r="H2354" i="13"/>
  <c r="G2354" i="13"/>
  <c r="F2354" i="13"/>
  <c r="E2354" i="13"/>
  <c r="D2354" i="13"/>
  <c r="C2354" i="13"/>
  <c r="B2354" i="13"/>
  <c r="A2354" i="13"/>
  <c r="I2353" i="13"/>
  <c r="H2353" i="13"/>
  <c r="G2353" i="13"/>
  <c r="F2353" i="13"/>
  <c r="E2353" i="13"/>
  <c r="D2353" i="13"/>
  <c r="C2353" i="13"/>
  <c r="B2353" i="13"/>
  <c r="A2353" i="13"/>
  <c r="I2352" i="13"/>
  <c r="H2352" i="13"/>
  <c r="G2352" i="13"/>
  <c r="F2352" i="13"/>
  <c r="E2352" i="13"/>
  <c r="D2352" i="13"/>
  <c r="C2352" i="13"/>
  <c r="B2352" i="13"/>
  <c r="A2352" i="13"/>
  <c r="I2351" i="13"/>
  <c r="H2351" i="13"/>
  <c r="G2351" i="13"/>
  <c r="F2351" i="13"/>
  <c r="E2351" i="13"/>
  <c r="D2351" i="13"/>
  <c r="C2351" i="13"/>
  <c r="B2351" i="13"/>
  <c r="A2351" i="13"/>
  <c r="I2350" i="13"/>
  <c r="H2350" i="13"/>
  <c r="G2350" i="13"/>
  <c r="F2350" i="13"/>
  <c r="E2350" i="13"/>
  <c r="D2350" i="13"/>
  <c r="C2350" i="13"/>
  <c r="B2350" i="13"/>
  <c r="A2350" i="13"/>
  <c r="I2349" i="13"/>
  <c r="H2349" i="13"/>
  <c r="G2349" i="13"/>
  <c r="F2349" i="13"/>
  <c r="E2349" i="13"/>
  <c r="D2349" i="13"/>
  <c r="C2349" i="13"/>
  <c r="B2349" i="13"/>
  <c r="A2349" i="13"/>
  <c r="I2348" i="13"/>
  <c r="A130" i="16" s="1"/>
  <c r="B130" i="16" s="1"/>
  <c r="H2348" i="13"/>
  <c r="G2348" i="13"/>
  <c r="F2348" i="13"/>
  <c r="D130" i="16" s="1"/>
  <c r="E2348" i="13"/>
  <c r="D2348" i="13"/>
  <c r="C2348" i="13"/>
  <c r="B2348" i="13"/>
  <c r="A2348" i="13"/>
  <c r="I2347" i="13"/>
  <c r="H2347" i="13"/>
  <c r="G2347" i="13"/>
  <c r="F2347" i="13"/>
  <c r="E2347" i="13"/>
  <c r="D2347" i="13"/>
  <c r="C2347" i="13"/>
  <c r="B2347" i="13"/>
  <c r="A2347" i="13"/>
  <c r="I2346" i="13"/>
  <c r="H2346" i="13"/>
  <c r="G2346" i="13"/>
  <c r="F2346" i="13"/>
  <c r="E2346" i="13"/>
  <c r="D2346" i="13"/>
  <c r="C2346" i="13"/>
  <c r="B2346" i="13"/>
  <c r="A2346" i="13"/>
  <c r="I2345" i="13"/>
  <c r="H2345" i="13"/>
  <c r="G2345" i="13"/>
  <c r="F2345" i="13"/>
  <c r="E2345" i="13"/>
  <c r="D2345" i="13"/>
  <c r="C2345" i="13"/>
  <c r="B2345" i="13"/>
  <c r="A2345" i="13"/>
  <c r="I2344" i="13"/>
  <c r="H2344" i="13"/>
  <c r="G2344" i="13"/>
  <c r="F2344" i="13"/>
  <c r="E2344" i="13"/>
  <c r="D2344" i="13"/>
  <c r="C2344" i="13"/>
  <c r="B2344" i="13"/>
  <c r="A2344" i="13"/>
  <c r="I2343" i="13"/>
  <c r="H2343" i="13"/>
  <c r="G2343" i="13"/>
  <c r="F2343" i="13"/>
  <c r="E2343" i="13"/>
  <c r="D2343" i="13"/>
  <c r="C2343" i="13"/>
  <c r="B2343" i="13"/>
  <c r="A2343" i="13"/>
  <c r="I2342" i="13"/>
  <c r="H2342" i="13"/>
  <c r="G2342" i="13"/>
  <c r="F2342" i="13"/>
  <c r="E2342" i="13"/>
  <c r="D2342" i="13"/>
  <c r="C2342" i="13"/>
  <c r="B2342" i="13"/>
  <c r="A2342" i="13"/>
  <c r="I2341" i="13"/>
  <c r="H2341" i="13"/>
  <c r="G2341" i="13"/>
  <c r="F2341" i="13"/>
  <c r="E2341" i="13"/>
  <c r="D2341" i="13"/>
  <c r="C2341" i="13"/>
  <c r="B2341" i="13"/>
  <c r="A2341" i="13"/>
  <c r="I2340" i="13"/>
  <c r="H2340" i="13"/>
  <c r="G2340" i="13"/>
  <c r="F2340" i="13"/>
  <c r="E2340" i="13"/>
  <c r="D2340" i="13"/>
  <c r="E129" i="16" s="1"/>
  <c r="C2340" i="13"/>
  <c r="B2340" i="13"/>
  <c r="A2340" i="13"/>
  <c r="I2339" i="13"/>
  <c r="H2339" i="13"/>
  <c r="G2339" i="13"/>
  <c r="F2339" i="13"/>
  <c r="E2339" i="13"/>
  <c r="D2339" i="13"/>
  <c r="C2339" i="13"/>
  <c r="B2339" i="13"/>
  <c r="A2339" i="13"/>
  <c r="I2338" i="13"/>
  <c r="H2338" i="13"/>
  <c r="G2338" i="13"/>
  <c r="F2338" i="13"/>
  <c r="E2338" i="13"/>
  <c r="D2338" i="13"/>
  <c r="C2338" i="13"/>
  <c r="B2338" i="13"/>
  <c r="A2338" i="13"/>
  <c r="I2337" i="13"/>
  <c r="H2337" i="13"/>
  <c r="G2337" i="13"/>
  <c r="F2337" i="13"/>
  <c r="E2337" i="13"/>
  <c r="D2337" i="13"/>
  <c r="C2337" i="13"/>
  <c r="B2337" i="13"/>
  <c r="A2337" i="13"/>
  <c r="I2336" i="13"/>
  <c r="H2336" i="13"/>
  <c r="G2336" i="13"/>
  <c r="F2336" i="13"/>
  <c r="E2336" i="13"/>
  <c r="D2336" i="13"/>
  <c r="C2336" i="13"/>
  <c r="B2336" i="13"/>
  <c r="A2336" i="13"/>
  <c r="I2335" i="13"/>
  <c r="H2335" i="13"/>
  <c r="G2335" i="13"/>
  <c r="F2335" i="13"/>
  <c r="E2335" i="13"/>
  <c r="D2335" i="13"/>
  <c r="C2335" i="13"/>
  <c r="B2335" i="13"/>
  <c r="A2335" i="13"/>
  <c r="I2334" i="13"/>
  <c r="H2334" i="13"/>
  <c r="G2334" i="13"/>
  <c r="F2334" i="13"/>
  <c r="E2334" i="13"/>
  <c r="D2334" i="13"/>
  <c r="C2334" i="13"/>
  <c r="B2334" i="13"/>
  <c r="A2334" i="13"/>
  <c r="I2333" i="13"/>
  <c r="H2333" i="13"/>
  <c r="G2333" i="13"/>
  <c r="F2333" i="13"/>
  <c r="E2333" i="13"/>
  <c r="D2333" i="13"/>
  <c r="C2333" i="13"/>
  <c r="B2333" i="13"/>
  <c r="A2333" i="13"/>
  <c r="I2332" i="13"/>
  <c r="H2332" i="13"/>
  <c r="G2332" i="13"/>
  <c r="F2332" i="13"/>
  <c r="E2332" i="13"/>
  <c r="D2332" i="13"/>
  <c r="C2332" i="13"/>
  <c r="B2332" i="13"/>
  <c r="A2332" i="13"/>
  <c r="I2331" i="13"/>
  <c r="A129" i="16" s="1"/>
  <c r="B129" i="16" s="1"/>
  <c r="H2331" i="13"/>
  <c r="G2331" i="13"/>
  <c r="F2331" i="13"/>
  <c r="D129" i="16" s="1"/>
  <c r="E2331" i="13"/>
  <c r="D2331" i="13"/>
  <c r="C2331" i="13"/>
  <c r="B2331" i="13"/>
  <c r="A2331" i="13"/>
  <c r="I2330" i="13"/>
  <c r="H2330" i="13"/>
  <c r="G2330" i="13"/>
  <c r="F2330" i="13"/>
  <c r="E2330" i="13"/>
  <c r="D2330" i="13"/>
  <c r="C2330" i="13"/>
  <c r="B2330" i="13"/>
  <c r="A2330" i="13"/>
  <c r="I2329" i="13"/>
  <c r="H2329" i="13"/>
  <c r="G2329" i="13"/>
  <c r="F2329" i="13"/>
  <c r="E2329" i="13"/>
  <c r="D2329" i="13"/>
  <c r="C2329" i="13"/>
  <c r="B2329" i="13"/>
  <c r="A2329" i="13"/>
  <c r="I2328" i="13"/>
  <c r="H2328" i="13"/>
  <c r="G2328" i="13"/>
  <c r="F2328" i="13"/>
  <c r="E2328" i="13"/>
  <c r="D2328" i="13"/>
  <c r="C2328" i="13"/>
  <c r="B2328" i="13"/>
  <c r="A2328" i="13"/>
  <c r="I2327" i="13"/>
  <c r="H2327" i="13"/>
  <c r="G2327" i="13"/>
  <c r="F2327" i="13"/>
  <c r="E2327" i="13"/>
  <c r="D2327" i="13"/>
  <c r="C2327" i="13"/>
  <c r="B2327" i="13"/>
  <c r="A2327" i="13"/>
  <c r="I2326" i="13"/>
  <c r="H2326" i="13"/>
  <c r="G2326" i="13"/>
  <c r="F2326" i="13"/>
  <c r="E2326" i="13"/>
  <c r="D2326" i="13"/>
  <c r="C2326" i="13"/>
  <c r="B2326" i="13"/>
  <c r="A2326" i="13"/>
  <c r="I2325" i="13"/>
  <c r="H2325" i="13"/>
  <c r="G2325" i="13"/>
  <c r="F2325" i="13"/>
  <c r="E2325" i="13"/>
  <c r="D2325" i="13"/>
  <c r="C2325" i="13"/>
  <c r="B2325" i="13"/>
  <c r="A2325" i="13"/>
  <c r="I2324" i="13"/>
  <c r="H2324" i="13"/>
  <c r="G2324" i="13"/>
  <c r="F2324" i="13"/>
  <c r="E2324" i="13"/>
  <c r="D2324" i="13"/>
  <c r="C2324" i="13"/>
  <c r="B2324" i="13"/>
  <c r="A2324" i="13"/>
  <c r="I2323" i="13"/>
  <c r="H2323" i="13"/>
  <c r="G2323" i="13"/>
  <c r="F2323" i="13"/>
  <c r="E2323" i="13"/>
  <c r="D2323" i="13"/>
  <c r="E128" i="16" s="1"/>
  <c r="C2323" i="13"/>
  <c r="B2323" i="13"/>
  <c r="A2323" i="13"/>
  <c r="I2322" i="13"/>
  <c r="H2322" i="13"/>
  <c r="G2322" i="13"/>
  <c r="F2322" i="13"/>
  <c r="E2322" i="13"/>
  <c r="D2322" i="13"/>
  <c r="C2322" i="13"/>
  <c r="B2322" i="13"/>
  <c r="A2322" i="13"/>
  <c r="I2321" i="13"/>
  <c r="H2321" i="13"/>
  <c r="G2321" i="13"/>
  <c r="F2321" i="13"/>
  <c r="E2321" i="13"/>
  <c r="D2321" i="13"/>
  <c r="C2321" i="13"/>
  <c r="B2321" i="13"/>
  <c r="A2321" i="13"/>
  <c r="I2320" i="13"/>
  <c r="H2320" i="13"/>
  <c r="G2320" i="13"/>
  <c r="F2320" i="13"/>
  <c r="E2320" i="13"/>
  <c r="D2320" i="13"/>
  <c r="C2320" i="13"/>
  <c r="B2320" i="13"/>
  <c r="A2320" i="13"/>
  <c r="I2319" i="13"/>
  <c r="H2319" i="13"/>
  <c r="G2319" i="13"/>
  <c r="F2319" i="13"/>
  <c r="E2319" i="13"/>
  <c r="D2319" i="13"/>
  <c r="C2319" i="13"/>
  <c r="B2319" i="13"/>
  <c r="A2319" i="13"/>
  <c r="I2318" i="13"/>
  <c r="H2318" i="13"/>
  <c r="G2318" i="13"/>
  <c r="F2318" i="13"/>
  <c r="E2318" i="13"/>
  <c r="D2318" i="13"/>
  <c r="C2318" i="13"/>
  <c r="B2318" i="13"/>
  <c r="A2318" i="13"/>
  <c r="I2317" i="13"/>
  <c r="H2317" i="13"/>
  <c r="G2317" i="13"/>
  <c r="F2317" i="13"/>
  <c r="E2317" i="13"/>
  <c r="D2317" i="13"/>
  <c r="C2317" i="13"/>
  <c r="B2317" i="13"/>
  <c r="A2317" i="13"/>
  <c r="I2316" i="13"/>
  <c r="H2316" i="13"/>
  <c r="G2316" i="13"/>
  <c r="F2316" i="13"/>
  <c r="E2316" i="13"/>
  <c r="D2316" i="13"/>
  <c r="C2316" i="13"/>
  <c r="B2316" i="13"/>
  <c r="A2316" i="13"/>
  <c r="I2315" i="13"/>
  <c r="H2315" i="13"/>
  <c r="G2315" i="13"/>
  <c r="F2315" i="13"/>
  <c r="E2315" i="13"/>
  <c r="D2315" i="13"/>
  <c r="C2315" i="13"/>
  <c r="B2315" i="13"/>
  <c r="A2315" i="13"/>
  <c r="I2314" i="13"/>
  <c r="H2314" i="13"/>
  <c r="G2314" i="13"/>
  <c r="F2314" i="13"/>
  <c r="E2314" i="13"/>
  <c r="D2314" i="13"/>
  <c r="C2314" i="13"/>
  <c r="B2314" i="13"/>
  <c r="A2314" i="13"/>
  <c r="I2313" i="13"/>
  <c r="A128" i="16" s="1"/>
  <c r="B128" i="16" s="1"/>
  <c r="H2313" i="13"/>
  <c r="G2313" i="13"/>
  <c r="F2313" i="13"/>
  <c r="D128" i="16" s="1"/>
  <c r="E2313" i="13"/>
  <c r="D2313" i="13"/>
  <c r="C2313" i="13"/>
  <c r="B2313" i="13"/>
  <c r="A2313" i="13"/>
  <c r="I2312" i="13"/>
  <c r="H2312" i="13"/>
  <c r="G2312" i="13"/>
  <c r="F2312" i="13"/>
  <c r="E2312" i="13"/>
  <c r="D2312" i="13"/>
  <c r="C2312" i="13"/>
  <c r="B2312" i="13"/>
  <c r="A2312" i="13"/>
  <c r="I2311" i="13"/>
  <c r="H2311" i="13"/>
  <c r="G2311" i="13"/>
  <c r="F2311" i="13"/>
  <c r="E2311" i="13"/>
  <c r="D2311" i="13"/>
  <c r="C2311" i="13"/>
  <c r="B2311" i="13"/>
  <c r="A2311" i="13"/>
  <c r="I2310" i="13"/>
  <c r="H2310" i="13"/>
  <c r="G2310" i="13"/>
  <c r="F2310" i="13"/>
  <c r="E2310" i="13"/>
  <c r="D2310" i="13"/>
  <c r="C2310" i="13"/>
  <c r="B2310" i="13"/>
  <c r="A2310" i="13"/>
  <c r="I2309" i="13"/>
  <c r="H2309" i="13"/>
  <c r="G2309" i="13"/>
  <c r="F2309" i="13"/>
  <c r="E2309" i="13"/>
  <c r="D2309" i="13"/>
  <c r="C2309" i="13"/>
  <c r="B2309" i="13"/>
  <c r="A2309" i="13"/>
  <c r="I2308" i="13"/>
  <c r="H2308" i="13"/>
  <c r="G2308" i="13"/>
  <c r="F2308" i="13"/>
  <c r="E2308" i="13"/>
  <c r="D2308" i="13"/>
  <c r="C2308" i="13"/>
  <c r="B2308" i="13"/>
  <c r="A2308" i="13"/>
  <c r="I2307" i="13"/>
  <c r="H2307" i="13"/>
  <c r="G2307" i="13"/>
  <c r="F2307" i="13"/>
  <c r="E2307" i="13"/>
  <c r="D2307" i="13"/>
  <c r="C2307" i="13"/>
  <c r="B2307" i="13"/>
  <c r="A2307" i="13"/>
  <c r="I2306" i="13"/>
  <c r="H2306" i="13"/>
  <c r="G2306" i="13"/>
  <c r="F2306" i="13"/>
  <c r="E2306" i="13"/>
  <c r="D2306" i="13"/>
  <c r="C2306" i="13"/>
  <c r="B2306" i="13"/>
  <c r="A2306" i="13"/>
  <c r="I2305" i="13"/>
  <c r="H2305" i="13"/>
  <c r="G2305" i="13"/>
  <c r="F2305" i="13"/>
  <c r="E2305" i="13"/>
  <c r="D2305" i="13"/>
  <c r="C2305" i="13"/>
  <c r="B2305" i="13"/>
  <c r="A2305" i="13"/>
  <c r="I2304" i="13"/>
  <c r="H2304" i="13"/>
  <c r="G2304" i="13"/>
  <c r="F2304" i="13"/>
  <c r="E2304" i="13"/>
  <c r="D2304" i="13"/>
  <c r="C2304" i="13"/>
  <c r="B2304" i="13"/>
  <c r="A2304" i="13"/>
  <c r="I2303" i="13"/>
  <c r="H2303" i="13"/>
  <c r="G2303" i="13"/>
  <c r="F2303" i="13"/>
  <c r="E2303" i="13"/>
  <c r="D2303" i="13"/>
  <c r="C2303" i="13"/>
  <c r="B2303" i="13"/>
  <c r="A2303" i="13"/>
  <c r="I2302" i="13"/>
  <c r="H2302" i="13"/>
  <c r="G2302" i="13"/>
  <c r="F2302" i="13"/>
  <c r="E2302" i="13"/>
  <c r="D2302" i="13"/>
  <c r="C2302" i="13"/>
  <c r="B2302" i="13"/>
  <c r="A2302" i="13"/>
  <c r="I2301" i="13"/>
  <c r="H2301" i="13"/>
  <c r="G2301" i="13"/>
  <c r="F2301" i="13"/>
  <c r="E2301" i="13"/>
  <c r="D2301" i="13"/>
  <c r="C2301" i="13"/>
  <c r="B2301" i="13"/>
  <c r="A2301" i="13"/>
  <c r="I2300" i="13"/>
  <c r="H2300" i="13"/>
  <c r="G2300" i="13"/>
  <c r="F2300" i="13"/>
  <c r="E2300" i="13"/>
  <c r="D2300" i="13"/>
  <c r="C2300" i="13"/>
  <c r="B2300" i="13"/>
  <c r="A2300" i="13"/>
  <c r="I2299" i="13"/>
  <c r="H2299" i="13"/>
  <c r="G2299" i="13"/>
  <c r="F2299" i="13"/>
  <c r="E2299" i="13"/>
  <c r="D2299" i="13"/>
  <c r="C2299" i="13"/>
  <c r="B2299" i="13"/>
  <c r="A2299" i="13"/>
  <c r="I2298" i="13"/>
  <c r="H2298" i="13"/>
  <c r="G2298" i="13"/>
  <c r="F2298" i="13"/>
  <c r="E2298" i="13"/>
  <c r="D2298" i="13"/>
  <c r="C2298" i="13"/>
  <c r="B2298" i="13"/>
  <c r="A2298" i="13"/>
  <c r="I2297" i="13"/>
  <c r="H2297" i="13"/>
  <c r="G2297" i="13"/>
  <c r="F2297" i="13"/>
  <c r="E2297" i="13"/>
  <c r="D2297" i="13"/>
  <c r="C2297" i="13"/>
  <c r="B2297" i="13"/>
  <c r="A2297" i="13"/>
  <c r="I2296" i="13"/>
  <c r="H2296" i="13"/>
  <c r="G2296" i="13"/>
  <c r="F2296" i="13"/>
  <c r="E2296" i="13"/>
  <c r="D2296" i="13"/>
  <c r="C2296" i="13"/>
  <c r="B2296" i="13"/>
  <c r="A2296" i="13"/>
  <c r="I2295" i="13"/>
  <c r="H2295" i="13"/>
  <c r="G2295" i="13"/>
  <c r="F2295" i="13"/>
  <c r="E2295" i="13"/>
  <c r="D2295" i="13"/>
  <c r="C2295" i="13"/>
  <c r="B2295" i="13"/>
  <c r="A2295" i="13"/>
  <c r="I2294" i="13"/>
  <c r="A127" i="16" s="1"/>
  <c r="B127" i="16" s="1"/>
  <c r="H2294" i="13"/>
  <c r="G2294" i="13"/>
  <c r="F2294" i="13"/>
  <c r="D127" i="16" s="1"/>
  <c r="E2294" i="13"/>
  <c r="D2294" i="13"/>
  <c r="C2294" i="13"/>
  <c r="B2294" i="13"/>
  <c r="A2294" i="13"/>
  <c r="I2293" i="13"/>
  <c r="H2293" i="13"/>
  <c r="G2293" i="13"/>
  <c r="F2293" i="13"/>
  <c r="E2293" i="13"/>
  <c r="D2293" i="13"/>
  <c r="C2293" i="13"/>
  <c r="B2293" i="13"/>
  <c r="A2293" i="13"/>
  <c r="I2292" i="13"/>
  <c r="H2292" i="13"/>
  <c r="G2292" i="13"/>
  <c r="F2292" i="13"/>
  <c r="E2292" i="13"/>
  <c r="D2292" i="13"/>
  <c r="C2292" i="13"/>
  <c r="B2292" i="13"/>
  <c r="A2292" i="13"/>
  <c r="I2291" i="13"/>
  <c r="H2291" i="13"/>
  <c r="G2291" i="13"/>
  <c r="F2291" i="13"/>
  <c r="E2291" i="13"/>
  <c r="D2291" i="13"/>
  <c r="C2291" i="13"/>
  <c r="B2291" i="13"/>
  <c r="A2291" i="13"/>
  <c r="I2290" i="13"/>
  <c r="H2290" i="13"/>
  <c r="G2290" i="13"/>
  <c r="F2290" i="13"/>
  <c r="E2290" i="13"/>
  <c r="D2290" i="13"/>
  <c r="C2290" i="13"/>
  <c r="B2290" i="13"/>
  <c r="A2290" i="13"/>
  <c r="I2289" i="13"/>
  <c r="H2289" i="13"/>
  <c r="G2289" i="13"/>
  <c r="F2289" i="13"/>
  <c r="E2289" i="13"/>
  <c r="D2289" i="13"/>
  <c r="C2289" i="13"/>
  <c r="B2289" i="13"/>
  <c r="A2289" i="13"/>
  <c r="I2288" i="13"/>
  <c r="H2288" i="13"/>
  <c r="G2288" i="13"/>
  <c r="F2288" i="13"/>
  <c r="E2288" i="13"/>
  <c r="D2288" i="13"/>
  <c r="C2288" i="13"/>
  <c r="B2288" i="13"/>
  <c r="A2288" i="13"/>
  <c r="I2287" i="13"/>
  <c r="H2287" i="13"/>
  <c r="G2287" i="13"/>
  <c r="F2287" i="13"/>
  <c r="E2287" i="13"/>
  <c r="D2287" i="13"/>
  <c r="C2287" i="13"/>
  <c r="B2287" i="13"/>
  <c r="A2287" i="13"/>
  <c r="I2286" i="13"/>
  <c r="H2286" i="13"/>
  <c r="G2286" i="13"/>
  <c r="F2286" i="13"/>
  <c r="E2286" i="13"/>
  <c r="D2286" i="13"/>
  <c r="C2286" i="13"/>
  <c r="B2286" i="13"/>
  <c r="A2286" i="13"/>
  <c r="I2285" i="13"/>
  <c r="H2285" i="13"/>
  <c r="G2285" i="13"/>
  <c r="F2285" i="13"/>
  <c r="E2285" i="13"/>
  <c r="D2285" i="13"/>
  <c r="E126" i="16" s="1"/>
  <c r="S3" i="60" s="1"/>
  <c r="E18" i="60" s="1"/>
  <c r="C2285" i="13"/>
  <c r="B2285" i="13"/>
  <c r="A2285" i="13"/>
  <c r="I2284" i="13"/>
  <c r="H2284" i="13"/>
  <c r="G2284" i="13"/>
  <c r="F2284" i="13"/>
  <c r="E2284" i="13"/>
  <c r="D2284" i="13"/>
  <c r="C2284" i="13"/>
  <c r="B2284" i="13"/>
  <c r="A2284" i="13"/>
  <c r="I2283" i="13"/>
  <c r="H2283" i="13"/>
  <c r="G2283" i="13"/>
  <c r="F2283" i="13"/>
  <c r="E2283" i="13"/>
  <c r="D2283" i="13"/>
  <c r="C2283" i="13"/>
  <c r="B2283" i="13"/>
  <c r="A2283" i="13"/>
  <c r="I2282" i="13"/>
  <c r="H2282" i="13"/>
  <c r="G2282" i="13"/>
  <c r="F2282" i="13"/>
  <c r="E2282" i="13"/>
  <c r="D2282" i="13"/>
  <c r="C2282" i="13"/>
  <c r="B2282" i="13"/>
  <c r="A2282" i="13"/>
  <c r="I2281" i="13"/>
  <c r="H2281" i="13"/>
  <c r="G2281" i="13"/>
  <c r="F2281" i="13"/>
  <c r="E2281" i="13"/>
  <c r="D2281" i="13"/>
  <c r="C2281" i="13"/>
  <c r="B2281" i="13"/>
  <c r="A2281" i="13"/>
  <c r="I2280" i="13"/>
  <c r="H2280" i="13"/>
  <c r="G2280" i="13"/>
  <c r="F2280" i="13"/>
  <c r="E2280" i="13"/>
  <c r="D2280" i="13"/>
  <c r="C2280" i="13"/>
  <c r="B2280" i="13"/>
  <c r="A2280" i="13"/>
  <c r="I2279" i="13"/>
  <c r="H2279" i="13"/>
  <c r="G2279" i="13"/>
  <c r="F2279" i="13"/>
  <c r="E2279" i="13"/>
  <c r="D2279" i="13"/>
  <c r="C2279" i="13"/>
  <c r="B2279" i="13"/>
  <c r="A2279" i="13"/>
  <c r="I2278" i="13"/>
  <c r="H2278" i="13"/>
  <c r="G2278" i="13"/>
  <c r="F2278" i="13"/>
  <c r="E2278" i="13"/>
  <c r="D2278" i="13"/>
  <c r="C2278" i="13"/>
  <c r="B2278" i="13"/>
  <c r="A2278" i="13"/>
  <c r="I2277" i="13"/>
  <c r="H2277" i="13"/>
  <c r="G2277" i="13"/>
  <c r="F2277" i="13"/>
  <c r="E2277" i="13"/>
  <c r="D2277" i="13"/>
  <c r="C2277" i="13"/>
  <c r="B2277" i="13"/>
  <c r="A2277" i="13"/>
  <c r="I2276" i="13"/>
  <c r="H2276" i="13"/>
  <c r="G2276" i="13"/>
  <c r="F2276" i="13"/>
  <c r="E2276" i="13"/>
  <c r="D2276" i="13"/>
  <c r="C2276" i="13"/>
  <c r="B2276" i="13"/>
  <c r="A2276" i="13"/>
  <c r="I2275" i="13"/>
  <c r="A126" i="16" s="1"/>
  <c r="B126" i="16" s="1"/>
  <c r="H2275" i="13"/>
  <c r="G2275" i="13"/>
  <c r="F2275" i="13"/>
  <c r="D126" i="16" s="1"/>
  <c r="S2" i="60" s="1"/>
  <c r="E2275" i="13"/>
  <c r="D2275" i="13"/>
  <c r="C2275" i="13"/>
  <c r="B2275" i="13"/>
  <c r="A2275" i="13"/>
  <c r="I2274" i="13"/>
  <c r="H2274" i="13"/>
  <c r="G2274" i="13"/>
  <c r="F2274" i="13"/>
  <c r="E2274" i="13"/>
  <c r="D2274" i="13"/>
  <c r="C2274" i="13"/>
  <c r="B2274" i="13"/>
  <c r="A2274" i="13"/>
  <c r="I2273" i="13"/>
  <c r="H2273" i="13"/>
  <c r="G2273" i="13"/>
  <c r="F2273" i="13"/>
  <c r="E2273" i="13"/>
  <c r="D2273" i="13"/>
  <c r="C2273" i="13"/>
  <c r="B2273" i="13"/>
  <c r="A2273" i="13"/>
  <c r="I2272" i="13"/>
  <c r="H2272" i="13"/>
  <c r="G2272" i="13"/>
  <c r="F2272" i="13"/>
  <c r="E2272" i="13"/>
  <c r="D2272" i="13"/>
  <c r="C2272" i="13"/>
  <c r="B2272" i="13"/>
  <c r="A2272" i="13"/>
  <c r="I2271" i="13"/>
  <c r="H2271" i="13"/>
  <c r="G2271" i="13"/>
  <c r="F2271" i="13"/>
  <c r="E2271" i="13"/>
  <c r="D2271" i="13"/>
  <c r="C2271" i="13"/>
  <c r="B2271" i="13"/>
  <c r="A2271" i="13"/>
  <c r="I2270" i="13"/>
  <c r="H2270" i="13"/>
  <c r="G2270" i="13"/>
  <c r="F2270" i="13"/>
  <c r="E2270" i="13"/>
  <c r="D2270" i="13"/>
  <c r="C2270" i="13"/>
  <c r="B2270" i="13"/>
  <c r="A2270" i="13"/>
  <c r="I2269" i="13"/>
  <c r="H2269" i="13"/>
  <c r="G2269" i="13"/>
  <c r="F2269" i="13"/>
  <c r="E2269" i="13"/>
  <c r="D2269" i="13"/>
  <c r="C2269" i="13"/>
  <c r="B2269" i="13"/>
  <c r="A2269" i="13"/>
  <c r="I2268" i="13"/>
  <c r="H2268" i="13"/>
  <c r="G2268" i="13"/>
  <c r="F2268" i="13"/>
  <c r="E2268" i="13"/>
  <c r="D2268" i="13"/>
  <c r="C2268" i="13"/>
  <c r="B2268" i="13"/>
  <c r="A2268" i="13"/>
  <c r="I2267" i="13"/>
  <c r="H2267" i="13"/>
  <c r="G2267" i="13"/>
  <c r="F2267" i="13"/>
  <c r="E2267" i="13"/>
  <c r="D2267" i="13"/>
  <c r="C2267" i="13"/>
  <c r="B2267" i="13"/>
  <c r="A2267" i="13"/>
  <c r="I2266" i="13"/>
  <c r="A125" i="16" s="1"/>
  <c r="B125" i="16" s="1"/>
  <c r="H2266" i="13"/>
  <c r="G2266" i="13"/>
  <c r="F2266" i="13"/>
  <c r="D125" i="16" s="1"/>
  <c r="E2266" i="13"/>
  <c r="D2266" i="13"/>
  <c r="C2266" i="13"/>
  <c r="D2259" i="13" s="1"/>
  <c r="E125" i="16" s="1"/>
  <c r="B2266" i="13"/>
  <c r="A2266" i="13"/>
  <c r="I2265" i="13"/>
  <c r="H2265" i="13"/>
  <c r="G2265" i="13"/>
  <c r="F2265" i="13"/>
  <c r="E2265" i="13"/>
  <c r="D2265" i="13"/>
  <c r="C2265" i="13"/>
  <c r="B2265" i="13"/>
  <c r="A2265" i="13"/>
  <c r="I2264" i="13"/>
  <c r="H2264" i="13"/>
  <c r="G2264" i="13"/>
  <c r="F2264" i="13"/>
  <c r="E2264" i="13"/>
  <c r="D2264" i="13"/>
  <c r="C2264" i="13"/>
  <c r="B2264" i="13"/>
  <c r="A2264" i="13"/>
  <c r="I2263" i="13"/>
  <c r="H2263" i="13"/>
  <c r="G2263" i="13"/>
  <c r="F2263" i="13"/>
  <c r="E2263" i="13"/>
  <c r="D2263" i="13"/>
  <c r="C2263" i="13"/>
  <c r="B2263" i="13"/>
  <c r="A2263" i="13"/>
  <c r="I2262" i="13"/>
  <c r="H2262" i="13"/>
  <c r="G2262" i="13"/>
  <c r="F2262" i="13"/>
  <c r="E2262" i="13"/>
  <c r="D2262" i="13"/>
  <c r="C2262" i="13"/>
  <c r="B2262" i="13"/>
  <c r="A2262" i="13"/>
  <c r="I2261" i="13"/>
  <c r="H2261" i="13"/>
  <c r="G2261" i="13"/>
  <c r="F2261" i="13"/>
  <c r="E2261" i="13"/>
  <c r="D2261" i="13"/>
  <c r="C2261" i="13"/>
  <c r="B2261" i="13"/>
  <c r="A2261" i="13"/>
  <c r="I2260" i="13"/>
  <c r="H2260" i="13"/>
  <c r="G2260" i="13"/>
  <c r="F2260" i="13"/>
  <c r="E2260" i="13"/>
  <c r="D2260" i="13"/>
  <c r="C2260" i="13"/>
  <c r="B2260" i="13"/>
  <c r="A2260" i="13"/>
  <c r="I2259" i="13"/>
  <c r="H2259" i="13"/>
  <c r="G2259" i="13"/>
  <c r="F2259" i="13"/>
  <c r="E2259" i="13"/>
  <c r="C2259" i="13"/>
  <c r="B2259" i="13"/>
  <c r="A2259" i="13"/>
  <c r="I2258" i="13"/>
  <c r="H2258" i="13"/>
  <c r="G2258" i="13"/>
  <c r="F2258" i="13"/>
  <c r="E2258" i="13"/>
  <c r="D2258" i="13"/>
  <c r="C2258" i="13"/>
  <c r="B2258" i="13"/>
  <c r="A2258" i="13"/>
  <c r="I2257" i="13"/>
  <c r="H2257" i="13"/>
  <c r="G2257" i="13"/>
  <c r="F2257" i="13"/>
  <c r="E2257" i="13"/>
  <c r="C2257" i="13"/>
  <c r="B2257" i="13"/>
  <c r="A2257" i="13"/>
  <c r="I2256" i="13"/>
  <c r="H2256" i="13"/>
  <c r="G2256" i="13"/>
  <c r="F2256" i="13"/>
  <c r="E2256" i="13"/>
  <c r="D2256" i="13"/>
  <c r="C2256" i="13"/>
  <c r="B2256" i="13"/>
  <c r="A2256" i="13"/>
  <c r="I2255" i="13"/>
  <c r="H2255" i="13"/>
  <c r="G2255" i="13"/>
  <c r="F2255" i="13"/>
  <c r="E2255" i="13"/>
  <c r="D2255" i="13"/>
  <c r="C2255" i="13"/>
  <c r="B2255" i="13"/>
  <c r="A2255" i="13"/>
  <c r="I2254" i="13"/>
  <c r="H2254" i="13"/>
  <c r="G2254" i="13"/>
  <c r="F2254" i="13"/>
  <c r="E2254" i="13"/>
  <c r="D2254" i="13"/>
  <c r="C2254" i="13"/>
  <c r="B2254" i="13"/>
  <c r="A2254" i="13"/>
  <c r="I2253" i="13"/>
  <c r="H2253" i="13"/>
  <c r="G2253" i="13"/>
  <c r="F2253" i="13"/>
  <c r="E2253" i="13"/>
  <c r="D2253" i="13"/>
  <c r="C2253" i="13"/>
  <c r="B2253" i="13"/>
  <c r="A2253" i="13"/>
  <c r="I2252" i="13"/>
  <c r="H2252" i="13"/>
  <c r="G2252" i="13"/>
  <c r="F2252" i="13"/>
  <c r="E2252" i="13"/>
  <c r="D2252" i="13"/>
  <c r="C2252" i="13"/>
  <c r="B2252" i="13"/>
  <c r="A2252" i="13"/>
  <c r="I2251" i="13"/>
  <c r="H2251" i="13"/>
  <c r="G2251" i="13"/>
  <c r="F2251" i="13"/>
  <c r="E2251" i="13"/>
  <c r="D2251" i="13"/>
  <c r="C2251" i="13"/>
  <c r="B2251" i="13"/>
  <c r="A2251" i="13"/>
  <c r="I2250" i="13"/>
  <c r="H2250" i="13"/>
  <c r="G2250" i="13"/>
  <c r="F2250" i="13"/>
  <c r="E2250" i="13"/>
  <c r="D2250" i="13"/>
  <c r="E124" i="16" s="1"/>
  <c r="C2250" i="13"/>
  <c r="B2250" i="13"/>
  <c r="A2250" i="13"/>
  <c r="I2249" i="13"/>
  <c r="H2249" i="13"/>
  <c r="G2249" i="13"/>
  <c r="F2249" i="13"/>
  <c r="E2249" i="13"/>
  <c r="D2249" i="13"/>
  <c r="C2249" i="13"/>
  <c r="B2249" i="13"/>
  <c r="A2249" i="13"/>
  <c r="I2248" i="13"/>
  <c r="H2248" i="13"/>
  <c r="G2248" i="13"/>
  <c r="F2248" i="13"/>
  <c r="E2248" i="13"/>
  <c r="D2248" i="13"/>
  <c r="C2248" i="13"/>
  <c r="B2248" i="13"/>
  <c r="A2248" i="13"/>
  <c r="I2247" i="13"/>
  <c r="H2247" i="13"/>
  <c r="G2247" i="13"/>
  <c r="F2247" i="13"/>
  <c r="E2247" i="13"/>
  <c r="D2247" i="13"/>
  <c r="C2247" i="13"/>
  <c r="B2247" i="13"/>
  <c r="A2247" i="13"/>
  <c r="I2246" i="13"/>
  <c r="H2246" i="13"/>
  <c r="G2246" i="13"/>
  <c r="F2246" i="13"/>
  <c r="E2246" i="13"/>
  <c r="D2246" i="13"/>
  <c r="C2246" i="13"/>
  <c r="B2246" i="13"/>
  <c r="A2246" i="13"/>
  <c r="I2245" i="13"/>
  <c r="H2245" i="13"/>
  <c r="G2245" i="13"/>
  <c r="F2245" i="13"/>
  <c r="E2245" i="13"/>
  <c r="D2245" i="13"/>
  <c r="C2245" i="13"/>
  <c r="B2245" i="13"/>
  <c r="A2245" i="13"/>
  <c r="I2244" i="13"/>
  <c r="H2244" i="13"/>
  <c r="G2244" i="13"/>
  <c r="F2244" i="13"/>
  <c r="E2244" i="13"/>
  <c r="D2244" i="13"/>
  <c r="C2244" i="13"/>
  <c r="B2244" i="13"/>
  <c r="A2244" i="13"/>
  <c r="I2243" i="13"/>
  <c r="H2243" i="13"/>
  <c r="G2243" i="13"/>
  <c r="F2243" i="13"/>
  <c r="E2243" i="13"/>
  <c r="D2243" i="13"/>
  <c r="C2243" i="13"/>
  <c r="B2243" i="13"/>
  <c r="A2243" i="13"/>
  <c r="I2242" i="13"/>
  <c r="H2242" i="13"/>
  <c r="G2242" i="13"/>
  <c r="F2242" i="13"/>
  <c r="E2242" i="13"/>
  <c r="D2242" i="13"/>
  <c r="C2242" i="13"/>
  <c r="B2242" i="13"/>
  <c r="A2242" i="13"/>
  <c r="I2241" i="13"/>
  <c r="H2241" i="13"/>
  <c r="G2241" i="13"/>
  <c r="F2241" i="13"/>
  <c r="E2241" i="13"/>
  <c r="D2241" i="13"/>
  <c r="C2241" i="13"/>
  <c r="B2241" i="13"/>
  <c r="A2241" i="13"/>
  <c r="I2240" i="13"/>
  <c r="A124" i="16" s="1"/>
  <c r="B124" i="16" s="1"/>
  <c r="H2240" i="13"/>
  <c r="G2240" i="13"/>
  <c r="F2240" i="13"/>
  <c r="D124" i="16" s="1"/>
  <c r="E2240" i="13"/>
  <c r="D2240" i="13"/>
  <c r="C2240" i="13"/>
  <c r="B2240" i="13"/>
  <c r="A2240" i="13"/>
  <c r="I2239" i="13"/>
  <c r="H2239" i="13"/>
  <c r="G2239" i="13"/>
  <c r="F2239" i="13"/>
  <c r="E2239" i="13"/>
  <c r="D2239" i="13"/>
  <c r="C2239" i="13"/>
  <c r="B2239" i="13"/>
  <c r="A2239" i="13"/>
  <c r="I2238" i="13"/>
  <c r="H2238" i="13"/>
  <c r="G2238" i="13"/>
  <c r="F2238" i="13"/>
  <c r="E2238" i="13"/>
  <c r="D2238" i="13"/>
  <c r="C2238" i="13"/>
  <c r="B2238" i="13"/>
  <c r="A2238" i="13"/>
  <c r="I2237" i="13"/>
  <c r="H2237" i="13"/>
  <c r="G2237" i="13"/>
  <c r="F2237" i="13"/>
  <c r="E2237" i="13"/>
  <c r="D2237" i="13"/>
  <c r="C2237" i="13"/>
  <c r="B2237" i="13"/>
  <c r="A2237" i="13"/>
  <c r="I2236" i="13"/>
  <c r="H2236" i="13"/>
  <c r="G2236" i="13"/>
  <c r="F2236" i="13"/>
  <c r="E2236" i="13"/>
  <c r="D2236" i="13"/>
  <c r="C2236" i="13"/>
  <c r="B2236" i="13"/>
  <c r="A2236" i="13"/>
  <c r="I2235" i="13"/>
  <c r="H2235" i="13"/>
  <c r="G2235" i="13"/>
  <c r="F2235" i="13"/>
  <c r="E2235" i="13"/>
  <c r="D2235" i="13"/>
  <c r="C2235" i="13"/>
  <c r="B2235" i="13"/>
  <c r="A2235" i="13"/>
  <c r="I2234" i="13"/>
  <c r="H2234" i="13"/>
  <c r="G2234" i="13"/>
  <c r="F2234" i="13"/>
  <c r="E2234" i="13"/>
  <c r="D2234" i="13"/>
  <c r="C2234" i="13"/>
  <c r="B2234" i="13"/>
  <c r="A2234" i="13"/>
  <c r="I2233" i="13"/>
  <c r="H2233" i="13"/>
  <c r="G2233" i="13"/>
  <c r="F2233" i="13"/>
  <c r="E2233" i="13"/>
  <c r="D2233" i="13"/>
  <c r="C2233" i="13"/>
  <c r="B2233" i="13"/>
  <c r="A2233" i="13"/>
  <c r="I2232" i="13"/>
  <c r="H2232" i="13"/>
  <c r="G2232" i="13"/>
  <c r="F2232" i="13"/>
  <c r="E2232" i="13"/>
  <c r="D2232" i="13"/>
  <c r="C2232" i="13"/>
  <c r="B2232" i="13"/>
  <c r="A2232" i="13"/>
  <c r="I2231" i="13"/>
  <c r="H2231" i="13"/>
  <c r="G2231" i="13"/>
  <c r="F2231" i="13"/>
  <c r="E2231" i="13"/>
  <c r="D2231" i="13"/>
  <c r="E123" i="16" s="1"/>
  <c r="C2231" i="13"/>
  <c r="B2231" i="13"/>
  <c r="A2231" i="13"/>
  <c r="I2230" i="13"/>
  <c r="H2230" i="13"/>
  <c r="G2230" i="13"/>
  <c r="F2230" i="13"/>
  <c r="E2230" i="13"/>
  <c r="D2230" i="13"/>
  <c r="C2230" i="13"/>
  <c r="B2230" i="13"/>
  <c r="A2230" i="13"/>
  <c r="I2229" i="13"/>
  <c r="H2229" i="13"/>
  <c r="G2229" i="13"/>
  <c r="F2229" i="13"/>
  <c r="E2229" i="13"/>
  <c r="D2229" i="13"/>
  <c r="C2229" i="13"/>
  <c r="B2229" i="13"/>
  <c r="A2229" i="13"/>
  <c r="I2228" i="13"/>
  <c r="H2228" i="13"/>
  <c r="G2228" i="13"/>
  <c r="F2228" i="13"/>
  <c r="E2228" i="13"/>
  <c r="D2228" i="13"/>
  <c r="C2228" i="13"/>
  <c r="B2228" i="13"/>
  <c r="A2228" i="13"/>
  <c r="I2227" i="13"/>
  <c r="H2227" i="13"/>
  <c r="G2227" i="13"/>
  <c r="F2227" i="13"/>
  <c r="E2227" i="13"/>
  <c r="D2227" i="13"/>
  <c r="C2227" i="13"/>
  <c r="B2227" i="13"/>
  <c r="A2227" i="13"/>
  <c r="I2226" i="13"/>
  <c r="H2226" i="13"/>
  <c r="G2226" i="13"/>
  <c r="F2226" i="13"/>
  <c r="E2226" i="13"/>
  <c r="D2226" i="13"/>
  <c r="C2226" i="13"/>
  <c r="B2226" i="13"/>
  <c r="A2226" i="13"/>
  <c r="I2225" i="13"/>
  <c r="H2225" i="13"/>
  <c r="G2225" i="13"/>
  <c r="F2225" i="13"/>
  <c r="E2225" i="13"/>
  <c r="D2225" i="13"/>
  <c r="C2225" i="13"/>
  <c r="B2225" i="13"/>
  <c r="A2225" i="13"/>
  <c r="I2224" i="13"/>
  <c r="H2224" i="13"/>
  <c r="G2224" i="13"/>
  <c r="F2224" i="13"/>
  <c r="E2224" i="13"/>
  <c r="D2224" i="13"/>
  <c r="C2224" i="13"/>
  <c r="B2224" i="13"/>
  <c r="A2224" i="13"/>
  <c r="I2223" i="13"/>
  <c r="H2223" i="13"/>
  <c r="G2223" i="13"/>
  <c r="F2223" i="13"/>
  <c r="E2223" i="13"/>
  <c r="D2223" i="13"/>
  <c r="C2223" i="13"/>
  <c r="B2223" i="13"/>
  <c r="A2223" i="13"/>
  <c r="I2222" i="13"/>
  <c r="A123" i="16" s="1"/>
  <c r="B123" i="16" s="1"/>
  <c r="H2222" i="13"/>
  <c r="G2222" i="13"/>
  <c r="F2222" i="13"/>
  <c r="D123" i="16" s="1"/>
  <c r="E2222" i="13"/>
  <c r="D2222" i="13"/>
  <c r="C2222" i="13"/>
  <c r="B2222" i="13"/>
  <c r="A2222" i="13"/>
  <c r="I2221" i="13"/>
  <c r="H2221" i="13"/>
  <c r="G2221" i="13"/>
  <c r="F2221" i="13"/>
  <c r="E2221" i="13"/>
  <c r="D2221" i="13"/>
  <c r="C2221" i="13"/>
  <c r="B2221" i="13"/>
  <c r="A2221" i="13"/>
  <c r="I2220" i="13"/>
  <c r="H2220" i="13"/>
  <c r="G2220" i="13"/>
  <c r="F2220" i="13"/>
  <c r="E2220" i="13"/>
  <c r="D2220" i="13"/>
  <c r="C2220" i="13"/>
  <c r="B2220" i="13"/>
  <c r="A2220" i="13"/>
  <c r="I2219" i="13"/>
  <c r="H2219" i="13"/>
  <c r="G2219" i="13"/>
  <c r="F2219" i="13"/>
  <c r="E2219" i="13"/>
  <c r="D2219" i="13"/>
  <c r="C2219" i="13"/>
  <c r="B2219" i="13"/>
  <c r="A2219" i="13"/>
  <c r="I2218" i="13"/>
  <c r="H2218" i="13"/>
  <c r="G2218" i="13"/>
  <c r="F2218" i="13"/>
  <c r="E2218" i="13"/>
  <c r="D2218" i="13"/>
  <c r="C2218" i="13"/>
  <c r="B2218" i="13"/>
  <c r="A2218" i="13"/>
  <c r="I2217" i="13"/>
  <c r="H2217" i="13"/>
  <c r="G2217" i="13"/>
  <c r="F2217" i="13"/>
  <c r="E2217" i="13"/>
  <c r="D2217" i="13"/>
  <c r="C2217" i="13"/>
  <c r="B2217" i="13"/>
  <c r="A2217" i="13"/>
  <c r="I2216" i="13"/>
  <c r="H2216" i="13"/>
  <c r="G2216" i="13"/>
  <c r="F2216" i="13"/>
  <c r="E2216" i="13"/>
  <c r="D2216" i="13"/>
  <c r="C2216" i="13"/>
  <c r="B2216" i="13"/>
  <c r="A2216" i="13"/>
  <c r="I2215" i="13"/>
  <c r="H2215" i="13"/>
  <c r="G2215" i="13"/>
  <c r="F2215" i="13"/>
  <c r="E2215" i="13"/>
  <c r="D2215" i="13"/>
  <c r="C2215" i="13"/>
  <c r="B2215" i="13"/>
  <c r="A2215" i="13"/>
  <c r="I2214" i="13"/>
  <c r="H2214" i="13"/>
  <c r="G2214" i="13"/>
  <c r="F2214" i="13"/>
  <c r="E2214" i="13"/>
  <c r="D2214" i="13"/>
  <c r="C2214" i="13"/>
  <c r="B2214" i="13"/>
  <c r="A2214" i="13"/>
  <c r="I2213" i="13"/>
  <c r="A122" i="16" s="1"/>
  <c r="B122" i="16" s="1"/>
  <c r="H2213" i="13"/>
  <c r="G2213" i="13"/>
  <c r="F2213" i="13"/>
  <c r="D122" i="16" s="1"/>
  <c r="E2213" i="13"/>
  <c r="D2213" i="13"/>
  <c r="C2213" i="13"/>
  <c r="B2213" i="13"/>
  <c r="A2213" i="13"/>
  <c r="I2212" i="13"/>
  <c r="H2212" i="13"/>
  <c r="G2212" i="13"/>
  <c r="F2212" i="13"/>
  <c r="E2212" i="13"/>
  <c r="D2212" i="13"/>
  <c r="C2212" i="13"/>
  <c r="B2212" i="13"/>
  <c r="A2212" i="13"/>
  <c r="I2211" i="13"/>
  <c r="H2211" i="13"/>
  <c r="G2211" i="13"/>
  <c r="F2211" i="13"/>
  <c r="E2211" i="13"/>
  <c r="D2211" i="13"/>
  <c r="C2211" i="13"/>
  <c r="B2211" i="13"/>
  <c r="A2211" i="13"/>
  <c r="I2210" i="13"/>
  <c r="H2210" i="13"/>
  <c r="G2210" i="13"/>
  <c r="E122" i="16" s="1"/>
  <c r="E2210" i="13"/>
  <c r="D2210" i="13"/>
  <c r="C2210" i="13"/>
  <c r="B2210" i="13"/>
  <c r="A2210" i="13"/>
  <c r="I2209" i="13"/>
  <c r="H2209" i="13"/>
  <c r="G2209" i="13"/>
  <c r="F2209" i="13"/>
  <c r="E2209" i="13"/>
  <c r="D2209" i="13"/>
  <c r="C2209" i="13"/>
  <c r="B2209" i="13"/>
  <c r="A2209" i="13"/>
  <c r="I2208" i="13"/>
  <c r="H2208" i="13"/>
  <c r="G2208" i="13"/>
  <c r="F2208" i="13"/>
  <c r="E2208" i="13"/>
  <c r="D2208" i="13"/>
  <c r="C2208" i="13"/>
  <c r="B2208" i="13"/>
  <c r="A2208" i="13"/>
  <c r="I2207" i="13"/>
  <c r="H2207" i="13"/>
  <c r="G2207" i="13"/>
  <c r="F2207" i="13"/>
  <c r="E2207" i="13"/>
  <c r="D2207" i="13"/>
  <c r="C2207" i="13"/>
  <c r="B2207" i="13"/>
  <c r="A2207" i="13"/>
  <c r="I2206" i="13"/>
  <c r="H2206" i="13"/>
  <c r="G2206" i="13"/>
  <c r="F2206" i="13"/>
  <c r="E2206" i="13"/>
  <c r="D2206" i="13"/>
  <c r="C2206" i="13"/>
  <c r="B2206" i="13"/>
  <c r="A2206" i="13"/>
  <c r="I2205" i="13"/>
  <c r="H2205" i="13"/>
  <c r="G2205" i="13"/>
  <c r="F2205" i="13"/>
  <c r="E2205" i="13"/>
  <c r="D2205" i="13"/>
  <c r="C2205" i="13"/>
  <c r="B2205" i="13"/>
  <c r="A2205" i="13"/>
  <c r="I2204" i="13"/>
  <c r="H2204" i="13"/>
  <c r="G2204" i="13"/>
  <c r="F2204" i="13"/>
  <c r="E2204" i="13"/>
  <c r="D2204" i="13"/>
  <c r="C2204" i="13"/>
  <c r="B2204" i="13"/>
  <c r="A2204" i="13"/>
  <c r="I2203" i="13"/>
  <c r="H2203" i="13"/>
  <c r="G2203" i="13"/>
  <c r="F2203" i="13"/>
  <c r="E2203" i="13"/>
  <c r="D2203" i="13"/>
  <c r="C2203" i="13"/>
  <c r="B2203" i="13"/>
  <c r="A2203" i="13"/>
  <c r="I2202" i="13"/>
  <c r="H2202" i="13"/>
  <c r="G2202" i="13"/>
  <c r="F2202" i="13"/>
  <c r="E2202" i="13"/>
  <c r="D2202" i="13"/>
  <c r="C2202" i="13"/>
  <c r="F2200" i="13" s="1"/>
  <c r="B2202" i="13"/>
  <c r="A2202" i="13"/>
  <c r="I2201" i="13"/>
  <c r="H2201" i="13"/>
  <c r="G2201" i="13"/>
  <c r="F2201" i="13"/>
  <c r="E2201" i="13"/>
  <c r="D2201" i="13"/>
  <c r="C2201" i="13"/>
  <c r="B2201" i="13"/>
  <c r="A2201" i="13"/>
  <c r="I2200" i="13"/>
  <c r="H2200" i="13"/>
  <c r="G2200" i="13"/>
  <c r="E2200" i="13"/>
  <c r="D2200" i="13"/>
  <c r="C2200" i="13"/>
  <c r="B2200" i="13"/>
  <c r="A2200" i="13"/>
  <c r="I2199" i="13"/>
  <c r="H2199" i="13"/>
  <c r="G2199" i="13"/>
  <c r="E2199" i="13"/>
  <c r="D2199" i="13"/>
  <c r="C2199" i="13"/>
  <c r="B2199" i="13"/>
  <c r="A2199" i="13"/>
  <c r="I2198" i="13"/>
  <c r="H2198" i="13"/>
  <c r="G2198" i="13"/>
  <c r="F2198" i="13"/>
  <c r="E2198" i="13"/>
  <c r="D2198" i="13"/>
  <c r="C2198" i="13"/>
  <c r="B2198" i="13"/>
  <c r="A2198" i="13"/>
  <c r="I2197" i="13"/>
  <c r="H2197" i="13"/>
  <c r="G2197" i="13"/>
  <c r="F2197" i="13"/>
  <c r="E2197" i="13"/>
  <c r="D2197" i="13"/>
  <c r="C2197" i="13"/>
  <c r="B2197" i="13"/>
  <c r="A2197" i="13"/>
  <c r="I2196" i="13"/>
  <c r="H2196" i="13"/>
  <c r="G2196" i="13"/>
  <c r="F2196" i="13"/>
  <c r="E2196" i="13"/>
  <c r="D2196" i="13"/>
  <c r="C2196" i="13"/>
  <c r="B2196" i="13"/>
  <c r="A2196" i="13"/>
  <c r="I2195" i="13"/>
  <c r="H2195" i="13"/>
  <c r="G2195" i="13"/>
  <c r="F2195" i="13"/>
  <c r="E2195" i="13"/>
  <c r="D2195" i="13"/>
  <c r="C2195" i="13"/>
  <c r="B2195" i="13"/>
  <c r="A2195" i="13"/>
  <c r="I2194" i="13"/>
  <c r="H2194" i="13"/>
  <c r="G2194" i="13"/>
  <c r="F2194" i="13"/>
  <c r="E2194" i="13"/>
  <c r="D2194" i="13"/>
  <c r="E121" i="16" s="1"/>
  <c r="C2194" i="13"/>
  <c r="B2194" i="13"/>
  <c r="A2194" i="13"/>
  <c r="I2193" i="13"/>
  <c r="H2193" i="13"/>
  <c r="G2193" i="13"/>
  <c r="F2193" i="13"/>
  <c r="E2193" i="13"/>
  <c r="D2193" i="13"/>
  <c r="C2193" i="13"/>
  <c r="B2193" i="13"/>
  <c r="A2193" i="13"/>
  <c r="I2192" i="13"/>
  <c r="H2192" i="13"/>
  <c r="G2192" i="13"/>
  <c r="F2192" i="13"/>
  <c r="E2192" i="13"/>
  <c r="D2192" i="13"/>
  <c r="C2192" i="13"/>
  <c r="B2192" i="13"/>
  <c r="A2192" i="13"/>
  <c r="I2191" i="13"/>
  <c r="H2191" i="13"/>
  <c r="G2191" i="13"/>
  <c r="F2191" i="13"/>
  <c r="E2191" i="13"/>
  <c r="D2191" i="13"/>
  <c r="C2191" i="13"/>
  <c r="B2191" i="13"/>
  <c r="A2191" i="13"/>
  <c r="I2190" i="13"/>
  <c r="H2190" i="13"/>
  <c r="G2190" i="13"/>
  <c r="F2190" i="13"/>
  <c r="E2190" i="13"/>
  <c r="D2190" i="13"/>
  <c r="C2190" i="13"/>
  <c r="B2190" i="13"/>
  <c r="A2190" i="13"/>
  <c r="I2189" i="13"/>
  <c r="H2189" i="13"/>
  <c r="G2189" i="13"/>
  <c r="F2189" i="13"/>
  <c r="E2189" i="13"/>
  <c r="D2189" i="13"/>
  <c r="C2189" i="13"/>
  <c r="B2189" i="13"/>
  <c r="A2189" i="13"/>
  <c r="I2188" i="13"/>
  <c r="H2188" i="13"/>
  <c r="G2188" i="13"/>
  <c r="F2188" i="13"/>
  <c r="E2188" i="13"/>
  <c r="D2188" i="13"/>
  <c r="C2188" i="13"/>
  <c r="B2188" i="13"/>
  <c r="A2188" i="13"/>
  <c r="I2187" i="13"/>
  <c r="H2187" i="13"/>
  <c r="G2187" i="13"/>
  <c r="F2187" i="13"/>
  <c r="E2187" i="13"/>
  <c r="D2187" i="13"/>
  <c r="C2187" i="13"/>
  <c r="B2187" i="13"/>
  <c r="A2187" i="13"/>
  <c r="I2186" i="13"/>
  <c r="H2186" i="13"/>
  <c r="G2186" i="13"/>
  <c r="F2186" i="13"/>
  <c r="E2186" i="13"/>
  <c r="D2186" i="13"/>
  <c r="C2186" i="13"/>
  <c r="B2186" i="13"/>
  <c r="A2186" i="13"/>
  <c r="I2185" i="13"/>
  <c r="H2185" i="13"/>
  <c r="G2185" i="13"/>
  <c r="F2185" i="13"/>
  <c r="E2185" i="13"/>
  <c r="D2185" i="13"/>
  <c r="C2185" i="13"/>
  <c r="B2185" i="13"/>
  <c r="A2185" i="13"/>
  <c r="I2184" i="13"/>
  <c r="A121" i="16" s="1"/>
  <c r="B121" i="16" s="1"/>
  <c r="H2184" i="13"/>
  <c r="G2184" i="13"/>
  <c r="F2184" i="13"/>
  <c r="D121" i="16" s="1"/>
  <c r="J121" i="16" s="1"/>
  <c r="E2184" i="13"/>
  <c r="D2184" i="13"/>
  <c r="C2184" i="13"/>
  <c r="B2184" i="13"/>
  <c r="A2184" i="13"/>
  <c r="I2183" i="13"/>
  <c r="H2183" i="13"/>
  <c r="G2183" i="13"/>
  <c r="F2183" i="13"/>
  <c r="E2183" i="13"/>
  <c r="D2183" i="13"/>
  <c r="C2183" i="13"/>
  <c r="B2183" i="13"/>
  <c r="A2183" i="13"/>
  <c r="I2182" i="13"/>
  <c r="H2182" i="13"/>
  <c r="G2182" i="13"/>
  <c r="F2182" i="13"/>
  <c r="E2182" i="13"/>
  <c r="D2182" i="13"/>
  <c r="C2182" i="13"/>
  <c r="B2182" i="13"/>
  <c r="A2182" i="13"/>
  <c r="I2181" i="13"/>
  <c r="H2181" i="13"/>
  <c r="G2181" i="13"/>
  <c r="F2181" i="13"/>
  <c r="E2181" i="13"/>
  <c r="D2181" i="13"/>
  <c r="C2181" i="13"/>
  <c r="B2181" i="13"/>
  <c r="A2181" i="13"/>
  <c r="I2180" i="13"/>
  <c r="H2180" i="13"/>
  <c r="G2180" i="13"/>
  <c r="F2180" i="13"/>
  <c r="E2180" i="13"/>
  <c r="D2180" i="13"/>
  <c r="C2180" i="13"/>
  <c r="B2180" i="13"/>
  <c r="A2180" i="13"/>
  <c r="I2179" i="13"/>
  <c r="H2179" i="13"/>
  <c r="G2179" i="13"/>
  <c r="F2179" i="13"/>
  <c r="E2179" i="13"/>
  <c r="D2179" i="13"/>
  <c r="C2179" i="13"/>
  <c r="B2179" i="13"/>
  <c r="A2179" i="13"/>
  <c r="I2178" i="13"/>
  <c r="H2178" i="13"/>
  <c r="G2178" i="13"/>
  <c r="F2178" i="13"/>
  <c r="E2178" i="13"/>
  <c r="D2178" i="13"/>
  <c r="E120" i="16" s="1"/>
  <c r="C2178" i="13"/>
  <c r="B2178" i="13"/>
  <c r="A2178" i="13"/>
  <c r="I2177" i="13"/>
  <c r="H2177" i="13"/>
  <c r="G2177" i="13"/>
  <c r="F2177" i="13"/>
  <c r="E2177" i="13"/>
  <c r="D2177" i="13"/>
  <c r="C2177" i="13"/>
  <c r="B2177" i="13"/>
  <c r="A2177" i="13"/>
  <c r="I2176" i="13"/>
  <c r="H2176" i="13"/>
  <c r="G2176" i="13"/>
  <c r="F2176" i="13"/>
  <c r="E2176" i="13"/>
  <c r="D2176" i="13"/>
  <c r="C2176" i="13"/>
  <c r="B2176" i="13"/>
  <c r="A2176" i="13"/>
  <c r="I2175" i="13"/>
  <c r="H2175" i="13"/>
  <c r="G2175" i="13"/>
  <c r="F2175" i="13"/>
  <c r="E2175" i="13"/>
  <c r="D2175" i="13"/>
  <c r="C2175" i="13"/>
  <c r="B2175" i="13"/>
  <c r="A2175" i="13"/>
  <c r="I2174" i="13"/>
  <c r="H2174" i="13"/>
  <c r="G2174" i="13"/>
  <c r="F2174" i="13"/>
  <c r="E2174" i="13"/>
  <c r="D2174" i="13"/>
  <c r="C2174" i="13"/>
  <c r="B2174" i="13"/>
  <c r="A2174" i="13"/>
  <c r="I2173" i="13"/>
  <c r="H2173" i="13"/>
  <c r="G2173" i="13"/>
  <c r="F2173" i="13"/>
  <c r="E2173" i="13"/>
  <c r="D2173" i="13"/>
  <c r="C2173" i="13"/>
  <c r="B2173" i="13"/>
  <c r="A2173" i="13"/>
  <c r="I2172" i="13"/>
  <c r="H2172" i="13"/>
  <c r="G2172" i="13"/>
  <c r="F2172" i="13"/>
  <c r="E2172" i="13"/>
  <c r="D2172" i="13"/>
  <c r="C2172" i="13"/>
  <c r="B2172" i="13"/>
  <c r="A2172" i="13"/>
  <c r="I2171" i="13"/>
  <c r="H2171" i="13"/>
  <c r="G2171" i="13"/>
  <c r="F2171" i="13"/>
  <c r="E2171" i="13"/>
  <c r="D2171" i="13"/>
  <c r="C2171" i="13"/>
  <c r="B2171" i="13"/>
  <c r="A2171" i="13"/>
  <c r="I2170" i="13"/>
  <c r="A120" i="16" s="1"/>
  <c r="B120" i="16" s="1"/>
  <c r="H2170" i="13"/>
  <c r="G2170" i="13"/>
  <c r="F2170" i="13"/>
  <c r="D120" i="16" s="1"/>
  <c r="E2170" i="13"/>
  <c r="D2170" i="13"/>
  <c r="C2170" i="13"/>
  <c r="B2170" i="13"/>
  <c r="A2170" i="13"/>
  <c r="I2169" i="13"/>
  <c r="H2169" i="13"/>
  <c r="G2169" i="13"/>
  <c r="F2169" i="13"/>
  <c r="E2169" i="13"/>
  <c r="D2169" i="13"/>
  <c r="C2169" i="13"/>
  <c r="B2169" i="13"/>
  <c r="A2169" i="13"/>
  <c r="I2168" i="13"/>
  <c r="H2168" i="13"/>
  <c r="G2168" i="13"/>
  <c r="F2168" i="13"/>
  <c r="E2168" i="13"/>
  <c r="D2168" i="13"/>
  <c r="C2168" i="13"/>
  <c r="B2168" i="13"/>
  <c r="A2168" i="13"/>
  <c r="I2167" i="13"/>
  <c r="H2167" i="13"/>
  <c r="G2167" i="13"/>
  <c r="F2167" i="13"/>
  <c r="E2167" i="13"/>
  <c r="D2167" i="13"/>
  <c r="C2167" i="13"/>
  <c r="B2167" i="13"/>
  <c r="A2167" i="13"/>
  <c r="I2166" i="13"/>
  <c r="H2166" i="13"/>
  <c r="G2166" i="13"/>
  <c r="F2166" i="13"/>
  <c r="E2166" i="13"/>
  <c r="D2166" i="13"/>
  <c r="C2166" i="13"/>
  <c r="B2166" i="13"/>
  <c r="A2166" i="13"/>
  <c r="I2165" i="13"/>
  <c r="H2165" i="13"/>
  <c r="G2165" i="13"/>
  <c r="F2165" i="13"/>
  <c r="E2165" i="13"/>
  <c r="D2165" i="13"/>
  <c r="C2165" i="13"/>
  <c r="B2165" i="13"/>
  <c r="A2165" i="13"/>
  <c r="I2164" i="13"/>
  <c r="H2164" i="13"/>
  <c r="G2164" i="13"/>
  <c r="F2164" i="13"/>
  <c r="E2164" i="13"/>
  <c r="D2164" i="13"/>
  <c r="C2164" i="13"/>
  <c r="B2164" i="13"/>
  <c r="A2164" i="13"/>
  <c r="I2163" i="13"/>
  <c r="H2163" i="13"/>
  <c r="G2163" i="13"/>
  <c r="F2163" i="13"/>
  <c r="E2163" i="13"/>
  <c r="D2163" i="13"/>
  <c r="E119" i="16" s="1"/>
  <c r="C2163" i="13"/>
  <c r="B2163" i="13"/>
  <c r="A2163" i="13"/>
  <c r="I2162" i="13"/>
  <c r="H2162" i="13"/>
  <c r="G2162" i="13"/>
  <c r="F2162" i="13"/>
  <c r="E2162" i="13"/>
  <c r="D2162" i="13"/>
  <c r="C2162" i="13"/>
  <c r="B2162" i="13"/>
  <c r="A2162" i="13"/>
  <c r="I2161" i="13"/>
  <c r="H2161" i="13"/>
  <c r="G2161" i="13"/>
  <c r="F2161" i="13"/>
  <c r="E2161" i="13"/>
  <c r="D2161" i="13"/>
  <c r="C2161" i="13"/>
  <c r="B2161" i="13"/>
  <c r="A2161" i="13"/>
  <c r="I2160" i="13"/>
  <c r="H2160" i="13"/>
  <c r="G2160" i="13"/>
  <c r="F2160" i="13"/>
  <c r="E2160" i="13"/>
  <c r="D2160" i="13"/>
  <c r="C2160" i="13"/>
  <c r="B2160" i="13"/>
  <c r="A2160" i="13"/>
  <c r="I2159" i="13"/>
  <c r="H2159" i="13"/>
  <c r="G2159" i="13"/>
  <c r="F2159" i="13"/>
  <c r="E2159" i="13"/>
  <c r="D2159" i="13"/>
  <c r="C2159" i="13"/>
  <c r="B2159" i="13"/>
  <c r="A2159" i="13"/>
  <c r="I2158" i="13"/>
  <c r="H2158" i="13"/>
  <c r="G2158" i="13"/>
  <c r="F2158" i="13"/>
  <c r="E2158" i="13"/>
  <c r="D2158" i="13"/>
  <c r="C2158" i="13"/>
  <c r="B2158" i="13"/>
  <c r="A2158" i="13"/>
  <c r="I2157" i="13"/>
  <c r="H2157" i="13"/>
  <c r="G2157" i="13"/>
  <c r="F2157" i="13"/>
  <c r="E2157" i="13"/>
  <c r="D2157" i="13"/>
  <c r="C2157" i="13"/>
  <c r="B2157" i="13"/>
  <c r="A2157" i="13"/>
  <c r="I2156" i="13"/>
  <c r="H2156" i="13"/>
  <c r="G2156" i="13"/>
  <c r="F2156" i="13"/>
  <c r="E2156" i="13"/>
  <c r="D2156" i="13"/>
  <c r="C2156" i="13"/>
  <c r="B2156" i="13"/>
  <c r="A2156" i="13"/>
  <c r="I2155" i="13"/>
  <c r="H2155" i="13"/>
  <c r="G2155" i="13"/>
  <c r="F2155" i="13"/>
  <c r="E2155" i="13"/>
  <c r="D2155" i="13"/>
  <c r="C2155" i="13"/>
  <c r="B2155" i="13"/>
  <c r="A2155" i="13"/>
  <c r="I2154" i="13"/>
  <c r="H2154" i="13"/>
  <c r="G2154" i="13"/>
  <c r="F2154" i="13"/>
  <c r="E2154" i="13"/>
  <c r="D2154" i="13"/>
  <c r="C2154" i="13"/>
  <c r="B2154" i="13"/>
  <c r="A2154" i="13"/>
  <c r="I2153" i="13"/>
  <c r="A119" i="16" s="1"/>
  <c r="B119" i="16" s="1"/>
  <c r="H2153" i="13"/>
  <c r="G2153" i="13"/>
  <c r="F2153" i="13"/>
  <c r="D119" i="16" s="1"/>
  <c r="Q2" i="51" s="1"/>
  <c r="E33" i="51" s="1"/>
  <c r="E2153" i="13"/>
  <c r="D2153" i="13"/>
  <c r="C2153" i="13"/>
  <c r="B2153" i="13"/>
  <c r="A2153" i="13"/>
  <c r="I2152" i="13"/>
  <c r="H2152" i="13"/>
  <c r="G2152" i="13"/>
  <c r="F2152" i="13"/>
  <c r="E2152" i="13"/>
  <c r="D2152" i="13"/>
  <c r="C2152" i="13"/>
  <c r="B2152" i="13"/>
  <c r="A2152" i="13"/>
  <c r="I2151" i="13"/>
  <c r="H2151" i="13"/>
  <c r="G2151" i="13"/>
  <c r="F2151" i="13"/>
  <c r="E2151" i="13"/>
  <c r="D2151" i="13"/>
  <c r="C2151" i="13"/>
  <c r="B2151" i="13"/>
  <c r="A2151" i="13"/>
  <c r="I2150" i="13"/>
  <c r="H2150" i="13"/>
  <c r="G2150" i="13"/>
  <c r="F2150" i="13"/>
  <c r="E2150" i="13"/>
  <c r="D2150" i="13"/>
  <c r="C2150" i="13"/>
  <c r="B2150" i="13"/>
  <c r="A2150" i="13"/>
  <c r="I2149" i="13"/>
  <c r="H2149" i="13"/>
  <c r="G2149" i="13"/>
  <c r="F2149" i="13"/>
  <c r="E2149" i="13"/>
  <c r="D2149" i="13"/>
  <c r="C2149" i="13"/>
  <c r="B2149" i="13"/>
  <c r="A2149" i="13"/>
  <c r="I2148" i="13"/>
  <c r="H2148" i="13"/>
  <c r="G2148" i="13"/>
  <c r="F2148" i="13"/>
  <c r="E2148" i="13"/>
  <c r="D2148" i="13"/>
  <c r="C2148" i="13"/>
  <c r="B2148" i="13"/>
  <c r="A2148" i="13"/>
  <c r="I2147" i="13"/>
  <c r="H2147" i="13"/>
  <c r="G2147" i="13"/>
  <c r="F2147" i="13"/>
  <c r="E2147" i="13"/>
  <c r="D2147" i="13"/>
  <c r="C2147" i="13"/>
  <c r="B2147" i="13"/>
  <c r="A2147" i="13"/>
  <c r="I2146" i="13"/>
  <c r="H2146" i="13"/>
  <c r="G2146" i="13"/>
  <c r="F2146" i="13"/>
  <c r="E2146" i="13"/>
  <c r="D2146" i="13"/>
  <c r="E118" i="16" s="1"/>
  <c r="Q3" i="50" s="1"/>
  <c r="C2146" i="13"/>
  <c r="B2146" i="13"/>
  <c r="A2146" i="13"/>
  <c r="I2145" i="13"/>
  <c r="H2145" i="13"/>
  <c r="G2145" i="13"/>
  <c r="F2145" i="13"/>
  <c r="E2145" i="13"/>
  <c r="D2145" i="13"/>
  <c r="C2145" i="13"/>
  <c r="B2145" i="13"/>
  <c r="A2145" i="13"/>
  <c r="I2144" i="13"/>
  <c r="H2144" i="13"/>
  <c r="G2144" i="13"/>
  <c r="F2144" i="13"/>
  <c r="E2144" i="13"/>
  <c r="D2144" i="13"/>
  <c r="C2144" i="13"/>
  <c r="B2144" i="13"/>
  <c r="A2144" i="13"/>
  <c r="I2143" i="13"/>
  <c r="H2143" i="13"/>
  <c r="G2143" i="13"/>
  <c r="F2143" i="13"/>
  <c r="E2143" i="13"/>
  <c r="D2143" i="13"/>
  <c r="C2143" i="13"/>
  <c r="B2143" i="13"/>
  <c r="A2143" i="13"/>
  <c r="I2142" i="13"/>
  <c r="H2142" i="13"/>
  <c r="G2142" i="13"/>
  <c r="F2142" i="13"/>
  <c r="E2142" i="13"/>
  <c r="D2142" i="13"/>
  <c r="C2142" i="13"/>
  <c r="B2142" i="13"/>
  <c r="A2142" i="13"/>
  <c r="I2141" i="13"/>
  <c r="H2141" i="13"/>
  <c r="G2141" i="13"/>
  <c r="F2141" i="13"/>
  <c r="E2141" i="13"/>
  <c r="D2141" i="13"/>
  <c r="C2141" i="13"/>
  <c r="B2141" i="13"/>
  <c r="A2141" i="13"/>
  <c r="I2140" i="13"/>
  <c r="H2140" i="13"/>
  <c r="G2140" i="13"/>
  <c r="F2140" i="13"/>
  <c r="E2140" i="13"/>
  <c r="D2140" i="13"/>
  <c r="C2140" i="13"/>
  <c r="B2140" i="13"/>
  <c r="A2140" i="13"/>
  <c r="I2139" i="13"/>
  <c r="H2139" i="13"/>
  <c r="G2139" i="13"/>
  <c r="F2139" i="13"/>
  <c r="E2139" i="13"/>
  <c r="D2139" i="13"/>
  <c r="C2139" i="13"/>
  <c r="B2139" i="13"/>
  <c r="A2139" i="13"/>
  <c r="I2138" i="13"/>
  <c r="A118" i="16" s="1"/>
  <c r="B118" i="16" s="1"/>
  <c r="H2138" i="13"/>
  <c r="G2138" i="13"/>
  <c r="F2138" i="13"/>
  <c r="E2138" i="13"/>
  <c r="D2138" i="13"/>
  <c r="C2138" i="13"/>
  <c r="B2138" i="13"/>
  <c r="A2138" i="13"/>
  <c r="I2137" i="13"/>
  <c r="H2137" i="13"/>
  <c r="G2137" i="13"/>
  <c r="F2137" i="13"/>
  <c r="E2137" i="13"/>
  <c r="D2137" i="13"/>
  <c r="C2137" i="13"/>
  <c r="B2137" i="13"/>
  <c r="A2137" i="13"/>
  <c r="I2136" i="13"/>
  <c r="H2136" i="13"/>
  <c r="G2136" i="13"/>
  <c r="F2136" i="13"/>
  <c r="E2136" i="13"/>
  <c r="D2136" i="13"/>
  <c r="C2136" i="13"/>
  <c r="B2136" i="13"/>
  <c r="A2136" i="13"/>
  <c r="I2135" i="13"/>
  <c r="H2135" i="13"/>
  <c r="G2135" i="13"/>
  <c r="F2135" i="13"/>
  <c r="E2135" i="13"/>
  <c r="D2135" i="13"/>
  <c r="C2135" i="13"/>
  <c r="B2135" i="13"/>
  <c r="A2135" i="13"/>
  <c r="I2134" i="13"/>
  <c r="H2134" i="13"/>
  <c r="G2134" i="13"/>
  <c r="F2134" i="13"/>
  <c r="E2134" i="13"/>
  <c r="D2134" i="13"/>
  <c r="C2134" i="13"/>
  <c r="B2134" i="13"/>
  <c r="A2134" i="13"/>
  <c r="I2126" i="13"/>
  <c r="H2126" i="13"/>
  <c r="G2126" i="13"/>
  <c r="F2126" i="13"/>
  <c r="E2126" i="13"/>
  <c r="D2126" i="13"/>
  <c r="C2126" i="13"/>
  <c r="B2126" i="13"/>
  <c r="A2126" i="13"/>
  <c r="I2125" i="13"/>
  <c r="H2125" i="13"/>
  <c r="G2125" i="13"/>
  <c r="F2125" i="13"/>
  <c r="E2125" i="13"/>
  <c r="D2125" i="13"/>
  <c r="C2125" i="13"/>
  <c r="B2125" i="13"/>
  <c r="A2125" i="13"/>
  <c r="I2124" i="13"/>
  <c r="H2124" i="13"/>
  <c r="G2124" i="13"/>
  <c r="F2124" i="13"/>
  <c r="E2124" i="13"/>
  <c r="D2124" i="13"/>
  <c r="C2124" i="13"/>
  <c r="B2124" i="13"/>
  <c r="A2124" i="13"/>
  <c r="I2123" i="13"/>
  <c r="H2123" i="13"/>
  <c r="G2123" i="13"/>
  <c r="F2123" i="13"/>
  <c r="E2123" i="13"/>
  <c r="D2123" i="13"/>
  <c r="C2123" i="13"/>
  <c r="B2123" i="13"/>
  <c r="A2123" i="13"/>
  <c r="I2122" i="13"/>
  <c r="H2122" i="13"/>
  <c r="G2122" i="13"/>
  <c r="F2122" i="13"/>
  <c r="E2122" i="13"/>
  <c r="D2122" i="13"/>
  <c r="E117" i="16" s="1"/>
  <c r="S3" i="59" s="1"/>
  <c r="C2122" i="13"/>
  <c r="B2122" i="13"/>
  <c r="A2122" i="13"/>
  <c r="I2121" i="13"/>
  <c r="H2121" i="13"/>
  <c r="G2121" i="13"/>
  <c r="F2121" i="13"/>
  <c r="E2121" i="13"/>
  <c r="D2121" i="13"/>
  <c r="C2121" i="13"/>
  <c r="B2121" i="13"/>
  <c r="A2121" i="13"/>
  <c r="I2120" i="13"/>
  <c r="H2120" i="13"/>
  <c r="G2120" i="13"/>
  <c r="F2120" i="13"/>
  <c r="E2120" i="13"/>
  <c r="D2120" i="13"/>
  <c r="C2120" i="13"/>
  <c r="B2120" i="13"/>
  <c r="A2120" i="13"/>
  <c r="I2119" i="13"/>
  <c r="H2119" i="13"/>
  <c r="G2119" i="13"/>
  <c r="F2119" i="13"/>
  <c r="E2119" i="13"/>
  <c r="D2119" i="13"/>
  <c r="C2119" i="13"/>
  <c r="B2119" i="13"/>
  <c r="A2119" i="13"/>
  <c r="I2118" i="13"/>
  <c r="H2118" i="13"/>
  <c r="G2118" i="13"/>
  <c r="F2118" i="13"/>
  <c r="E2118" i="13"/>
  <c r="D2118" i="13"/>
  <c r="C2118" i="13"/>
  <c r="B2118" i="13"/>
  <c r="A2118" i="13"/>
  <c r="I2117" i="13"/>
  <c r="H2117" i="13"/>
  <c r="G2117" i="13"/>
  <c r="F2117" i="13"/>
  <c r="E2117" i="13"/>
  <c r="D2117" i="13"/>
  <c r="C2117" i="13"/>
  <c r="B2117" i="13"/>
  <c r="A2117" i="13"/>
  <c r="I2116" i="13"/>
  <c r="H2116" i="13"/>
  <c r="G2116" i="13"/>
  <c r="F2116" i="13"/>
  <c r="E2116" i="13"/>
  <c r="D2116" i="13"/>
  <c r="C2116" i="13"/>
  <c r="B2116" i="13"/>
  <c r="A2116" i="13"/>
  <c r="I2115" i="13"/>
  <c r="H2115" i="13"/>
  <c r="G2115" i="13"/>
  <c r="F2115" i="13"/>
  <c r="E2115" i="13"/>
  <c r="D2115" i="13"/>
  <c r="C2115" i="13"/>
  <c r="B2115" i="13"/>
  <c r="A2115" i="13"/>
  <c r="I2114" i="13"/>
  <c r="H2114" i="13"/>
  <c r="G2114" i="13"/>
  <c r="F2114" i="13"/>
  <c r="E2114" i="13"/>
  <c r="D2114" i="13"/>
  <c r="C2114" i="13"/>
  <c r="B2114" i="13"/>
  <c r="A2114" i="13"/>
  <c r="I2113" i="13"/>
  <c r="H2113" i="13"/>
  <c r="G2113" i="13"/>
  <c r="F2113" i="13"/>
  <c r="E2113" i="13"/>
  <c r="D2113" i="13"/>
  <c r="C2113" i="13"/>
  <c r="B2113" i="13"/>
  <c r="A2113" i="13"/>
  <c r="I2112" i="13"/>
  <c r="A117" i="16" s="1"/>
  <c r="B117" i="16" s="1"/>
  <c r="H2112" i="13"/>
  <c r="G2112" i="13"/>
  <c r="F2112" i="13"/>
  <c r="D117" i="16" s="1"/>
  <c r="E2112" i="13"/>
  <c r="D2112" i="13"/>
  <c r="C2112" i="13"/>
  <c r="B2112" i="13"/>
  <c r="A2112" i="13"/>
  <c r="I2111" i="13"/>
  <c r="H2111" i="13"/>
  <c r="G2111" i="13"/>
  <c r="F2111" i="13"/>
  <c r="E2111" i="13"/>
  <c r="D2111" i="13"/>
  <c r="C2111" i="13"/>
  <c r="B2111" i="13"/>
  <c r="A2111" i="13"/>
  <c r="I2110" i="13"/>
  <c r="H2110" i="13"/>
  <c r="G2110" i="13"/>
  <c r="F2110" i="13"/>
  <c r="E2110" i="13"/>
  <c r="D2110" i="13"/>
  <c r="C2110" i="13"/>
  <c r="B2110" i="13"/>
  <c r="A2110" i="13"/>
  <c r="I2109" i="13"/>
  <c r="H2109" i="13"/>
  <c r="G2109" i="13"/>
  <c r="F2109" i="13"/>
  <c r="E2109" i="13"/>
  <c r="D2109" i="13"/>
  <c r="C2109" i="13"/>
  <c r="B2109" i="13"/>
  <c r="A2109" i="13"/>
  <c r="I2108" i="13"/>
  <c r="H2108" i="13"/>
  <c r="G2108" i="13"/>
  <c r="F2108" i="13"/>
  <c r="E2108" i="13"/>
  <c r="D2108" i="13"/>
  <c r="C2108" i="13"/>
  <c r="B2108" i="13"/>
  <c r="A2108" i="13"/>
  <c r="I2107" i="13"/>
  <c r="H2107" i="13"/>
  <c r="G2107" i="13"/>
  <c r="F2107" i="13"/>
  <c r="E2107" i="13"/>
  <c r="D2107" i="13"/>
  <c r="C2107" i="13"/>
  <c r="B2107" i="13"/>
  <c r="A2107" i="13"/>
  <c r="I2106" i="13"/>
  <c r="H2106" i="13"/>
  <c r="G2106" i="13"/>
  <c r="F2106" i="13"/>
  <c r="E2106" i="13"/>
  <c r="D2106" i="13"/>
  <c r="C2106" i="13"/>
  <c r="B2106" i="13"/>
  <c r="A2106" i="13"/>
  <c r="I2105" i="13"/>
  <c r="H2105" i="13"/>
  <c r="G2105" i="13"/>
  <c r="F2105" i="13"/>
  <c r="E2105" i="13"/>
  <c r="D2105" i="13"/>
  <c r="C2105" i="13"/>
  <c r="B2105" i="13"/>
  <c r="A2105" i="13"/>
  <c r="I2104" i="13"/>
  <c r="H2104" i="13"/>
  <c r="G2104" i="13"/>
  <c r="F2104" i="13"/>
  <c r="E2104" i="13"/>
  <c r="D2104" i="13"/>
  <c r="C2104" i="13"/>
  <c r="B2104" i="13"/>
  <c r="A2104" i="13"/>
  <c r="I2103" i="13"/>
  <c r="H2103" i="13"/>
  <c r="G2103" i="13"/>
  <c r="F2103" i="13"/>
  <c r="E2103" i="13"/>
  <c r="D2103" i="13"/>
  <c r="C2103" i="13"/>
  <c r="B2103" i="13"/>
  <c r="A2103" i="13"/>
  <c r="I2102" i="13"/>
  <c r="H2102" i="13"/>
  <c r="G2102" i="13"/>
  <c r="F2102" i="13"/>
  <c r="E2102" i="13"/>
  <c r="D2102" i="13"/>
  <c r="C2102" i="13"/>
  <c r="B2102" i="13"/>
  <c r="A2102" i="13"/>
  <c r="I2101" i="13"/>
  <c r="A116" i="16" s="1"/>
  <c r="B116" i="16" s="1"/>
  <c r="H2101" i="13"/>
  <c r="G2101" i="13"/>
  <c r="F2101" i="13"/>
  <c r="D116" i="16" s="1"/>
  <c r="I116" i="16" s="1"/>
  <c r="E2101" i="13"/>
  <c r="D2101" i="13"/>
  <c r="C2101" i="13"/>
  <c r="B2101" i="13"/>
  <c r="A2101" i="13"/>
  <c r="I2100" i="13"/>
  <c r="H2100" i="13"/>
  <c r="G2100" i="13"/>
  <c r="F2100" i="13"/>
  <c r="E2100" i="13"/>
  <c r="D2100" i="13"/>
  <c r="C2100" i="13"/>
  <c r="B2100" i="13"/>
  <c r="A2100" i="13"/>
  <c r="I2099" i="13"/>
  <c r="H2099" i="13"/>
  <c r="G2099" i="13"/>
  <c r="E2099" i="13"/>
  <c r="D2099" i="13"/>
  <c r="C2099" i="13"/>
  <c r="B2099" i="13"/>
  <c r="A2099" i="13"/>
  <c r="I2098" i="13"/>
  <c r="H2098" i="13"/>
  <c r="G2098" i="13"/>
  <c r="E2098" i="13"/>
  <c r="D2098" i="13"/>
  <c r="C2098" i="13"/>
  <c r="B2098" i="13"/>
  <c r="A2098" i="13"/>
  <c r="I2097" i="13"/>
  <c r="H2097" i="13"/>
  <c r="G2097" i="13"/>
  <c r="F2097" i="13"/>
  <c r="E2097" i="13"/>
  <c r="D2097" i="13"/>
  <c r="C2097" i="13"/>
  <c r="B2097" i="13"/>
  <c r="A2097" i="13"/>
  <c r="I2096" i="13"/>
  <c r="H2096" i="13"/>
  <c r="G2096" i="13"/>
  <c r="F2096" i="13"/>
  <c r="E2096" i="13"/>
  <c r="D2096" i="13"/>
  <c r="C2096" i="13"/>
  <c r="B2096" i="13"/>
  <c r="A2096" i="13"/>
  <c r="I2095" i="13"/>
  <c r="H2095" i="13"/>
  <c r="G2095" i="13"/>
  <c r="F2095" i="13"/>
  <c r="E2095" i="13"/>
  <c r="D2095" i="13"/>
  <c r="E115" i="16" s="1"/>
  <c r="C2095" i="13"/>
  <c r="B2095" i="13"/>
  <c r="A2095" i="13"/>
  <c r="I2094" i="13"/>
  <c r="H2094" i="13"/>
  <c r="G2094" i="13"/>
  <c r="F2094" i="13"/>
  <c r="E2094" i="13"/>
  <c r="D2094" i="13"/>
  <c r="C2094" i="13"/>
  <c r="B2094" i="13"/>
  <c r="A2094" i="13"/>
  <c r="I2093" i="13"/>
  <c r="H2093" i="13"/>
  <c r="G2093" i="13"/>
  <c r="F2093" i="13"/>
  <c r="E2093" i="13"/>
  <c r="D2093" i="13"/>
  <c r="C2093" i="13"/>
  <c r="B2093" i="13"/>
  <c r="A2093" i="13"/>
  <c r="I2092" i="13"/>
  <c r="H2092" i="13"/>
  <c r="G2092" i="13"/>
  <c r="F2092" i="13"/>
  <c r="E2092" i="13"/>
  <c r="D2092" i="13"/>
  <c r="C2092" i="13"/>
  <c r="B2092" i="13"/>
  <c r="A2092" i="13"/>
  <c r="I2091" i="13"/>
  <c r="H2091" i="13"/>
  <c r="G2091" i="13"/>
  <c r="F2091" i="13"/>
  <c r="E2091" i="13"/>
  <c r="D2091" i="13"/>
  <c r="C2091" i="13"/>
  <c r="B2091" i="13"/>
  <c r="A2091" i="13"/>
  <c r="I2090" i="13"/>
  <c r="H2090" i="13"/>
  <c r="G2090" i="13"/>
  <c r="F2090" i="13"/>
  <c r="E2090" i="13"/>
  <c r="D2090" i="13"/>
  <c r="C2090" i="13"/>
  <c r="B2090" i="13"/>
  <c r="A2090" i="13"/>
  <c r="I2089" i="13"/>
  <c r="H2089" i="13"/>
  <c r="G2089" i="13"/>
  <c r="F2089" i="13"/>
  <c r="E2089" i="13"/>
  <c r="D2089" i="13"/>
  <c r="C2089" i="13"/>
  <c r="B2089" i="13"/>
  <c r="A2089" i="13"/>
  <c r="I2088" i="13"/>
  <c r="H2088" i="13"/>
  <c r="G2088" i="13"/>
  <c r="F2088" i="13"/>
  <c r="E2088" i="13"/>
  <c r="D2088" i="13"/>
  <c r="C2088" i="13"/>
  <c r="B2088" i="13"/>
  <c r="A2088" i="13"/>
  <c r="I2087" i="13"/>
  <c r="H2087" i="13"/>
  <c r="G2087" i="13"/>
  <c r="F2087" i="13"/>
  <c r="E2087" i="13"/>
  <c r="D2087" i="13"/>
  <c r="C2087" i="13"/>
  <c r="B2087" i="13"/>
  <c r="A2087" i="13"/>
  <c r="I2086" i="13"/>
  <c r="A115" i="16" s="1"/>
  <c r="B115" i="16" s="1"/>
  <c r="H2086" i="13"/>
  <c r="G2086" i="13"/>
  <c r="F2086" i="13"/>
  <c r="D115" i="16" s="1"/>
  <c r="E2086" i="13"/>
  <c r="D2086" i="13"/>
  <c r="C2086" i="13"/>
  <c r="B2086" i="13"/>
  <c r="A2086" i="13"/>
  <c r="I2085" i="13"/>
  <c r="H2085" i="13"/>
  <c r="G2085" i="13"/>
  <c r="F2085" i="13"/>
  <c r="E2085" i="13"/>
  <c r="D2085" i="13"/>
  <c r="C2085" i="13"/>
  <c r="B2085" i="13"/>
  <c r="A2085" i="13"/>
  <c r="I2084" i="13"/>
  <c r="H2084" i="13"/>
  <c r="G2084" i="13"/>
  <c r="F2084" i="13"/>
  <c r="E2084" i="13"/>
  <c r="D2084" i="13"/>
  <c r="C2084" i="13"/>
  <c r="B2084" i="13"/>
  <c r="A2084" i="13"/>
  <c r="I2083" i="13"/>
  <c r="H2083" i="13"/>
  <c r="G2083" i="13"/>
  <c r="F2083" i="13"/>
  <c r="E2083" i="13"/>
  <c r="D2083" i="13"/>
  <c r="C2083" i="13"/>
  <c r="B2083" i="13"/>
  <c r="A2083" i="13"/>
  <c r="I2082" i="13"/>
  <c r="H2082" i="13"/>
  <c r="G2082" i="13"/>
  <c r="F2082" i="13"/>
  <c r="E2082" i="13"/>
  <c r="D2082" i="13"/>
  <c r="C2082" i="13"/>
  <c r="B2082" i="13"/>
  <c r="A2082" i="13"/>
  <c r="I2081" i="13"/>
  <c r="H2081" i="13"/>
  <c r="G2081" i="13"/>
  <c r="F2081" i="13"/>
  <c r="E2081" i="13"/>
  <c r="D2081" i="13"/>
  <c r="C2081" i="13"/>
  <c r="B2081" i="13"/>
  <c r="A2081" i="13"/>
  <c r="I2080" i="13"/>
  <c r="H2080" i="13"/>
  <c r="G2080" i="13"/>
  <c r="F2080" i="13"/>
  <c r="E2080" i="13"/>
  <c r="D2080" i="13"/>
  <c r="C2080" i="13"/>
  <c r="B2080" i="13"/>
  <c r="A2080" i="13"/>
  <c r="I2079" i="13"/>
  <c r="H2079" i="13"/>
  <c r="G2079" i="13"/>
  <c r="F2079" i="13"/>
  <c r="E2079" i="13"/>
  <c r="D2079" i="13"/>
  <c r="C2079" i="13"/>
  <c r="B2079" i="13"/>
  <c r="A2079" i="13"/>
  <c r="I2078" i="13"/>
  <c r="H2078" i="13"/>
  <c r="G2078" i="13"/>
  <c r="F2078" i="13"/>
  <c r="E2078" i="13"/>
  <c r="D2078" i="13"/>
  <c r="E114" i="16" s="1"/>
  <c r="C2078" i="13"/>
  <c r="B2078" i="13"/>
  <c r="A2078" i="13"/>
  <c r="I2077" i="13"/>
  <c r="H2077" i="13"/>
  <c r="G2077" i="13"/>
  <c r="F2077" i="13"/>
  <c r="E2077" i="13"/>
  <c r="D2077" i="13"/>
  <c r="C2077" i="13"/>
  <c r="B2077" i="13"/>
  <c r="A2077" i="13"/>
  <c r="I2076" i="13"/>
  <c r="H2076" i="13"/>
  <c r="G2076" i="13"/>
  <c r="F2076" i="13"/>
  <c r="E2076" i="13"/>
  <c r="D2076" i="13"/>
  <c r="C2076" i="13"/>
  <c r="B2076" i="13"/>
  <c r="A2076" i="13"/>
  <c r="I2075" i="13"/>
  <c r="H2075" i="13"/>
  <c r="G2075" i="13"/>
  <c r="F2075" i="13"/>
  <c r="E2075" i="13"/>
  <c r="D2075" i="13"/>
  <c r="C2075" i="13"/>
  <c r="B2075" i="13"/>
  <c r="A2075" i="13"/>
  <c r="I2074" i="13"/>
  <c r="H2074" i="13"/>
  <c r="G2074" i="13"/>
  <c r="F2074" i="13"/>
  <c r="E2074" i="13"/>
  <c r="D2074" i="13"/>
  <c r="C2074" i="13"/>
  <c r="B2074" i="13"/>
  <c r="A2074" i="13"/>
  <c r="I2073" i="13"/>
  <c r="H2073" i="13"/>
  <c r="G2073" i="13"/>
  <c r="F2073" i="13"/>
  <c r="E2073" i="13"/>
  <c r="D2073" i="13"/>
  <c r="C2073" i="13"/>
  <c r="B2073" i="13"/>
  <c r="A2073" i="13"/>
  <c r="I2072" i="13"/>
  <c r="H2072" i="13"/>
  <c r="G2072" i="13"/>
  <c r="F2072" i="13"/>
  <c r="E2072" i="13"/>
  <c r="D2072" i="13"/>
  <c r="C2072" i="13"/>
  <c r="B2072" i="13"/>
  <c r="A2072" i="13"/>
  <c r="I2071" i="13"/>
  <c r="H2071" i="13"/>
  <c r="G2071" i="13"/>
  <c r="F2071" i="13"/>
  <c r="E2071" i="13"/>
  <c r="D2071" i="13"/>
  <c r="C2071" i="13"/>
  <c r="B2071" i="13"/>
  <c r="A2071" i="13"/>
  <c r="I2070" i="13"/>
  <c r="H2070" i="13"/>
  <c r="G2070" i="13"/>
  <c r="F2070" i="13"/>
  <c r="E2070" i="13"/>
  <c r="D2070" i="13"/>
  <c r="C2070" i="13"/>
  <c r="B2070" i="13"/>
  <c r="A2070" i="13"/>
  <c r="I2069" i="13"/>
  <c r="H2069" i="13"/>
  <c r="G2069" i="13"/>
  <c r="F2069" i="13"/>
  <c r="E2069" i="13"/>
  <c r="D2069" i="13"/>
  <c r="C2069" i="13"/>
  <c r="B2069" i="13"/>
  <c r="A2069" i="13"/>
  <c r="I2068" i="13"/>
  <c r="A114" i="16" s="1"/>
  <c r="B114" i="16" s="1"/>
  <c r="H2068" i="13"/>
  <c r="G2068" i="13"/>
  <c r="F2068" i="13"/>
  <c r="D114" i="16" s="1"/>
  <c r="E2068" i="13"/>
  <c r="D2068" i="13"/>
  <c r="C2068" i="13"/>
  <c r="B2068" i="13"/>
  <c r="A2068" i="13"/>
  <c r="I2067" i="13"/>
  <c r="H2067" i="13"/>
  <c r="G2067" i="13"/>
  <c r="F2067" i="13"/>
  <c r="E2067" i="13"/>
  <c r="D2067" i="13"/>
  <c r="C2067" i="13"/>
  <c r="B2067" i="13"/>
  <c r="A2067" i="13"/>
  <c r="I2066" i="13"/>
  <c r="H2066" i="13"/>
  <c r="G2066" i="13"/>
  <c r="F2066" i="13"/>
  <c r="E2066" i="13"/>
  <c r="D2066" i="13"/>
  <c r="C2066" i="13"/>
  <c r="B2066" i="13"/>
  <c r="A2066" i="13"/>
  <c r="I2065" i="13"/>
  <c r="H2065" i="13"/>
  <c r="G2065" i="13"/>
  <c r="F2065" i="13"/>
  <c r="E2065" i="13"/>
  <c r="D2065" i="13"/>
  <c r="C2065" i="13"/>
  <c r="B2065" i="13"/>
  <c r="A2065" i="13"/>
  <c r="I2064" i="13"/>
  <c r="H2064" i="13"/>
  <c r="G2064" i="13"/>
  <c r="F2064" i="13"/>
  <c r="E2064" i="13"/>
  <c r="D2064" i="13"/>
  <c r="C2064" i="13"/>
  <c r="B2064" i="13"/>
  <c r="A2064" i="13"/>
  <c r="I2063" i="13"/>
  <c r="H2063" i="13"/>
  <c r="G2063" i="13"/>
  <c r="F2063" i="13"/>
  <c r="E2063" i="13"/>
  <c r="D2063" i="13"/>
  <c r="C2063" i="13"/>
  <c r="B2063" i="13"/>
  <c r="A2063" i="13"/>
  <c r="I2062" i="13"/>
  <c r="H2062" i="13"/>
  <c r="G2062" i="13"/>
  <c r="F2062" i="13"/>
  <c r="E2062" i="13"/>
  <c r="D2062" i="13"/>
  <c r="C2062" i="13"/>
  <c r="B2062" i="13"/>
  <c r="A2062" i="13"/>
  <c r="I2061" i="13"/>
  <c r="H2061" i="13"/>
  <c r="G2061" i="13"/>
  <c r="F2061" i="13"/>
  <c r="E2061" i="13"/>
  <c r="D2061" i="13"/>
  <c r="E113" i="16" s="1"/>
  <c r="C2061" i="13"/>
  <c r="B2061" i="13"/>
  <c r="A2061" i="13"/>
  <c r="I2060" i="13"/>
  <c r="H2060" i="13"/>
  <c r="G2060" i="13"/>
  <c r="F2060" i="13"/>
  <c r="E2060" i="13"/>
  <c r="D2060" i="13"/>
  <c r="C2060" i="13"/>
  <c r="B2060" i="13"/>
  <c r="A2060" i="13"/>
  <c r="I2059" i="13"/>
  <c r="H2059" i="13"/>
  <c r="G2059" i="13"/>
  <c r="F2059" i="13"/>
  <c r="E2059" i="13"/>
  <c r="D2059" i="13"/>
  <c r="C2059" i="13"/>
  <c r="B2059" i="13"/>
  <c r="A2059" i="13"/>
  <c r="I2058" i="13"/>
  <c r="H2058" i="13"/>
  <c r="G2058" i="13"/>
  <c r="F2058" i="13"/>
  <c r="E2058" i="13"/>
  <c r="D2058" i="13"/>
  <c r="C2058" i="13"/>
  <c r="B2058" i="13"/>
  <c r="A2058" i="13"/>
  <c r="I2057" i="13"/>
  <c r="H2057" i="13"/>
  <c r="G2057" i="13"/>
  <c r="F2057" i="13"/>
  <c r="E2057" i="13"/>
  <c r="D2057" i="13"/>
  <c r="C2057" i="13"/>
  <c r="B2057" i="13"/>
  <c r="A2057" i="13"/>
  <c r="I2056" i="13"/>
  <c r="H2056" i="13"/>
  <c r="G2056" i="13"/>
  <c r="F2056" i="13"/>
  <c r="E2056" i="13"/>
  <c r="D2056" i="13"/>
  <c r="C2056" i="13"/>
  <c r="B2056" i="13"/>
  <c r="A2056" i="13"/>
  <c r="I2055" i="13"/>
  <c r="H2055" i="13"/>
  <c r="G2055" i="13"/>
  <c r="F2055" i="13"/>
  <c r="E2055" i="13"/>
  <c r="D2055" i="13"/>
  <c r="C2055" i="13"/>
  <c r="B2055" i="13"/>
  <c r="A2055" i="13"/>
  <c r="I2054" i="13"/>
  <c r="H2054" i="13"/>
  <c r="G2054" i="13"/>
  <c r="F2054" i="13"/>
  <c r="E2054" i="13"/>
  <c r="D2054" i="13"/>
  <c r="C2054" i="13"/>
  <c r="B2054" i="13"/>
  <c r="A2054" i="13"/>
  <c r="I2053" i="13"/>
  <c r="H2053" i="13"/>
  <c r="G2053" i="13"/>
  <c r="F2053" i="13"/>
  <c r="E2053" i="13"/>
  <c r="D2053" i="13"/>
  <c r="C2053" i="13"/>
  <c r="B2053" i="13"/>
  <c r="A2053" i="13"/>
  <c r="I2052" i="13"/>
  <c r="H2052" i="13"/>
  <c r="G2052" i="13"/>
  <c r="F2052" i="13"/>
  <c r="E2052" i="13"/>
  <c r="D2052" i="13"/>
  <c r="C2052" i="13"/>
  <c r="B2052" i="13"/>
  <c r="A2052" i="13"/>
  <c r="I2051" i="13"/>
  <c r="H2051" i="13"/>
  <c r="G2051" i="13"/>
  <c r="F2051" i="13"/>
  <c r="D113" i="16" s="1"/>
  <c r="J113" i="16" s="1"/>
  <c r="E2051" i="13"/>
  <c r="D2051" i="13"/>
  <c r="C2051" i="13"/>
  <c r="B2051" i="13"/>
  <c r="A2051" i="13"/>
  <c r="I2050" i="13"/>
  <c r="H2050" i="13"/>
  <c r="G2050" i="13"/>
  <c r="F2050" i="13"/>
  <c r="E2050" i="13"/>
  <c r="D2050" i="13"/>
  <c r="C2050" i="13"/>
  <c r="B2050" i="13"/>
  <c r="A2050" i="13"/>
  <c r="I2049" i="13"/>
  <c r="H2049" i="13"/>
  <c r="G2049" i="13"/>
  <c r="F2049" i="13"/>
  <c r="E2049" i="13"/>
  <c r="D2049" i="13"/>
  <c r="C2049" i="13"/>
  <c r="B2049" i="13"/>
  <c r="A2049" i="13"/>
  <c r="I2048" i="13"/>
  <c r="H2048" i="13"/>
  <c r="G2048" i="13"/>
  <c r="F2048" i="13"/>
  <c r="E2048" i="13"/>
  <c r="D2048" i="13"/>
  <c r="C2048" i="13"/>
  <c r="B2048" i="13"/>
  <c r="A2048" i="13"/>
  <c r="I2047" i="13"/>
  <c r="H2047" i="13"/>
  <c r="G2047" i="13"/>
  <c r="F2047" i="13"/>
  <c r="E2047" i="13"/>
  <c r="D2047" i="13"/>
  <c r="C2047" i="13"/>
  <c r="B2047" i="13"/>
  <c r="A2047" i="13"/>
  <c r="I2046" i="13"/>
  <c r="H2046" i="13"/>
  <c r="G2046" i="13"/>
  <c r="F2046" i="13"/>
  <c r="E2046" i="13"/>
  <c r="D2046" i="13"/>
  <c r="C2046" i="13"/>
  <c r="B2046" i="13"/>
  <c r="A2046" i="13"/>
  <c r="I2045" i="13"/>
  <c r="H2045" i="13"/>
  <c r="G2045" i="13"/>
  <c r="F2045" i="13"/>
  <c r="E2045" i="13"/>
  <c r="D2045" i="13"/>
  <c r="E112" i="16" s="1"/>
  <c r="Q3" i="49" s="1"/>
  <c r="C2045" i="13"/>
  <c r="B2045" i="13"/>
  <c r="A2045" i="13"/>
  <c r="I2044" i="13"/>
  <c r="H2044" i="13"/>
  <c r="G2044" i="13"/>
  <c r="F2044" i="13"/>
  <c r="E2044" i="13"/>
  <c r="D2044" i="13"/>
  <c r="C2044" i="13"/>
  <c r="B2044" i="13"/>
  <c r="A2044" i="13"/>
  <c r="I2043" i="13"/>
  <c r="H2043" i="13"/>
  <c r="G2043" i="13"/>
  <c r="F2043" i="13"/>
  <c r="E2043" i="13"/>
  <c r="D2043" i="13"/>
  <c r="C2043" i="13"/>
  <c r="B2043" i="13"/>
  <c r="A2043" i="13"/>
  <c r="I2042" i="13"/>
  <c r="H2042" i="13"/>
  <c r="G2042" i="13"/>
  <c r="F2042" i="13"/>
  <c r="E2042" i="13"/>
  <c r="D2042" i="13"/>
  <c r="C2042" i="13"/>
  <c r="B2042" i="13"/>
  <c r="A2042" i="13"/>
  <c r="I2041" i="13"/>
  <c r="H2041" i="13"/>
  <c r="G2041" i="13"/>
  <c r="F2041" i="13"/>
  <c r="E2041" i="13"/>
  <c r="D2041" i="13"/>
  <c r="C2041" i="13"/>
  <c r="B2041" i="13"/>
  <c r="A2041" i="13"/>
  <c r="I2040" i="13"/>
  <c r="H2040" i="13"/>
  <c r="G2040" i="13"/>
  <c r="F2040" i="13"/>
  <c r="E2040" i="13"/>
  <c r="D2040" i="13"/>
  <c r="C2040" i="13"/>
  <c r="B2040" i="13"/>
  <c r="A2040" i="13"/>
  <c r="I2039" i="13"/>
  <c r="H2039" i="13"/>
  <c r="G2039" i="13"/>
  <c r="F2039" i="13"/>
  <c r="E2039" i="13"/>
  <c r="D2039" i="13"/>
  <c r="C2039" i="13"/>
  <c r="B2039" i="13"/>
  <c r="A2039" i="13"/>
  <c r="I2038" i="13"/>
  <c r="H2038" i="13"/>
  <c r="G2038" i="13"/>
  <c r="F2038" i="13"/>
  <c r="E2038" i="13"/>
  <c r="D2038" i="13"/>
  <c r="C2038" i="13"/>
  <c r="B2038" i="13"/>
  <c r="A2038" i="13"/>
  <c r="I2037" i="13"/>
  <c r="H2037" i="13"/>
  <c r="G2037" i="13"/>
  <c r="F2037" i="13"/>
  <c r="E2037" i="13"/>
  <c r="D2037" i="13"/>
  <c r="C2037" i="13"/>
  <c r="B2037" i="13"/>
  <c r="A2037" i="13"/>
  <c r="I2036" i="13"/>
  <c r="H2036" i="13"/>
  <c r="G2036" i="13"/>
  <c r="F2036" i="13"/>
  <c r="E2036" i="13"/>
  <c r="D2036" i="13"/>
  <c r="C2036" i="13"/>
  <c r="B2036" i="13"/>
  <c r="A2036" i="13"/>
  <c r="I2035" i="13"/>
  <c r="A112" i="16" s="1"/>
  <c r="B112" i="16" s="1"/>
  <c r="H2035" i="13"/>
  <c r="G2035" i="13"/>
  <c r="F2035" i="13"/>
  <c r="D112" i="16" s="1"/>
  <c r="Q2" i="49" s="1"/>
  <c r="E2035" i="13"/>
  <c r="D2035" i="13"/>
  <c r="C2035" i="13"/>
  <c r="B2035" i="13"/>
  <c r="A2035" i="13"/>
  <c r="I2034" i="13"/>
  <c r="H2034" i="13"/>
  <c r="G2034" i="13"/>
  <c r="F2034" i="13"/>
  <c r="E2034" i="13"/>
  <c r="D2034" i="13"/>
  <c r="C2034" i="13"/>
  <c r="B2034" i="13"/>
  <c r="A2034" i="13"/>
  <c r="I2033" i="13"/>
  <c r="H2033" i="13"/>
  <c r="G2033" i="13"/>
  <c r="F2033" i="13"/>
  <c r="E2033" i="13"/>
  <c r="D2033" i="13"/>
  <c r="C2033" i="13"/>
  <c r="B2033" i="13"/>
  <c r="A2033" i="13"/>
  <c r="I2032" i="13"/>
  <c r="H2032" i="13"/>
  <c r="G2032" i="13"/>
  <c r="F2032" i="13"/>
  <c r="E2032" i="13"/>
  <c r="D2032" i="13"/>
  <c r="C2032" i="13"/>
  <c r="B2032" i="13"/>
  <c r="A2032" i="13"/>
  <c r="I2031" i="13"/>
  <c r="H2031" i="13"/>
  <c r="G2031" i="13"/>
  <c r="F2031" i="13"/>
  <c r="E2031" i="13"/>
  <c r="D2031" i="13"/>
  <c r="C2031" i="13"/>
  <c r="B2031" i="13"/>
  <c r="A2031" i="13"/>
  <c r="I2030" i="13"/>
  <c r="H2030" i="13"/>
  <c r="G2030" i="13"/>
  <c r="F2030" i="13"/>
  <c r="E2030" i="13"/>
  <c r="D2030" i="13"/>
  <c r="C2030" i="13"/>
  <c r="B2030" i="13"/>
  <c r="A2030" i="13"/>
  <c r="I2029" i="13"/>
  <c r="H2029" i="13"/>
  <c r="G2029" i="13"/>
  <c r="F2029" i="13"/>
  <c r="E2029" i="13"/>
  <c r="D2029" i="13"/>
  <c r="C2029" i="13"/>
  <c r="B2029" i="13"/>
  <c r="A2029" i="13"/>
  <c r="I2028" i="13"/>
  <c r="H2028" i="13"/>
  <c r="G2028" i="13"/>
  <c r="F2028" i="13"/>
  <c r="E2028" i="13"/>
  <c r="D2028" i="13"/>
  <c r="C2028" i="13"/>
  <c r="B2028" i="13"/>
  <c r="A2028" i="13"/>
  <c r="I2027" i="13"/>
  <c r="H2027" i="13"/>
  <c r="G2027" i="13"/>
  <c r="F2027" i="13"/>
  <c r="E2027" i="13"/>
  <c r="D2027" i="13"/>
  <c r="C2027" i="13"/>
  <c r="B2027" i="13"/>
  <c r="A2027" i="13"/>
  <c r="I2026" i="13"/>
  <c r="H2026" i="13"/>
  <c r="G2026" i="13"/>
  <c r="F2026" i="13"/>
  <c r="E2026" i="13"/>
  <c r="D2026" i="13"/>
  <c r="C2026" i="13"/>
  <c r="B2026" i="13"/>
  <c r="A2026" i="13"/>
  <c r="I2025" i="13"/>
  <c r="H2025" i="13"/>
  <c r="G2025" i="13"/>
  <c r="F2025" i="13"/>
  <c r="E2025" i="13"/>
  <c r="D2025" i="13"/>
  <c r="E111" i="16" s="1"/>
  <c r="C2025" i="13"/>
  <c r="B2025" i="13"/>
  <c r="A2025" i="13"/>
  <c r="I2024" i="13"/>
  <c r="H2024" i="13"/>
  <c r="G2024" i="13"/>
  <c r="F2024" i="13"/>
  <c r="E2024" i="13"/>
  <c r="D2024" i="13"/>
  <c r="C2024" i="13"/>
  <c r="B2024" i="13"/>
  <c r="A2024" i="13"/>
  <c r="I2023" i="13"/>
  <c r="H2023" i="13"/>
  <c r="G2023" i="13"/>
  <c r="F2023" i="13"/>
  <c r="E2023" i="13"/>
  <c r="D2023" i="13"/>
  <c r="C2023" i="13"/>
  <c r="B2023" i="13"/>
  <c r="A2023" i="13"/>
  <c r="I2022" i="13"/>
  <c r="H2022" i="13"/>
  <c r="G2022" i="13"/>
  <c r="F2022" i="13"/>
  <c r="E2022" i="13"/>
  <c r="D2022" i="13"/>
  <c r="C2022" i="13"/>
  <c r="B2022" i="13"/>
  <c r="A2022" i="13"/>
  <c r="I2021" i="13"/>
  <c r="H2021" i="13"/>
  <c r="G2021" i="13"/>
  <c r="F2021" i="13"/>
  <c r="E2021" i="13"/>
  <c r="D2021" i="13"/>
  <c r="C2021" i="13"/>
  <c r="B2021" i="13"/>
  <c r="A2021" i="13"/>
  <c r="I2020" i="13"/>
  <c r="H2020" i="13"/>
  <c r="G2020" i="13"/>
  <c r="F2020" i="13"/>
  <c r="E2020" i="13"/>
  <c r="D2020" i="13"/>
  <c r="C2020" i="13"/>
  <c r="B2020" i="13"/>
  <c r="A2020" i="13"/>
  <c r="I2019" i="13"/>
  <c r="H2019" i="13"/>
  <c r="G2019" i="13"/>
  <c r="F2019" i="13"/>
  <c r="E2019" i="13"/>
  <c r="D2019" i="13"/>
  <c r="C2019" i="13"/>
  <c r="B2019" i="13"/>
  <c r="A2019" i="13"/>
  <c r="I2018" i="13"/>
  <c r="H2018" i="13"/>
  <c r="G2018" i="13"/>
  <c r="F2018" i="13"/>
  <c r="E2018" i="13"/>
  <c r="D2018" i="13"/>
  <c r="C2018" i="13"/>
  <c r="B2018" i="13"/>
  <c r="A2018" i="13"/>
  <c r="I2017" i="13"/>
  <c r="H2017" i="13"/>
  <c r="G2017" i="13"/>
  <c r="F2017" i="13"/>
  <c r="E2017" i="13"/>
  <c r="D2017" i="13"/>
  <c r="C2017" i="13"/>
  <c r="B2017" i="13"/>
  <c r="A2017" i="13"/>
  <c r="I2016" i="13"/>
  <c r="A111" i="16" s="1"/>
  <c r="B111" i="16" s="1"/>
  <c r="H2016" i="13"/>
  <c r="G2016" i="13"/>
  <c r="F2016" i="13"/>
  <c r="D111" i="16" s="1"/>
  <c r="J111" i="16" s="1"/>
  <c r="E2016" i="13"/>
  <c r="D2016" i="13"/>
  <c r="C2016" i="13"/>
  <c r="B2016" i="13"/>
  <c r="A2016" i="13"/>
  <c r="I2015" i="13"/>
  <c r="H2015" i="13"/>
  <c r="G2015" i="13"/>
  <c r="F2015" i="13"/>
  <c r="E2015" i="13"/>
  <c r="D2015" i="13"/>
  <c r="C2015" i="13"/>
  <c r="B2015" i="13"/>
  <c r="A2015" i="13"/>
  <c r="I2014" i="13"/>
  <c r="H2014" i="13"/>
  <c r="G2014" i="13"/>
  <c r="F2014" i="13"/>
  <c r="E2014" i="13"/>
  <c r="D2014" i="13"/>
  <c r="C2014" i="13"/>
  <c r="B2014" i="13"/>
  <c r="A2014" i="13"/>
  <c r="I2013" i="13"/>
  <c r="H2013" i="13"/>
  <c r="G2013" i="13"/>
  <c r="F2013" i="13"/>
  <c r="E2013" i="13"/>
  <c r="D2013" i="13"/>
  <c r="C2013" i="13"/>
  <c r="B2013" i="13"/>
  <c r="A2013" i="13"/>
  <c r="I2012" i="13"/>
  <c r="H2012" i="13"/>
  <c r="G2012" i="13"/>
  <c r="F2012" i="13"/>
  <c r="E2012" i="13"/>
  <c r="D2012" i="13"/>
  <c r="C2012" i="13"/>
  <c r="B2012" i="13"/>
  <c r="A2012" i="13"/>
  <c r="I2011" i="13"/>
  <c r="H2011" i="13"/>
  <c r="G2011" i="13"/>
  <c r="F2011" i="13"/>
  <c r="E2011" i="13"/>
  <c r="D2011" i="13"/>
  <c r="C2011" i="13"/>
  <c r="B2011" i="13"/>
  <c r="A2011" i="13"/>
  <c r="I2010" i="13"/>
  <c r="H2010" i="13"/>
  <c r="G2010" i="13"/>
  <c r="F2010" i="13"/>
  <c r="E2010" i="13"/>
  <c r="D2010" i="13"/>
  <c r="C2010" i="13"/>
  <c r="B2010" i="13"/>
  <c r="A2010" i="13"/>
  <c r="I2009" i="13"/>
  <c r="H2009" i="13"/>
  <c r="G2009" i="13"/>
  <c r="F2009" i="13"/>
  <c r="E2009" i="13"/>
  <c r="D2009" i="13"/>
  <c r="E110" i="16" s="1"/>
  <c r="C2009" i="13"/>
  <c r="B2009" i="13"/>
  <c r="A2009" i="13"/>
  <c r="I2008" i="13"/>
  <c r="H2008" i="13"/>
  <c r="G2008" i="13"/>
  <c r="F2008" i="13"/>
  <c r="E2008" i="13"/>
  <c r="D2008" i="13"/>
  <c r="C2008" i="13"/>
  <c r="B2008" i="13"/>
  <c r="A2008" i="13"/>
  <c r="I2007" i="13"/>
  <c r="H2007" i="13"/>
  <c r="G2007" i="13"/>
  <c r="F2007" i="13"/>
  <c r="E2007" i="13"/>
  <c r="D2007" i="13"/>
  <c r="C2007" i="13"/>
  <c r="B2007" i="13"/>
  <c r="A2007" i="13"/>
  <c r="I2006" i="13"/>
  <c r="H2006" i="13"/>
  <c r="G2006" i="13"/>
  <c r="F2006" i="13"/>
  <c r="E2006" i="13"/>
  <c r="D2006" i="13"/>
  <c r="C2006" i="13"/>
  <c r="B2006" i="13"/>
  <c r="A2006" i="13"/>
  <c r="I2005" i="13"/>
  <c r="H2005" i="13"/>
  <c r="G2005" i="13"/>
  <c r="F2005" i="13"/>
  <c r="E2005" i="13"/>
  <c r="D2005" i="13"/>
  <c r="C2005" i="13"/>
  <c r="B2005" i="13"/>
  <c r="A2005" i="13"/>
  <c r="I2004" i="13"/>
  <c r="H2004" i="13"/>
  <c r="G2004" i="13"/>
  <c r="F2004" i="13"/>
  <c r="E2004" i="13"/>
  <c r="D2004" i="13"/>
  <c r="C2004" i="13"/>
  <c r="B2004" i="13"/>
  <c r="A2004" i="13"/>
  <c r="I2003" i="13"/>
  <c r="H2003" i="13"/>
  <c r="G2003" i="13"/>
  <c r="F2003" i="13"/>
  <c r="E2003" i="13"/>
  <c r="D2003" i="13"/>
  <c r="C2003" i="13"/>
  <c r="B2003" i="13"/>
  <c r="A2003" i="13"/>
  <c r="I2002" i="13"/>
  <c r="H2002" i="13"/>
  <c r="G2002" i="13"/>
  <c r="F2002" i="13"/>
  <c r="E2002" i="13"/>
  <c r="D2002" i="13"/>
  <c r="C2002" i="13"/>
  <c r="B2002" i="13"/>
  <c r="A2002" i="13"/>
  <c r="I2001" i="13"/>
  <c r="H2001" i="13"/>
  <c r="G2001" i="13"/>
  <c r="F2001" i="13"/>
  <c r="E2001" i="13"/>
  <c r="D2001" i="13"/>
  <c r="C2001" i="13"/>
  <c r="B2001" i="13"/>
  <c r="A2001" i="13"/>
  <c r="I2000" i="13"/>
  <c r="H2000" i="13"/>
  <c r="G2000" i="13"/>
  <c r="F2000" i="13"/>
  <c r="E2000" i="13"/>
  <c r="D2000" i="13"/>
  <c r="C2000" i="13"/>
  <c r="B2000" i="13"/>
  <c r="A2000" i="13"/>
  <c r="I1999" i="13"/>
  <c r="A110" i="16" s="1"/>
  <c r="B110" i="16" s="1"/>
  <c r="H1999" i="13"/>
  <c r="G1999" i="13"/>
  <c r="F1999" i="13"/>
  <c r="D110" i="16" s="1"/>
  <c r="E1999" i="13"/>
  <c r="D1999" i="13"/>
  <c r="C1999" i="13"/>
  <c r="B1999" i="13"/>
  <c r="A1999" i="13"/>
  <c r="I1998" i="13"/>
  <c r="H1998" i="13"/>
  <c r="G1998" i="13"/>
  <c r="F1998" i="13"/>
  <c r="E1998" i="13"/>
  <c r="D1998" i="13"/>
  <c r="C1998" i="13"/>
  <c r="B1998" i="13"/>
  <c r="A1998" i="13"/>
  <c r="I1997" i="13"/>
  <c r="H1997" i="13"/>
  <c r="G1997" i="13"/>
  <c r="F1997" i="13"/>
  <c r="E1997" i="13"/>
  <c r="D1997" i="13"/>
  <c r="C1997" i="13"/>
  <c r="B1997" i="13"/>
  <c r="A1997" i="13"/>
  <c r="I1996" i="13"/>
  <c r="H1996" i="13"/>
  <c r="G1996" i="13"/>
  <c r="F1996" i="13"/>
  <c r="E1996" i="13"/>
  <c r="D1996" i="13"/>
  <c r="C1996" i="13"/>
  <c r="B1996" i="13"/>
  <c r="A1996" i="13"/>
  <c r="I1995" i="13"/>
  <c r="H1995" i="13"/>
  <c r="G1995" i="13"/>
  <c r="F1995" i="13"/>
  <c r="E1995" i="13"/>
  <c r="D1995" i="13"/>
  <c r="C1995" i="13"/>
  <c r="B1995" i="13"/>
  <c r="A1995" i="13"/>
  <c r="I1994" i="13"/>
  <c r="H1994" i="13"/>
  <c r="G1994" i="13"/>
  <c r="F1994" i="13"/>
  <c r="E1994" i="13"/>
  <c r="D1994" i="13"/>
  <c r="C1994" i="13"/>
  <c r="B1994" i="13"/>
  <c r="A1994" i="13"/>
  <c r="I1993" i="13"/>
  <c r="H1993" i="13"/>
  <c r="G1993" i="13"/>
  <c r="F1993" i="13"/>
  <c r="E1993" i="13"/>
  <c r="D1993" i="13"/>
  <c r="E109" i="16" s="1"/>
  <c r="C1993" i="13"/>
  <c r="B1993" i="13"/>
  <c r="A1993" i="13"/>
  <c r="I1992" i="13"/>
  <c r="H1992" i="13"/>
  <c r="G1992" i="13"/>
  <c r="F1992" i="13"/>
  <c r="E1992" i="13"/>
  <c r="D1992" i="13"/>
  <c r="C1992" i="13"/>
  <c r="B1992" i="13"/>
  <c r="A1992" i="13"/>
  <c r="I1991" i="13"/>
  <c r="H1991" i="13"/>
  <c r="G1991" i="13"/>
  <c r="F1991" i="13"/>
  <c r="E1991" i="13"/>
  <c r="D1991" i="13"/>
  <c r="C1991" i="13"/>
  <c r="B1991" i="13"/>
  <c r="A1991" i="13"/>
  <c r="I1990" i="13"/>
  <c r="H1990" i="13"/>
  <c r="G1990" i="13"/>
  <c r="F1990" i="13"/>
  <c r="E1990" i="13"/>
  <c r="D1990" i="13"/>
  <c r="C1990" i="13"/>
  <c r="B1990" i="13"/>
  <c r="A1990" i="13"/>
  <c r="I1989" i="13"/>
  <c r="H1989" i="13"/>
  <c r="G1989" i="13"/>
  <c r="F1989" i="13"/>
  <c r="E1989" i="13"/>
  <c r="D1989" i="13"/>
  <c r="C1989" i="13"/>
  <c r="B1989" i="13"/>
  <c r="A1989" i="13"/>
  <c r="I1988" i="13"/>
  <c r="H1988" i="13"/>
  <c r="G1988" i="13"/>
  <c r="F1988" i="13"/>
  <c r="E1988" i="13"/>
  <c r="D1988" i="13"/>
  <c r="C1988" i="13"/>
  <c r="B1988" i="13"/>
  <c r="A1988" i="13"/>
  <c r="I1987" i="13"/>
  <c r="H1987" i="13"/>
  <c r="G1987" i="13"/>
  <c r="F1987" i="13"/>
  <c r="E1987" i="13"/>
  <c r="D1987" i="13"/>
  <c r="C1987" i="13"/>
  <c r="B1987" i="13"/>
  <c r="A1987" i="13"/>
  <c r="I1986" i="13"/>
  <c r="H1986" i="13"/>
  <c r="G1986" i="13"/>
  <c r="F1986" i="13"/>
  <c r="E1986" i="13"/>
  <c r="D1986" i="13"/>
  <c r="C1986" i="13"/>
  <c r="B1986" i="13"/>
  <c r="A1986" i="13"/>
  <c r="I1985" i="13"/>
  <c r="H1985" i="13"/>
  <c r="G1985" i="13"/>
  <c r="F1985" i="13"/>
  <c r="E1985" i="13"/>
  <c r="D1985" i="13"/>
  <c r="C1985" i="13"/>
  <c r="B1985" i="13"/>
  <c r="A1985" i="13"/>
  <c r="I1984" i="13"/>
  <c r="H1984" i="13"/>
  <c r="G1984" i="13"/>
  <c r="F1984" i="13"/>
  <c r="E1984" i="13"/>
  <c r="D1984" i="13"/>
  <c r="C1984" i="13"/>
  <c r="B1984" i="13"/>
  <c r="A1984" i="13"/>
  <c r="I1983" i="13"/>
  <c r="A109" i="16" s="1"/>
  <c r="B109" i="16" s="1"/>
  <c r="H1983" i="13"/>
  <c r="G1983" i="13"/>
  <c r="F1983" i="13"/>
  <c r="D109" i="16" s="1"/>
  <c r="E1983" i="13"/>
  <c r="D1983" i="13"/>
  <c r="C1983" i="13"/>
  <c r="B1983" i="13"/>
  <c r="A1983" i="13"/>
  <c r="I1982" i="13"/>
  <c r="H1982" i="13"/>
  <c r="G1982" i="13"/>
  <c r="F1982" i="13"/>
  <c r="E1982" i="13"/>
  <c r="D1982" i="13"/>
  <c r="C1982" i="13"/>
  <c r="B1982" i="13"/>
  <c r="A1982" i="13"/>
  <c r="I1981" i="13"/>
  <c r="H1981" i="13"/>
  <c r="G1981" i="13"/>
  <c r="F1981" i="13"/>
  <c r="E1981" i="13"/>
  <c r="D1981" i="13"/>
  <c r="C1981" i="13"/>
  <c r="B1981" i="13"/>
  <c r="A1981" i="13"/>
  <c r="I1980" i="13"/>
  <c r="H1980" i="13"/>
  <c r="G1980" i="13"/>
  <c r="F1980" i="13"/>
  <c r="E1980" i="13"/>
  <c r="D1980" i="13"/>
  <c r="C1980" i="13"/>
  <c r="B1980" i="13"/>
  <c r="A1980" i="13"/>
  <c r="I1979" i="13"/>
  <c r="H1979" i="13"/>
  <c r="G1979" i="13"/>
  <c r="F1979" i="13"/>
  <c r="E1979" i="13"/>
  <c r="D1979" i="13"/>
  <c r="C1979" i="13"/>
  <c r="B1979" i="13"/>
  <c r="A1979" i="13"/>
  <c r="I1978" i="13"/>
  <c r="H1978" i="13"/>
  <c r="G1978" i="13"/>
  <c r="F1978" i="13"/>
  <c r="E1978" i="13"/>
  <c r="D1978" i="13"/>
  <c r="C1978" i="13"/>
  <c r="B1978" i="13"/>
  <c r="A1978" i="13"/>
  <c r="I1977" i="13"/>
  <c r="H1977" i="13"/>
  <c r="G1977" i="13"/>
  <c r="F1977" i="13"/>
  <c r="E1977" i="13"/>
  <c r="D1977" i="13"/>
  <c r="C1977" i="13"/>
  <c r="B1977" i="13"/>
  <c r="A1977" i="13"/>
  <c r="I1976" i="13"/>
  <c r="H1976" i="13"/>
  <c r="G1976" i="13"/>
  <c r="F1976" i="13"/>
  <c r="E1976" i="13"/>
  <c r="D1976" i="13"/>
  <c r="C1976" i="13"/>
  <c r="B1976" i="13"/>
  <c r="A1976" i="13"/>
  <c r="I1975" i="13"/>
  <c r="H1975" i="13"/>
  <c r="G1975" i="13"/>
  <c r="F1975" i="13"/>
  <c r="E1975" i="13"/>
  <c r="D1975" i="13"/>
  <c r="C1975" i="13"/>
  <c r="B1975" i="13"/>
  <c r="A1975" i="13"/>
  <c r="I1974" i="13"/>
  <c r="H1974" i="13"/>
  <c r="G1974" i="13"/>
  <c r="F1974" i="13"/>
  <c r="E1974" i="13"/>
  <c r="D1974" i="13"/>
  <c r="E108" i="16" s="1"/>
  <c r="C1974" i="13"/>
  <c r="B1974" i="13"/>
  <c r="A1974" i="13"/>
  <c r="I1973" i="13"/>
  <c r="H1973" i="13"/>
  <c r="G1973" i="13"/>
  <c r="F1973" i="13"/>
  <c r="E1973" i="13"/>
  <c r="D1973" i="13"/>
  <c r="C1973" i="13"/>
  <c r="B1973" i="13"/>
  <c r="A1973" i="13"/>
  <c r="I1972" i="13"/>
  <c r="H1972" i="13"/>
  <c r="G1972" i="13"/>
  <c r="F1972" i="13"/>
  <c r="E1972" i="13"/>
  <c r="D1972" i="13"/>
  <c r="C1972" i="13"/>
  <c r="B1972" i="13"/>
  <c r="A1972" i="13"/>
  <c r="I1971" i="13"/>
  <c r="H1971" i="13"/>
  <c r="G1971" i="13"/>
  <c r="F1971" i="13"/>
  <c r="E1971" i="13"/>
  <c r="D1971" i="13"/>
  <c r="C1971" i="13"/>
  <c r="B1971" i="13"/>
  <c r="A1971" i="13"/>
  <c r="I1970" i="13"/>
  <c r="H1970" i="13"/>
  <c r="G1970" i="13"/>
  <c r="F1970" i="13"/>
  <c r="E1970" i="13"/>
  <c r="D1970" i="13"/>
  <c r="C1970" i="13"/>
  <c r="B1970" i="13"/>
  <c r="A1970" i="13"/>
  <c r="I1969" i="13"/>
  <c r="H1969" i="13"/>
  <c r="G1969" i="13"/>
  <c r="F1969" i="13"/>
  <c r="E1969" i="13"/>
  <c r="D1969" i="13"/>
  <c r="C1969" i="13"/>
  <c r="B1969" i="13"/>
  <c r="A1969" i="13"/>
  <c r="I1968" i="13"/>
  <c r="H1968" i="13"/>
  <c r="G1968" i="13"/>
  <c r="F1968" i="13"/>
  <c r="E1968" i="13"/>
  <c r="D1968" i="13"/>
  <c r="C1968" i="13"/>
  <c r="B1968" i="13"/>
  <c r="A1968" i="13"/>
  <c r="I1967" i="13"/>
  <c r="H1967" i="13"/>
  <c r="G1967" i="13"/>
  <c r="F1967" i="13"/>
  <c r="E1967" i="13"/>
  <c r="D1967" i="13"/>
  <c r="C1967" i="13"/>
  <c r="B1967" i="13"/>
  <c r="A1967" i="13"/>
  <c r="I1966" i="13"/>
  <c r="H1966" i="13"/>
  <c r="G1966" i="13"/>
  <c r="F1966" i="13"/>
  <c r="E1966" i="13"/>
  <c r="D1966" i="13"/>
  <c r="C1966" i="13"/>
  <c r="B1966" i="13"/>
  <c r="A1966" i="13"/>
  <c r="I1965" i="13"/>
  <c r="A108" i="16" s="1"/>
  <c r="B108" i="16" s="1"/>
  <c r="H1965" i="13"/>
  <c r="G1965" i="13"/>
  <c r="F1965" i="13"/>
  <c r="D108" i="16" s="1"/>
  <c r="E1965" i="13"/>
  <c r="D1965" i="13"/>
  <c r="C1965" i="13"/>
  <c r="B1965" i="13"/>
  <c r="A1965" i="13"/>
  <c r="I1964" i="13"/>
  <c r="H1964" i="13"/>
  <c r="G1964" i="13"/>
  <c r="F1964" i="13"/>
  <c r="E1964" i="13"/>
  <c r="D1964" i="13"/>
  <c r="C1964" i="13"/>
  <c r="B1964" i="13"/>
  <c r="A1964" i="13"/>
  <c r="I1963" i="13"/>
  <c r="H1963" i="13"/>
  <c r="G1963" i="13"/>
  <c r="F1963" i="13"/>
  <c r="E1963" i="13"/>
  <c r="D1963" i="13"/>
  <c r="C1963" i="13"/>
  <c r="B1963" i="13"/>
  <c r="A1963" i="13"/>
  <c r="I1962" i="13"/>
  <c r="H1962" i="13"/>
  <c r="G1962" i="13"/>
  <c r="F1962" i="13"/>
  <c r="E1962" i="13"/>
  <c r="D1962" i="13"/>
  <c r="C1962" i="13"/>
  <c r="B1962" i="13"/>
  <c r="A1962" i="13"/>
  <c r="I1961" i="13"/>
  <c r="H1961" i="13"/>
  <c r="G1961" i="13"/>
  <c r="F1961" i="13"/>
  <c r="E1961" i="13"/>
  <c r="D1961" i="13"/>
  <c r="C1961" i="13"/>
  <c r="B1961" i="13"/>
  <c r="A1961" i="13"/>
  <c r="I1960" i="13"/>
  <c r="H1960" i="13"/>
  <c r="G1960" i="13"/>
  <c r="F1960" i="13"/>
  <c r="E1960" i="13"/>
  <c r="D1960" i="13"/>
  <c r="C1960" i="13"/>
  <c r="B1960" i="13"/>
  <c r="A1960" i="13"/>
  <c r="I1959" i="13"/>
  <c r="H1959" i="13"/>
  <c r="G1959" i="13"/>
  <c r="F1959" i="13"/>
  <c r="E1959" i="13"/>
  <c r="D1959" i="13"/>
  <c r="C1959" i="13"/>
  <c r="B1959" i="13"/>
  <c r="A1959" i="13"/>
  <c r="I1958" i="13"/>
  <c r="H1958" i="13"/>
  <c r="G1958" i="13"/>
  <c r="F1958" i="13"/>
  <c r="E1958" i="13"/>
  <c r="D1958" i="13"/>
  <c r="C1958" i="13"/>
  <c r="B1958" i="13"/>
  <c r="A1958" i="13"/>
  <c r="I1957" i="13"/>
  <c r="H1957" i="13"/>
  <c r="G1957" i="13"/>
  <c r="F1957" i="13"/>
  <c r="E1957" i="13"/>
  <c r="D1957" i="13"/>
  <c r="E107" i="16" s="1"/>
  <c r="C1957" i="13"/>
  <c r="B1957" i="13"/>
  <c r="A1957" i="13"/>
  <c r="I1956" i="13"/>
  <c r="H1956" i="13"/>
  <c r="G1956" i="13"/>
  <c r="F1956" i="13"/>
  <c r="E1956" i="13"/>
  <c r="D1956" i="13"/>
  <c r="C1956" i="13"/>
  <c r="B1956" i="13"/>
  <c r="A1956" i="13"/>
  <c r="I1955" i="13"/>
  <c r="H1955" i="13"/>
  <c r="G1955" i="13"/>
  <c r="F1955" i="13"/>
  <c r="E1955" i="13"/>
  <c r="D1955" i="13"/>
  <c r="C1955" i="13"/>
  <c r="B1955" i="13"/>
  <c r="A1955" i="13"/>
  <c r="I1954" i="13"/>
  <c r="H1954" i="13"/>
  <c r="G1954" i="13"/>
  <c r="F1954" i="13"/>
  <c r="E1954" i="13"/>
  <c r="D1954" i="13"/>
  <c r="C1954" i="13"/>
  <c r="B1954" i="13"/>
  <c r="A1954" i="13"/>
  <c r="I1953" i="13"/>
  <c r="H1953" i="13"/>
  <c r="G1953" i="13"/>
  <c r="F1953" i="13"/>
  <c r="E1953" i="13"/>
  <c r="D1953" i="13"/>
  <c r="C1953" i="13"/>
  <c r="B1953" i="13"/>
  <c r="A1953" i="13"/>
  <c r="I1952" i="13"/>
  <c r="H1952" i="13"/>
  <c r="G1952" i="13"/>
  <c r="F1952" i="13"/>
  <c r="E1952" i="13"/>
  <c r="D1952" i="13"/>
  <c r="C1952" i="13"/>
  <c r="B1952" i="13"/>
  <c r="A1952" i="13"/>
  <c r="I1951" i="13"/>
  <c r="H1951" i="13"/>
  <c r="G1951" i="13"/>
  <c r="F1951" i="13"/>
  <c r="E1951" i="13"/>
  <c r="D1951" i="13"/>
  <c r="C1951" i="13"/>
  <c r="B1951" i="13"/>
  <c r="A1951" i="13"/>
  <c r="I1950" i="13"/>
  <c r="H1950" i="13"/>
  <c r="G1950" i="13"/>
  <c r="F1950" i="13"/>
  <c r="E1950" i="13"/>
  <c r="D1950" i="13"/>
  <c r="C1950" i="13"/>
  <c r="B1950" i="13"/>
  <c r="A1950" i="13"/>
  <c r="I1949" i="13"/>
  <c r="H1949" i="13"/>
  <c r="G1949" i="13"/>
  <c r="F1949" i="13"/>
  <c r="E1949" i="13"/>
  <c r="D1949" i="13"/>
  <c r="C1949" i="13"/>
  <c r="B1949" i="13"/>
  <c r="A1949" i="13"/>
  <c r="I1948" i="13"/>
  <c r="H1948" i="13"/>
  <c r="G1948" i="13"/>
  <c r="F1948" i="13"/>
  <c r="E1948" i="13"/>
  <c r="D1948" i="13"/>
  <c r="C1948" i="13"/>
  <c r="B1948" i="13"/>
  <c r="A1948" i="13"/>
  <c r="I1947" i="13"/>
  <c r="H1947" i="13"/>
  <c r="G1947" i="13"/>
  <c r="F1947" i="13"/>
  <c r="D107" i="16" s="1"/>
  <c r="E1947" i="13"/>
  <c r="D1947" i="13"/>
  <c r="C1947" i="13"/>
  <c r="B1947" i="13"/>
  <c r="A1947" i="13"/>
  <c r="I1946" i="13"/>
  <c r="H1946" i="13"/>
  <c r="G1946" i="13"/>
  <c r="F1946" i="13"/>
  <c r="E1946" i="13"/>
  <c r="D1946" i="13"/>
  <c r="C1946" i="13"/>
  <c r="B1946" i="13"/>
  <c r="A1946" i="13"/>
  <c r="I1945" i="13"/>
  <c r="H1945" i="13"/>
  <c r="G1945" i="13"/>
  <c r="F1945" i="13"/>
  <c r="E1945" i="13"/>
  <c r="D1945" i="13"/>
  <c r="C1945" i="13"/>
  <c r="B1945" i="13"/>
  <c r="A1945" i="13"/>
  <c r="I1944" i="13"/>
  <c r="H1944" i="13"/>
  <c r="G1944" i="13"/>
  <c r="F1944" i="13"/>
  <c r="E1944" i="13"/>
  <c r="D1944" i="13"/>
  <c r="C1944" i="13"/>
  <c r="B1944" i="13"/>
  <c r="A1944" i="13"/>
  <c r="I1943" i="13"/>
  <c r="H1943" i="13"/>
  <c r="G1943" i="13"/>
  <c r="F1943" i="13"/>
  <c r="E1943" i="13"/>
  <c r="D1943" i="13"/>
  <c r="C1943" i="13"/>
  <c r="B1943" i="13"/>
  <c r="A1943" i="13"/>
  <c r="I1942" i="13"/>
  <c r="H1942" i="13"/>
  <c r="G1942" i="13"/>
  <c r="F1942" i="13"/>
  <c r="E1942" i="13"/>
  <c r="D1942" i="13"/>
  <c r="C1942" i="13"/>
  <c r="B1942" i="13"/>
  <c r="A1942" i="13"/>
  <c r="I1941" i="13"/>
  <c r="H1941" i="13"/>
  <c r="G1941" i="13"/>
  <c r="F1941" i="13"/>
  <c r="E1941" i="13"/>
  <c r="D1941" i="13"/>
  <c r="C1941" i="13"/>
  <c r="B1941" i="13"/>
  <c r="A1941" i="13"/>
  <c r="I1940" i="13"/>
  <c r="H1940" i="13"/>
  <c r="G1940" i="13"/>
  <c r="F1940" i="13"/>
  <c r="E1940" i="13"/>
  <c r="D1940" i="13"/>
  <c r="C1940" i="13"/>
  <c r="B1940" i="13"/>
  <c r="A1940" i="13"/>
  <c r="I1939" i="13"/>
  <c r="H1939" i="13"/>
  <c r="G1939" i="13"/>
  <c r="F1939" i="13"/>
  <c r="E1939" i="13"/>
  <c r="D1939" i="13"/>
  <c r="E106" i="16" s="1"/>
  <c r="C1939" i="13"/>
  <c r="B1939" i="13"/>
  <c r="A1939" i="13"/>
  <c r="I1938" i="13"/>
  <c r="H1938" i="13"/>
  <c r="G1938" i="13"/>
  <c r="F1938" i="13"/>
  <c r="E1938" i="13"/>
  <c r="D1938" i="13"/>
  <c r="C1938" i="13"/>
  <c r="B1938" i="13"/>
  <c r="A1938" i="13"/>
  <c r="I1937" i="13"/>
  <c r="H1937" i="13"/>
  <c r="G1937" i="13"/>
  <c r="F1937" i="13"/>
  <c r="E1937" i="13"/>
  <c r="D1937" i="13"/>
  <c r="C1937" i="13"/>
  <c r="B1937" i="13"/>
  <c r="A1937" i="13"/>
  <c r="I1936" i="13"/>
  <c r="H1936" i="13"/>
  <c r="G1936" i="13"/>
  <c r="F1936" i="13"/>
  <c r="E1936" i="13"/>
  <c r="D1936" i="13"/>
  <c r="C1936" i="13"/>
  <c r="B1936" i="13"/>
  <c r="A1936" i="13"/>
  <c r="I1935" i="13"/>
  <c r="H1935" i="13"/>
  <c r="G1935" i="13"/>
  <c r="F1935" i="13"/>
  <c r="E1935" i="13"/>
  <c r="D1935" i="13"/>
  <c r="C1935" i="13"/>
  <c r="B1935" i="13"/>
  <c r="A1935" i="13"/>
  <c r="I1934" i="13"/>
  <c r="H1934" i="13"/>
  <c r="G1934" i="13"/>
  <c r="F1934" i="13"/>
  <c r="E1934" i="13"/>
  <c r="D1934" i="13"/>
  <c r="C1934" i="13"/>
  <c r="B1934" i="13"/>
  <c r="A1934" i="13"/>
  <c r="I1933" i="13"/>
  <c r="H1933" i="13"/>
  <c r="G1933" i="13"/>
  <c r="F1933" i="13"/>
  <c r="E1933" i="13"/>
  <c r="D1933" i="13"/>
  <c r="C1933" i="13"/>
  <c r="B1933" i="13"/>
  <c r="A1933" i="13"/>
  <c r="I1932" i="13"/>
  <c r="H1932" i="13"/>
  <c r="G1932" i="13"/>
  <c r="F1932" i="13"/>
  <c r="E1932" i="13"/>
  <c r="D1932" i="13"/>
  <c r="C1932" i="13"/>
  <c r="B1932" i="13"/>
  <c r="A1932" i="13"/>
  <c r="I1931" i="13"/>
  <c r="H1931" i="13"/>
  <c r="G1931" i="13"/>
  <c r="F1931" i="13"/>
  <c r="E1931" i="13"/>
  <c r="D1931" i="13"/>
  <c r="C1931" i="13"/>
  <c r="B1931" i="13"/>
  <c r="A1931" i="13"/>
  <c r="I1930" i="13"/>
  <c r="H1930" i="13"/>
  <c r="G1930" i="13"/>
  <c r="F1930" i="13"/>
  <c r="E1930" i="13"/>
  <c r="D1930" i="13"/>
  <c r="C1930" i="13"/>
  <c r="B1930" i="13"/>
  <c r="A1930" i="13"/>
  <c r="I1929" i="13"/>
  <c r="A106" i="16" s="1"/>
  <c r="B106" i="16" s="1"/>
  <c r="H1929" i="13"/>
  <c r="G1929" i="13"/>
  <c r="F1929" i="13"/>
  <c r="D106" i="16" s="1"/>
  <c r="E1929" i="13"/>
  <c r="D1929" i="13"/>
  <c r="C1929" i="13"/>
  <c r="B1929" i="13"/>
  <c r="A1929" i="13"/>
  <c r="I1928" i="13"/>
  <c r="H1928" i="13"/>
  <c r="G1928" i="13"/>
  <c r="F1928" i="13"/>
  <c r="E1928" i="13"/>
  <c r="D1928" i="13"/>
  <c r="C1928" i="13"/>
  <c r="B1928" i="13"/>
  <c r="A1928" i="13"/>
  <c r="I1927" i="13"/>
  <c r="H1927" i="13"/>
  <c r="G1927" i="13"/>
  <c r="F1927" i="13"/>
  <c r="E1927" i="13"/>
  <c r="D1927" i="13"/>
  <c r="C1927" i="13"/>
  <c r="B1927" i="13"/>
  <c r="A1927" i="13"/>
  <c r="I1926" i="13"/>
  <c r="H1926" i="13"/>
  <c r="G1926" i="13"/>
  <c r="F1926" i="13"/>
  <c r="E1926" i="13"/>
  <c r="D1926" i="13"/>
  <c r="C1926" i="13"/>
  <c r="B1926" i="13"/>
  <c r="A1926" i="13"/>
  <c r="I1925" i="13"/>
  <c r="H1925" i="13"/>
  <c r="G1925" i="13"/>
  <c r="F1925" i="13"/>
  <c r="E1925" i="13"/>
  <c r="D1925" i="13"/>
  <c r="C1925" i="13"/>
  <c r="B1925" i="13"/>
  <c r="A1925" i="13"/>
  <c r="I1924" i="13"/>
  <c r="H1924" i="13"/>
  <c r="G1924" i="13"/>
  <c r="F1924" i="13"/>
  <c r="E1924" i="13"/>
  <c r="D1924" i="13"/>
  <c r="C1924" i="13"/>
  <c r="B1924" i="13"/>
  <c r="A1924" i="13"/>
  <c r="I1923" i="13"/>
  <c r="H1923" i="13"/>
  <c r="G1923" i="13"/>
  <c r="F1923" i="13"/>
  <c r="E1923" i="13"/>
  <c r="D1923" i="13"/>
  <c r="C1923" i="13"/>
  <c r="B1923" i="13"/>
  <c r="A1923" i="13"/>
  <c r="I1922" i="13"/>
  <c r="H1922" i="13"/>
  <c r="G1922" i="13"/>
  <c r="F1922" i="13"/>
  <c r="E1922" i="13"/>
  <c r="D1922" i="13"/>
  <c r="C1922" i="13"/>
  <c r="B1922" i="13"/>
  <c r="A1922" i="13"/>
  <c r="I1921" i="13"/>
  <c r="H1921" i="13"/>
  <c r="G1921" i="13"/>
  <c r="F1921" i="13"/>
  <c r="E1921" i="13"/>
  <c r="D1921" i="13"/>
  <c r="C1921" i="13"/>
  <c r="B1921" i="13"/>
  <c r="A1921" i="13"/>
  <c r="I1920" i="13"/>
  <c r="H1920" i="13"/>
  <c r="G1920" i="13"/>
  <c r="F1920" i="13"/>
  <c r="E1920" i="13"/>
  <c r="D1920" i="13"/>
  <c r="E105" i="16" s="1"/>
  <c r="S3" i="58" s="1"/>
  <c r="E38" i="58" s="1"/>
  <c r="C1920" i="13"/>
  <c r="B1920" i="13"/>
  <c r="A1920" i="13"/>
  <c r="I1919" i="13"/>
  <c r="H1919" i="13"/>
  <c r="G1919" i="13"/>
  <c r="F1919" i="13"/>
  <c r="E1919" i="13"/>
  <c r="D1919" i="13"/>
  <c r="C1919" i="13"/>
  <c r="B1919" i="13"/>
  <c r="A1919" i="13"/>
  <c r="I1918" i="13"/>
  <c r="H1918" i="13"/>
  <c r="G1918" i="13"/>
  <c r="F1918" i="13"/>
  <c r="E1918" i="13"/>
  <c r="D1918" i="13"/>
  <c r="C1918" i="13"/>
  <c r="B1918" i="13"/>
  <c r="A1918" i="13"/>
  <c r="I1917" i="13"/>
  <c r="H1917" i="13"/>
  <c r="G1917" i="13"/>
  <c r="F1917" i="13"/>
  <c r="E1917" i="13"/>
  <c r="D1917" i="13"/>
  <c r="C1917" i="13"/>
  <c r="B1917" i="13"/>
  <c r="A1917" i="13"/>
  <c r="I1916" i="13"/>
  <c r="H1916" i="13"/>
  <c r="G1916" i="13"/>
  <c r="F1916" i="13"/>
  <c r="E1916" i="13"/>
  <c r="D1916" i="13"/>
  <c r="C1916" i="13"/>
  <c r="B1916" i="13"/>
  <c r="A1916" i="13"/>
  <c r="I1915" i="13"/>
  <c r="H1915" i="13"/>
  <c r="G1915" i="13"/>
  <c r="F1915" i="13"/>
  <c r="E1915" i="13"/>
  <c r="D1915" i="13"/>
  <c r="C1915" i="13"/>
  <c r="B1915" i="13"/>
  <c r="A1915" i="13"/>
  <c r="I1914" i="13"/>
  <c r="H1914" i="13"/>
  <c r="G1914" i="13"/>
  <c r="F1914" i="13"/>
  <c r="E1914" i="13"/>
  <c r="D1914" i="13"/>
  <c r="C1914" i="13"/>
  <c r="B1914" i="13"/>
  <c r="A1914" i="13"/>
  <c r="I1913" i="13"/>
  <c r="H1913" i="13"/>
  <c r="G1913" i="13"/>
  <c r="F1913" i="13"/>
  <c r="E1913" i="13"/>
  <c r="D1913" i="13"/>
  <c r="C1913" i="13"/>
  <c r="B1913" i="13"/>
  <c r="A1913" i="13"/>
  <c r="I1912" i="13"/>
  <c r="H1912" i="13"/>
  <c r="G1912" i="13"/>
  <c r="F1912" i="13"/>
  <c r="E1912" i="13"/>
  <c r="D1912" i="13"/>
  <c r="C1912" i="13"/>
  <c r="B1912" i="13"/>
  <c r="A1912" i="13"/>
  <c r="I1911" i="13"/>
  <c r="H1911" i="13"/>
  <c r="G1911" i="13"/>
  <c r="F1911" i="13"/>
  <c r="E1911" i="13"/>
  <c r="D1911" i="13"/>
  <c r="C1911" i="13"/>
  <c r="B1911" i="13"/>
  <c r="A1911" i="13"/>
  <c r="I1910" i="13"/>
  <c r="A105" i="16" s="1"/>
  <c r="B105" i="16" s="1"/>
  <c r="H1910" i="13"/>
  <c r="G1910" i="13"/>
  <c r="F1910" i="13"/>
  <c r="D105" i="16" s="1"/>
  <c r="S2" i="58" s="1"/>
  <c r="E1910" i="13"/>
  <c r="D1910" i="13"/>
  <c r="C1910" i="13"/>
  <c r="B1910" i="13"/>
  <c r="A1910" i="13"/>
  <c r="I1909" i="13"/>
  <c r="H1909" i="13"/>
  <c r="G1909" i="13"/>
  <c r="F1909" i="13"/>
  <c r="E1909" i="13"/>
  <c r="D1909" i="13"/>
  <c r="C1909" i="13"/>
  <c r="B1909" i="13"/>
  <c r="A1909" i="13"/>
  <c r="I1908" i="13"/>
  <c r="H1908" i="13"/>
  <c r="G1908" i="13"/>
  <c r="F1908" i="13"/>
  <c r="E1908" i="13"/>
  <c r="D1908" i="13"/>
  <c r="C1908" i="13"/>
  <c r="B1908" i="13"/>
  <c r="A1908" i="13"/>
  <c r="I1907" i="13"/>
  <c r="H1907" i="13"/>
  <c r="G1907" i="13"/>
  <c r="F1907" i="13"/>
  <c r="E1907" i="13"/>
  <c r="D1907" i="13"/>
  <c r="C1907" i="13"/>
  <c r="B1907" i="13"/>
  <c r="A1907" i="13"/>
  <c r="I1906" i="13"/>
  <c r="H1906" i="13"/>
  <c r="G1906" i="13"/>
  <c r="F1906" i="13"/>
  <c r="E1906" i="13"/>
  <c r="D1906" i="13"/>
  <c r="C1906" i="13"/>
  <c r="F1898" i="13" s="1"/>
  <c r="E104" i="16" s="1"/>
  <c r="B1906" i="13"/>
  <c r="A1906" i="13"/>
  <c r="I1905" i="13"/>
  <c r="H1905" i="13"/>
  <c r="G1905" i="13"/>
  <c r="F1905" i="13"/>
  <c r="E1905" i="13"/>
  <c r="D1905" i="13"/>
  <c r="C1905" i="13"/>
  <c r="B1905" i="13"/>
  <c r="A1905" i="13"/>
  <c r="I1904" i="13"/>
  <c r="H1904" i="13"/>
  <c r="G1904" i="13"/>
  <c r="F1904" i="13"/>
  <c r="E1904" i="13"/>
  <c r="D1904" i="13"/>
  <c r="C1904" i="13"/>
  <c r="B1904" i="13"/>
  <c r="A1904" i="13"/>
  <c r="I1903" i="13"/>
  <c r="H1903" i="13"/>
  <c r="G1903" i="13"/>
  <c r="F1903" i="13"/>
  <c r="E1903" i="13"/>
  <c r="D1903" i="13"/>
  <c r="C1903" i="13"/>
  <c r="B1903" i="13"/>
  <c r="A1903" i="13"/>
  <c r="I1902" i="13"/>
  <c r="H1902" i="13"/>
  <c r="G1902" i="13"/>
  <c r="F1902" i="13"/>
  <c r="E1902" i="13"/>
  <c r="D1902" i="13"/>
  <c r="C1902" i="13"/>
  <c r="B1902" i="13"/>
  <c r="A1902" i="13"/>
  <c r="I1901" i="13"/>
  <c r="H1901" i="13"/>
  <c r="G1901" i="13"/>
  <c r="F1901" i="13"/>
  <c r="E1901" i="13"/>
  <c r="D1901" i="13"/>
  <c r="C1901" i="13"/>
  <c r="B1901" i="13"/>
  <c r="A1901" i="13"/>
  <c r="I1900" i="13"/>
  <c r="A104" i="16" s="1"/>
  <c r="H1900" i="13"/>
  <c r="G1900" i="13"/>
  <c r="F1900" i="13"/>
  <c r="D104" i="16" s="1"/>
  <c r="E1900" i="13"/>
  <c r="D1900" i="13"/>
  <c r="C1900" i="13"/>
  <c r="B1900" i="13"/>
  <c r="A1900" i="13"/>
  <c r="I1899" i="13"/>
  <c r="H1899" i="13"/>
  <c r="G1899" i="13"/>
  <c r="F1899" i="13"/>
  <c r="E1899" i="13"/>
  <c r="D1899" i="13"/>
  <c r="C1899" i="13"/>
  <c r="B1899" i="13"/>
  <c r="A1899" i="13"/>
  <c r="I1898" i="13"/>
  <c r="H1898" i="13"/>
  <c r="G1898" i="13"/>
  <c r="E1898" i="13"/>
  <c r="D1898" i="13"/>
  <c r="C1898" i="13"/>
  <c r="B1898" i="13"/>
  <c r="A1898" i="13"/>
  <c r="I1897" i="13"/>
  <c r="H1897" i="13"/>
  <c r="G1897" i="13"/>
  <c r="E1897" i="13"/>
  <c r="D1897" i="13"/>
  <c r="C1897" i="13"/>
  <c r="B1897" i="13"/>
  <c r="A1897" i="13"/>
  <c r="I1896" i="13"/>
  <c r="H1896" i="13"/>
  <c r="G1896" i="13"/>
  <c r="F1896" i="13"/>
  <c r="E1896" i="13"/>
  <c r="D1896" i="13"/>
  <c r="C1896" i="13"/>
  <c r="B1896" i="13"/>
  <c r="A1896" i="13"/>
  <c r="I1895" i="13"/>
  <c r="H1895" i="13"/>
  <c r="G1895" i="13"/>
  <c r="F1895" i="13"/>
  <c r="E1895" i="13"/>
  <c r="D1895" i="13"/>
  <c r="C1895" i="13"/>
  <c r="B1895" i="13"/>
  <c r="A1895" i="13"/>
  <c r="I1894" i="13"/>
  <c r="H1894" i="13"/>
  <c r="G1894" i="13"/>
  <c r="F1894" i="13"/>
  <c r="E1894" i="13"/>
  <c r="D1894" i="13"/>
  <c r="C1894" i="13"/>
  <c r="B1894" i="13"/>
  <c r="A1894" i="13"/>
  <c r="I1893" i="13"/>
  <c r="H1893" i="13"/>
  <c r="G1893" i="13"/>
  <c r="F1893" i="13"/>
  <c r="E1893" i="13"/>
  <c r="D1893" i="13"/>
  <c r="C1893" i="13"/>
  <c r="B1893" i="13"/>
  <c r="A1893" i="13"/>
  <c r="I1892" i="13"/>
  <c r="H1892" i="13"/>
  <c r="G1892" i="13"/>
  <c r="F1892" i="13"/>
  <c r="E1892" i="13"/>
  <c r="D1892" i="13"/>
  <c r="E103" i="16" s="1"/>
  <c r="S3" i="57" s="1"/>
  <c r="C1892" i="13"/>
  <c r="B1892" i="13"/>
  <c r="A1892" i="13"/>
  <c r="I1891" i="13"/>
  <c r="H1891" i="13"/>
  <c r="G1891" i="13"/>
  <c r="F1891" i="13"/>
  <c r="E1891" i="13"/>
  <c r="D1891" i="13"/>
  <c r="C1891" i="13"/>
  <c r="B1891" i="13"/>
  <c r="A1891" i="13"/>
  <c r="I1890" i="13"/>
  <c r="H1890" i="13"/>
  <c r="G1890" i="13"/>
  <c r="F1890" i="13"/>
  <c r="E1890" i="13"/>
  <c r="D1890" i="13"/>
  <c r="C1890" i="13"/>
  <c r="B1890" i="13"/>
  <c r="A1890" i="13"/>
  <c r="I1889" i="13"/>
  <c r="H1889" i="13"/>
  <c r="G1889" i="13"/>
  <c r="F1889" i="13"/>
  <c r="E1889" i="13"/>
  <c r="D1889" i="13"/>
  <c r="C1889" i="13"/>
  <c r="B1889" i="13"/>
  <c r="A1889" i="13"/>
  <c r="I1888" i="13"/>
  <c r="H1888" i="13"/>
  <c r="G1888" i="13"/>
  <c r="F1888" i="13"/>
  <c r="E1888" i="13"/>
  <c r="D1888" i="13"/>
  <c r="C1888" i="13"/>
  <c r="B1888" i="13"/>
  <c r="A1888" i="13"/>
  <c r="I1887" i="13"/>
  <c r="H1887" i="13"/>
  <c r="G1887" i="13"/>
  <c r="F1887" i="13"/>
  <c r="E1887" i="13"/>
  <c r="D1887" i="13"/>
  <c r="C1887" i="13"/>
  <c r="B1887" i="13"/>
  <c r="A1887" i="13"/>
  <c r="I1886" i="13"/>
  <c r="H1886" i="13"/>
  <c r="G1886" i="13"/>
  <c r="F1886" i="13"/>
  <c r="E1886" i="13"/>
  <c r="D1886" i="13"/>
  <c r="C1886" i="13"/>
  <c r="B1886" i="13"/>
  <c r="A1886" i="13"/>
  <c r="I1885" i="13"/>
  <c r="H1885" i="13"/>
  <c r="G1885" i="13"/>
  <c r="F1885" i="13"/>
  <c r="E1885" i="13"/>
  <c r="D1885" i="13"/>
  <c r="C1885" i="13"/>
  <c r="B1885" i="13"/>
  <c r="A1885" i="13"/>
  <c r="I1884" i="13"/>
  <c r="H1884" i="13"/>
  <c r="G1884" i="13"/>
  <c r="F1884" i="13"/>
  <c r="E1884" i="13"/>
  <c r="D1884" i="13"/>
  <c r="C1884" i="13"/>
  <c r="B1884" i="13"/>
  <c r="A1884" i="13"/>
  <c r="I1883" i="13"/>
  <c r="A103" i="16" s="1"/>
  <c r="B103" i="16" s="1"/>
  <c r="H1883" i="13"/>
  <c r="G1883" i="13"/>
  <c r="F1883" i="13"/>
  <c r="D103" i="16" s="1"/>
  <c r="S2" i="57" s="1"/>
  <c r="E1883" i="13"/>
  <c r="D1883" i="13"/>
  <c r="C1883" i="13"/>
  <c r="B1883" i="13"/>
  <c r="A1883" i="13"/>
  <c r="I1882" i="13"/>
  <c r="H1882" i="13"/>
  <c r="G1882" i="13"/>
  <c r="F1882" i="13"/>
  <c r="E1882" i="13"/>
  <c r="D1882" i="13"/>
  <c r="C1882" i="13"/>
  <c r="B1882" i="13"/>
  <c r="A1882" i="13"/>
  <c r="I1881" i="13"/>
  <c r="H1881" i="13"/>
  <c r="G1881" i="13"/>
  <c r="F1881" i="13"/>
  <c r="E1881" i="13"/>
  <c r="D1881" i="13"/>
  <c r="C1881" i="13"/>
  <c r="B1881" i="13"/>
  <c r="A1881" i="13"/>
  <c r="I1880" i="13"/>
  <c r="H1880" i="13"/>
  <c r="G1880" i="13"/>
  <c r="F1880" i="13"/>
  <c r="E1880" i="13"/>
  <c r="D1880" i="13"/>
  <c r="C1880" i="13"/>
  <c r="B1880" i="13"/>
  <c r="A1880" i="13"/>
  <c r="I1879" i="13"/>
  <c r="H1879" i="13"/>
  <c r="G1879" i="13"/>
  <c r="F1879" i="13"/>
  <c r="E1879" i="13"/>
  <c r="D1879" i="13"/>
  <c r="C1879" i="13"/>
  <c r="B1879" i="13"/>
  <c r="A1879" i="13"/>
  <c r="I1878" i="13"/>
  <c r="H1878" i="13"/>
  <c r="G1878" i="13"/>
  <c r="F1878" i="13"/>
  <c r="E1878" i="13"/>
  <c r="D1878" i="13"/>
  <c r="C1878" i="13"/>
  <c r="B1878" i="13"/>
  <c r="A1878" i="13"/>
  <c r="I1877" i="13"/>
  <c r="H1877" i="13"/>
  <c r="G1877" i="13"/>
  <c r="F1877" i="13"/>
  <c r="E1877" i="13"/>
  <c r="D1877" i="13"/>
  <c r="C1877" i="13"/>
  <c r="B1877" i="13"/>
  <c r="A1877" i="13"/>
  <c r="I1876" i="13"/>
  <c r="H1876" i="13"/>
  <c r="G1876" i="13"/>
  <c r="F1876" i="13"/>
  <c r="E1876" i="13"/>
  <c r="D1876" i="13"/>
  <c r="C1876" i="13"/>
  <c r="B1876" i="13"/>
  <c r="A1876" i="13"/>
  <c r="I1875" i="13"/>
  <c r="H1875" i="13"/>
  <c r="G1875" i="13"/>
  <c r="F1875" i="13"/>
  <c r="E1875" i="13"/>
  <c r="D1875" i="13"/>
  <c r="C1875" i="13"/>
  <c r="B1875" i="13"/>
  <c r="A1875" i="13"/>
  <c r="I1874" i="13"/>
  <c r="A102" i="16" s="1"/>
  <c r="B102" i="16" s="1"/>
  <c r="H1874" i="13"/>
  <c r="G1874" i="13"/>
  <c r="F1874" i="13"/>
  <c r="D102" i="16" s="1"/>
  <c r="E1874" i="13"/>
  <c r="D1874" i="13"/>
  <c r="C1874" i="13"/>
  <c r="B1874" i="13"/>
  <c r="A1874" i="13"/>
  <c r="I1873" i="13"/>
  <c r="H1873" i="13"/>
  <c r="G1873" i="13"/>
  <c r="F1873" i="13"/>
  <c r="E1873" i="13"/>
  <c r="D1873" i="13"/>
  <c r="C1873" i="13"/>
  <c r="B1873" i="13"/>
  <c r="A1873" i="13"/>
  <c r="I1872" i="13"/>
  <c r="H1872" i="13"/>
  <c r="G1872" i="13"/>
  <c r="F1872" i="13"/>
  <c r="E102" i="16" s="1"/>
  <c r="E1872" i="13"/>
  <c r="D1872" i="13"/>
  <c r="C1872" i="13"/>
  <c r="B1872" i="13"/>
  <c r="A1872" i="13"/>
  <c r="I1871" i="13"/>
  <c r="H1871" i="13"/>
  <c r="G1871" i="13"/>
  <c r="E1871" i="13"/>
  <c r="D1871" i="13"/>
  <c r="C1871" i="13"/>
  <c r="B1871" i="13"/>
  <c r="A1871" i="13"/>
  <c r="I1870" i="13"/>
  <c r="H1870" i="13"/>
  <c r="G1870" i="13"/>
  <c r="F1870" i="13"/>
  <c r="E1870" i="13"/>
  <c r="D1870" i="13"/>
  <c r="C1870" i="13"/>
  <c r="B1870" i="13"/>
  <c r="A1870" i="13"/>
  <c r="I1869" i="13"/>
  <c r="H1869" i="13"/>
  <c r="G1869" i="13"/>
  <c r="F1869" i="13"/>
  <c r="E1869" i="13"/>
  <c r="D1869" i="13"/>
  <c r="C1869" i="13"/>
  <c r="B1869" i="13"/>
  <c r="A1869" i="13"/>
  <c r="I1868" i="13"/>
  <c r="H1868" i="13"/>
  <c r="G1868" i="13"/>
  <c r="F1868" i="13"/>
  <c r="E1868" i="13"/>
  <c r="D1868" i="13"/>
  <c r="C1868" i="13"/>
  <c r="B1868" i="13"/>
  <c r="A1868" i="13"/>
  <c r="I1867" i="13"/>
  <c r="H1867" i="13"/>
  <c r="G1867" i="13"/>
  <c r="F1867" i="13"/>
  <c r="E1867" i="13"/>
  <c r="D1867" i="13"/>
  <c r="C1867" i="13"/>
  <c r="B1867" i="13"/>
  <c r="A1867" i="13"/>
  <c r="I1866" i="13"/>
  <c r="H1866" i="13"/>
  <c r="G1866" i="13"/>
  <c r="F1866" i="13"/>
  <c r="E1866" i="13"/>
  <c r="D1866" i="13"/>
  <c r="E101" i="16" s="1"/>
  <c r="C1866" i="13"/>
  <c r="B1866" i="13"/>
  <c r="A1866" i="13"/>
  <c r="I1865" i="13"/>
  <c r="H1865" i="13"/>
  <c r="G1865" i="13"/>
  <c r="F1865" i="13"/>
  <c r="E1865" i="13"/>
  <c r="D1865" i="13"/>
  <c r="C1865" i="13"/>
  <c r="B1865" i="13"/>
  <c r="A1865" i="13"/>
  <c r="I1864" i="13"/>
  <c r="H1864" i="13"/>
  <c r="G1864" i="13"/>
  <c r="F1864" i="13"/>
  <c r="E1864" i="13"/>
  <c r="D1864" i="13"/>
  <c r="C1864" i="13"/>
  <c r="B1864" i="13"/>
  <c r="A1864" i="13"/>
  <c r="I1863" i="13"/>
  <c r="H1863" i="13"/>
  <c r="G1863" i="13"/>
  <c r="F1863" i="13"/>
  <c r="E1863" i="13"/>
  <c r="D1863" i="13"/>
  <c r="C1863" i="13"/>
  <c r="B1863" i="13"/>
  <c r="A1863" i="13"/>
  <c r="I1862" i="13"/>
  <c r="H1862" i="13"/>
  <c r="G1862" i="13"/>
  <c r="F1862" i="13"/>
  <c r="E1862" i="13"/>
  <c r="D1862" i="13"/>
  <c r="C1862" i="13"/>
  <c r="B1862" i="13"/>
  <c r="A1862" i="13"/>
  <c r="I1861" i="13"/>
  <c r="H1861" i="13"/>
  <c r="G1861" i="13"/>
  <c r="F1861" i="13"/>
  <c r="E1861" i="13"/>
  <c r="D1861" i="13"/>
  <c r="C1861" i="13"/>
  <c r="B1861" i="13"/>
  <c r="A1861" i="13"/>
  <c r="I1860" i="13"/>
  <c r="H1860" i="13"/>
  <c r="G1860" i="13"/>
  <c r="F1860" i="13"/>
  <c r="E1860" i="13"/>
  <c r="D1860" i="13"/>
  <c r="C1860" i="13"/>
  <c r="B1860" i="13"/>
  <c r="A1860" i="13"/>
  <c r="I1859" i="13"/>
  <c r="H1859" i="13"/>
  <c r="G1859" i="13"/>
  <c r="F1859" i="13"/>
  <c r="E1859" i="13"/>
  <c r="D1859" i="13"/>
  <c r="C1859" i="13"/>
  <c r="B1859" i="13"/>
  <c r="A1859" i="13"/>
  <c r="I1858" i="13"/>
  <c r="H1858" i="13"/>
  <c r="G1858" i="13"/>
  <c r="F1858" i="13"/>
  <c r="E1858" i="13"/>
  <c r="D1858" i="13"/>
  <c r="C1858" i="13"/>
  <c r="B1858" i="13"/>
  <c r="A1858" i="13"/>
  <c r="I1857" i="13"/>
  <c r="A101" i="16" s="1"/>
  <c r="B101" i="16" s="1"/>
  <c r="H1857" i="13"/>
  <c r="G1857" i="13"/>
  <c r="F1857" i="13"/>
  <c r="D101" i="16" s="1"/>
  <c r="E1857" i="13"/>
  <c r="D1857" i="13"/>
  <c r="C1857" i="13"/>
  <c r="B1857" i="13"/>
  <c r="A1857" i="13"/>
  <c r="I1856" i="13"/>
  <c r="H1856" i="13"/>
  <c r="G1856" i="13"/>
  <c r="F1856" i="13"/>
  <c r="E1856" i="13"/>
  <c r="D1856" i="13"/>
  <c r="C1856" i="13"/>
  <c r="B1856" i="13"/>
  <c r="A1856" i="13"/>
  <c r="I1855" i="13"/>
  <c r="H1855" i="13"/>
  <c r="G1855" i="13"/>
  <c r="F1855" i="13"/>
  <c r="E1855" i="13"/>
  <c r="D1855" i="13"/>
  <c r="C1855" i="13"/>
  <c r="B1855" i="13"/>
  <c r="A1855" i="13"/>
  <c r="I1854" i="13"/>
  <c r="H1854" i="13"/>
  <c r="G1854" i="13"/>
  <c r="F1854" i="13"/>
  <c r="E1854" i="13"/>
  <c r="D1854" i="13"/>
  <c r="C1854" i="13"/>
  <c r="B1854" i="13"/>
  <c r="A1854" i="13"/>
  <c r="I1853" i="13"/>
  <c r="H1853" i="13"/>
  <c r="G1853" i="13"/>
  <c r="F1853" i="13"/>
  <c r="E1853" i="13"/>
  <c r="D1853" i="13"/>
  <c r="C1853" i="13"/>
  <c r="B1853" i="13"/>
  <c r="A1853" i="13"/>
  <c r="I1852" i="13"/>
  <c r="H1852" i="13"/>
  <c r="G1852" i="13"/>
  <c r="F1852" i="13"/>
  <c r="E1852" i="13"/>
  <c r="D1852" i="13"/>
  <c r="C1852" i="13"/>
  <c r="B1852" i="13"/>
  <c r="A1852" i="13"/>
  <c r="I1851" i="13"/>
  <c r="H1851" i="13"/>
  <c r="G1851" i="13"/>
  <c r="F1851" i="13"/>
  <c r="E1851" i="13"/>
  <c r="D1851" i="13"/>
  <c r="C1851" i="13"/>
  <c r="B1851" i="13"/>
  <c r="A1851" i="13"/>
  <c r="I1850" i="13"/>
  <c r="H1850" i="13"/>
  <c r="G1850" i="13"/>
  <c r="F1850" i="13"/>
  <c r="E1850" i="13"/>
  <c r="D1850" i="13"/>
  <c r="E100" i="16" s="1"/>
  <c r="C1850" i="13"/>
  <c r="B1850" i="13"/>
  <c r="A1850" i="13"/>
  <c r="I1849" i="13"/>
  <c r="H1849" i="13"/>
  <c r="G1849" i="13"/>
  <c r="F1849" i="13"/>
  <c r="E1849" i="13"/>
  <c r="D1849" i="13"/>
  <c r="C1849" i="13"/>
  <c r="B1849" i="13"/>
  <c r="A1849" i="13"/>
  <c r="I1848" i="13"/>
  <c r="H1848" i="13"/>
  <c r="G1848" i="13"/>
  <c r="F1848" i="13"/>
  <c r="E1848" i="13"/>
  <c r="D1848" i="13"/>
  <c r="C1848" i="13"/>
  <c r="B1848" i="13"/>
  <c r="A1848" i="13"/>
  <c r="I1847" i="13"/>
  <c r="H1847" i="13"/>
  <c r="G1847" i="13"/>
  <c r="F1847" i="13"/>
  <c r="E1847" i="13"/>
  <c r="D1847" i="13"/>
  <c r="C1847" i="13"/>
  <c r="B1847" i="13"/>
  <c r="A1847" i="13"/>
  <c r="I1846" i="13"/>
  <c r="H1846" i="13"/>
  <c r="G1846" i="13"/>
  <c r="F1846" i="13"/>
  <c r="E1846" i="13"/>
  <c r="D1846" i="13"/>
  <c r="C1846" i="13"/>
  <c r="B1846" i="13"/>
  <c r="A1846" i="13"/>
  <c r="I1845" i="13"/>
  <c r="H1845" i="13"/>
  <c r="G1845" i="13"/>
  <c r="F1845" i="13"/>
  <c r="E1845" i="13"/>
  <c r="D1845" i="13"/>
  <c r="C1845" i="13"/>
  <c r="B1845" i="13"/>
  <c r="A1845" i="13"/>
  <c r="I1844" i="13"/>
  <c r="H1844" i="13"/>
  <c r="G1844" i="13"/>
  <c r="F1844" i="13"/>
  <c r="E1844" i="13"/>
  <c r="D1844" i="13"/>
  <c r="C1844" i="13"/>
  <c r="B1844" i="13"/>
  <c r="A1844" i="13"/>
  <c r="I1843" i="13"/>
  <c r="H1843" i="13"/>
  <c r="G1843" i="13"/>
  <c r="F1843" i="13"/>
  <c r="E1843" i="13"/>
  <c r="D1843" i="13"/>
  <c r="C1843" i="13"/>
  <c r="B1843" i="13"/>
  <c r="A1843" i="13"/>
  <c r="I1842" i="13"/>
  <c r="H1842" i="13"/>
  <c r="G1842" i="13"/>
  <c r="F1842" i="13"/>
  <c r="E1842" i="13"/>
  <c r="D1842" i="13"/>
  <c r="C1842" i="13"/>
  <c r="B1842" i="13"/>
  <c r="A1842" i="13"/>
  <c r="I1841" i="13"/>
  <c r="A100" i="16" s="1"/>
  <c r="B100" i="16" s="1"/>
  <c r="H1841" i="13"/>
  <c r="G1841" i="13"/>
  <c r="F1841" i="13"/>
  <c r="D100" i="16" s="1"/>
  <c r="J100" i="16" s="1"/>
  <c r="E1841" i="13"/>
  <c r="D1841" i="13"/>
  <c r="C1841" i="13"/>
  <c r="B1841" i="13"/>
  <c r="A1841" i="13"/>
  <c r="I1840" i="13"/>
  <c r="H1840" i="13"/>
  <c r="G1840" i="13"/>
  <c r="F1840" i="13"/>
  <c r="E1840" i="13"/>
  <c r="D1840" i="13"/>
  <c r="C1840" i="13"/>
  <c r="B1840" i="13"/>
  <c r="A1840" i="13"/>
  <c r="I1839" i="13"/>
  <c r="H1839" i="13"/>
  <c r="G1839" i="13"/>
  <c r="F1839" i="13"/>
  <c r="E1839" i="13"/>
  <c r="D1839" i="13"/>
  <c r="C1839" i="13"/>
  <c r="B1839" i="13"/>
  <c r="A1839" i="13"/>
  <c r="I1838" i="13"/>
  <c r="H1838" i="13"/>
  <c r="G1838" i="13"/>
  <c r="F1838" i="13"/>
  <c r="E1838" i="13"/>
  <c r="D1838" i="13"/>
  <c r="C1838" i="13"/>
  <c r="B1838" i="13"/>
  <c r="A1838" i="13"/>
  <c r="I1837" i="13"/>
  <c r="H1837" i="13"/>
  <c r="G1837" i="13"/>
  <c r="F1837" i="13"/>
  <c r="E1837" i="13"/>
  <c r="D1837" i="13"/>
  <c r="C1837" i="13"/>
  <c r="B1837" i="13"/>
  <c r="A1837" i="13"/>
  <c r="I1836" i="13"/>
  <c r="H1836" i="13"/>
  <c r="G1836" i="13"/>
  <c r="F1836" i="13"/>
  <c r="E1836" i="13"/>
  <c r="D1836" i="13"/>
  <c r="C1836" i="13"/>
  <c r="B1836" i="13"/>
  <c r="A1836" i="13"/>
  <c r="I1835" i="13"/>
  <c r="H1835" i="13"/>
  <c r="G1835" i="13"/>
  <c r="F1835" i="13"/>
  <c r="E1835" i="13"/>
  <c r="D1835" i="13"/>
  <c r="C1835" i="13"/>
  <c r="B1835" i="13"/>
  <c r="A1835" i="13"/>
  <c r="I1834" i="13"/>
  <c r="H1834" i="13"/>
  <c r="G1834" i="13"/>
  <c r="F1834" i="13"/>
  <c r="E1834" i="13"/>
  <c r="D1834" i="13"/>
  <c r="C1834" i="13"/>
  <c r="B1834" i="13"/>
  <c r="A1834" i="13"/>
  <c r="I1833" i="13"/>
  <c r="H1833" i="13"/>
  <c r="G1833" i="13"/>
  <c r="F1833" i="13"/>
  <c r="E1833" i="13"/>
  <c r="D1833" i="13"/>
  <c r="E99" i="16" s="1"/>
  <c r="C1833" i="13"/>
  <c r="B1833" i="13"/>
  <c r="A1833" i="13"/>
  <c r="I1832" i="13"/>
  <c r="H1832" i="13"/>
  <c r="G1832" i="13"/>
  <c r="F1832" i="13"/>
  <c r="E1832" i="13"/>
  <c r="D1832" i="13"/>
  <c r="C1832" i="13"/>
  <c r="B1832" i="13"/>
  <c r="A1832" i="13"/>
  <c r="I1831" i="13"/>
  <c r="H1831" i="13"/>
  <c r="G1831" i="13"/>
  <c r="F1831" i="13"/>
  <c r="E1831" i="13"/>
  <c r="D1831" i="13"/>
  <c r="C1831" i="13"/>
  <c r="B1831" i="13"/>
  <c r="A1831" i="13"/>
  <c r="I1830" i="13"/>
  <c r="H1830" i="13"/>
  <c r="G1830" i="13"/>
  <c r="F1830" i="13"/>
  <c r="E1830" i="13"/>
  <c r="D1830" i="13"/>
  <c r="C1830" i="13"/>
  <c r="B1830" i="13"/>
  <c r="A1830" i="13"/>
  <c r="I1829" i="13"/>
  <c r="H1829" i="13"/>
  <c r="G1829" i="13"/>
  <c r="F1829" i="13"/>
  <c r="E1829" i="13"/>
  <c r="D1829" i="13"/>
  <c r="C1829" i="13"/>
  <c r="B1829" i="13"/>
  <c r="A1829" i="13"/>
  <c r="I1828" i="13"/>
  <c r="H1828" i="13"/>
  <c r="G1828" i="13"/>
  <c r="F1828" i="13"/>
  <c r="E1828" i="13"/>
  <c r="D1828" i="13"/>
  <c r="C1828" i="13"/>
  <c r="B1828" i="13"/>
  <c r="A1828" i="13"/>
  <c r="I1827" i="13"/>
  <c r="H1827" i="13"/>
  <c r="G1827" i="13"/>
  <c r="F1827" i="13"/>
  <c r="E1827" i="13"/>
  <c r="D1827" i="13"/>
  <c r="C1827" i="13"/>
  <c r="B1827" i="13"/>
  <c r="A1827" i="13"/>
  <c r="I1826" i="13"/>
  <c r="H1826" i="13"/>
  <c r="G1826" i="13"/>
  <c r="F1826" i="13"/>
  <c r="E1826" i="13"/>
  <c r="D1826" i="13"/>
  <c r="C1826" i="13"/>
  <c r="B1826" i="13"/>
  <c r="A1826" i="13"/>
  <c r="I1825" i="13"/>
  <c r="H1825" i="13"/>
  <c r="G1825" i="13"/>
  <c r="F1825" i="13"/>
  <c r="E1825" i="13"/>
  <c r="D1825" i="13"/>
  <c r="C1825" i="13"/>
  <c r="B1825" i="13"/>
  <c r="A1825" i="13"/>
  <c r="I1824" i="13"/>
  <c r="H1824" i="13"/>
  <c r="G1824" i="13"/>
  <c r="F1824" i="13"/>
  <c r="E1824" i="13"/>
  <c r="D1824" i="13"/>
  <c r="C1824" i="13"/>
  <c r="B1824" i="13"/>
  <c r="A1824" i="13"/>
  <c r="I1823" i="13"/>
  <c r="A99" i="16" s="1"/>
  <c r="B99" i="16" s="1"/>
  <c r="H1823" i="13"/>
  <c r="G1823" i="13"/>
  <c r="F1823" i="13"/>
  <c r="D99" i="16" s="1"/>
  <c r="E1823" i="13"/>
  <c r="D1823" i="13"/>
  <c r="C1823" i="13"/>
  <c r="B1823" i="13"/>
  <c r="A1823" i="13"/>
  <c r="I1822" i="13"/>
  <c r="H1822" i="13"/>
  <c r="G1822" i="13"/>
  <c r="F1822" i="13"/>
  <c r="E1822" i="13"/>
  <c r="D1822" i="13"/>
  <c r="C1822" i="13"/>
  <c r="B1822" i="13"/>
  <c r="A1822" i="13"/>
  <c r="I1821" i="13"/>
  <c r="H1821" i="13"/>
  <c r="G1821" i="13"/>
  <c r="F1821" i="13"/>
  <c r="E1821" i="13"/>
  <c r="D1821" i="13"/>
  <c r="C1821" i="13"/>
  <c r="B1821" i="13"/>
  <c r="A1821" i="13"/>
  <c r="I1820" i="13"/>
  <c r="H1820" i="13"/>
  <c r="G1820" i="13"/>
  <c r="F1820" i="13"/>
  <c r="E1820" i="13"/>
  <c r="D1820" i="13"/>
  <c r="C1820" i="13"/>
  <c r="B1820" i="13"/>
  <c r="A1820" i="13"/>
  <c r="I1819" i="13"/>
  <c r="H1819" i="13"/>
  <c r="G1819" i="13"/>
  <c r="F1819" i="13"/>
  <c r="E1819" i="13"/>
  <c r="D1819" i="13"/>
  <c r="C1819" i="13"/>
  <c r="B1819" i="13"/>
  <c r="A1819" i="13"/>
  <c r="I1818" i="13"/>
  <c r="H1818" i="13"/>
  <c r="G1818" i="13"/>
  <c r="F1818" i="13"/>
  <c r="E1818" i="13"/>
  <c r="D1818" i="13"/>
  <c r="C1818" i="13"/>
  <c r="B1818" i="13"/>
  <c r="A1818" i="13"/>
  <c r="I1817" i="13"/>
  <c r="H1817" i="13"/>
  <c r="G1817" i="13"/>
  <c r="F1817" i="13"/>
  <c r="E1817" i="13"/>
  <c r="D1817" i="13"/>
  <c r="E98" i="16" s="1"/>
  <c r="C1817" i="13"/>
  <c r="B1817" i="13"/>
  <c r="A1817" i="13"/>
  <c r="I1816" i="13"/>
  <c r="H1816" i="13"/>
  <c r="G1816" i="13"/>
  <c r="F1816" i="13"/>
  <c r="E1816" i="13"/>
  <c r="D1816" i="13"/>
  <c r="C1816" i="13"/>
  <c r="B1816" i="13"/>
  <c r="A1816" i="13"/>
  <c r="I1815" i="13"/>
  <c r="H1815" i="13"/>
  <c r="G1815" i="13"/>
  <c r="F1815" i="13"/>
  <c r="E1815" i="13"/>
  <c r="D1815" i="13"/>
  <c r="C1815" i="13"/>
  <c r="B1815" i="13"/>
  <c r="A1815" i="13"/>
  <c r="I1814" i="13"/>
  <c r="H1814" i="13"/>
  <c r="G1814" i="13"/>
  <c r="F1814" i="13"/>
  <c r="E1814" i="13"/>
  <c r="D1814" i="13"/>
  <c r="C1814" i="13"/>
  <c r="B1814" i="13"/>
  <c r="A1814" i="13"/>
  <c r="I1813" i="13"/>
  <c r="H1813" i="13"/>
  <c r="G1813" i="13"/>
  <c r="F1813" i="13"/>
  <c r="E1813" i="13"/>
  <c r="D1813" i="13"/>
  <c r="C1813" i="13"/>
  <c r="B1813" i="13"/>
  <c r="A1813" i="13"/>
  <c r="I1812" i="13"/>
  <c r="H1812" i="13"/>
  <c r="G1812" i="13"/>
  <c r="F1812" i="13"/>
  <c r="E1812" i="13"/>
  <c r="D1812" i="13"/>
  <c r="C1812" i="13"/>
  <c r="B1812" i="13"/>
  <c r="A1812" i="13"/>
  <c r="I1811" i="13"/>
  <c r="H1811" i="13"/>
  <c r="G1811" i="13"/>
  <c r="F1811" i="13"/>
  <c r="E1811" i="13"/>
  <c r="D1811" i="13"/>
  <c r="C1811" i="13"/>
  <c r="B1811" i="13"/>
  <c r="A1811" i="13"/>
  <c r="I1810" i="13"/>
  <c r="H1810" i="13"/>
  <c r="G1810" i="13"/>
  <c r="F1810" i="13"/>
  <c r="E1810" i="13"/>
  <c r="D1810" i="13"/>
  <c r="C1810" i="13"/>
  <c r="B1810" i="13"/>
  <c r="A1810" i="13"/>
  <c r="I1809" i="13"/>
  <c r="H1809" i="13"/>
  <c r="G1809" i="13"/>
  <c r="F1809" i="13"/>
  <c r="E1809" i="13"/>
  <c r="D1809" i="13"/>
  <c r="C1809" i="13"/>
  <c r="B1809" i="13"/>
  <c r="A1809" i="13"/>
  <c r="I1808" i="13"/>
  <c r="A98" i="16" s="1"/>
  <c r="B98" i="16" s="1"/>
  <c r="H1808" i="13"/>
  <c r="G1808" i="13"/>
  <c r="F1808" i="13"/>
  <c r="D98" i="16" s="1"/>
  <c r="E1808" i="13"/>
  <c r="D1808" i="13"/>
  <c r="C1808" i="13"/>
  <c r="B1808" i="13"/>
  <c r="A1808" i="13"/>
  <c r="I1807" i="13"/>
  <c r="H1807" i="13"/>
  <c r="G1807" i="13"/>
  <c r="F1807" i="13"/>
  <c r="E1807" i="13"/>
  <c r="D1807" i="13"/>
  <c r="C1807" i="13"/>
  <c r="B1807" i="13"/>
  <c r="A1807" i="13"/>
  <c r="I1806" i="13"/>
  <c r="H1806" i="13"/>
  <c r="G1806" i="13"/>
  <c r="F1806" i="13"/>
  <c r="E1806" i="13"/>
  <c r="D1806" i="13"/>
  <c r="C1806" i="13"/>
  <c r="B1806" i="13"/>
  <c r="A1806" i="13"/>
  <c r="I1805" i="13"/>
  <c r="H1805" i="13"/>
  <c r="G1805" i="13"/>
  <c r="F1805" i="13"/>
  <c r="E1805" i="13"/>
  <c r="D1805" i="13"/>
  <c r="C1805" i="13"/>
  <c r="B1805" i="13"/>
  <c r="A1805" i="13"/>
  <c r="I1804" i="13"/>
  <c r="H1804" i="13"/>
  <c r="G1804" i="13"/>
  <c r="F1804" i="13"/>
  <c r="E1804" i="13"/>
  <c r="D1804" i="13"/>
  <c r="C1804" i="13"/>
  <c r="B1804" i="13"/>
  <c r="A1804" i="13"/>
  <c r="I1803" i="13"/>
  <c r="H1803" i="13"/>
  <c r="G1803" i="13"/>
  <c r="F1803" i="13"/>
  <c r="E1803" i="13"/>
  <c r="D1803" i="13"/>
  <c r="C1803" i="13"/>
  <c r="B1803" i="13"/>
  <c r="A1803" i="13"/>
  <c r="I1802" i="13"/>
  <c r="H1802" i="13"/>
  <c r="G1802" i="13"/>
  <c r="F1802" i="13"/>
  <c r="E1802" i="13"/>
  <c r="D1802" i="13"/>
  <c r="C1802" i="13"/>
  <c r="B1802" i="13"/>
  <c r="A1802" i="13"/>
  <c r="I1801" i="13"/>
  <c r="H1801" i="13"/>
  <c r="G1801" i="13"/>
  <c r="F1801" i="13"/>
  <c r="E1801" i="13"/>
  <c r="D1801" i="13"/>
  <c r="C1801" i="13"/>
  <c r="B1801" i="13"/>
  <c r="A1801" i="13"/>
  <c r="I1800" i="13"/>
  <c r="H1800" i="13"/>
  <c r="G1800" i="13"/>
  <c r="F1800" i="13"/>
  <c r="E1800" i="13"/>
  <c r="D1800" i="13"/>
  <c r="C1800" i="13"/>
  <c r="B1800" i="13"/>
  <c r="A1800" i="13"/>
  <c r="I1799" i="13"/>
  <c r="H1799" i="13"/>
  <c r="G1799" i="13"/>
  <c r="F1799" i="13"/>
  <c r="E1799" i="13"/>
  <c r="D1799" i="13"/>
  <c r="E97" i="16" s="1"/>
  <c r="C1799" i="13"/>
  <c r="B1799" i="13"/>
  <c r="A1799" i="13"/>
  <c r="I1798" i="13"/>
  <c r="H1798" i="13"/>
  <c r="G1798" i="13"/>
  <c r="F1798" i="13"/>
  <c r="E1798" i="13"/>
  <c r="D1798" i="13"/>
  <c r="C1798" i="13"/>
  <c r="B1798" i="13"/>
  <c r="A1798" i="13"/>
  <c r="I1797" i="13"/>
  <c r="H1797" i="13"/>
  <c r="G1797" i="13"/>
  <c r="F1797" i="13"/>
  <c r="E1797" i="13"/>
  <c r="D1797" i="13"/>
  <c r="C1797" i="13"/>
  <c r="B1797" i="13"/>
  <c r="A1797" i="13"/>
  <c r="I1796" i="13"/>
  <c r="H1796" i="13"/>
  <c r="G1796" i="13"/>
  <c r="F1796" i="13"/>
  <c r="E1796" i="13"/>
  <c r="D1796" i="13"/>
  <c r="C1796" i="13"/>
  <c r="B1796" i="13"/>
  <c r="A1796" i="13"/>
  <c r="I1795" i="13"/>
  <c r="H1795" i="13"/>
  <c r="G1795" i="13"/>
  <c r="F1795" i="13"/>
  <c r="E1795" i="13"/>
  <c r="D1795" i="13"/>
  <c r="C1795" i="13"/>
  <c r="B1795" i="13"/>
  <c r="A1795" i="13"/>
  <c r="I1794" i="13"/>
  <c r="H1794" i="13"/>
  <c r="G1794" i="13"/>
  <c r="F1794" i="13"/>
  <c r="E1794" i="13"/>
  <c r="D1794" i="13"/>
  <c r="C1794" i="13"/>
  <c r="B1794" i="13"/>
  <c r="A1794" i="13"/>
  <c r="I1793" i="13"/>
  <c r="H1793" i="13"/>
  <c r="G1793" i="13"/>
  <c r="F1793" i="13"/>
  <c r="E1793" i="13"/>
  <c r="D1793" i="13"/>
  <c r="C1793" i="13"/>
  <c r="B1793" i="13"/>
  <c r="A1793" i="13"/>
  <c r="I1792" i="13"/>
  <c r="H1792" i="13"/>
  <c r="G1792" i="13"/>
  <c r="F1792" i="13"/>
  <c r="E1792" i="13"/>
  <c r="D1792" i="13"/>
  <c r="C1792" i="13"/>
  <c r="B1792" i="13"/>
  <c r="A1792" i="13"/>
  <c r="I1791" i="13"/>
  <c r="H1791" i="13"/>
  <c r="G1791" i="13"/>
  <c r="F1791" i="13"/>
  <c r="E1791" i="13"/>
  <c r="D1791" i="13"/>
  <c r="C1791" i="13"/>
  <c r="B1791" i="13"/>
  <c r="A1791" i="13"/>
  <c r="I1790" i="13"/>
  <c r="H1790" i="13"/>
  <c r="G1790" i="13"/>
  <c r="F1790" i="13"/>
  <c r="E1790" i="13"/>
  <c r="D1790" i="13"/>
  <c r="C1790" i="13"/>
  <c r="B1790" i="13"/>
  <c r="A1790" i="13"/>
  <c r="I1789" i="13"/>
  <c r="A97" i="16" s="1"/>
  <c r="B97" i="16" s="1"/>
  <c r="H1789" i="13"/>
  <c r="G1789" i="13"/>
  <c r="F1789" i="13"/>
  <c r="D97" i="16" s="1"/>
  <c r="E1789" i="13"/>
  <c r="D1789" i="13"/>
  <c r="C1789" i="13"/>
  <c r="B1789" i="13"/>
  <c r="A1789" i="13"/>
  <c r="I1788" i="13"/>
  <c r="H1788" i="13"/>
  <c r="G1788" i="13"/>
  <c r="F1788" i="13"/>
  <c r="E1788" i="13"/>
  <c r="D1788" i="13"/>
  <c r="C1788" i="13"/>
  <c r="B1788" i="13"/>
  <c r="A1788" i="13"/>
  <c r="I1787" i="13"/>
  <c r="H1787" i="13"/>
  <c r="G1787" i="13"/>
  <c r="F1787" i="13"/>
  <c r="E1787" i="13"/>
  <c r="D1787" i="13"/>
  <c r="C1787" i="13"/>
  <c r="B1787" i="13"/>
  <c r="A1787" i="13"/>
  <c r="I1786" i="13"/>
  <c r="H1786" i="13"/>
  <c r="G1786" i="13"/>
  <c r="F1786" i="13"/>
  <c r="E1786" i="13"/>
  <c r="D1786" i="13"/>
  <c r="C1786" i="13"/>
  <c r="B1786" i="13"/>
  <c r="A1786" i="13"/>
  <c r="I1785" i="13"/>
  <c r="H1785" i="13"/>
  <c r="G1785" i="13"/>
  <c r="F1785" i="13"/>
  <c r="E1785" i="13"/>
  <c r="D1785" i="13"/>
  <c r="C1785" i="13"/>
  <c r="B1785" i="13"/>
  <c r="A1785" i="13"/>
  <c r="I1784" i="13"/>
  <c r="H1784" i="13"/>
  <c r="G1784" i="13"/>
  <c r="F1784" i="13"/>
  <c r="E1784" i="13"/>
  <c r="D1784" i="13"/>
  <c r="C1784" i="13"/>
  <c r="B1784" i="13"/>
  <c r="A1784" i="13"/>
  <c r="I1783" i="13"/>
  <c r="H1783" i="13"/>
  <c r="G1783" i="13"/>
  <c r="F1783" i="13"/>
  <c r="E1783" i="13"/>
  <c r="D1783" i="13"/>
  <c r="E96" i="16" s="1"/>
  <c r="Q3" i="48" s="1"/>
  <c r="C1783" i="13"/>
  <c r="B1783" i="13"/>
  <c r="A1783" i="13"/>
  <c r="I1782" i="13"/>
  <c r="H1782" i="13"/>
  <c r="G1782" i="13"/>
  <c r="F1782" i="13"/>
  <c r="E1782" i="13"/>
  <c r="D1782" i="13"/>
  <c r="C1782" i="13"/>
  <c r="B1782" i="13"/>
  <c r="A1782" i="13"/>
  <c r="I1781" i="13"/>
  <c r="H1781" i="13"/>
  <c r="G1781" i="13"/>
  <c r="F1781" i="13"/>
  <c r="E1781" i="13"/>
  <c r="D1781" i="13"/>
  <c r="C1781" i="13"/>
  <c r="B1781" i="13"/>
  <c r="A1781" i="13"/>
  <c r="I1780" i="13"/>
  <c r="H1780" i="13"/>
  <c r="G1780" i="13"/>
  <c r="F1780" i="13"/>
  <c r="E1780" i="13"/>
  <c r="D1780" i="13"/>
  <c r="C1780" i="13"/>
  <c r="B1780" i="13"/>
  <c r="A1780" i="13"/>
  <c r="I1779" i="13"/>
  <c r="H1779" i="13"/>
  <c r="G1779" i="13"/>
  <c r="F1779" i="13"/>
  <c r="E1779" i="13"/>
  <c r="D1779" i="13"/>
  <c r="C1779" i="13"/>
  <c r="B1779" i="13"/>
  <c r="A1779" i="13"/>
  <c r="I1778" i="13"/>
  <c r="H1778" i="13"/>
  <c r="G1778" i="13"/>
  <c r="F1778" i="13"/>
  <c r="E1778" i="13"/>
  <c r="D1778" i="13"/>
  <c r="C1778" i="13"/>
  <c r="B1778" i="13"/>
  <c r="A1778" i="13"/>
  <c r="I1777" i="13"/>
  <c r="H1777" i="13"/>
  <c r="G1777" i="13"/>
  <c r="F1777" i="13"/>
  <c r="E1777" i="13"/>
  <c r="D1777" i="13"/>
  <c r="C1777" i="13"/>
  <c r="B1777" i="13"/>
  <c r="A1777" i="13"/>
  <c r="I1776" i="13"/>
  <c r="H1776" i="13"/>
  <c r="G1776" i="13"/>
  <c r="F1776" i="13"/>
  <c r="E1776" i="13"/>
  <c r="D1776" i="13"/>
  <c r="C1776" i="13"/>
  <c r="B1776" i="13"/>
  <c r="A1776" i="13"/>
  <c r="I1775" i="13"/>
  <c r="H1775" i="13"/>
  <c r="G1775" i="13"/>
  <c r="F1775" i="13"/>
  <c r="E1775" i="13"/>
  <c r="D1775" i="13"/>
  <c r="C1775" i="13"/>
  <c r="B1775" i="13"/>
  <c r="A1775" i="13"/>
  <c r="I1774" i="13"/>
  <c r="A96" i="16" s="1"/>
  <c r="B96" i="16" s="1"/>
  <c r="H1774" i="13"/>
  <c r="G1774" i="13"/>
  <c r="F1774" i="13"/>
  <c r="D96" i="16" s="1"/>
  <c r="Q2" i="48" s="1"/>
  <c r="E1774" i="13"/>
  <c r="D1774" i="13"/>
  <c r="C1774" i="13"/>
  <c r="B1774" i="13"/>
  <c r="A1774" i="13"/>
  <c r="I1773" i="13"/>
  <c r="H1773" i="13"/>
  <c r="G1773" i="13"/>
  <c r="F1773" i="13"/>
  <c r="E1773" i="13"/>
  <c r="D1773" i="13"/>
  <c r="C1773" i="13"/>
  <c r="B1773" i="13"/>
  <c r="A1773" i="13"/>
  <c r="I1772" i="13"/>
  <c r="H1772" i="13"/>
  <c r="G1772" i="13"/>
  <c r="F1772" i="13"/>
  <c r="E1772" i="13"/>
  <c r="D1772" i="13"/>
  <c r="C1772" i="13"/>
  <c r="B1772" i="13"/>
  <c r="A1772" i="13"/>
  <c r="I1771" i="13"/>
  <c r="H1771" i="13"/>
  <c r="G1771" i="13"/>
  <c r="F1771" i="13"/>
  <c r="E1771" i="13"/>
  <c r="D1771" i="13"/>
  <c r="C1771" i="13"/>
  <c r="B1771" i="13"/>
  <c r="A1771" i="13"/>
  <c r="I1770" i="13"/>
  <c r="H1770" i="13"/>
  <c r="G1770" i="13"/>
  <c r="F1770" i="13"/>
  <c r="E1770" i="13"/>
  <c r="D1770" i="13"/>
  <c r="C1770" i="13"/>
  <c r="B1770" i="13"/>
  <c r="A1770" i="13"/>
  <c r="I1769" i="13"/>
  <c r="H1769" i="13"/>
  <c r="G1769" i="13"/>
  <c r="F1769" i="13"/>
  <c r="E1769" i="13"/>
  <c r="D1769" i="13"/>
  <c r="E95" i="16" s="1"/>
  <c r="C1769" i="13"/>
  <c r="B1769" i="13"/>
  <c r="A1769" i="13"/>
  <c r="I1768" i="13"/>
  <c r="H1768" i="13"/>
  <c r="G1768" i="13"/>
  <c r="F1768" i="13"/>
  <c r="E1768" i="13"/>
  <c r="D1768" i="13"/>
  <c r="C1768" i="13"/>
  <c r="B1768" i="13"/>
  <c r="A1768" i="13"/>
  <c r="I1767" i="13"/>
  <c r="H1767" i="13"/>
  <c r="G1767" i="13"/>
  <c r="F1767" i="13"/>
  <c r="E1767" i="13"/>
  <c r="D1767" i="13"/>
  <c r="C1767" i="13"/>
  <c r="B1767" i="13"/>
  <c r="A1767" i="13"/>
  <c r="I1766" i="13"/>
  <c r="H1766" i="13"/>
  <c r="G1766" i="13"/>
  <c r="F1766" i="13"/>
  <c r="E1766" i="13"/>
  <c r="D1766" i="13"/>
  <c r="C1766" i="13"/>
  <c r="B1766" i="13"/>
  <c r="A1766" i="13"/>
  <c r="I1765" i="13"/>
  <c r="H1765" i="13"/>
  <c r="G1765" i="13"/>
  <c r="F1765" i="13"/>
  <c r="E1765" i="13"/>
  <c r="D1765" i="13"/>
  <c r="C1765" i="13"/>
  <c r="B1765" i="13"/>
  <c r="A1765" i="13"/>
  <c r="I1764" i="13"/>
  <c r="H1764" i="13"/>
  <c r="G1764" i="13"/>
  <c r="F1764" i="13"/>
  <c r="E1764" i="13"/>
  <c r="D1764" i="13"/>
  <c r="C1764" i="13"/>
  <c r="B1764" i="13"/>
  <c r="A1764" i="13"/>
  <c r="I1763" i="13"/>
  <c r="H1763" i="13"/>
  <c r="G1763" i="13"/>
  <c r="F1763" i="13"/>
  <c r="E1763" i="13"/>
  <c r="D1763" i="13"/>
  <c r="C1763" i="13"/>
  <c r="B1763" i="13"/>
  <c r="A1763" i="13"/>
  <c r="I1762" i="13"/>
  <c r="H1762" i="13"/>
  <c r="G1762" i="13"/>
  <c r="F1762" i="13"/>
  <c r="E1762" i="13"/>
  <c r="D1762" i="13"/>
  <c r="C1762" i="13"/>
  <c r="B1762" i="13"/>
  <c r="A1762" i="13"/>
  <c r="I1761" i="13"/>
  <c r="H1761" i="13"/>
  <c r="G1761" i="13"/>
  <c r="F1761" i="13"/>
  <c r="E1761" i="13"/>
  <c r="D1761" i="13"/>
  <c r="C1761" i="13"/>
  <c r="B1761" i="13"/>
  <c r="A1761" i="13"/>
  <c r="I1760" i="13"/>
  <c r="A95" i="16" s="1"/>
  <c r="B95" i="16" s="1"/>
  <c r="H1760" i="13"/>
  <c r="G1760" i="13"/>
  <c r="F1760" i="13"/>
  <c r="D95" i="16" s="1"/>
  <c r="E1760" i="13"/>
  <c r="D1760" i="13"/>
  <c r="C1760" i="13"/>
  <c r="B1760" i="13"/>
  <c r="A1760" i="13"/>
  <c r="I1759" i="13"/>
  <c r="H1759" i="13"/>
  <c r="G1759" i="13"/>
  <c r="F1759" i="13"/>
  <c r="E1759" i="13"/>
  <c r="D1759" i="13"/>
  <c r="C1759" i="13"/>
  <c r="B1759" i="13"/>
  <c r="A1759" i="13"/>
  <c r="I1758" i="13"/>
  <c r="H1758" i="13"/>
  <c r="G1758" i="13"/>
  <c r="F1758" i="13"/>
  <c r="E1758" i="13"/>
  <c r="D1758" i="13"/>
  <c r="C1758" i="13"/>
  <c r="B1758" i="13"/>
  <c r="A1758" i="13"/>
  <c r="I1757" i="13"/>
  <c r="H1757" i="13"/>
  <c r="G1757" i="13"/>
  <c r="F1757" i="13"/>
  <c r="E1757" i="13"/>
  <c r="D1757" i="13"/>
  <c r="C1757" i="13"/>
  <c r="B1757" i="13"/>
  <c r="A1757" i="13"/>
  <c r="I1756" i="13"/>
  <c r="H1756" i="13"/>
  <c r="G1756" i="13"/>
  <c r="F1756" i="13"/>
  <c r="E1756" i="13"/>
  <c r="D1756" i="13"/>
  <c r="C1756" i="13"/>
  <c r="B1756" i="13"/>
  <c r="A1756" i="13"/>
  <c r="I1755" i="13"/>
  <c r="H1755" i="13"/>
  <c r="G1755" i="13"/>
  <c r="F1755" i="13"/>
  <c r="E1755" i="13"/>
  <c r="D1755" i="13"/>
  <c r="E94" i="16" s="1"/>
  <c r="C1755" i="13"/>
  <c r="B1755" i="13"/>
  <c r="A1755" i="13"/>
  <c r="I1754" i="13"/>
  <c r="H1754" i="13"/>
  <c r="G1754" i="13"/>
  <c r="F1754" i="13"/>
  <c r="E1754" i="13"/>
  <c r="D1754" i="13"/>
  <c r="C1754" i="13"/>
  <c r="B1754" i="13"/>
  <c r="A1754" i="13"/>
  <c r="I1753" i="13"/>
  <c r="H1753" i="13"/>
  <c r="G1753" i="13"/>
  <c r="F1753" i="13"/>
  <c r="E1753" i="13"/>
  <c r="D1753" i="13"/>
  <c r="C1753" i="13"/>
  <c r="B1753" i="13"/>
  <c r="A1753" i="13"/>
  <c r="I1752" i="13"/>
  <c r="H1752" i="13"/>
  <c r="G1752" i="13"/>
  <c r="F1752" i="13"/>
  <c r="E1752" i="13"/>
  <c r="D1752" i="13"/>
  <c r="C1752" i="13"/>
  <c r="B1752" i="13"/>
  <c r="A1752" i="13"/>
  <c r="I1751" i="13"/>
  <c r="H1751" i="13"/>
  <c r="G1751" i="13"/>
  <c r="F1751" i="13"/>
  <c r="E1751" i="13"/>
  <c r="D1751" i="13"/>
  <c r="C1751" i="13"/>
  <c r="B1751" i="13"/>
  <c r="A1751" i="13"/>
  <c r="I1750" i="13"/>
  <c r="H1750" i="13"/>
  <c r="G1750" i="13"/>
  <c r="F1750" i="13"/>
  <c r="E1750" i="13"/>
  <c r="D1750" i="13"/>
  <c r="C1750" i="13"/>
  <c r="B1750" i="13"/>
  <c r="A1750" i="13"/>
  <c r="I1749" i="13"/>
  <c r="H1749" i="13"/>
  <c r="G1749" i="13"/>
  <c r="F1749" i="13"/>
  <c r="E1749" i="13"/>
  <c r="D1749" i="13"/>
  <c r="C1749" i="13"/>
  <c r="B1749" i="13"/>
  <c r="A1749" i="13"/>
  <c r="I1748" i="13"/>
  <c r="H1748" i="13"/>
  <c r="G1748" i="13"/>
  <c r="F1748" i="13"/>
  <c r="E1748" i="13"/>
  <c r="D1748" i="13"/>
  <c r="C1748" i="13"/>
  <c r="B1748" i="13"/>
  <c r="A1748" i="13"/>
  <c r="I1747" i="13"/>
  <c r="H1747" i="13"/>
  <c r="G1747" i="13"/>
  <c r="F1747" i="13"/>
  <c r="E1747" i="13"/>
  <c r="D1747" i="13"/>
  <c r="C1747" i="13"/>
  <c r="B1747" i="13"/>
  <c r="A1747" i="13"/>
  <c r="I1746" i="13"/>
  <c r="A94" i="16" s="1"/>
  <c r="B94" i="16" s="1"/>
  <c r="H1746" i="13"/>
  <c r="G1746" i="13"/>
  <c r="F1746" i="13"/>
  <c r="D94" i="16" s="1"/>
  <c r="J94" i="16" s="1"/>
  <c r="E1746" i="13"/>
  <c r="D1746" i="13"/>
  <c r="C1746" i="13"/>
  <c r="B1746" i="13"/>
  <c r="A1746" i="13"/>
  <c r="I1745" i="13"/>
  <c r="H1745" i="13"/>
  <c r="G1745" i="13"/>
  <c r="F1745" i="13"/>
  <c r="E1745" i="13"/>
  <c r="D1745" i="13"/>
  <c r="C1745" i="13"/>
  <c r="B1745" i="13"/>
  <c r="A1745" i="13"/>
  <c r="I1744" i="13"/>
  <c r="H1744" i="13"/>
  <c r="G1744" i="13"/>
  <c r="F1744" i="13"/>
  <c r="E1744" i="13"/>
  <c r="D1744" i="13"/>
  <c r="C1744" i="13"/>
  <c r="B1744" i="13"/>
  <c r="A1744" i="13"/>
  <c r="I1743" i="13"/>
  <c r="H1743" i="13"/>
  <c r="G1743" i="13"/>
  <c r="F1743" i="13"/>
  <c r="E1743" i="13"/>
  <c r="D1743" i="13"/>
  <c r="C1743" i="13"/>
  <c r="B1743" i="13"/>
  <c r="A1743" i="13"/>
  <c r="I1742" i="13"/>
  <c r="H1742" i="13"/>
  <c r="G1742" i="13"/>
  <c r="F1742" i="13"/>
  <c r="E1742" i="13"/>
  <c r="D1742" i="13"/>
  <c r="C1742" i="13"/>
  <c r="B1742" i="13"/>
  <c r="A1742" i="13"/>
  <c r="I1741" i="13"/>
  <c r="H1741" i="13"/>
  <c r="G1741" i="13"/>
  <c r="F1741" i="13"/>
  <c r="E1741" i="13"/>
  <c r="D1741" i="13"/>
  <c r="C1741" i="13"/>
  <c r="B1741" i="13"/>
  <c r="A1741" i="13"/>
  <c r="I1740" i="13"/>
  <c r="H1740" i="13"/>
  <c r="G1740" i="13"/>
  <c r="F1740" i="13"/>
  <c r="E1740" i="13"/>
  <c r="D1740" i="13"/>
  <c r="E93" i="16" s="1"/>
  <c r="C1740" i="13"/>
  <c r="B1740" i="13"/>
  <c r="A1740" i="13"/>
  <c r="I1739" i="13"/>
  <c r="H1739" i="13"/>
  <c r="G1739" i="13"/>
  <c r="F1739" i="13"/>
  <c r="E1739" i="13"/>
  <c r="D1739" i="13"/>
  <c r="C1739" i="13"/>
  <c r="B1739" i="13"/>
  <c r="A1739" i="13"/>
  <c r="I1738" i="13"/>
  <c r="H1738" i="13"/>
  <c r="G1738" i="13"/>
  <c r="F1738" i="13"/>
  <c r="E1738" i="13"/>
  <c r="D1738" i="13"/>
  <c r="C1738" i="13"/>
  <c r="B1738" i="13"/>
  <c r="A1738" i="13"/>
  <c r="I1737" i="13"/>
  <c r="H1737" i="13"/>
  <c r="G1737" i="13"/>
  <c r="F1737" i="13"/>
  <c r="E1737" i="13"/>
  <c r="D1737" i="13"/>
  <c r="C1737" i="13"/>
  <c r="B1737" i="13"/>
  <c r="A1737" i="13"/>
  <c r="I1736" i="13"/>
  <c r="H1736" i="13"/>
  <c r="G1736" i="13"/>
  <c r="F1736" i="13"/>
  <c r="E1736" i="13"/>
  <c r="D1736" i="13"/>
  <c r="C1736" i="13"/>
  <c r="B1736" i="13"/>
  <c r="A1736" i="13"/>
  <c r="I1735" i="13"/>
  <c r="H1735" i="13"/>
  <c r="G1735" i="13"/>
  <c r="F1735" i="13"/>
  <c r="E1735" i="13"/>
  <c r="D1735" i="13"/>
  <c r="C1735" i="13"/>
  <c r="B1735" i="13"/>
  <c r="A1735" i="13"/>
  <c r="I1734" i="13"/>
  <c r="H1734" i="13"/>
  <c r="G1734" i="13"/>
  <c r="F1734" i="13"/>
  <c r="E1734" i="13"/>
  <c r="D1734" i="13"/>
  <c r="C1734" i="13"/>
  <c r="B1734" i="13"/>
  <c r="A1734" i="13"/>
  <c r="I1733" i="13"/>
  <c r="H1733" i="13"/>
  <c r="G1733" i="13"/>
  <c r="F1733" i="13"/>
  <c r="E1733" i="13"/>
  <c r="D1733" i="13"/>
  <c r="C1733" i="13"/>
  <c r="B1733" i="13"/>
  <c r="A1733" i="13"/>
  <c r="I1732" i="13"/>
  <c r="H1732" i="13"/>
  <c r="G1732" i="13"/>
  <c r="F1732" i="13"/>
  <c r="E1732" i="13"/>
  <c r="D1732" i="13"/>
  <c r="C1732" i="13"/>
  <c r="B1732" i="13"/>
  <c r="A1732" i="13"/>
  <c r="I1731" i="13"/>
  <c r="A93" i="16" s="1"/>
  <c r="B93" i="16" s="1"/>
  <c r="H1731" i="13"/>
  <c r="G1731" i="13"/>
  <c r="F1731" i="13"/>
  <c r="D93" i="16" s="1"/>
  <c r="E1731" i="13"/>
  <c r="D1731" i="13"/>
  <c r="C1731" i="13"/>
  <c r="B1731" i="13"/>
  <c r="A1731" i="13"/>
  <c r="I1730" i="13"/>
  <c r="H1730" i="13"/>
  <c r="G1730" i="13"/>
  <c r="F1730" i="13"/>
  <c r="E1730" i="13"/>
  <c r="D1730" i="13"/>
  <c r="C1730" i="13"/>
  <c r="B1730" i="13"/>
  <c r="A1730" i="13"/>
  <c r="I1729" i="13"/>
  <c r="H1729" i="13"/>
  <c r="G1729" i="13"/>
  <c r="F1729" i="13"/>
  <c r="E1729" i="13"/>
  <c r="D1729" i="13"/>
  <c r="C1729" i="13"/>
  <c r="B1729" i="13"/>
  <c r="A1729" i="13"/>
  <c r="I1728" i="13"/>
  <c r="H1728" i="13"/>
  <c r="G1728" i="13"/>
  <c r="F1728" i="13"/>
  <c r="E1728" i="13"/>
  <c r="D1728" i="13"/>
  <c r="C1728" i="13"/>
  <c r="B1728" i="13"/>
  <c r="A1728" i="13"/>
  <c r="I1727" i="13"/>
  <c r="H1727" i="13"/>
  <c r="G1727" i="13"/>
  <c r="F1727" i="13"/>
  <c r="E1727" i="13"/>
  <c r="D1727" i="13"/>
  <c r="C1727" i="13"/>
  <c r="B1727" i="13"/>
  <c r="A1727" i="13"/>
  <c r="I1726" i="13"/>
  <c r="H1726" i="13"/>
  <c r="G1726" i="13"/>
  <c r="F1726" i="13"/>
  <c r="E1726" i="13"/>
  <c r="D1726" i="13"/>
  <c r="C1726" i="13"/>
  <c r="B1726" i="13"/>
  <c r="A1726" i="13"/>
  <c r="I1725" i="13"/>
  <c r="H1725" i="13"/>
  <c r="G1725" i="13"/>
  <c r="F1725" i="13"/>
  <c r="E1725" i="13"/>
  <c r="D1725" i="13"/>
  <c r="C1725" i="13"/>
  <c r="B1725" i="13"/>
  <c r="A1725" i="13"/>
  <c r="I1724" i="13"/>
  <c r="H1724" i="13"/>
  <c r="G1724" i="13"/>
  <c r="F1724" i="13"/>
  <c r="E1724" i="13"/>
  <c r="D1724" i="13"/>
  <c r="C1724" i="13"/>
  <c r="B1724" i="13"/>
  <c r="A1724" i="13"/>
  <c r="I1723" i="13"/>
  <c r="H1723" i="13"/>
  <c r="G1723" i="13"/>
  <c r="F1723" i="13"/>
  <c r="E1723" i="13"/>
  <c r="D1723" i="13"/>
  <c r="C1723" i="13"/>
  <c r="B1723" i="13"/>
  <c r="A1723" i="13"/>
  <c r="I1722" i="13"/>
  <c r="H1722" i="13"/>
  <c r="G1722" i="13"/>
  <c r="F1722" i="13"/>
  <c r="E1722" i="13"/>
  <c r="D1722" i="13"/>
  <c r="E92" i="16" s="1"/>
  <c r="C1722" i="13"/>
  <c r="B1722" i="13"/>
  <c r="A1722" i="13"/>
  <c r="I1721" i="13"/>
  <c r="H1721" i="13"/>
  <c r="G1721" i="13"/>
  <c r="F1721" i="13"/>
  <c r="E1721" i="13"/>
  <c r="D1721" i="13"/>
  <c r="C1721" i="13"/>
  <c r="B1721" i="13"/>
  <c r="A1721" i="13"/>
  <c r="I1720" i="13"/>
  <c r="H1720" i="13"/>
  <c r="G1720" i="13"/>
  <c r="F1720" i="13"/>
  <c r="E1720" i="13"/>
  <c r="D1720" i="13"/>
  <c r="C1720" i="13"/>
  <c r="B1720" i="13"/>
  <c r="A1720" i="13"/>
  <c r="I1719" i="13"/>
  <c r="H1719" i="13"/>
  <c r="G1719" i="13"/>
  <c r="F1719" i="13"/>
  <c r="E1719" i="13"/>
  <c r="D1719" i="13"/>
  <c r="C1719" i="13"/>
  <c r="B1719" i="13"/>
  <c r="A1719" i="13"/>
  <c r="I1718" i="13"/>
  <c r="H1718" i="13"/>
  <c r="G1718" i="13"/>
  <c r="F1718" i="13"/>
  <c r="E1718" i="13"/>
  <c r="D1718" i="13"/>
  <c r="C1718" i="13"/>
  <c r="B1718" i="13"/>
  <c r="A1718" i="13"/>
  <c r="I1717" i="13"/>
  <c r="H1717" i="13"/>
  <c r="G1717" i="13"/>
  <c r="F1717" i="13"/>
  <c r="E1717" i="13"/>
  <c r="D1717" i="13"/>
  <c r="C1717" i="13"/>
  <c r="B1717" i="13"/>
  <c r="A1717" i="13"/>
  <c r="I1716" i="13"/>
  <c r="H1716" i="13"/>
  <c r="G1716" i="13"/>
  <c r="F1716" i="13"/>
  <c r="E1716" i="13"/>
  <c r="D1716" i="13"/>
  <c r="C1716" i="13"/>
  <c r="B1716" i="13"/>
  <c r="A1716" i="13"/>
  <c r="I1715" i="13"/>
  <c r="H1715" i="13"/>
  <c r="G1715" i="13"/>
  <c r="F1715" i="13"/>
  <c r="E1715" i="13"/>
  <c r="D1715" i="13"/>
  <c r="C1715" i="13"/>
  <c r="B1715" i="13"/>
  <c r="A1715" i="13"/>
  <c r="I1714" i="13"/>
  <c r="H1714" i="13"/>
  <c r="G1714" i="13"/>
  <c r="F1714" i="13"/>
  <c r="E1714" i="13"/>
  <c r="D1714" i="13"/>
  <c r="C1714" i="13"/>
  <c r="B1714" i="13"/>
  <c r="A1714" i="13"/>
  <c r="I1713" i="13"/>
  <c r="A92" i="16" s="1"/>
  <c r="B92" i="16" s="1"/>
  <c r="H1713" i="13"/>
  <c r="G1713" i="13"/>
  <c r="F1713" i="13"/>
  <c r="D92" i="16" s="1"/>
  <c r="J92" i="16" s="1"/>
  <c r="E1713" i="13"/>
  <c r="D1713" i="13"/>
  <c r="C1713" i="13"/>
  <c r="B1713" i="13"/>
  <c r="A1713" i="13"/>
  <c r="I1712" i="13"/>
  <c r="H1712" i="13"/>
  <c r="G1712" i="13"/>
  <c r="F1712" i="13"/>
  <c r="E1712" i="13"/>
  <c r="D1712" i="13"/>
  <c r="C1712" i="13"/>
  <c r="B1712" i="13"/>
  <c r="A1712" i="13"/>
  <c r="I1711" i="13"/>
  <c r="H1711" i="13"/>
  <c r="G1711" i="13"/>
  <c r="F1711" i="13"/>
  <c r="E1711" i="13"/>
  <c r="D1711" i="13"/>
  <c r="C1711" i="13"/>
  <c r="B1711" i="13"/>
  <c r="A1711" i="13"/>
  <c r="I1710" i="13"/>
  <c r="H1710" i="13"/>
  <c r="G1710" i="13"/>
  <c r="F1710" i="13"/>
  <c r="E1710" i="13"/>
  <c r="D1710" i="13"/>
  <c r="C1710" i="13"/>
  <c r="B1710" i="13"/>
  <c r="A1710" i="13"/>
  <c r="I1709" i="13"/>
  <c r="H1709" i="13"/>
  <c r="G1709" i="13"/>
  <c r="F1709" i="13"/>
  <c r="E1709" i="13"/>
  <c r="D1709" i="13"/>
  <c r="C1709" i="13"/>
  <c r="B1709" i="13"/>
  <c r="A1709" i="13"/>
  <c r="I1708" i="13"/>
  <c r="H1708" i="13"/>
  <c r="G1708" i="13"/>
  <c r="F1708" i="13"/>
  <c r="E1708" i="13"/>
  <c r="D1708" i="13"/>
  <c r="C1708" i="13"/>
  <c r="B1708" i="13"/>
  <c r="A1708" i="13"/>
  <c r="I1707" i="13"/>
  <c r="H1707" i="13"/>
  <c r="G1707" i="13"/>
  <c r="F1707" i="13"/>
  <c r="E1707" i="13"/>
  <c r="D1707" i="13"/>
  <c r="C1707" i="13"/>
  <c r="B1707" i="13"/>
  <c r="A1707" i="13"/>
  <c r="I1706" i="13"/>
  <c r="H1706" i="13"/>
  <c r="G1706" i="13"/>
  <c r="F1706" i="13"/>
  <c r="E1706" i="13"/>
  <c r="D1706" i="13"/>
  <c r="E91" i="16" s="1"/>
  <c r="C1706" i="13"/>
  <c r="B1706" i="13"/>
  <c r="A1706" i="13"/>
  <c r="I1705" i="13"/>
  <c r="H1705" i="13"/>
  <c r="G1705" i="13"/>
  <c r="F1705" i="13"/>
  <c r="E1705" i="13"/>
  <c r="D1705" i="13"/>
  <c r="C1705" i="13"/>
  <c r="B1705" i="13"/>
  <c r="A1705" i="13"/>
  <c r="I1704" i="13"/>
  <c r="H1704" i="13"/>
  <c r="G1704" i="13"/>
  <c r="F1704" i="13"/>
  <c r="E1704" i="13"/>
  <c r="D1704" i="13"/>
  <c r="C1704" i="13"/>
  <c r="B1704" i="13"/>
  <c r="A1704" i="13"/>
  <c r="I1703" i="13"/>
  <c r="H1703" i="13"/>
  <c r="G1703" i="13"/>
  <c r="F1703" i="13"/>
  <c r="E1703" i="13"/>
  <c r="D1703" i="13"/>
  <c r="C1703" i="13"/>
  <c r="B1703" i="13"/>
  <c r="A1703" i="13"/>
  <c r="I1702" i="13"/>
  <c r="H1702" i="13"/>
  <c r="G1702" i="13"/>
  <c r="F1702" i="13"/>
  <c r="E1702" i="13"/>
  <c r="D1702" i="13"/>
  <c r="C1702" i="13"/>
  <c r="B1702" i="13"/>
  <c r="A1702" i="13"/>
  <c r="I1701" i="13"/>
  <c r="H1701" i="13"/>
  <c r="G1701" i="13"/>
  <c r="F1701" i="13"/>
  <c r="E1701" i="13"/>
  <c r="D1701" i="13"/>
  <c r="C1701" i="13"/>
  <c r="B1701" i="13"/>
  <c r="A1701" i="13"/>
  <c r="I1700" i="13"/>
  <c r="H1700" i="13"/>
  <c r="G1700" i="13"/>
  <c r="F1700" i="13"/>
  <c r="E1700" i="13"/>
  <c r="D1700" i="13"/>
  <c r="C1700" i="13"/>
  <c r="B1700" i="13"/>
  <c r="A1700" i="13"/>
  <c r="I1699" i="13"/>
  <c r="H1699" i="13"/>
  <c r="G1699" i="13"/>
  <c r="F1699" i="13"/>
  <c r="E1699" i="13"/>
  <c r="D1699" i="13"/>
  <c r="C1699" i="13"/>
  <c r="B1699" i="13"/>
  <c r="A1699" i="13"/>
  <c r="I1698" i="13"/>
  <c r="H1698" i="13"/>
  <c r="G1698" i="13"/>
  <c r="F1698" i="13"/>
  <c r="E1698" i="13"/>
  <c r="D1698" i="13"/>
  <c r="C1698" i="13"/>
  <c r="B1698" i="13"/>
  <c r="A1698" i="13"/>
  <c r="I1697" i="13"/>
  <c r="H1697" i="13"/>
  <c r="G1697" i="13"/>
  <c r="F1697" i="13"/>
  <c r="E1697" i="13"/>
  <c r="D1697" i="13"/>
  <c r="C1697" i="13"/>
  <c r="B1697" i="13"/>
  <c r="A1697" i="13"/>
  <c r="I1696" i="13"/>
  <c r="A91" i="16" s="1"/>
  <c r="B91" i="16" s="1"/>
  <c r="H1696" i="13"/>
  <c r="G1696" i="13"/>
  <c r="F1696" i="13"/>
  <c r="D91" i="16" s="1"/>
  <c r="E1696" i="13"/>
  <c r="D1696" i="13"/>
  <c r="C1696" i="13"/>
  <c r="B1696" i="13"/>
  <c r="A1696" i="13"/>
  <c r="I1695" i="13"/>
  <c r="H1695" i="13"/>
  <c r="G1695" i="13"/>
  <c r="F1695" i="13"/>
  <c r="E1695" i="13"/>
  <c r="D1695" i="13"/>
  <c r="C1695" i="13"/>
  <c r="B1695" i="13"/>
  <c r="A1695" i="13"/>
  <c r="I1694" i="13"/>
  <c r="H1694" i="13"/>
  <c r="G1694" i="13"/>
  <c r="F1694" i="13"/>
  <c r="E1694" i="13"/>
  <c r="D1694" i="13"/>
  <c r="C1694" i="13"/>
  <c r="B1694" i="13"/>
  <c r="A1694" i="13"/>
  <c r="I1693" i="13"/>
  <c r="H1693" i="13"/>
  <c r="G1693" i="13"/>
  <c r="F1693" i="13"/>
  <c r="E1693" i="13"/>
  <c r="D1693" i="13"/>
  <c r="C1693" i="13"/>
  <c r="B1693" i="13"/>
  <c r="A1693" i="13"/>
  <c r="I1692" i="13"/>
  <c r="H1692" i="13"/>
  <c r="G1692" i="13"/>
  <c r="F1692" i="13"/>
  <c r="E1692" i="13"/>
  <c r="D1692" i="13"/>
  <c r="C1692" i="13"/>
  <c r="B1692" i="13"/>
  <c r="A1692" i="13"/>
  <c r="I1691" i="13"/>
  <c r="H1691" i="13"/>
  <c r="G1691" i="13"/>
  <c r="F1691" i="13"/>
  <c r="E1691" i="13"/>
  <c r="D1691" i="13"/>
  <c r="C1691" i="13"/>
  <c r="B1691" i="13"/>
  <c r="A1691" i="13"/>
  <c r="I1690" i="13"/>
  <c r="H1690" i="13"/>
  <c r="G1690" i="13"/>
  <c r="F1690" i="13"/>
  <c r="E1690" i="13"/>
  <c r="D1690" i="13"/>
  <c r="C1690" i="13"/>
  <c r="B1690" i="13"/>
  <c r="A1690" i="13"/>
  <c r="I1689" i="13"/>
  <c r="H1689" i="13"/>
  <c r="G1689" i="13"/>
  <c r="F1689" i="13"/>
  <c r="E1689" i="13"/>
  <c r="D1689" i="13"/>
  <c r="C1689" i="13"/>
  <c r="B1689" i="13"/>
  <c r="A1689" i="13"/>
  <c r="I1688" i="13"/>
  <c r="H1688" i="13"/>
  <c r="G1688" i="13"/>
  <c r="F1688" i="13"/>
  <c r="E1688" i="13"/>
  <c r="D1688" i="13"/>
  <c r="E90" i="16" s="1"/>
  <c r="C1688" i="13"/>
  <c r="B1688" i="13"/>
  <c r="A1688" i="13"/>
  <c r="I1687" i="13"/>
  <c r="H1687" i="13"/>
  <c r="G1687" i="13"/>
  <c r="F1687" i="13"/>
  <c r="E1687" i="13"/>
  <c r="D1687" i="13"/>
  <c r="C1687" i="13"/>
  <c r="B1687" i="13"/>
  <c r="A1687" i="13"/>
  <c r="I1686" i="13"/>
  <c r="H1686" i="13"/>
  <c r="G1686" i="13"/>
  <c r="F1686" i="13"/>
  <c r="E1686" i="13"/>
  <c r="D1686" i="13"/>
  <c r="C1686" i="13"/>
  <c r="B1686" i="13"/>
  <c r="A1686" i="13"/>
  <c r="I1685" i="13"/>
  <c r="H1685" i="13"/>
  <c r="G1685" i="13"/>
  <c r="F1685" i="13"/>
  <c r="E1685" i="13"/>
  <c r="D1685" i="13"/>
  <c r="C1685" i="13"/>
  <c r="B1685" i="13"/>
  <c r="A1685" i="13"/>
  <c r="I1684" i="13"/>
  <c r="H1684" i="13"/>
  <c r="G1684" i="13"/>
  <c r="F1684" i="13"/>
  <c r="E1684" i="13"/>
  <c r="D1684" i="13"/>
  <c r="C1684" i="13"/>
  <c r="B1684" i="13"/>
  <c r="A1684" i="13"/>
  <c r="I1683" i="13"/>
  <c r="H1683" i="13"/>
  <c r="G1683" i="13"/>
  <c r="F1683" i="13"/>
  <c r="E1683" i="13"/>
  <c r="D1683" i="13"/>
  <c r="C1683" i="13"/>
  <c r="B1683" i="13"/>
  <c r="A1683" i="13"/>
  <c r="I1682" i="13"/>
  <c r="H1682" i="13"/>
  <c r="G1682" i="13"/>
  <c r="F1682" i="13"/>
  <c r="E1682" i="13"/>
  <c r="D1682" i="13"/>
  <c r="C1682" i="13"/>
  <c r="B1682" i="13"/>
  <c r="A1682" i="13"/>
  <c r="I1681" i="13"/>
  <c r="H1681" i="13"/>
  <c r="G1681" i="13"/>
  <c r="F1681" i="13"/>
  <c r="E1681" i="13"/>
  <c r="D1681" i="13"/>
  <c r="C1681" i="13"/>
  <c r="B1681" i="13"/>
  <c r="A1681" i="13"/>
  <c r="I1680" i="13"/>
  <c r="H1680" i="13"/>
  <c r="G1680" i="13"/>
  <c r="F1680" i="13"/>
  <c r="E1680" i="13"/>
  <c r="D1680" i="13"/>
  <c r="C1680" i="13"/>
  <c r="B1680" i="13"/>
  <c r="A1680" i="13"/>
  <c r="I1679" i="13"/>
  <c r="H1679" i="13"/>
  <c r="G1679" i="13"/>
  <c r="F1679" i="13"/>
  <c r="E1679" i="13"/>
  <c r="D1679" i="13"/>
  <c r="C1679" i="13"/>
  <c r="B1679" i="13"/>
  <c r="A1679" i="13"/>
  <c r="I1678" i="13"/>
  <c r="A90" i="16" s="1"/>
  <c r="B90" i="16" s="1"/>
  <c r="H1678" i="13"/>
  <c r="G1678" i="13"/>
  <c r="F1678" i="13"/>
  <c r="D90" i="16" s="1"/>
  <c r="E1678" i="13"/>
  <c r="D1678" i="13"/>
  <c r="C1678" i="13"/>
  <c r="B1678" i="13"/>
  <c r="A1678" i="13"/>
  <c r="I1677" i="13"/>
  <c r="H1677" i="13"/>
  <c r="G1677" i="13"/>
  <c r="F1677" i="13"/>
  <c r="E1677" i="13"/>
  <c r="D1677" i="13"/>
  <c r="C1677" i="13"/>
  <c r="B1677" i="13"/>
  <c r="A1677" i="13"/>
  <c r="I1676" i="13"/>
  <c r="H1676" i="13"/>
  <c r="G1676" i="13"/>
  <c r="F1676" i="13"/>
  <c r="E1676" i="13"/>
  <c r="D1676" i="13"/>
  <c r="C1676" i="13"/>
  <c r="B1676" i="13"/>
  <c r="A1676" i="13"/>
  <c r="I1675" i="13"/>
  <c r="H1675" i="13"/>
  <c r="G1675" i="13"/>
  <c r="F1675" i="13"/>
  <c r="E1675" i="13"/>
  <c r="D1675" i="13"/>
  <c r="C1675" i="13"/>
  <c r="B1675" i="13"/>
  <c r="A1675" i="13"/>
  <c r="I1674" i="13"/>
  <c r="H1674" i="13"/>
  <c r="G1674" i="13"/>
  <c r="F1674" i="13"/>
  <c r="E1674" i="13"/>
  <c r="D1674" i="13"/>
  <c r="C1674" i="13"/>
  <c r="B1674" i="13"/>
  <c r="A1674" i="13"/>
  <c r="I1673" i="13"/>
  <c r="H1673" i="13"/>
  <c r="G1673" i="13"/>
  <c r="F1673" i="13"/>
  <c r="E1673" i="13"/>
  <c r="D1673" i="13"/>
  <c r="C1673" i="13"/>
  <c r="B1673" i="13"/>
  <c r="A1673" i="13"/>
  <c r="I1672" i="13"/>
  <c r="H1672" i="13"/>
  <c r="G1672" i="13"/>
  <c r="F1672" i="13"/>
  <c r="E1672" i="13"/>
  <c r="D1672" i="13"/>
  <c r="C1672" i="13"/>
  <c r="B1672" i="13"/>
  <c r="A1672" i="13"/>
  <c r="I1671" i="13"/>
  <c r="H1671" i="13"/>
  <c r="G1671" i="13"/>
  <c r="F1671" i="13"/>
  <c r="E1671" i="13"/>
  <c r="D1671" i="13"/>
  <c r="C1671" i="13"/>
  <c r="B1671" i="13"/>
  <c r="A1671" i="13"/>
  <c r="I1670" i="13"/>
  <c r="H1670" i="13"/>
  <c r="G1670" i="13"/>
  <c r="F1670" i="13"/>
  <c r="E1670" i="13"/>
  <c r="D1670" i="13"/>
  <c r="C1670" i="13"/>
  <c r="B1670" i="13"/>
  <c r="A1670" i="13"/>
  <c r="I1669" i="13"/>
  <c r="A89" i="16" s="1"/>
  <c r="B89" i="16" s="1"/>
  <c r="H1669" i="13"/>
  <c r="G1669" i="13"/>
  <c r="F1669" i="13"/>
  <c r="D89" i="16" s="1"/>
  <c r="E1669" i="13"/>
  <c r="D1669" i="13"/>
  <c r="C1669" i="13"/>
  <c r="F1667" i="13" s="1"/>
  <c r="E89" i="16" s="1"/>
  <c r="B1669" i="13"/>
  <c r="A1669" i="13"/>
  <c r="I1668" i="13"/>
  <c r="H1668" i="13"/>
  <c r="G1668" i="13"/>
  <c r="F1668" i="13"/>
  <c r="E1668" i="13"/>
  <c r="D1668" i="13"/>
  <c r="C1668" i="13"/>
  <c r="B1668" i="13"/>
  <c r="A1668" i="13"/>
  <c r="I1667" i="13"/>
  <c r="H1667" i="13"/>
  <c r="G1667" i="13"/>
  <c r="E1667" i="13"/>
  <c r="D1667" i="13"/>
  <c r="C1667" i="13"/>
  <c r="B1667" i="13"/>
  <c r="A1667" i="13"/>
  <c r="I1666" i="13"/>
  <c r="H1666" i="13"/>
  <c r="G1666" i="13"/>
  <c r="E1666" i="13"/>
  <c r="D1666" i="13"/>
  <c r="C1666" i="13"/>
  <c r="B1666" i="13"/>
  <c r="A1666" i="13"/>
  <c r="I1665" i="13"/>
  <c r="H1665" i="13"/>
  <c r="G1665" i="13"/>
  <c r="F1665" i="13"/>
  <c r="E1665" i="13"/>
  <c r="D1665" i="13"/>
  <c r="C1665" i="13"/>
  <c r="B1665" i="13"/>
  <c r="A1665" i="13"/>
  <c r="I1664" i="13"/>
  <c r="H1664" i="13"/>
  <c r="G1664" i="13"/>
  <c r="F1664" i="13"/>
  <c r="E1664" i="13"/>
  <c r="D1664" i="13"/>
  <c r="C1664" i="13"/>
  <c r="B1664" i="13"/>
  <c r="A1664" i="13"/>
  <c r="I1663" i="13"/>
  <c r="H1663" i="13"/>
  <c r="G1663" i="13"/>
  <c r="F1663" i="13"/>
  <c r="E1663" i="13"/>
  <c r="D1663" i="13"/>
  <c r="C1663" i="13"/>
  <c r="B1663" i="13"/>
  <c r="A1663" i="13"/>
  <c r="I1662" i="13"/>
  <c r="H1662" i="13"/>
  <c r="G1662" i="13"/>
  <c r="F1662" i="13"/>
  <c r="E1662" i="13"/>
  <c r="D1662" i="13"/>
  <c r="C1662" i="13"/>
  <c r="B1662" i="13"/>
  <c r="A1662" i="13"/>
  <c r="I1661" i="13"/>
  <c r="H1661" i="13"/>
  <c r="G1661" i="13"/>
  <c r="F1661" i="13"/>
  <c r="E1661" i="13"/>
  <c r="D1661" i="13"/>
  <c r="E88" i="16" s="1"/>
  <c r="C1661" i="13"/>
  <c r="B1661" i="13"/>
  <c r="A1661" i="13"/>
  <c r="I1660" i="13"/>
  <c r="H1660" i="13"/>
  <c r="G1660" i="13"/>
  <c r="F1660" i="13"/>
  <c r="E1660" i="13"/>
  <c r="D1660" i="13"/>
  <c r="C1660" i="13"/>
  <c r="B1660" i="13"/>
  <c r="A1660" i="13"/>
  <c r="I1659" i="13"/>
  <c r="H1659" i="13"/>
  <c r="G1659" i="13"/>
  <c r="F1659" i="13"/>
  <c r="E1659" i="13"/>
  <c r="D1659" i="13"/>
  <c r="C1659" i="13"/>
  <c r="B1659" i="13"/>
  <c r="A1659" i="13"/>
  <c r="I1658" i="13"/>
  <c r="H1658" i="13"/>
  <c r="G1658" i="13"/>
  <c r="F1658" i="13"/>
  <c r="E1658" i="13"/>
  <c r="D1658" i="13"/>
  <c r="C1658" i="13"/>
  <c r="B1658" i="13"/>
  <c r="A1658" i="13"/>
  <c r="I1657" i="13"/>
  <c r="H1657" i="13"/>
  <c r="G1657" i="13"/>
  <c r="F1657" i="13"/>
  <c r="E1657" i="13"/>
  <c r="D1657" i="13"/>
  <c r="C1657" i="13"/>
  <c r="B1657" i="13"/>
  <c r="A1657" i="13"/>
  <c r="I1656" i="13"/>
  <c r="H1656" i="13"/>
  <c r="G1656" i="13"/>
  <c r="F1656" i="13"/>
  <c r="E1656" i="13"/>
  <c r="D1656" i="13"/>
  <c r="C1656" i="13"/>
  <c r="B1656" i="13"/>
  <c r="A1656" i="13"/>
  <c r="I1655" i="13"/>
  <c r="H1655" i="13"/>
  <c r="G1655" i="13"/>
  <c r="F1655" i="13"/>
  <c r="E1655" i="13"/>
  <c r="D1655" i="13"/>
  <c r="C1655" i="13"/>
  <c r="B1655" i="13"/>
  <c r="A1655" i="13"/>
  <c r="I1654" i="13"/>
  <c r="H1654" i="13"/>
  <c r="G1654" i="13"/>
  <c r="F1654" i="13"/>
  <c r="E1654" i="13"/>
  <c r="D1654" i="13"/>
  <c r="C1654" i="13"/>
  <c r="B1654" i="13"/>
  <c r="A1654" i="13"/>
  <c r="I1653" i="13"/>
  <c r="H1653" i="13"/>
  <c r="G1653" i="13"/>
  <c r="F1653" i="13"/>
  <c r="E1653" i="13"/>
  <c r="D1653" i="13"/>
  <c r="C1653" i="13"/>
  <c r="B1653" i="13"/>
  <c r="A1653" i="13"/>
  <c r="I1652" i="13"/>
  <c r="H1652" i="13"/>
  <c r="G1652" i="13"/>
  <c r="F1652" i="13"/>
  <c r="E1652" i="13"/>
  <c r="D1652" i="13"/>
  <c r="C1652" i="13"/>
  <c r="B1652" i="13"/>
  <c r="A1652" i="13"/>
  <c r="I1651" i="13"/>
  <c r="A88" i="16" s="1"/>
  <c r="B88" i="16" s="1"/>
  <c r="H1651" i="13"/>
  <c r="G1651" i="13"/>
  <c r="F1651" i="13"/>
  <c r="D88" i="16" s="1"/>
  <c r="E1651" i="13"/>
  <c r="D1651" i="13"/>
  <c r="C1651" i="13"/>
  <c r="B1651" i="13"/>
  <c r="A1651" i="13"/>
  <c r="I1650" i="13"/>
  <c r="H1650" i="13"/>
  <c r="G1650" i="13"/>
  <c r="F1650" i="13"/>
  <c r="E1650" i="13"/>
  <c r="D1650" i="13"/>
  <c r="C1650" i="13"/>
  <c r="B1650" i="13"/>
  <c r="A1650" i="13"/>
  <c r="I1649" i="13"/>
  <c r="H1649" i="13"/>
  <c r="G1649" i="13"/>
  <c r="F1649" i="13"/>
  <c r="E1649" i="13"/>
  <c r="D1649" i="13"/>
  <c r="C1649" i="13"/>
  <c r="B1649" i="13"/>
  <c r="A1649" i="13"/>
  <c r="I1648" i="13"/>
  <c r="H1648" i="13"/>
  <c r="G1648" i="13"/>
  <c r="F1648" i="13"/>
  <c r="E1648" i="13"/>
  <c r="D1648" i="13"/>
  <c r="C1648" i="13"/>
  <c r="B1648" i="13"/>
  <c r="A1648" i="13"/>
  <c r="I1647" i="13"/>
  <c r="H1647" i="13"/>
  <c r="G1647" i="13"/>
  <c r="F1647" i="13"/>
  <c r="E1647" i="13"/>
  <c r="D1647" i="13"/>
  <c r="C1647" i="13"/>
  <c r="B1647" i="13"/>
  <c r="A1647" i="13"/>
  <c r="I1646" i="13"/>
  <c r="H1646" i="13"/>
  <c r="G1646" i="13"/>
  <c r="F1646" i="13"/>
  <c r="E1646" i="13"/>
  <c r="D1646" i="13"/>
  <c r="C1646" i="13"/>
  <c r="B1646" i="13"/>
  <c r="A1646" i="13"/>
  <c r="I1645" i="13"/>
  <c r="H1645" i="13"/>
  <c r="G1645" i="13"/>
  <c r="F1645" i="13"/>
  <c r="E1645" i="13"/>
  <c r="D1645" i="13"/>
  <c r="C1645" i="13"/>
  <c r="B1645" i="13"/>
  <c r="A1645" i="13"/>
  <c r="I1644" i="13"/>
  <c r="H1644" i="13"/>
  <c r="G1644" i="13"/>
  <c r="F1644" i="13"/>
  <c r="E1644" i="13"/>
  <c r="D1644" i="13"/>
  <c r="C1644" i="13"/>
  <c r="B1644" i="13"/>
  <c r="A1644" i="13"/>
  <c r="I1643" i="13"/>
  <c r="H1643" i="13"/>
  <c r="G1643" i="13"/>
  <c r="F1643" i="13"/>
  <c r="E1643" i="13"/>
  <c r="D1643" i="13"/>
  <c r="C1643" i="13"/>
  <c r="B1643" i="13"/>
  <c r="A1643" i="13"/>
  <c r="I1642" i="13"/>
  <c r="H1642" i="13"/>
  <c r="G1642" i="13"/>
  <c r="F1642" i="13"/>
  <c r="E1642" i="13"/>
  <c r="D1642" i="13"/>
  <c r="E87" i="16" s="1"/>
  <c r="C1642" i="13"/>
  <c r="B1642" i="13"/>
  <c r="A1642" i="13"/>
  <c r="I1641" i="13"/>
  <c r="H1641" i="13"/>
  <c r="G1641" i="13"/>
  <c r="F1641" i="13"/>
  <c r="E1641" i="13"/>
  <c r="D1641" i="13"/>
  <c r="C1641" i="13"/>
  <c r="B1641" i="13"/>
  <c r="A1641" i="13"/>
  <c r="I1640" i="13"/>
  <c r="H1640" i="13"/>
  <c r="G1640" i="13"/>
  <c r="F1640" i="13"/>
  <c r="E1640" i="13"/>
  <c r="D1640" i="13"/>
  <c r="C1640" i="13"/>
  <c r="B1640" i="13"/>
  <c r="A1640" i="13"/>
  <c r="I1639" i="13"/>
  <c r="H1639" i="13"/>
  <c r="G1639" i="13"/>
  <c r="F1639" i="13"/>
  <c r="E1639" i="13"/>
  <c r="D1639" i="13"/>
  <c r="C1639" i="13"/>
  <c r="B1639" i="13"/>
  <c r="A1639" i="13"/>
  <c r="I1638" i="13"/>
  <c r="H1638" i="13"/>
  <c r="G1638" i="13"/>
  <c r="F1638" i="13"/>
  <c r="E1638" i="13"/>
  <c r="D1638" i="13"/>
  <c r="C1638" i="13"/>
  <c r="B1638" i="13"/>
  <c r="A1638" i="13"/>
  <c r="I1637" i="13"/>
  <c r="H1637" i="13"/>
  <c r="G1637" i="13"/>
  <c r="F1637" i="13"/>
  <c r="E1637" i="13"/>
  <c r="D1637" i="13"/>
  <c r="C1637" i="13"/>
  <c r="B1637" i="13"/>
  <c r="A1637" i="13"/>
  <c r="I1636" i="13"/>
  <c r="H1636" i="13"/>
  <c r="G1636" i="13"/>
  <c r="F1636" i="13"/>
  <c r="E1636" i="13"/>
  <c r="D1636" i="13"/>
  <c r="C1636" i="13"/>
  <c r="B1636" i="13"/>
  <c r="A1636" i="13"/>
  <c r="I1635" i="13"/>
  <c r="H1635" i="13"/>
  <c r="G1635" i="13"/>
  <c r="F1635" i="13"/>
  <c r="E1635" i="13"/>
  <c r="D1635" i="13"/>
  <c r="C1635" i="13"/>
  <c r="B1635" i="13"/>
  <c r="A1635" i="13"/>
  <c r="I1634" i="13"/>
  <c r="H1634" i="13"/>
  <c r="G1634" i="13"/>
  <c r="F1634" i="13"/>
  <c r="E1634" i="13"/>
  <c r="D1634" i="13"/>
  <c r="C1634" i="13"/>
  <c r="B1634" i="13"/>
  <c r="A1634" i="13"/>
  <c r="I1633" i="13"/>
  <c r="A87" i="16" s="1"/>
  <c r="B87" i="16" s="1"/>
  <c r="H1633" i="13"/>
  <c r="G1633" i="13"/>
  <c r="F1633" i="13"/>
  <c r="D87" i="16" s="1"/>
  <c r="E1633" i="13"/>
  <c r="D1633" i="13"/>
  <c r="C1633" i="13"/>
  <c r="B1633" i="13"/>
  <c r="A1633" i="13"/>
  <c r="I1632" i="13"/>
  <c r="H1632" i="13"/>
  <c r="G1632" i="13"/>
  <c r="F1632" i="13"/>
  <c r="E1632" i="13"/>
  <c r="D1632" i="13"/>
  <c r="C1632" i="13"/>
  <c r="B1632" i="13"/>
  <c r="A1632" i="13"/>
  <c r="I1631" i="13"/>
  <c r="H1631" i="13"/>
  <c r="G1631" i="13"/>
  <c r="F1631" i="13"/>
  <c r="E1631" i="13"/>
  <c r="D1631" i="13"/>
  <c r="C1631" i="13"/>
  <c r="B1631" i="13"/>
  <c r="A1631" i="13"/>
  <c r="I1630" i="13"/>
  <c r="H1630" i="13"/>
  <c r="G1630" i="13"/>
  <c r="F1630" i="13"/>
  <c r="E1630" i="13"/>
  <c r="D1630" i="13"/>
  <c r="C1630" i="13"/>
  <c r="B1630" i="13"/>
  <c r="A1630" i="13"/>
  <c r="I1629" i="13"/>
  <c r="H1629" i="13"/>
  <c r="G1629" i="13"/>
  <c r="F1629" i="13"/>
  <c r="E1629" i="13"/>
  <c r="D1629" i="13"/>
  <c r="C1629" i="13"/>
  <c r="B1629" i="13"/>
  <c r="A1629" i="13"/>
  <c r="I1628" i="13"/>
  <c r="H1628" i="13"/>
  <c r="G1628" i="13"/>
  <c r="F1628" i="13"/>
  <c r="E1628" i="13"/>
  <c r="D1628" i="13"/>
  <c r="C1628" i="13"/>
  <c r="B1628" i="13"/>
  <c r="A1628" i="13"/>
  <c r="I1627" i="13"/>
  <c r="H1627" i="13"/>
  <c r="G1627" i="13"/>
  <c r="F1627" i="13"/>
  <c r="E1627" i="13"/>
  <c r="D1627" i="13"/>
  <c r="C1627" i="13"/>
  <c r="B1627" i="13"/>
  <c r="A1627" i="13"/>
  <c r="I1626" i="13"/>
  <c r="H1626" i="13"/>
  <c r="G1626" i="13"/>
  <c r="F1626" i="13"/>
  <c r="E1626" i="13"/>
  <c r="D1626" i="13"/>
  <c r="C1626" i="13"/>
  <c r="B1626" i="13"/>
  <c r="A1626" i="13"/>
  <c r="I1625" i="13"/>
  <c r="H1625" i="13"/>
  <c r="G1625" i="13"/>
  <c r="F1625" i="13"/>
  <c r="E1625" i="13"/>
  <c r="D1625" i="13"/>
  <c r="E86" i="16" s="1"/>
  <c r="C1625" i="13"/>
  <c r="B1625" i="13"/>
  <c r="A1625" i="13"/>
  <c r="I1624" i="13"/>
  <c r="H1624" i="13"/>
  <c r="G1624" i="13"/>
  <c r="F1624" i="13"/>
  <c r="E1624" i="13"/>
  <c r="D1624" i="13"/>
  <c r="C1624" i="13"/>
  <c r="B1624" i="13"/>
  <c r="A1624" i="13"/>
  <c r="I1623" i="13"/>
  <c r="H1623" i="13"/>
  <c r="G1623" i="13"/>
  <c r="F1623" i="13"/>
  <c r="E1623" i="13"/>
  <c r="D1623" i="13"/>
  <c r="C1623" i="13"/>
  <c r="B1623" i="13"/>
  <c r="A1623" i="13"/>
  <c r="I1622" i="13"/>
  <c r="H1622" i="13"/>
  <c r="G1622" i="13"/>
  <c r="F1622" i="13"/>
  <c r="E1622" i="13"/>
  <c r="D1622" i="13"/>
  <c r="C1622" i="13"/>
  <c r="B1622" i="13"/>
  <c r="A1622" i="13"/>
  <c r="I1621" i="13"/>
  <c r="H1621" i="13"/>
  <c r="G1621" i="13"/>
  <c r="F1621" i="13"/>
  <c r="E1621" i="13"/>
  <c r="D1621" i="13"/>
  <c r="C1621" i="13"/>
  <c r="B1621" i="13"/>
  <c r="A1621" i="13"/>
  <c r="I1620" i="13"/>
  <c r="H1620" i="13"/>
  <c r="G1620" i="13"/>
  <c r="F1620" i="13"/>
  <c r="E1620" i="13"/>
  <c r="D1620" i="13"/>
  <c r="C1620" i="13"/>
  <c r="B1620" i="13"/>
  <c r="A1620" i="13"/>
  <c r="I1619" i="13"/>
  <c r="H1619" i="13"/>
  <c r="G1619" i="13"/>
  <c r="F1619" i="13"/>
  <c r="E1619" i="13"/>
  <c r="D1619" i="13"/>
  <c r="C1619" i="13"/>
  <c r="B1619" i="13"/>
  <c r="A1619" i="13"/>
  <c r="I1618" i="13"/>
  <c r="H1618" i="13"/>
  <c r="G1618" i="13"/>
  <c r="F1618" i="13"/>
  <c r="E1618" i="13"/>
  <c r="D1618" i="13"/>
  <c r="C1618" i="13"/>
  <c r="B1618" i="13"/>
  <c r="A1618" i="13"/>
  <c r="I1617" i="13"/>
  <c r="H1617" i="13"/>
  <c r="G1617" i="13"/>
  <c r="F1617" i="13"/>
  <c r="E1617" i="13"/>
  <c r="D1617" i="13"/>
  <c r="C1617" i="13"/>
  <c r="B1617" i="13"/>
  <c r="A1617" i="13"/>
  <c r="I1616" i="13"/>
  <c r="A86" i="16" s="1"/>
  <c r="B86" i="16" s="1"/>
  <c r="H1616" i="13"/>
  <c r="G1616" i="13"/>
  <c r="F1616" i="13"/>
  <c r="D86" i="16" s="1"/>
  <c r="J86" i="16" s="1"/>
  <c r="E1616" i="13"/>
  <c r="D1616" i="13"/>
  <c r="C1616" i="13"/>
  <c r="B1616" i="13"/>
  <c r="A1616" i="13"/>
  <c r="I1615" i="13"/>
  <c r="H1615" i="13"/>
  <c r="G1615" i="13"/>
  <c r="F1615" i="13"/>
  <c r="E1615" i="13"/>
  <c r="D1615" i="13"/>
  <c r="C1615" i="13"/>
  <c r="B1615" i="13"/>
  <c r="A1615" i="13"/>
  <c r="I1614" i="13"/>
  <c r="H1614" i="13"/>
  <c r="G1614" i="13"/>
  <c r="F1614" i="13"/>
  <c r="E1614" i="13"/>
  <c r="D1614" i="13"/>
  <c r="C1614" i="13"/>
  <c r="B1614" i="13"/>
  <c r="A1614" i="13"/>
  <c r="I1613" i="13"/>
  <c r="H1613" i="13"/>
  <c r="G1613" i="13"/>
  <c r="F1613" i="13"/>
  <c r="E1613" i="13"/>
  <c r="D1613" i="13"/>
  <c r="C1613" i="13"/>
  <c r="B1613" i="13"/>
  <c r="A1613" i="13"/>
  <c r="I1612" i="13"/>
  <c r="H1612" i="13"/>
  <c r="G1612" i="13"/>
  <c r="F1612" i="13"/>
  <c r="E1612" i="13"/>
  <c r="D1612" i="13"/>
  <c r="C1612" i="13"/>
  <c r="B1612" i="13"/>
  <c r="A1612" i="13"/>
  <c r="I1611" i="13"/>
  <c r="H1611" i="13"/>
  <c r="G1611" i="13"/>
  <c r="F1611" i="13"/>
  <c r="E1611" i="13"/>
  <c r="D1611" i="13"/>
  <c r="C1611" i="13"/>
  <c r="B1611" i="13"/>
  <c r="A1611" i="13"/>
  <c r="I1610" i="13"/>
  <c r="H1610" i="13"/>
  <c r="G1610" i="13"/>
  <c r="F1610" i="13"/>
  <c r="E1610" i="13"/>
  <c r="D1610" i="13"/>
  <c r="C1610" i="13"/>
  <c r="B1610" i="13"/>
  <c r="A1610" i="13"/>
  <c r="I1609" i="13"/>
  <c r="H1609" i="13"/>
  <c r="G1609" i="13"/>
  <c r="F1609" i="13"/>
  <c r="E1609" i="13"/>
  <c r="D1609" i="13"/>
  <c r="C1609" i="13"/>
  <c r="B1609" i="13"/>
  <c r="A1609" i="13"/>
  <c r="I1608" i="13"/>
  <c r="H1608" i="13"/>
  <c r="G1608" i="13"/>
  <c r="F1608" i="13"/>
  <c r="E1608" i="13"/>
  <c r="D1608" i="13"/>
  <c r="C1608" i="13"/>
  <c r="B1608" i="13"/>
  <c r="A1608" i="13"/>
  <c r="I1607" i="13"/>
  <c r="H1607" i="13"/>
  <c r="G1607" i="13"/>
  <c r="F1607" i="13"/>
  <c r="E1607" i="13"/>
  <c r="D1607" i="13"/>
  <c r="E85" i="16" s="1"/>
  <c r="C1607" i="13"/>
  <c r="B1607" i="13"/>
  <c r="A1607" i="13"/>
  <c r="I1606" i="13"/>
  <c r="H1606" i="13"/>
  <c r="G1606" i="13"/>
  <c r="F1606" i="13"/>
  <c r="E1606" i="13"/>
  <c r="D1606" i="13"/>
  <c r="C1606" i="13"/>
  <c r="B1606" i="13"/>
  <c r="A1606" i="13"/>
  <c r="I1605" i="13"/>
  <c r="H1605" i="13"/>
  <c r="G1605" i="13"/>
  <c r="F1605" i="13"/>
  <c r="E1605" i="13"/>
  <c r="D1605" i="13"/>
  <c r="C1605" i="13"/>
  <c r="B1605" i="13"/>
  <c r="A1605" i="13"/>
  <c r="I1604" i="13"/>
  <c r="H1604" i="13"/>
  <c r="G1604" i="13"/>
  <c r="F1604" i="13"/>
  <c r="E1604" i="13"/>
  <c r="D1604" i="13"/>
  <c r="C1604" i="13"/>
  <c r="B1604" i="13"/>
  <c r="A1604" i="13"/>
  <c r="I1603" i="13"/>
  <c r="H1603" i="13"/>
  <c r="G1603" i="13"/>
  <c r="F1603" i="13"/>
  <c r="E1603" i="13"/>
  <c r="D1603" i="13"/>
  <c r="C1603" i="13"/>
  <c r="B1603" i="13"/>
  <c r="A1603" i="13"/>
  <c r="I1602" i="13"/>
  <c r="H1602" i="13"/>
  <c r="G1602" i="13"/>
  <c r="F1602" i="13"/>
  <c r="E1602" i="13"/>
  <c r="D1602" i="13"/>
  <c r="C1602" i="13"/>
  <c r="B1602" i="13"/>
  <c r="A1602" i="13"/>
  <c r="I1601" i="13"/>
  <c r="H1601" i="13"/>
  <c r="G1601" i="13"/>
  <c r="F1601" i="13"/>
  <c r="E1601" i="13"/>
  <c r="D1601" i="13"/>
  <c r="C1601" i="13"/>
  <c r="B1601" i="13"/>
  <c r="A1601" i="13"/>
  <c r="I1600" i="13"/>
  <c r="H1600" i="13"/>
  <c r="G1600" i="13"/>
  <c r="F1600" i="13"/>
  <c r="E1600" i="13"/>
  <c r="D1600" i="13"/>
  <c r="C1600" i="13"/>
  <c r="B1600" i="13"/>
  <c r="A1600" i="13"/>
  <c r="I1599" i="13"/>
  <c r="H1599" i="13"/>
  <c r="G1599" i="13"/>
  <c r="F1599" i="13"/>
  <c r="E1599" i="13"/>
  <c r="D1599" i="13"/>
  <c r="C1599" i="13"/>
  <c r="B1599" i="13"/>
  <c r="A1599" i="13"/>
  <c r="I1598" i="13"/>
  <c r="H1598" i="13"/>
  <c r="G1598" i="13"/>
  <c r="F1598" i="13"/>
  <c r="E1598" i="13"/>
  <c r="D1598" i="13"/>
  <c r="C1598" i="13"/>
  <c r="B1598" i="13"/>
  <c r="A1598" i="13"/>
  <c r="I1597" i="13"/>
  <c r="A85" i="16" s="1"/>
  <c r="B85" i="16" s="1"/>
  <c r="H1597" i="13"/>
  <c r="G1597" i="13"/>
  <c r="F1597" i="13"/>
  <c r="D85" i="16" s="1"/>
  <c r="E1597" i="13"/>
  <c r="D1597" i="13"/>
  <c r="C1597" i="13"/>
  <c r="B1597" i="13"/>
  <c r="A1597" i="13"/>
  <c r="I1596" i="13"/>
  <c r="H1596" i="13"/>
  <c r="G1596" i="13"/>
  <c r="F1596" i="13"/>
  <c r="E1596" i="13"/>
  <c r="D1596" i="13"/>
  <c r="C1596" i="13"/>
  <c r="B1596" i="13"/>
  <c r="A1596" i="13"/>
  <c r="I1595" i="13"/>
  <c r="H1595" i="13"/>
  <c r="G1595" i="13"/>
  <c r="F1595" i="13"/>
  <c r="E1595" i="13"/>
  <c r="D1595" i="13"/>
  <c r="C1595" i="13"/>
  <c r="B1595" i="13"/>
  <c r="A1595" i="13"/>
  <c r="I1594" i="13"/>
  <c r="H1594" i="13"/>
  <c r="G1594" i="13"/>
  <c r="F1594" i="13"/>
  <c r="E1594" i="13"/>
  <c r="D1594" i="13"/>
  <c r="C1594" i="13"/>
  <c r="B1594" i="13"/>
  <c r="A1594" i="13"/>
  <c r="I1593" i="13"/>
  <c r="H1593" i="13"/>
  <c r="G1593" i="13"/>
  <c r="F1593" i="13"/>
  <c r="E1593" i="13"/>
  <c r="D1593" i="13"/>
  <c r="C1593" i="13"/>
  <c r="B1593" i="13"/>
  <c r="A1593" i="13"/>
  <c r="I1592" i="13"/>
  <c r="H1592" i="13"/>
  <c r="G1592" i="13"/>
  <c r="F1592" i="13"/>
  <c r="E1592" i="13"/>
  <c r="D1592" i="13"/>
  <c r="C1592" i="13"/>
  <c r="B1592" i="13"/>
  <c r="A1592" i="13"/>
  <c r="I1591" i="13"/>
  <c r="H1591" i="13"/>
  <c r="G1591" i="13"/>
  <c r="F1591" i="13"/>
  <c r="E1591" i="13"/>
  <c r="D1591" i="13"/>
  <c r="C1591" i="13"/>
  <c r="B1591" i="13"/>
  <c r="A1591" i="13"/>
  <c r="I1590" i="13"/>
  <c r="H1590" i="13"/>
  <c r="G1590" i="13"/>
  <c r="F1590" i="13"/>
  <c r="E1590" i="13"/>
  <c r="D1590" i="13"/>
  <c r="C1590" i="13"/>
  <c r="B1590" i="13"/>
  <c r="A1590" i="13"/>
  <c r="I1589" i="13"/>
  <c r="H1589" i="13"/>
  <c r="G1589" i="13"/>
  <c r="F1589" i="13"/>
  <c r="E1589" i="13"/>
  <c r="D1589" i="13"/>
  <c r="C1589" i="13"/>
  <c r="B1589" i="13"/>
  <c r="A1589" i="13"/>
  <c r="I1588" i="13"/>
  <c r="H1588" i="13"/>
  <c r="G1588" i="13"/>
  <c r="F1588" i="13"/>
  <c r="E1588" i="13"/>
  <c r="D1588" i="13"/>
  <c r="E84" i="16" s="1"/>
  <c r="S3" i="56" s="1"/>
  <c r="C1588" i="13"/>
  <c r="B1588" i="13"/>
  <c r="A1588" i="13"/>
  <c r="I1587" i="13"/>
  <c r="H1587" i="13"/>
  <c r="G1587" i="13"/>
  <c r="F1587" i="13"/>
  <c r="E1587" i="13"/>
  <c r="D1587" i="13"/>
  <c r="C1587" i="13"/>
  <c r="B1587" i="13"/>
  <c r="A1587" i="13"/>
  <c r="I1586" i="13"/>
  <c r="H1586" i="13"/>
  <c r="G1586" i="13"/>
  <c r="F1586" i="13"/>
  <c r="E1586" i="13"/>
  <c r="D1586" i="13"/>
  <c r="C1586" i="13"/>
  <c r="B1586" i="13"/>
  <c r="A1586" i="13"/>
  <c r="I1585" i="13"/>
  <c r="H1585" i="13"/>
  <c r="G1585" i="13"/>
  <c r="F1585" i="13"/>
  <c r="E1585" i="13"/>
  <c r="D1585" i="13"/>
  <c r="C1585" i="13"/>
  <c r="B1585" i="13"/>
  <c r="A1585" i="13"/>
  <c r="I1584" i="13"/>
  <c r="H1584" i="13"/>
  <c r="G1584" i="13"/>
  <c r="F1584" i="13"/>
  <c r="E1584" i="13"/>
  <c r="D1584" i="13"/>
  <c r="C1584" i="13"/>
  <c r="B1584" i="13"/>
  <c r="A1584" i="13"/>
  <c r="I1583" i="13"/>
  <c r="H1583" i="13"/>
  <c r="G1583" i="13"/>
  <c r="F1583" i="13"/>
  <c r="E1583" i="13"/>
  <c r="D1583" i="13"/>
  <c r="C1583" i="13"/>
  <c r="B1583" i="13"/>
  <c r="A1583" i="13"/>
  <c r="I1582" i="13"/>
  <c r="H1582" i="13"/>
  <c r="G1582" i="13"/>
  <c r="F1582" i="13"/>
  <c r="E1582" i="13"/>
  <c r="D1582" i="13"/>
  <c r="C1582" i="13"/>
  <c r="B1582" i="13"/>
  <c r="A1582" i="13"/>
  <c r="I1581" i="13"/>
  <c r="H1581" i="13"/>
  <c r="G1581" i="13"/>
  <c r="F1581" i="13"/>
  <c r="E1581" i="13"/>
  <c r="D1581" i="13"/>
  <c r="C1581" i="13"/>
  <c r="B1581" i="13"/>
  <c r="A1581" i="13"/>
  <c r="I1580" i="13"/>
  <c r="H1580" i="13"/>
  <c r="G1580" i="13"/>
  <c r="F1580" i="13"/>
  <c r="E1580" i="13"/>
  <c r="D1580" i="13"/>
  <c r="C1580" i="13"/>
  <c r="B1580" i="13"/>
  <c r="A1580" i="13"/>
  <c r="I1579" i="13"/>
  <c r="H1579" i="13"/>
  <c r="G1579" i="13"/>
  <c r="F1579" i="13"/>
  <c r="E1579" i="13"/>
  <c r="D1579" i="13"/>
  <c r="C1579" i="13"/>
  <c r="B1579" i="13"/>
  <c r="A1579" i="13"/>
  <c r="I1578" i="13"/>
  <c r="A84" i="16" s="1"/>
  <c r="B84" i="16" s="1"/>
  <c r="H1578" i="13"/>
  <c r="G1578" i="13"/>
  <c r="F1578" i="13"/>
  <c r="D84" i="16" s="1"/>
  <c r="S2" i="56" s="1"/>
  <c r="E1578" i="13"/>
  <c r="D1578" i="13"/>
  <c r="C1578" i="13"/>
  <c r="B1578" i="13"/>
  <c r="A1578" i="13"/>
  <c r="I1577" i="13"/>
  <c r="H1577" i="13"/>
  <c r="G1577" i="13"/>
  <c r="F1577" i="13"/>
  <c r="E1577" i="13"/>
  <c r="D1577" i="13"/>
  <c r="C1577" i="13"/>
  <c r="B1577" i="13"/>
  <c r="A1577" i="13"/>
  <c r="I1576" i="13"/>
  <c r="H1576" i="13"/>
  <c r="G1576" i="13"/>
  <c r="F1576" i="13"/>
  <c r="E1576" i="13"/>
  <c r="D1576" i="13"/>
  <c r="C1576" i="13"/>
  <c r="B1576" i="13"/>
  <c r="A1576" i="13"/>
  <c r="I1575" i="13"/>
  <c r="H1575" i="13"/>
  <c r="G1575" i="13"/>
  <c r="F1575" i="13"/>
  <c r="E1575" i="13"/>
  <c r="D1575" i="13"/>
  <c r="C1575" i="13"/>
  <c r="B1575" i="13"/>
  <c r="A1575" i="13"/>
  <c r="I1574" i="13"/>
  <c r="H1574" i="13"/>
  <c r="G1574" i="13"/>
  <c r="F1574" i="13"/>
  <c r="E1574" i="13"/>
  <c r="D1574" i="13"/>
  <c r="C1574" i="13"/>
  <c r="B1574" i="13"/>
  <c r="A1574" i="13"/>
  <c r="I1573" i="13"/>
  <c r="H1573" i="13"/>
  <c r="G1573" i="13"/>
  <c r="F1573" i="13"/>
  <c r="E1573" i="13"/>
  <c r="D1573" i="13"/>
  <c r="C1573" i="13"/>
  <c r="B1573" i="13"/>
  <c r="A1573" i="13"/>
  <c r="I1572" i="13"/>
  <c r="H1572" i="13"/>
  <c r="G1572" i="13"/>
  <c r="F1572" i="13"/>
  <c r="E1572" i="13"/>
  <c r="D1572" i="13"/>
  <c r="E83" i="16" s="1"/>
  <c r="C1572" i="13"/>
  <c r="B1572" i="13"/>
  <c r="A1572" i="13"/>
  <c r="I1571" i="13"/>
  <c r="H1571" i="13"/>
  <c r="G1571" i="13"/>
  <c r="F1571" i="13"/>
  <c r="E1571" i="13"/>
  <c r="D1571" i="13"/>
  <c r="C1571" i="13"/>
  <c r="B1571" i="13"/>
  <c r="A1571" i="13"/>
  <c r="I1570" i="13"/>
  <c r="H1570" i="13"/>
  <c r="G1570" i="13"/>
  <c r="F1570" i="13"/>
  <c r="E1570" i="13"/>
  <c r="D1570" i="13"/>
  <c r="C1570" i="13"/>
  <c r="B1570" i="13"/>
  <c r="A1570" i="13"/>
  <c r="I1569" i="13"/>
  <c r="H1569" i="13"/>
  <c r="G1569" i="13"/>
  <c r="F1569" i="13"/>
  <c r="E1569" i="13"/>
  <c r="D1569" i="13"/>
  <c r="C1569" i="13"/>
  <c r="B1569" i="13"/>
  <c r="A1569" i="13"/>
  <c r="I1568" i="13"/>
  <c r="H1568" i="13"/>
  <c r="G1568" i="13"/>
  <c r="F1568" i="13"/>
  <c r="E1568" i="13"/>
  <c r="D1568" i="13"/>
  <c r="C1568" i="13"/>
  <c r="B1568" i="13"/>
  <c r="A1568" i="13"/>
  <c r="I1567" i="13"/>
  <c r="H1567" i="13"/>
  <c r="G1567" i="13"/>
  <c r="F1567" i="13"/>
  <c r="E1567" i="13"/>
  <c r="D1567" i="13"/>
  <c r="C1567" i="13"/>
  <c r="B1567" i="13"/>
  <c r="A1567" i="13"/>
  <c r="I1566" i="13"/>
  <c r="H1566" i="13"/>
  <c r="G1566" i="13"/>
  <c r="F1566" i="13"/>
  <c r="E1566" i="13"/>
  <c r="D1566" i="13"/>
  <c r="C1566" i="13"/>
  <c r="B1566" i="13"/>
  <c r="A1566" i="13"/>
  <c r="I1565" i="13"/>
  <c r="H1565" i="13"/>
  <c r="G1565" i="13"/>
  <c r="F1565" i="13"/>
  <c r="E1565" i="13"/>
  <c r="D1565" i="13"/>
  <c r="C1565" i="13"/>
  <c r="B1565" i="13"/>
  <c r="A1565" i="13"/>
  <c r="I1564" i="13"/>
  <c r="H1564" i="13"/>
  <c r="G1564" i="13"/>
  <c r="F1564" i="13"/>
  <c r="E1564" i="13"/>
  <c r="D1564" i="13"/>
  <c r="C1564" i="13"/>
  <c r="B1564" i="13"/>
  <c r="A1564" i="13"/>
  <c r="I1563" i="13"/>
  <c r="A83" i="16" s="1"/>
  <c r="B83" i="16" s="1"/>
  <c r="H1563" i="13"/>
  <c r="G1563" i="13"/>
  <c r="F1563" i="13"/>
  <c r="D83" i="16" s="1"/>
  <c r="I83" i="16" s="1"/>
  <c r="E1563" i="13"/>
  <c r="D1563" i="13"/>
  <c r="C1563" i="13"/>
  <c r="B1563" i="13"/>
  <c r="A1563" i="13"/>
  <c r="I1562" i="13"/>
  <c r="H1562" i="13"/>
  <c r="G1562" i="13"/>
  <c r="F1562" i="13"/>
  <c r="E1562" i="13"/>
  <c r="D1562" i="13"/>
  <c r="C1562" i="13"/>
  <c r="B1562" i="13"/>
  <c r="A1562" i="13"/>
  <c r="I1561" i="13"/>
  <c r="H1561" i="13"/>
  <c r="G1561" i="13"/>
  <c r="F1561" i="13"/>
  <c r="E1561" i="13"/>
  <c r="D1561" i="13"/>
  <c r="C1561" i="13"/>
  <c r="B1561" i="13"/>
  <c r="A1561" i="13"/>
  <c r="I1560" i="13"/>
  <c r="H1560" i="13"/>
  <c r="G1560" i="13"/>
  <c r="F1560" i="13"/>
  <c r="E1560" i="13"/>
  <c r="D1560" i="13"/>
  <c r="C1560" i="13"/>
  <c r="B1560" i="13"/>
  <c r="A1560" i="13"/>
  <c r="I1559" i="13"/>
  <c r="H1559" i="13"/>
  <c r="G1559" i="13"/>
  <c r="F1559" i="13"/>
  <c r="E1559" i="13"/>
  <c r="D1559" i="13"/>
  <c r="C1559" i="13"/>
  <c r="B1559" i="13"/>
  <c r="A1559" i="13"/>
  <c r="I1558" i="13"/>
  <c r="H1558" i="13"/>
  <c r="G1558" i="13"/>
  <c r="F1558" i="13"/>
  <c r="E1558" i="13"/>
  <c r="D1558" i="13"/>
  <c r="C1558" i="13"/>
  <c r="B1558" i="13"/>
  <c r="A1558" i="13"/>
  <c r="I1557" i="13"/>
  <c r="H1557" i="13"/>
  <c r="G1557" i="13"/>
  <c r="F1557" i="13"/>
  <c r="E1557" i="13"/>
  <c r="D1557" i="13"/>
  <c r="E82" i="16" s="1"/>
  <c r="C1557" i="13"/>
  <c r="B1557" i="13"/>
  <c r="A1557" i="13"/>
  <c r="I1556" i="13"/>
  <c r="H1556" i="13"/>
  <c r="G1556" i="13"/>
  <c r="F1556" i="13"/>
  <c r="E1556" i="13"/>
  <c r="D1556" i="13"/>
  <c r="C1556" i="13"/>
  <c r="B1556" i="13"/>
  <c r="A1556" i="13"/>
  <c r="I1555" i="13"/>
  <c r="H1555" i="13"/>
  <c r="G1555" i="13"/>
  <c r="F1555" i="13"/>
  <c r="E1555" i="13"/>
  <c r="D1555" i="13"/>
  <c r="C1555" i="13"/>
  <c r="B1555" i="13"/>
  <c r="A1555" i="13"/>
  <c r="I1554" i="13"/>
  <c r="H1554" i="13"/>
  <c r="G1554" i="13"/>
  <c r="F1554" i="13"/>
  <c r="E1554" i="13"/>
  <c r="D1554" i="13"/>
  <c r="C1554" i="13"/>
  <c r="B1554" i="13"/>
  <c r="A1554" i="13"/>
  <c r="I1553" i="13"/>
  <c r="H1553" i="13"/>
  <c r="G1553" i="13"/>
  <c r="F1553" i="13"/>
  <c r="E1553" i="13"/>
  <c r="D1553" i="13"/>
  <c r="C1553" i="13"/>
  <c r="B1553" i="13"/>
  <c r="A1553" i="13"/>
  <c r="I1552" i="13"/>
  <c r="H1552" i="13"/>
  <c r="G1552" i="13"/>
  <c r="F1552" i="13"/>
  <c r="E1552" i="13"/>
  <c r="D1552" i="13"/>
  <c r="C1552" i="13"/>
  <c r="B1552" i="13"/>
  <c r="A1552" i="13"/>
  <c r="I1551" i="13"/>
  <c r="H1551" i="13"/>
  <c r="G1551" i="13"/>
  <c r="F1551" i="13"/>
  <c r="E1551" i="13"/>
  <c r="D1551" i="13"/>
  <c r="C1551" i="13"/>
  <c r="B1551" i="13"/>
  <c r="A1551" i="13"/>
  <c r="I1550" i="13"/>
  <c r="H1550" i="13"/>
  <c r="G1550" i="13"/>
  <c r="F1550" i="13"/>
  <c r="E1550" i="13"/>
  <c r="D1550" i="13"/>
  <c r="C1550" i="13"/>
  <c r="B1550" i="13"/>
  <c r="A1550" i="13"/>
  <c r="I1549" i="13"/>
  <c r="H1549" i="13"/>
  <c r="G1549" i="13"/>
  <c r="F1549" i="13"/>
  <c r="E1549" i="13"/>
  <c r="D1549" i="13"/>
  <c r="C1549" i="13"/>
  <c r="B1549" i="13"/>
  <c r="A1549" i="13"/>
  <c r="I1548" i="13"/>
  <c r="H1548" i="13"/>
  <c r="G1548" i="13"/>
  <c r="F1548" i="13"/>
  <c r="E1548" i="13"/>
  <c r="D1548" i="13"/>
  <c r="C1548" i="13"/>
  <c r="B1548" i="13"/>
  <c r="A1548" i="13"/>
  <c r="I1547" i="13"/>
  <c r="A82" i="16" s="1"/>
  <c r="B82" i="16" s="1"/>
  <c r="H1547" i="13"/>
  <c r="G1547" i="13"/>
  <c r="F1547" i="13"/>
  <c r="E1547" i="13"/>
  <c r="D1547" i="13"/>
  <c r="C1547" i="13"/>
  <c r="B1547" i="13"/>
  <c r="A1547" i="13"/>
  <c r="I1546" i="13"/>
  <c r="H1546" i="13"/>
  <c r="G1546" i="13"/>
  <c r="F1546" i="13"/>
  <c r="E1546" i="13"/>
  <c r="D1546" i="13"/>
  <c r="C1546" i="13"/>
  <c r="B1546" i="13"/>
  <c r="A1546" i="13"/>
  <c r="I1545" i="13"/>
  <c r="H1545" i="13"/>
  <c r="G1545" i="13"/>
  <c r="F1545" i="13"/>
  <c r="E1545" i="13"/>
  <c r="D1545" i="13"/>
  <c r="C1545" i="13"/>
  <c r="B1545" i="13"/>
  <c r="A1545" i="13"/>
  <c r="I1544" i="13"/>
  <c r="H1544" i="13"/>
  <c r="G1544" i="13"/>
  <c r="F1544" i="13"/>
  <c r="E1544" i="13"/>
  <c r="D1544" i="13"/>
  <c r="C1544" i="13"/>
  <c r="B1544" i="13"/>
  <c r="A1544" i="13"/>
  <c r="I1543" i="13"/>
  <c r="H1543" i="13"/>
  <c r="G1543" i="13"/>
  <c r="F1543" i="13"/>
  <c r="E1543" i="13"/>
  <c r="D1543" i="13"/>
  <c r="C1543" i="13"/>
  <c r="B1543" i="13"/>
  <c r="A1543" i="13"/>
  <c r="I1542" i="13"/>
  <c r="H1542" i="13"/>
  <c r="G1542" i="13"/>
  <c r="F1542" i="13"/>
  <c r="E1542" i="13"/>
  <c r="D1542" i="13"/>
  <c r="C1542" i="13"/>
  <c r="B1542" i="13"/>
  <c r="A1542" i="13"/>
  <c r="I1541" i="13"/>
  <c r="H1541" i="13"/>
  <c r="G1541" i="13"/>
  <c r="F1541" i="13"/>
  <c r="E1541" i="13"/>
  <c r="D1541" i="13"/>
  <c r="C1541" i="13"/>
  <c r="B1541" i="13"/>
  <c r="A1541" i="13"/>
  <c r="I1540" i="13"/>
  <c r="H1540" i="13"/>
  <c r="G1540" i="13"/>
  <c r="F1540" i="13"/>
  <c r="E1540" i="13"/>
  <c r="D1540" i="13"/>
  <c r="C1540" i="13"/>
  <c r="B1540" i="13"/>
  <c r="A1540" i="13"/>
  <c r="I1539" i="13"/>
  <c r="H1539" i="13"/>
  <c r="G1539" i="13"/>
  <c r="F1539" i="13"/>
  <c r="E1539" i="13"/>
  <c r="D1539" i="13"/>
  <c r="E81" i="16" s="1"/>
  <c r="C1539" i="13"/>
  <c r="B1539" i="13"/>
  <c r="A1539" i="13"/>
  <c r="I1538" i="13"/>
  <c r="H1538" i="13"/>
  <c r="G1538" i="13"/>
  <c r="F1538" i="13"/>
  <c r="E1538" i="13"/>
  <c r="D1538" i="13"/>
  <c r="C1538" i="13"/>
  <c r="B1538" i="13"/>
  <c r="A1538" i="13"/>
  <c r="I1537" i="13"/>
  <c r="H1537" i="13"/>
  <c r="G1537" i="13"/>
  <c r="F1537" i="13"/>
  <c r="E1537" i="13"/>
  <c r="D1537" i="13"/>
  <c r="C1537" i="13"/>
  <c r="B1537" i="13"/>
  <c r="A1537" i="13"/>
  <c r="I1536" i="13"/>
  <c r="H1536" i="13"/>
  <c r="G1536" i="13"/>
  <c r="F1536" i="13"/>
  <c r="E1536" i="13"/>
  <c r="D1536" i="13"/>
  <c r="C1536" i="13"/>
  <c r="B1536" i="13"/>
  <c r="A1536" i="13"/>
  <c r="I1535" i="13"/>
  <c r="H1535" i="13"/>
  <c r="G1535" i="13"/>
  <c r="F1535" i="13"/>
  <c r="E1535" i="13"/>
  <c r="D1535" i="13"/>
  <c r="C1535" i="13"/>
  <c r="B1535" i="13"/>
  <c r="A1535" i="13"/>
  <c r="I1534" i="13"/>
  <c r="H1534" i="13"/>
  <c r="G1534" i="13"/>
  <c r="F1534" i="13"/>
  <c r="E1534" i="13"/>
  <c r="D1534" i="13"/>
  <c r="C1534" i="13"/>
  <c r="B1534" i="13"/>
  <c r="A1534" i="13"/>
  <c r="I1533" i="13"/>
  <c r="H1533" i="13"/>
  <c r="G1533" i="13"/>
  <c r="F1533" i="13"/>
  <c r="E1533" i="13"/>
  <c r="D1533" i="13"/>
  <c r="C1533" i="13"/>
  <c r="B1533" i="13"/>
  <c r="A1533" i="13"/>
  <c r="I1532" i="13"/>
  <c r="H1532" i="13"/>
  <c r="G1532" i="13"/>
  <c r="F1532" i="13"/>
  <c r="E1532" i="13"/>
  <c r="D1532" i="13"/>
  <c r="C1532" i="13"/>
  <c r="B1532" i="13"/>
  <c r="A1532" i="13"/>
  <c r="I1531" i="13"/>
  <c r="H1531" i="13"/>
  <c r="G1531" i="13"/>
  <c r="F1531" i="13"/>
  <c r="E1531" i="13"/>
  <c r="D1531" i="13"/>
  <c r="C1531" i="13"/>
  <c r="B1531" i="13"/>
  <c r="A1531" i="13"/>
  <c r="I1530" i="13"/>
  <c r="H1530" i="13"/>
  <c r="G1530" i="13"/>
  <c r="F1530" i="13"/>
  <c r="E1530" i="13"/>
  <c r="D1530" i="13"/>
  <c r="C1530" i="13"/>
  <c r="B1530" i="13"/>
  <c r="A1530" i="13"/>
  <c r="I1529" i="13"/>
  <c r="A81" i="16" s="1"/>
  <c r="B81" i="16" s="1"/>
  <c r="H1529" i="13"/>
  <c r="G1529" i="13"/>
  <c r="F1529" i="13"/>
  <c r="D81" i="16" s="1"/>
  <c r="E1529" i="13"/>
  <c r="D1529" i="13"/>
  <c r="C1529" i="13"/>
  <c r="B1529" i="13"/>
  <c r="A1529" i="13"/>
  <c r="I1528" i="13"/>
  <c r="H1528" i="13"/>
  <c r="G1528" i="13"/>
  <c r="F1528" i="13"/>
  <c r="E1528" i="13"/>
  <c r="D1528" i="13"/>
  <c r="C1528" i="13"/>
  <c r="B1528" i="13"/>
  <c r="A1528" i="13"/>
  <c r="I1527" i="13"/>
  <c r="H1527" i="13"/>
  <c r="G1527" i="13"/>
  <c r="F1527" i="13"/>
  <c r="E1527" i="13"/>
  <c r="D1527" i="13"/>
  <c r="C1527" i="13"/>
  <c r="B1527" i="13"/>
  <c r="A1527" i="13"/>
  <c r="I1526" i="13"/>
  <c r="H1526" i="13"/>
  <c r="G1526" i="13"/>
  <c r="F1526" i="13"/>
  <c r="E1526" i="13"/>
  <c r="D1526" i="13"/>
  <c r="C1526" i="13"/>
  <c r="B1526" i="13"/>
  <c r="A1526" i="13"/>
  <c r="I1525" i="13"/>
  <c r="H1525" i="13"/>
  <c r="G1525" i="13"/>
  <c r="F1525" i="13"/>
  <c r="E1525" i="13"/>
  <c r="D1525" i="13"/>
  <c r="C1525" i="13"/>
  <c r="B1525" i="13"/>
  <c r="A1525" i="13"/>
  <c r="I1524" i="13"/>
  <c r="H1524" i="13"/>
  <c r="G1524" i="13"/>
  <c r="F1524" i="13"/>
  <c r="E1524" i="13"/>
  <c r="D1524" i="13"/>
  <c r="C1524" i="13"/>
  <c r="B1524" i="13"/>
  <c r="A1524" i="13"/>
  <c r="I1523" i="13"/>
  <c r="H1523" i="13"/>
  <c r="G1523" i="13"/>
  <c r="F1523" i="13"/>
  <c r="E1523" i="13"/>
  <c r="D1523" i="13"/>
  <c r="C1523" i="13"/>
  <c r="B1523" i="13"/>
  <c r="A1523" i="13"/>
  <c r="I1522" i="13"/>
  <c r="H1522" i="13"/>
  <c r="G1522" i="13"/>
  <c r="F1522" i="13"/>
  <c r="E1522" i="13"/>
  <c r="D1522" i="13"/>
  <c r="C1522" i="13"/>
  <c r="B1522" i="13"/>
  <c r="A1522" i="13"/>
  <c r="I1521" i="13"/>
  <c r="H1521" i="13"/>
  <c r="G1521" i="13"/>
  <c r="F1521" i="13"/>
  <c r="E1521" i="13"/>
  <c r="D1521" i="13"/>
  <c r="E80" i="16" s="1"/>
  <c r="C1521" i="13"/>
  <c r="B1521" i="13"/>
  <c r="A1521" i="13"/>
  <c r="I1520" i="13"/>
  <c r="H1520" i="13"/>
  <c r="G1520" i="13"/>
  <c r="F1520" i="13"/>
  <c r="E1520" i="13"/>
  <c r="D1520" i="13"/>
  <c r="C1520" i="13"/>
  <c r="B1520" i="13"/>
  <c r="A1520" i="13"/>
  <c r="I1519" i="13"/>
  <c r="H1519" i="13"/>
  <c r="G1519" i="13"/>
  <c r="F1519" i="13"/>
  <c r="E1519" i="13"/>
  <c r="D1519" i="13"/>
  <c r="C1519" i="13"/>
  <c r="B1519" i="13"/>
  <c r="A1519" i="13"/>
  <c r="I1518" i="13"/>
  <c r="H1518" i="13"/>
  <c r="G1518" i="13"/>
  <c r="F1518" i="13"/>
  <c r="E1518" i="13"/>
  <c r="D1518" i="13"/>
  <c r="C1518" i="13"/>
  <c r="B1518" i="13"/>
  <c r="A1518" i="13"/>
  <c r="I1517" i="13"/>
  <c r="H1517" i="13"/>
  <c r="G1517" i="13"/>
  <c r="F1517" i="13"/>
  <c r="E1517" i="13"/>
  <c r="D1517" i="13"/>
  <c r="C1517" i="13"/>
  <c r="B1517" i="13"/>
  <c r="A1517" i="13"/>
  <c r="I1516" i="13"/>
  <c r="H1516" i="13"/>
  <c r="G1516" i="13"/>
  <c r="F1516" i="13"/>
  <c r="E1516" i="13"/>
  <c r="D1516" i="13"/>
  <c r="C1516" i="13"/>
  <c r="B1516" i="13"/>
  <c r="A1516" i="13"/>
  <c r="I1515" i="13"/>
  <c r="H1515" i="13"/>
  <c r="G1515" i="13"/>
  <c r="F1515" i="13"/>
  <c r="E1515" i="13"/>
  <c r="D1515" i="13"/>
  <c r="C1515" i="13"/>
  <c r="B1515" i="13"/>
  <c r="A1515" i="13"/>
  <c r="I1514" i="13"/>
  <c r="H1514" i="13"/>
  <c r="G1514" i="13"/>
  <c r="F1514" i="13"/>
  <c r="E1514" i="13"/>
  <c r="D1514" i="13"/>
  <c r="C1514" i="13"/>
  <c r="B1514" i="13"/>
  <c r="A1514" i="13"/>
  <c r="I1513" i="13"/>
  <c r="H1513" i="13"/>
  <c r="G1513" i="13"/>
  <c r="F1513" i="13"/>
  <c r="E1513" i="13"/>
  <c r="D1513" i="13"/>
  <c r="C1513" i="13"/>
  <c r="B1513" i="13"/>
  <c r="A1513" i="13"/>
  <c r="I1512" i="13"/>
  <c r="H1512" i="13"/>
  <c r="G1512" i="13"/>
  <c r="F1512" i="13"/>
  <c r="E1512" i="13"/>
  <c r="D1512" i="13"/>
  <c r="C1512" i="13"/>
  <c r="B1512" i="13"/>
  <c r="A1512" i="13"/>
  <c r="I1511" i="13"/>
  <c r="A80" i="16" s="1"/>
  <c r="B80" i="16" s="1"/>
  <c r="H1511" i="13"/>
  <c r="G1511" i="13"/>
  <c r="F1511" i="13"/>
  <c r="D80" i="16" s="1"/>
  <c r="J80" i="16" s="1"/>
  <c r="E1511" i="13"/>
  <c r="D1511" i="13"/>
  <c r="C1511" i="13"/>
  <c r="B1511" i="13"/>
  <c r="A1511" i="13"/>
  <c r="I1510" i="13"/>
  <c r="H1510" i="13"/>
  <c r="G1510" i="13"/>
  <c r="F1510" i="13"/>
  <c r="E1510" i="13"/>
  <c r="D1510" i="13"/>
  <c r="C1510" i="13"/>
  <c r="B1510" i="13"/>
  <c r="A1510" i="13"/>
  <c r="I1509" i="13"/>
  <c r="H1509" i="13"/>
  <c r="G1509" i="13"/>
  <c r="F1509" i="13"/>
  <c r="E1509" i="13"/>
  <c r="D1509" i="13"/>
  <c r="C1509" i="13"/>
  <c r="B1509" i="13"/>
  <c r="A1509" i="13"/>
  <c r="I1508" i="13"/>
  <c r="H1508" i="13"/>
  <c r="G1508" i="13"/>
  <c r="F1508" i="13"/>
  <c r="E1508" i="13"/>
  <c r="D1508" i="13"/>
  <c r="C1508" i="13"/>
  <c r="B1508" i="13"/>
  <c r="A1508" i="13"/>
  <c r="I1507" i="13"/>
  <c r="H1507" i="13"/>
  <c r="G1507" i="13"/>
  <c r="F1507" i="13"/>
  <c r="E1507" i="13"/>
  <c r="D1507" i="13"/>
  <c r="C1507" i="13"/>
  <c r="B1507" i="13"/>
  <c r="A1507" i="13"/>
  <c r="I1506" i="13"/>
  <c r="H1506" i="13"/>
  <c r="G1506" i="13"/>
  <c r="F1506" i="13"/>
  <c r="E1506" i="13"/>
  <c r="D1506" i="13"/>
  <c r="C1506" i="13"/>
  <c r="B1506" i="13"/>
  <c r="A1506" i="13"/>
  <c r="I1505" i="13"/>
  <c r="H1505" i="13"/>
  <c r="G1505" i="13"/>
  <c r="F1505" i="13"/>
  <c r="E1505" i="13"/>
  <c r="D1505" i="13"/>
  <c r="C1505" i="13"/>
  <c r="B1505" i="13"/>
  <c r="A1505" i="13"/>
  <c r="I1504" i="13"/>
  <c r="H1504" i="13"/>
  <c r="G1504" i="13"/>
  <c r="F1504" i="13"/>
  <c r="E1504" i="13"/>
  <c r="D1504" i="13"/>
  <c r="C1504" i="13"/>
  <c r="B1504" i="13"/>
  <c r="A1504" i="13"/>
  <c r="I1503" i="13"/>
  <c r="H1503" i="13"/>
  <c r="G1503" i="13"/>
  <c r="F1503" i="13"/>
  <c r="E1503" i="13"/>
  <c r="D1503" i="13"/>
  <c r="C1503" i="13"/>
  <c r="B1503" i="13"/>
  <c r="A1503" i="13"/>
  <c r="I1502" i="13"/>
  <c r="H1502" i="13"/>
  <c r="G1502" i="13"/>
  <c r="F1502" i="13"/>
  <c r="E1502" i="13"/>
  <c r="D1502" i="13"/>
  <c r="C1502" i="13"/>
  <c r="B1502" i="13"/>
  <c r="A1502" i="13"/>
  <c r="I1501" i="13"/>
  <c r="H1501" i="13"/>
  <c r="G1501" i="13"/>
  <c r="F1501" i="13"/>
  <c r="E1501" i="13"/>
  <c r="D1501" i="13"/>
  <c r="E79" i="16" s="1"/>
  <c r="C1501" i="13"/>
  <c r="B1501" i="13"/>
  <c r="A1501" i="13"/>
  <c r="I1500" i="13"/>
  <c r="H1500" i="13"/>
  <c r="G1500" i="13"/>
  <c r="F1500" i="13"/>
  <c r="E1500" i="13"/>
  <c r="D1500" i="13"/>
  <c r="C1500" i="13"/>
  <c r="B1500" i="13"/>
  <c r="A1500" i="13"/>
  <c r="I1499" i="13"/>
  <c r="H1499" i="13"/>
  <c r="G1499" i="13"/>
  <c r="F1499" i="13"/>
  <c r="E1499" i="13"/>
  <c r="D1499" i="13"/>
  <c r="C1499" i="13"/>
  <c r="B1499" i="13"/>
  <c r="A1499" i="13"/>
  <c r="I1498" i="13"/>
  <c r="H1498" i="13"/>
  <c r="G1498" i="13"/>
  <c r="F1498" i="13"/>
  <c r="E1498" i="13"/>
  <c r="D1498" i="13"/>
  <c r="C1498" i="13"/>
  <c r="B1498" i="13"/>
  <c r="A1498" i="13"/>
  <c r="I1497" i="13"/>
  <c r="H1497" i="13"/>
  <c r="G1497" i="13"/>
  <c r="F1497" i="13"/>
  <c r="E1497" i="13"/>
  <c r="D1497" i="13"/>
  <c r="C1497" i="13"/>
  <c r="B1497" i="13"/>
  <c r="A1497" i="13"/>
  <c r="I1496" i="13"/>
  <c r="H1496" i="13"/>
  <c r="G1496" i="13"/>
  <c r="F1496" i="13"/>
  <c r="E1496" i="13"/>
  <c r="D1496" i="13"/>
  <c r="C1496" i="13"/>
  <c r="B1496" i="13"/>
  <c r="A1496" i="13"/>
  <c r="I1495" i="13"/>
  <c r="H1495" i="13"/>
  <c r="G1495" i="13"/>
  <c r="F1495" i="13"/>
  <c r="E1495" i="13"/>
  <c r="D1495" i="13"/>
  <c r="C1495" i="13"/>
  <c r="B1495" i="13"/>
  <c r="A1495" i="13"/>
  <c r="I1494" i="13"/>
  <c r="H1494" i="13"/>
  <c r="G1494" i="13"/>
  <c r="F1494" i="13"/>
  <c r="E1494" i="13"/>
  <c r="D1494" i="13"/>
  <c r="C1494" i="13"/>
  <c r="B1494" i="13"/>
  <c r="A1494" i="13"/>
  <c r="I1493" i="13"/>
  <c r="H1493" i="13"/>
  <c r="G1493" i="13"/>
  <c r="F1493" i="13"/>
  <c r="E1493" i="13"/>
  <c r="D1493" i="13"/>
  <c r="C1493" i="13"/>
  <c r="B1493" i="13"/>
  <c r="A1493" i="13"/>
  <c r="I1492" i="13"/>
  <c r="H1492" i="13"/>
  <c r="G1492" i="13"/>
  <c r="F1492" i="13"/>
  <c r="E1492" i="13"/>
  <c r="D1492" i="13"/>
  <c r="C1492" i="13"/>
  <c r="B1492" i="13"/>
  <c r="A1492" i="13"/>
  <c r="I1491" i="13"/>
  <c r="A79" i="16" s="1"/>
  <c r="B79" i="16" s="1"/>
  <c r="H1491" i="13"/>
  <c r="G1491" i="13"/>
  <c r="F1491" i="13"/>
  <c r="D79" i="16" s="1"/>
  <c r="E1491" i="13"/>
  <c r="D1491" i="13"/>
  <c r="C1491" i="13"/>
  <c r="B1491" i="13"/>
  <c r="A1491" i="13"/>
  <c r="I1490" i="13"/>
  <c r="H1490" i="13"/>
  <c r="G1490" i="13"/>
  <c r="F1490" i="13"/>
  <c r="E1490" i="13"/>
  <c r="D1490" i="13"/>
  <c r="C1490" i="13"/>
  <c r="B1490" i="13"/>
  <c r="A1490" i="13"/>
  <c r="I1489" i="13"/>
  <c r="H1489" i="13"/>
  <c r="G1489" i="13"/>
  <c r="F1489" i="13"/>
  <c r="E1489" i="13"/>
  <c r="D1489" i="13"/>
  <c r="C1489" i="13"/>
  <c r="B1489" i="13"/>
  <c r="A1489" i="13"/>
  <c r="I1488" i="13"/>
  <c r="H1488" i="13"/>
  <c r="G1488" i="13"/>
  <c r="F1488" i="13"/>
  <c r="E1488" i="13"/>
  <c r="D1488" i="13"/>
  <c r="C1488" i="13"/>
  <c r="B1488" i="13"/>
  <c r="A1488" i="13"/>
  <c r="I1487" i="13"/>
  <c r="H1487" i="13"/>
  <c r="G1487" i="13"/>
  <c r="F1487" i="13"/>
  <c r="E1487" i="13"/>
  <c r="D1487" i="13"/>
  <c r="C1487" i="13"/>
  <c r="B1487" i="13"/>
  <c r="A1487" i="13"/>
  <c r="I1486" i="13"/>
  <c r="H1486" i="13"/>
  <c r="G1486" i="13"/>
  <c r="F1486" i="13"/>
  <c r="E1486" i="13"/>
  <c r="D1486" i="13"/>
  <c r="C1486" i="13"/>
  <c r="B1486" i="13"/>
  <c r="A1486" i="13"/>
  <c r="I1485" i="13"/>
  <c r="H1485" i="13"/>
  <c r="G1485" i="13"/>
  <c r="F1485" i="13"/>
  <c r="E1485" i="13"/>
  <c r="D1485" i="13"/>
  <c r="C1485" i="13"/>
  <c r="B1485" i="13"/>
  <c r="A1485" i="13"/>
  <c r="I1484" i="13"/>
  <c r="H1484" i="13"/>
  <c r="G1484" i="13"/>
  <c r="F1484" i="13"/>
  <c r="E1484" i="13"/>
  <c r="D1484" i="13"/>
  <c r="C1484" i="13"/>
  <c r="B1484" i="13"/>
  <c r="A1484" i="13"/>
  <c r="I1483" i="13"/>
  <c r="H1483" i="13"/>
  <c r="G1483" i="13"/>
  <c r="F1483" i="13"/>
  <c r="E1483" i="13"/>
  <c r="D1483" i="13"/>
  <c r="C1483" i="13"/>
  <c r="B1483" i="13"/>
  <c r="A1483" i="13"/>
  <c r="I1482" i="13"/>
  <c r="H1482" i="13"/>
  <c r="G1482" i="13"/>
  <c r="F1482" i="13"/>
  <c r="E1482" i="13"/>
  <c r="D1482" i="13"/>
  <c r="C1482" i="13"/>
  <c r="B1482" i="13"/>
  <c r="A1482" i="13"/>
  <c r="I1481" i="13"/>
  <c r="H1481" i="13"/>
  <c r="G1481" i="13"/>
  <c r="F1481" i="13"/>
  <c r="E1481" i="13"/>
  <c r="D1481" i="13"/>
  <c r="C1481" i="13"/>
  <c r="B1481" i="13"/>
  <c r="A1481" i="13"/>
  <c r="I1480" i="13"/>
  <c r="H1480" i="13"/>
  <c r="G1480" i="13"/>
  <c r="F1480" i="13"/>
  <c r="E1480" i="13"/>
  <c r="D1480" i="13"/>
  <c r="C1480" i="13"/>
  <c r="B1480" i="13"/>
  <c r="A1480" i="13"/>
  <c r="I1479" i="13"/>
  <c r="H1479" i="13"/>
  <c r="G1479" i="13"/>
  <c r="F1479" i="13"/>
  <c r="E1479" i="13"/>
  <c r="D1479" i="13"/>
  <c r="C1479" i="13"/>
  <c r="B1479" i="13"/>
  <c r="A1479" i="13"/>
  <c r="I1478" i="13"/>
  <c r="H1478" i="13"/>
  <c r="G1478" i="13"/>
  <c r="F1478" i="13"/>
  <c r="E1478" i="13"/>
  <c r="D1478" i="13"/>
  <c r="C1478" i="13"/>
  <c r="B1478" i="13"/>
  <c r="A1478" i="13"/>
  <c r="I1477" i="13"/>
  <c r="H1477" i="13"/>
  <c r="G1477" i="13"/>
  <c r="F1477" i="13"/>
  <c r="E1477" i="13"/>
  <c r="D1477" i="13"/>
  <c r="C1477" i="13"/>
  <c r="B1477" i="13"/>
  <c r="A1477" i="13"/>
  <c r="I1476" i="13"/>
  <c r="H1476" i="13"/>
  <c r="G1476" i="13"/>
  <c r="F1476" i="13"/>
  <c r="E1476" i="13"/>
  <c r="D1476" i="13"/>
  <c r="C1476" i="13"/>
  <c r="B1476" i="13"/>
  <c r="A1476" i="13"/>
  <c r="I1475" i="13"/>
  <c r="H1475" i="13"/>
  <c r="G1475" i="13"/>
  <c r="F1475" i="13"/>
  <c r="E1475" i="13"/>
  <c r="D1475" i="13"/>
  <c r="C1475" i="13"/>
  <c r="B1475" i="13"/>
  <c r="A1475" i="13"/>
  <c r="I1474" i="13"/>
  <c r="H1474" i="13"/>
  <c r="G1474" i="13"/>
  <c r="F1474" i="13"/>
  <c r="E1474" i="13"/>
  <c r="D1474" i="13"/>
  <c r="C1474" i="13"/>
  <c r="B1474" i="13"/>
  <c r="A1474" i="13"/>
  <c r="I1473" i="13"/>
  <c r="H1473" i="13"/>
  <c r="G1473" i="13"/>
  <c r="F1473" i="13"/>
  <c r="E1473" i="13"/>
  <c r="D1473" i="13"/>
  <c r="E78" i="16" s="1"/>
  <c r="C1473" i="13"/>
  <c r="B1473" i="13"/>
  <c r="A1473" i="13"/>
  <c r="I1472" i="13"/>
  <c r="H1472" i="13"/>
  <c r="G1472" i="13"/>
  <c r="F1472" i="13"/>
  <c r="E1472" i="13"/>
  <c r="D1472" i="13"/>
  <c r="C1472" i="13"/>
  <c r="B1472" i="13"/>
  <c r="A1472" i="13"/>
  <c r="I1471" i="13"/>
  <c r="H1471" i="13"/>
  <c r="G1471" i="13"/>
  <c r="F1471" i="13"/>
  <c r="E1471" i="13"/>
  <c r="D1471" i="13"/>
  <c r="C1471" i="13"/>
  <c r="B1471" i="13"/>
  <c r="A1471" i="13"/>
  <c r="I1470" i="13"/>
  <c r="H1470" i="13"/>
  <c r="G1470" i="13"/>
  <c r="F1470" i="13"/>
  <c r="E1470" i="13"/>
  <c r="D1470" i="13"/>
  <c r="C1470" i="13"/>
  <c r="B1470" i="13"/>
  <c r="A1470" i="13"/>
  <c r="I1469" i="13"/>
  <c r="H1469" i="13"/>
  <c r="G1469" i="13"/>
  <c r="F1469" i="13"/>
  <c r="E1469" i="13"/>
  <c r="D1469" i="13"/>
  <c r="C1469" i="13"/>
  <c r="B1469" i="13"/>
  <c r="A1469" i="13"/>
  <c r="I1468" i="13"/>
  <c r="H1468" i="13"/>
  <c r="G1468" i="13"/>
  <c r="F1468" i="13"/>
  <c r="E1468" i="13"/>
  <c r="D1468" i="13"/>
  <c r="C1468" i="13"/>
  <c r="B1468" i="13"/>
  <c r="A1468" i="13"/>
  <c r="I1467" i="13"/>
  <c r="H1467" i="13"/>
  <c r="G1467" i="13"/>
  <c r="F1467" i="13"/>
  <c r="E1467" i="13"/>
  <c r="D1467" i="13"/>
  <c r="C1467" i="13"/>
  <c r="B1467" i="13"/>
  <c r="A1467" i="13"/>
  <c r="I1466" i="13"/>
  <c r="H1466" i="13"/>
  <c r="G1466" i="13"/>
  <c r="F1466" i="13"/>
  <c r="E1466" i="13"/>
  <c r="D1466" i="13"/>
  <c r="C1466" i="13"/>
  <c r="B1466" i="13"/>
  <c r="A1466" i="13"/>
  <c r="I1465" i="13"/>
  <c r="H1465" i="13"/>
  <c r="G1465" i="13"/>
  <c r="F1465" i="13"/>
  <c r="E1465" i="13"/>
  <c r="D1465" i="13"/>
  <c r="C1465" i="13"/>
  <c r="B1465" i="13"/>
  <c r="A1465" i="13"/>
  <c r="I1464" i="13"/>
  <c r="A78" i="16" s="1"/>
  <c r="B78" i="16" s="1"/>
  <c r="H1464" i="13"/>
  <c r="G1464" i="13"/>
  <c r="F1464" i="13"/>
  <c r="D78" i="16" s="1"/>
  <c r="J78" i="16" s="1"/>
  <c r="E1464" i="13"/>
  <c r="D1464" i="13"/>
  <c r="C1464" i="13"/>
  <c r="B1464" i="13"/>
  <c r="A1464" i="13"/>
  <c r="I1463" i="13"/>
  <c r="H1463" i="13"/>
  <c r="G1463" i="13"/>
  <c r="F1463" i="13"/>
  <c r="E1463" i="13"/>
  <c r="D1463" i="13"/>
  <c r="C1463" i="13"/>
  <c r="B1463" i="13"/>
  <c r="A1463" i="13"/>
  <c r="I1462" i="13"/>
  <c r="H1462" i="13"/>
  <c r="G1462" i="13"/>
  <c r="F1462" i="13"/>
  <c r="E1462" i="13"/>
  <c r="D1462" i="13"/>
  <c r="C1462" i="13"/>
  <c r="B1462" i="13"/>
  <c r="A1462" i="13"/>
  <c r="I1461" i="13"/>
  <c r="H1461" i="13"/>
  <c r="G1461" i="13"/>
  <c r="F1461" i="13"/>
  <c r="E1461" i="13"/>
  <c r="D1461" i="13"/>
  <c r="C1461" i="13"/>
  <c r="B1461" i="13"/>
  <c r="A1461" i="13"/>
  <c r="I1460" i="13"/>
  <c r="H1460" i="13"/>
  <c r="G1460" i="13"/>
  <c r="F1460" i="13"/>
  <c r="E1460" i="13"/>
  <c r="D1460" i="13"/>
  <c r="C1460" i="13"/>
  <c r="B1460" i="13"/>
  <c r="A1460" i="13"/>
  <c r="I1459" i="13"/>
  <c r="H1459" i="13"/>
  <c r="G1459" i="13"/>
  <c r="F1459" i="13"/>
  <c r="E1459" i="13"/>
  <c r="D1459" i="13"/>
  <c r="C1459" i="13"/>
  <c r="B1459" i="13"/>
  <c r="A1459" i="13"/>
  <c r="I1458" i="13"/>
  <c r="H1458" i="13"/>
  <c r="G1458" i="13"/>
  <c r="F1458" i="13"/>
  <c r="E1458" i="13"/>
  <c r="D1458" i="13"/>
  <c r="C1458" i="13"/>
  <c r="B1458" i="13"/>
  <c r="A1458" i="13"/>
  <c r="I1457" i="13"/>
  <c r="H1457" i="13"/>
  <c r="G1457" i="13"/>
  <c r="F1457" i="13"/>
  <c r="E1457" i="13"/>
  <c r="D1457" i="13"/>
  <c r="E77" i="16" s="1"/>
  <c r="C1457" i="13"/>
  <c r="B1457" i="13"/>
  <c r="A1457" i="13"/>
  <c r="I1456" i="13"/>
  <c r="H1456" i="13"/>
  <c r="G1456" i="13"/>
  <c r="F1456" i="13"/>
  <c r="E1456" i="13"/>
  <c r="D1456" i="13"/>
  <c r="C1456" i="13"/>
  <c r="B1456" i="13"/>
  <c r="A1456" i="13"/>
  <c r="I1455" i="13"/>
  <c r="H1455" i="13"/>
  <c r="G1455" i="13"/>
  <c r="F1455" i="13"/>
  <c r="E1455" i="13"/>
  <c r="D1455" i="13"/>
  <c r="C1455" i="13"/>
  <c r="B1455" i="13"/>
  <c r="A1455" i="13"/>
  <c r="I1454" i="13"/>
  <c r="H1454" i="13"/>
  <c r="G1454" i="13"/>
  <c r="F1454" i="13"/>
  <c r="E1454" i="13"/>
  <c r="D1454" i="13"/>
  <c r="C1454" i="13"/>
  <c r="B1454" i="13"/>
  <c r="A1454" i="13"/>
  <c r="I1453" i="13"/>
  <c r="H1453" i="13"/>
  <c r="G1453" i="13"/>
  <c r="F1453" i="13"/>
  <c r="E1453" i="13"/>
  <c r="D1453" i="13"/>
  <c r="C1453" i="13"/>
  <c r="B1453" i="13"/>
  <c r="A1453" i="13"/>
  <c r="I1452" i="13"/>
  <c r="H1452" i="13"/>
  <c r="G1452" i="13"/>
  <c r="F1452" i="13"/>
  <c r="E1452" i="13"/>
  <c r="D1452" i="13"/>
  <c r="C1452" i="13"/>
  <c r="B1452" i="13"/>
  <c r="A1452" i="13"/>
  <c r="I1451" i="13"/>
  <c r="H1451" i="13"/>
  <c r="G1451" i="13"/>
  <c r="F1451" i="13"/>
  <c r="E1451" i="13"/>
  <c r="D1451" i="13"/>
  <c r="C1451" i="13"/>
  <c r="B1451" i="13"/>
  <c r="A1451" i="13"/>
  <c r="I1450" i="13"/>
  <c r="H1450" i="13"/>
  <c r="G1450" i="13"/>
  <c r="F1450" i="13"/>
  <c r="E1450" i="13"/>
  <c r="D1450" i="13"/>
  <c r="C1450" i="13"/>
  <c r="B1450" i="13"/>
  <c r="A1450" i="13"/>
  <c r="I1449" i="13"/>
  <c r="H1449" i="13"/>
  <c r="G1449" i="13"/>
  <c r="F1449" i="13"/>
  <c r="E1449" i="13"/>
  <c r="D1449" i="13"/>
  <c r="C1449" i="13"/>
  <c r="B1449" i="13"/>
  <c r="A1449" i="13"/>
  <c r="I1448" i="13"/>
  <c r="H1448" i="13"/>
  <c r="G1448" i="13"/>
  <c r="F1448" i="13"/>
  <c r="E1448" i="13"/>
  <c r="D1448" i="13"/>
  <c r="C1448" i="13"/>
  <c r="B1448" i="13"/>
  <c r="A1448" i="13"/>
  <c r="I1447" i="13"/>
  <c r="A77" i="16" s="1"/>
  <c r="B77" i="16" s="1"/>
  <c r="H1447" i="13"/>
  <c r="G1447" i="13"/>
  <c r="F1447" i="13"/>
  <c r="D77" i="16" s="1"/>
  <c r="E1447" i="13"/>
  <c r="D1447" i="13"/>
  <c r="C1447" i="13"/>
  <c r="B1447" i="13"/>
  <c r="A1447" i="13"/>
  <c r="I1446" i="13"/>
  <c r="H1446" i="13"/>
  <c r="G1446" i="13"/>
  <c r="F1446" i="13"/>
  <c r="E1446" i="13"/>
  <c r="D1446" i="13"/>
  <c r="C1446" i="13"/>
  <c r="B1446" i="13"/>
  <c r="A1446" i="13"/>
  <c r="I1445" i="13"/>
  <c r="H1445" i="13"/>
  <c r="G1445" i="13"/>
  <c r="F1445" i="13"/>
  <c r="E1445" i="13"/>
  <c r="D1445" i="13"/>
  <c r="C1445" i="13"/>
  <c r="B1445" i="13"/>
  <c r="A1445" i="13"/>
  <c r="I1444" i="13"/>
  <c r="H1444" i="13"/>
  <c r="G1444" i="13"/>
  <c r="F1444" i="13"/>
  <c r="E1444" i="13"/>
  <c r="D1444" i="13"/>
  <c r="C1444" i="13"/>
  <c r="B1444" i="13"/>
  <c r="A1444" i="13"/>
  <c r="I1443" i="13"/>
  <c r="H1443" i="13"/>
  <c r="G1443" i="13"/>
  <c r="F1443" i="13"/>
  <c r="E1443" i="13"/>
  <c r="D1443" i="13"/>
  <c r="C1443" i="13"/>
  <c r="B1443" i="13"/>
  <c r="A1443" i="13"/>
  <c r="I1442" i="13"/>
  <c r="H1442" i="13"/>
  <c r="G1442" i="13"/>
  <c r="F1442" i="13"/>
  <c r="E1442" i="13"/>
  <c r="D1442" i="13"/>
  <c r="C1442" i="13"/>
  <c r="B1442" i="13"/>
  <c r="A1442" i="13"/>
  <c r="I1441" i="13"/>
  <c r="H1441" i="13"/>
  <c r="G1441" i="13"/>
  <c r="F1441" i="13"/>
  <c r="E1441" i="13"/>
  <c r="D1441" i="13"/>
  <c r="C1441" i="13"/>
  <c r="B1441" i="13"/>
  <c r="A1441" i="13"/>
  <c r="I1440" i="13"/>
  <c r="H1440" i="13"/>
  <c r="G1440" i="13"/>
  <c r="F1440" i="13"/>
  <c r="E1440" i="13"/>
  <c r="D1440" i="13"/>
  <c r="C1440" i="13"/>
  <c r="B1440" i="13"/>
  <c r="A1440" i="13"/>
  <c r="I1439" i="13"/>
  <c r="H1439" i="13"/>
  <c r="G1439" i="13"/>
  <c r="F1439" i="13"/>
  <c r="E1439" i="13"/>
  <c r="D1439" i="13"/>
  <c r="E76" i="16" s="1"/>
  <c r="C1439" i="13"/>
  <c r="B1439" i="13"/>
  <c r="A1439" i="13"/>
  <c r="I1438" i="13"/>
  <c r="H1438" i="13"/>
  <c r="G1438" i="13"/>
  <c r="F1438" i="13"/>
  <c r="E1438" i="13"/>
  <c r="D1438" i="13"/>
  <c r="C1438" i="13"/>
  <c r="B1438" i="13"/>
  <c r="A1438" i="13"/>
  <c r="I1437" i="13"/>
  <c r="H1437" i="13"/>
  <c r="G1437" i="13"/>
  <c r="F1437" i="13"/>
  <c r="E1437" i="13"/>
  <c r="D1437" i="13"/>
  <c r="C1437" i="13"/>
  <c r="B1437" i="13"/>
  <c r="A1437" i="13"/>
  <c r="I1436" i="13"/>
  <c r="H1436" i="13"/>
  <c r="G1436" i="13"/>
  <c r="F1436" i="13"/>
  <c r="E1436" i="13"/>
  <c r="D1436" i="13"/>
  <c r="C1436" i="13"/>
  <c r="B1436" i="13"/>
  <c r="A1436" i="13"/>
  <c r="I1435" i="13"/>
  <c r="H1435" i="13"/>
  <c r="G1435" i="13"/>
  <c r="F1435" i="13"/>
  <c r="E1435" i="13"/>
  <c r="D1435" i="13"/>
  <c r="C1435" i="13"/>
  <c r="B1435" i="13"/>
  <c r="A1435" i="13"/>
  <c r="I1434" i="13"/>
  <c r="H1434" i="13"/>
  <c r="G1434" i="13"/>
  <c r="F1434" i="13"/>
  <c r="E1434" i="13"/>
  <c r="D1434" i="13"/>
  <c r="C1434" i="13"/>
  <c r="B1434" i="13"/>
  <c r="A1434" i="13"/>
  <c r="I1433" i="13"/>
  <c r="H1433" i="13"/>
  <c r="G1433" i="13"/>
  <c r="F1433" i="13"/>
  <c r="E1433" i="13"/>
  <c r="D1433" i="13"/>
  <c r="C1433" i="13"/>
  <c r="B1433" i="13"/>
  <c r="A1433" i="13"/>
  <c r="I1432" i="13"/>
  <c r="H1432" i="13"/>
  <c r="G1432" i="13"/>
  <c r="F1432" i="13"/>
  <c r="E1432" i="13"/>
  <c r="D1432" i="13"/>
  <c r="C1432" i="13"/>
  <c r="B1432" i="13"/>
  <c r="A1432" i="13"/>
  <c r="I1431" i="13"/>
  <c r="H1431" i="13"/>
  <c r="G1431" i="13"/>
  <c r="F1431" i="13"/>
  <c r="E1431" i="13"/>
  <c r="D1431" i="13"/>
  <c r="C1431" i="13"/>
  <c r="B1431" i="13"/>
  <c r="A1431" i="13"/>
  <c r="I1430" i="13"/>
  <c r="H1430" i="13"/>
  <c r="G1430" i="13"/>
  <c r="F1430" i="13"/>
  <c r="E1430" i="13"/>
  <c r="D1430" i="13"/>
  <c r="C1430" i="13"/>
  <c r="B1430" i="13"/>
  <c r="A1430" i="13"/>
  <c r="I1429" i="13"/>
  <c r="A76" i="16" s="1"/>
  <c r="B76" i="16" s="1"/>
  <c r="H1429" i="13"/>
  <c r="G1429" i="13"/>
  <c r="F1429" i="13"/>
  <c r="D76" i="16" s="1"/>
  <c r="E1429" i="13"/>
  <c r="D1429" i="13"/>
  <c r="C1429" i="13"/>
  <c r="B1429" i="13"/>
  <c r="A1429" i="13"/>
  <c r="I1428" i="13"/>
  <c r="H1428" i="13"/>
  <c r="G1428" i="13"/>
  <c r="F1428" i="13"/>
  <c r="E1428" i="13"/>
  <c r="D1428" i="13"/>
  <c r="C1428" i="13"/>
  <c r="B1428" i="13"/>
  <c r="A1428" i="13"/>
  <c r="I1427" i="13"/>
  <c r="H1427" i="13"/>
  <c r="G1427" i="13"/>
  <c r="F1427" i="13"/>
  <c r="E1427" i="13"/>
  <c r="D1427" i="13"/>
  <c r="C1427" i="13"/>
  <c r="B1427" i="13"/>
  <c r="A1427" i="13"/>
  <c r="I1426" i="13"/>
  <c r="H1426" i="13"/>
  <c r="G1426" i="13"/>
  <c r="F1426" i="13"/>
  <c r="E1426" i="13"/>
  <c r="D1426" i="13"/>
  <c r="C1426" i="13"/>
  <c r="B1426" i="13"/>
  <c r="A1426" i="13"/>
  <c r="I1425" i="13"/>
  <c r="H1425" i="13"/>
  <c r="G1425" i="13"/>
  <c r="F1425" i="13"/>
  <c r="E1425" i="13"/>
  <c r="D1425" i="13"/>
  <c r="C1425" i="13"/>
  <c r="B1425" i="13"/>
  <c r="A1425" i="13"/>
  <c r="I1424" i="13"/>
  <c r="H1424" i="13"/>
  <c r="G1424" i="13"/>
  <c r="F1424" i="13"/>
  <c r="E1424" i="13"/>
  <c r="D1424" i="13"/>
  <c r="C1424" i="13"/>
  <c r="B1424" i="13"/>
  <c r="A1424" i="13"/>
  <c r="I1423" i="13"/>
  <c r="H1423" i="13"/>
  <c r="G1423" i="13"/>
  <c r="F1423" i="13"/>
  <c r="E1423" i="13"/>
  <c r="D1423" i="13"/>
  <c r="C1423" i="13"/>
  <c r="B1423" i="13"/>
  <c r="A1423" i="13"/>
  <c r="I1422" i="13"/>
  <c r="H1422" i="13"/>
  <c r="G1422" i="13"/>
  <c r="F1422" i="13"/>
  <c r="E1422" i="13"/>
  <c r="D1422" i="13"/>
  <c r="C1422" i="13"/>
  <c r="B1422" i="13"/>
  <c r="A1422" i="13"/>
  <c r="I1421" i="13"/>
  <c r="H1421" i="13"/>
  <c r="G1421" i="13"/>
  <c r="F1421" i="13"/>
  <c r="E1421" i="13"/>
  <c r="D1421" i="13"/>
  <c r="C1421" i="13"/>
  <c r="B1421" i="13"/>
  <c r="A1421" i="13"/>
  <c r="I1420" i="13"/>
  <c r="H1420" i="13"/>
  <c r="G1420" i="13"/>
  <c r="F1420" i="13"/>
  <c r="E1420" i="13"/>
  <c r="D1420" i="13"/>
  <c r="C1420" i="13"/>
  <c r="B1420" i="13"/>
  <c r="A1420" i="13"/>
  <c r="I1419" i="13"/>
  <c r="H1419" i="13"/>
  <c r="G1419" i="13"/>
  <c r="F1419" i="13"/>
  <c r="E1419" i="13"/>
  <c r="D1419" i="13"/>
  <c r="C1419" i="13"/>
  <c r="B1419" i="13"/>
  <c r="A1419" i="13"/>
  <c r="I1418" i="13"/>
  <c r="H1418" i="13"/>
  <c r="G1418" i="13"/>
  <c r="F1418" i="13"/>
  <c r="E1418" i="13"/>
  <c r="D1418" i="13"/>
  <c r="C1418" i="13"/>
  <c r="B1418" i="13"/>
  <c r="A1418" i="13"/>
  <c r="I1417" i="13"/>
  <c r="H1417" i="13"/>
  <c r="G1417" i="13"/>
  <c r="F1417" i="13"/>
  <c r="E1417" i="13"/>
  <c r="D1417" i="13"/>
  <c r="C1417" i="13"/>
  <c r="B1417" i="13"/>
  <c r="A1417" i="13"/>
  <c r="I1416" i="13"/>
  <c r="H1416" i="13"/>
  <c r="G1416" i="13"/>
  <c r="F1416" i="13"/>
  <c r="E1416" i="13"/>
  <c r="D1416" i="13"/>
  <c r="C1416" i="13"/>
  <c r="B1416" i="13"/>
  <c r="A1416" i="13"/>
  <c r="I1415" i="13"/>
  <c r="H1415" i="13"/>
  <c r="G1415" i="13"/>
  <c r="F1415" i="13"/>
  <c r="E1415" i="13"/>
  <c r="D1415" i="13"/>
  <c r="C1415" i="13"/>
  <c r="B1415" i="13"/>
  <c r="A1415" i="13"/>
  <c r="I1414" i="13"/>
  <c r="H1414" i="13"/>
  <c r="G1414" i="13"/>
  <c r="F1414" i="13"/>
  <c r="E1414" i="13"/>
  <c r="D1414" i="13"/>
  <c r="C1414" i="13"/>
  <c r="B1414" i="13"/>
  <c r="A1414" i="13"/>
  <c r="I1413" i="13"/>
  <c r="H1413" i="13"/>
  <c r="G1413" i="13"/>
  <c r="F1413" i="13"/>
  <c r="E1413" i="13"/>
  <c r="D1413" i="13"/>
  <c r="C1413" i="13"/>
  <c r="B1413" i="13"/>
  <c r="A1413" i="13"/>
  <c r="I1412" i="13"/>
  <c r="H1412" i="13"/>
  <c r="G1412" i="13"/>
  <c r="F1412" i="13"/>
  <c r="E1412" i="13"/>
  <c r="D1412" i="13"/>
  <c r="C1412" i="13"/>
  <c r="B1412" i="13"/>
  <c r="A1412" i="13"/>
  <c r="I1411" i="13"/>
  <c r="H1411" i="13"/>
  <c r="G1411" i="13"/>
  <c r="F1411" i="13"/>
  <c r="E1411" i="13"/>
  <c r="D1411" i="13"/>
  <c r="C1411" i="13"/>
  <c r="B1411" i="13"/>
  <c r="A1411" i="13"/>
  <c r="I1410" i="13"/>
  <c r="H1410" i="13"/>
  <c r="G1410" i="13"/>
  <c r="F1410" i="13"/>
  <c r="E1410" i="13"/>
  <c r="D1410" i="13"/>
  <c r="C1410" i="13"/>
  <c r="B1410" i="13"/>
  <c r="A1410" i="13"/>
  <c r="I1409" i="13"/>
  <c r="H1409" i="13"/>
  <c r="G1409" i="13"/>
  <c r="F1409" i="13"/>
  <c r="E1409" i="13"/>
  <c r="D1409" i="13"/>
  <c r="C1409" i="13"/>
  <c r="B1409" i="13"/>
  <c r="A1409" i="13"/>
  <c r="I1408" i="13"/>
  <c r="H1408" i="13"/>
  <c r="G1408" i="13"/>
  <c r="F1408" i="13"/>
  <c r="E1408" i="13"/>
  <c r="D1408" i="13"/>
  <c r="E75" i="16" s="1"/>
  <c r="Q3" i="47" s="1"/>
  <c r="C1408" i="13"/>
  <c r="B1408" i="13"/>
  <c r="A1408" i="13"/>
  <c r="I1407" i="13"/>
  <c r="H1407" i="13"/>
  <c r="G1407" i="13"/>
  <c r="F1407" i="13"/>
  <c r="E1407" i="13"/>
  <c r="D1407" i="13"/>
  <c r="C1407" i="13"/>
  <c r="B1407" i="13"/>
  <c r="A1407" i="13"/>
  <c r="I1406" i="13"/>
  <c r="H1406" i="13"/>
  <c r="G1406" i="13"/>
  <c r="F1406" i="13"/>
  <c r="E1406" i="13"/>
  <c r="D1406" i="13"/>
  <c r="C1406" i="13"/>
  <c r="B1406" i="13"/>
  <c r="A1406" i="13"/>
  <c r="I1405" i="13"/>
  <c r="H1405" i="13"/>
  <c r="G1405" i="13"/>
  <c r="F1405" i="13"/>
  <c r="E1405" i="13"/>
  <c r="D1405" i="13"/>
  <c r="C1405" i="13"/>
  <c r="B1405" i="13"/>
  <c r="A1405" i="13"/>
  <c r="I1404" i="13"/>
  <c r="H1404" i="13"/>
  <c r="G1404" i="13"/>
  <c r="F1404" i="13"/>
  <c r="E1404" i="13"/>
  <c r="D1404" i="13"/>
  <c r="C1404" i="13"/>
  <c r="B1404" i="13"/>
  <c r="A1404" i="13"/>
  <c r="I1403" i="13"/>
  <c r="H1403" i="13"/>
  <c r="G1403" i="13"/>
  <c r="F1403" i="13"/>
  <c r="E1403" i="13"/>
  <c r="D1403" i="13"/>
  <c r="C1403" i="13"/>
  <c r="B1403" i="13"/>
  <c r="A1403" i="13"/>
  <c r="I1402" i="13"/>
  <c r="H1402" i="13"/>
  <c r="G1402" i="13"/>
  <c r="F1402" i="13"/>
  <c r="E1402" i="13"/>
  <c r="D1402" i="13"/>
  <c r="C1402" i="13"/>
  <c r="B1402" i="13"/>
  <c r="A1402" i="13"/>
  <c r="I1401" i="13"/>
  <c r="H1401" i="13"/>
  <c r="G1401" i="13"/>
  <c r="F1401" i="13"/>
  <c r="E1401" i="13"/>
  <c r="D1401" i="13"/>
  <c r="C1401" i="13"/>
  <c r="B1401" i="13"/>
  <c r="A1401" i="13"/>
  <c r="I1400" i="13"/>
  <c r="A75" i="16" s="1"/>
  <c r="B75" i="16" s="1"/>
  <c r="H1400" i="13"/>
  <c r="G1400" i="13"/>
  <c r="F1400" i="13"/>
  <c r="D75" i="16" s="1"/>
  <c r="Q2" i="47" s="1"/>
  <c r="E1400" i="13"/>
  <c r="D1400" i="13"/>
  <c r="C1400" i="13"/>
  <c r="B1400" i="13"/>
  <c r="A1400" i="13"/>
  <c r="I1399" i="13"/>
  <c r="H1399" i="13"/>
  <c r="G1399" i="13"/>
  <c r="F1399" i="13"/>
  <c r="E1399" i="13"/>
  <c r="D1399" i="13"/>
  <c r="C1399" i="13"/>
  <c r="B1399" i="13"/>
  <c r="A1399" i="13"/>
  <c r="I1398" i="13"/>
  <c r="H1398" i="13"/>
  <c r="G1398" i="13"/>
  <c r="F1398" i="13"/>
  <c r="E1398" i="13"/>
  <c r="D1398" i="13"/>
  <c r="C1398" i="13"/>
  <c r="B1398" i="13"/>
  <c r="A1398" i="13"/>
  <c r="I1397" i="13"/>
  <c r="H1397" i="13"/>
  <c r="G1397" i="13"/>
  <c r="F1397" i="13"/>
  <c r="E1397" i="13"/>
  <c r="D1397" i="13"/>
  <c r="C1397" i="13"/>
  <c r="B1397" i="13"/>
  <c r="A1397" i="13"/>
  <c r="I1396" i="13"/>
  <c r="H1396" i="13"/>
  <c r="G1396" i="13"/>
  <c r="F1396" i="13"/>
  <c r="E1396" i="13"/>
  <c r="D1396" i="13"/>
  <c r="C1396" i="13"/>
  <c r="B1396" i="13"/>
  <c r="A1396" i="13"/>
  <c r="I1395" i="13"/>
  <c r="H1395" i="13"/>
  <c r="G1395" i="13"/>
  <c r="F1395" i="13"/>
  <c r="E1395" i="13"/>
  <c r="D1395" i="13"/>
  <c r="C1395" i="13"/>
  <c r="B1395" i="13"/>
  <c r="A1395" i="13"/>
  <c r="I1394" i="13"/>
  <c r="H1394" i="13"/>
  <c r="G1394" i="13"/>
  <c r="F1394" i="13"/>
  <c r="E1394" i="13"/>
  <c r="D1394" i="13"/>
  <c r="C1394" i="13"/>
  <c r="B1394" i="13"/>
  <c r="A1394" i="13"/>
  <c r="I1393" i="13"/>
  <c r="H1393" i="13"/>
  <c r="G1393" i="13"/>
  <c r="F1393" i="13"/>
  <c r="E1393" i="13"/>
  <c r="D1393" i="13"/>
  <c r="C1393" i="13"/>
  <c r="B1393" i="13"/>
  <c r="A1393" i="13"/>
  <c r="I1392" i="13"/>
  <c r="H1392" i="13"/>
  <c r="G1392" i="13"/>
  <c r="F1392" i="13"/>
  <c r="E1392" i="13"/>
  <c r="D1392" i="13"/>
  <c r="C1392" i="13"/>
  <c r="B1392" i="13"/>
  <c r="A1392" i="13"/>
  <c r="I1391" i="13"/>
  <c r="H1391" i="13"/>
  <c r="G1391" i="13"/>
  <c r="F1391" i="13"/>
  <c r="E1391" i="13"/>
  <c r="D1391" i="13"/>
  <c r="E74" i="16" s="1"/>
  <c r="C1391" i="13"/>
  <c r="B1391" i="13"/>
  <c r="A1391" i="13"/>
  <c r="I1390" i="13"/>
  <c r="H1390" i="13"/>
  <c r="G1390" i="13"/>
  <c r="F1390" i="13"/>
  <c r="E1390" i="13"/>
  <c r="D1390" i="13"/>
  <c r="C1390" i="13"/>
  <c r="B1390" i="13"/>
  <c r="A1390" i="13"/>
  <c r="I1389" i="13"/>
  <c r="H1389" i="13"/>
  <c r="G1389" i="13"/>
  <c r="F1389" i="13"/>
  <c r="E1389" i="13"/>
  <c r="D1389" i="13"/>
  <c r="C1389" i="13"/>
  <c r="B1389" i="13"/>
  <c r="A1389" i="13"/>
  <c r="I1388" i="13"/>
  <c r="H1388" i="13"/>
  <c r="G1388" i="13"/>
  <c r="F1388" i="13"/>
  <c r="E1388" i="13"/>
  <c r="D1388" i="13"/>
  <c r="C1388" i="13"/>
  <c r="B1388" i="13"/>
  <c r="A1388" i="13"/>
  <c r="I1387" i="13"/>
  <c r="H1387" i="13"/>
  <c r="G1387" i="13"/>
  <c r="F1387" i="13"/>
  <c r="E1387" i="13"/>
  <c r="D1387" i="13"/>
  <c r="C1387" i="13"/>
  <c r="B1387" i="13"/>
  <c r="A1387" i="13"/>
  <c r="I1386" i="13"/>
  <c r="H1386" i="13"/>
  <c r="G1386" i="13"/>
  <c r="F1386" i="13"/>
  <c r="E1386" i="13"/>
  <c r="D1386" i="13"/>
  <c r="C1386" i="13"/>
  <c r="B1386" i="13"/>
  <c r="A1386" i="13"/>
  <c r="I1385" i="13"/>
  <c r="H1385" i="13"/>
  <c r="G1385" i="13"/>
  <c r="F1385" i="13"/>
  <c r="E1385" i="13"/>
  <c r="D1385" i="13"/>
  <c r="C1385" i="13"/>
  <c r="B1385" i="13"/>
  <c r="A1385" i="13"/>
  <c r="I1384" i="13"/>
  <c r="H1384" i="13"/>
  <c r="G1384" i="13"/>
  <c r="F1384" i="13"/>
  <c r="E1384" i="13"/>
  <c r="D1384" i="13"/>
  <c r="C1384" i="13"/>
  <c r="B1384" i="13"/>
  <c r="A1384" i="13"/>
  <c r="I1383" i="13"/>
  <c r="H1383" i="13"/>
  <c r="G1383" i="13"/>
  <c r="F1383" i="13"/>
  <c r="E1383" i="13"/>
  <c r="D1383" i="13"/>
  <c r="C1383" i="13"/>
  <c r="B1383" i="13"/>
  <c r="A1383" i="13"/>
  <c r="I1382" i="13"/>
  <c r="A74" i="16" s="1"/>
  <c r="B74" i="16" s="1"/>
  <c r="H1382" i="13"/>
  <c r="G1382" i="13"/>
  <c r="F1382" i="13"/>
  <c r="D74" i="16" s="1"/>
  <c r="E1382" i="13"/>
  <c r="D1382" i="13"/>
  <c r="C1382" i="13"/>
  <c r="B1382" i="13"/>
  <c r="A1382" i="13"/>
  <c r="I1381" i="13"/>
  <c r="H1381" i="13"/>
  <c r="G1381" i="13"/>
  <c r="F1381" i="13"/>
  <c r="E1381" i="13"/>
  <c r="D1381" i="13"/>
  <c r="C1381" i="13"/>
  <c r="B1381" i="13"/>
  <c r="A1381" i="13"/>
  <c r="I1380" i="13"/>
  <c r="H1380" i="13"/>
  <c r="G1380" i="13"/>
  <c r="F1380" i="13"/>
  <c r="E1380" i="13"/>
  <c r="D1380" i="13"/>
  <c r="C1380" i="13"/>
  <c r="B1380" i="13"/>
  <c r="A1380" i="13"/>
  <c r="I1379" i="13"/>
  <c r="H1379" i="13"/>
  <c r="G1379" i="13"/>
  <c r="F1379" i="13"/>
  <c r="E1379" i="13"/>
  <c r="D1379" i="13"/>
  <c r="C1379" i="13"/>
  <c r="B1379" i="13"/>
  <c r="A1379" i="13"/>
  <c r="I1378" i="13"/>
  <c r="H1378" i="13"/>
  <c r="G1378" i="13"/>
  <c r="F1378" i="13"/>
  <c r="E1378" i="13"/>
  <c r="D1378" i="13"/>
  <c r="C1378" i="13"/>
  <c r="B1378" i="13"/>
  <c r="A1378" i="13"/>
  <c r="I1377" i="13"/>
  <c r="H1377" i="13"/>
  <c r="G1377" i="13"/>
  <c r="F1377" i="13"/>
  <c r="E1377" i="13"/>
  <c r="D1377" i="13"/>
  <c r="C1377" i="13"/>
  <c r="B1377" i="13"/>
  <c r="A1377" i="13"/>
  <c r="I1376" i="13"/>
  <c r="H1376" i="13"/>
  <c r="G1376" i="13"/>
  <c r="F1376" i="13"/>
  <c r="E1376" i="13"/>
  <c r="D1376" i="13"/>
  <c r="C1376" i="13"/>
  <c r="B1376" i="13"/>
  <c r="A1376" i="13"/>
  <c r="I1375" i="13"/>
  <c r="H1375" i="13"/>
  <c r="G1375" i="13"/>
  <c r="F1375" i="13"/>
  <c r="E1375" i="13"/>
  <c r="D1375" i="13"/>
  <c r="C1375" i="13"/>
  <c r="B1375" i="13"/>
  <c r="A1375" i="13"/>
  <c r="I1374" i="13"/>
  <c r="H1374" i="13"/>
  <c r="G1374" i="13"/>
  <c r="F1374" i="13"/>
  <c r="E1374" i="13"/>
  <c r="D1374" i="13"/>
  <c r="E73" i="16" s="1"/>
  <c r="C1374" i="13"/>
  <c r="B1374" i="13"/>
  <c r="A1374" i="13"/>
  <c r="I1373" i="13"/>
  <c r="H1373" i="13"/>
  <c r="G1373" i="13"/>
  <c r="F1373" i="13"/>
  <c r="E1373" i="13"/>
  <c r="D1373" i="13"/>
  <c r="C1373" i="13"/>
  <c r="B1373" i="13"/>
  <c r="A1373" i="13"/>
  <c r="I1372" i="13"/>
  <c r="H1372" i="13"/>
  <c r="G1372" i="13"/>
  <c r="F1372" i="13"/>
  <c r="E1372" i="13"/>
  <c r="D1372" i="13"/>
  <c r="C1372" i="13"/>
  <c r="B1372" i="13"/>
  <c r="A1372" i="13"/>
  <c r="I1371" i="13"/>
  <c r="H1371" i="13"/>
  <c r="G1371" i="13"/>
  <c r="F1371" i="13"/>
  <c r="E1371" i="13"/>
  <c r="D1371" i="13"/>
  <c r="C1371" i="13"/>
  <c r="B1371" i="13"/>
  <c r="A1371" i="13"/>
  <c r="I1370" i="13"/>
  <c r="H1370" i="13"/>
  <c r="G1370" i="13"/>
  <c r="F1370" i="13"/>
  <c r="E1370" i="13"/>
  <c r="D1370" i="13"/>
  <c r="C1370" i="13"/>
  <c r="B1370" i="13"/>
  <c r="A1370" i="13"/>
  <c r="I1369" i="13"/>
  <c r="H1369" i="13"/>
  <c r="G1369" i="13"/>
  <c r="F1369" i="13"/>
  <c r="E1369" i="13"/>
  <c r="D1369" i="13"/>
  <c r="C1369" i="13"/>
  <c r="B1369" i="13"/>
  <c r="A1369" i="13"/>
  <c r="I1368" i="13"/>
  <c r="H1368" i="13"/>
  <c r="G1368" i="13"/>
  <c r="F1368" i="13"/>
  <c r="E1368" i="13"/>
  <c r="D1368" i="13"/>
  <c r="C1368" i="13"/>
  <c r="B1368" i="13"/>
  <c r="A1368" i="13"/>
  <c r="I1367" i="13"/>
  <c r="H1367" i="13"/>
  <c r="G1367" i="13"/>
  <c r="F1367" i="13"/>
  <c r="E1367" i="13"/>
  <c r="D1367" i="13"/>
  <c r="C1367" i="13"/>
  <c r="B1367" i="13"/>
  <c r="A1367" i="13"/>
  <c r="I1366" i="13"/>
  <c r="H1366" i="13"/>
  <c r="G1366" i="13"/>
  <c r="F1366" i="13"/>
  <c r="E1366" i="13"/>
  <c r="D1366" i="13"/>
  <c r="C1366" i="13"/>
  <c r="B1366" i="13"/>
  <c r="A1366" i="13"/>
  <c r="I1365" i="13"/>
  <c r="H1365" i="13"/>
  <c r="G1365" i="13"/>
  <c r="F1365" i="13"/>
  <c r="E1365" i="13"/>
  <c r="D1365" i="13"/>
  <c r="C1365" i="13"/>
  <c r="B1365" i="13"/>
  <c r="A1365" i="13"/>
  <c r="I1364" i="13"/>
  <c r="A73" i="16" s="1"/>
  <c r="B73" i="16" s="1"/>
  <c r="H1364" i="13"/>
  <c r="G1364" i="13"/>
  <c r="F1364" i="13"/>
  <c r="D73" i="16" s="1"/>
  <c r="E1364" i="13"/>
  <c r="D1364" i="13"/>
  <c r="C1364" i="13"/>
  <c r="B1364" i="13"/>
  <c r="A1364" i="13"/>
  <c r="I1363" i="13"/>
  <c r="H1363" i="13"/>
  <c r="G1363" i="13"/>
  <c r="F1363" i="13"/>
  <c r="E1363" i="13"/>
  <c r="D1363" i="13"/>
  <c r="C1363" i="13"/>
  <c r="B1363" i="13"/>
  <c r="A1363" i="13"/>
  <c r="I1362" i="13"/>
  <c r="H1362" i="13"/>
  <c r="G1362" i="13"/>
  <c r="F1362" i="13"/>
  <c r="E1362" i="13"/>
  <c r="D1362" i="13"/>
  <c r="C1362" i="13"/>
  <c r="B1362" i="13"/>
  <c r="A1362" i="13"/>
  <c r="I1361" i="13"/>
  <c r="H1361" i="13"/>
  <c r="G1361" i="13"/>
  <c r="F1361" i="13"/>
  <c r="E1361" i="13"/>
  <c r="D1361" i="13"/>
  <c r="C1361" i="13"/>
  <c r="B1361" i="13"/>
  <c r="A1361" i="13"/>
  <c r="I1360" i="13"/>
  <c r="H1360" i="13"/>
  <c r="G1360" i="13"/>
  <c r="F1360" i="13"/>
  <c r="E1360" i="13"/>
  <c r="D1360" i="13"/>
  <c r="C1360" i="13"/>
  <c r="B1360" i="13"/>
  <c r="A1360" i="13"/>
  <c r="I1359" i="13"/>
  <c r="H1359" i="13"/>
  <c r="G1359" i="13"/>
  <c r="F1359" i="13"/>
  <c r="E1359" i="13"/>
  <c r="D1359" i="13"/>
  <c r="C1359" i="13"/>
  <c r="B1359" i="13"/>
  <c r="A1359" i="13"/>
  <c r="I1358" i="13"/>
  <c r="H1358" i="13"/>
  <c r="G1358" i="13"/>
  <c r="F1358" i="13"/>
  <c r="E1358" i="13"/>
  <c r="D1358" i="13"/>
  <c r="C1358" i="13"/>
  <c r="B1358" i="13"/>
  <c r="A1358" i="13"/>
  <c r="I1357" i="13"/>
  <c r="H1357" i="13"/>
  <c r="G1357" i="13"/>
  <c r="F1357" i="13"/>
  <c r="E1357" i="13"/>
  <c r="D1357" i="13"/>
  <c r="C1357" i="13"/>
  <c r="B1357" i="13"/>
  <c r="A1357" i="13"/>
  <c r="I1356" i="13"/>
  <c r="H1356" i="13"/>
  <c r="G1356" i="13"/>
  <c r="F1356" i="13"/>
  <c r="E1356" i="13"/>
  <c r="D1356" i="13"/>
  <c r="C1356" i="13"/>
  <c r="B1356" i="13"/>
  <c r="A1356" i="13"/>
  <c r="I1355" i="13"/>
  <c r="H1355" i="13"/>
  <c r="G1355" i="13"/>
  <c r="F1355" i="13"/>
  <c r="E1355" i="13"/>
  <c r="D1355" i="13"/>
  <c r="E72" i="16" s="1"/>
  <c r="C1355" i="13"/>
  <c r="B1355" i="13"/>
  <c r="A1355" i="13"/>
  <c r="I1354" i="13"/>
  <c r="H1354" i="13"/>
  <c r="G1354" i="13"/>
  <c r="F1354" i="13"/>
  <c r="E1354" i="13"/>
  <c r="D1354" i="13"/>
  <c r="C1354" i="13"/>
  <c r="B1354" i="13"/>
  <c r="A1354" i="13"/>
  <c r="I1353" i="13"/>
  <c r="H1353" i="13"/>
  <c r="G1353" i="13"/>
  <c r="F1353" i="13"/>
  <c r="E1353" i="13"/>
  <c r="D1353" i="13"/>
  <c r="C1353" i="13"/>
  <c r="B1353" i="13"/>
  <c r="A1353" i="13"/>
  <c r="I1352" i="13"/>
  <c r="H1352" i="13"/>
  <c r="G1352" i="13"/>
  <c r="F1352" i="13"/>
  <c r="E1352" i="13"/>
  <c r="D1352" i="13"/>
  <c r="C1352" i="13"/>
  <c r="B1352" i="13"/>
  <c r="A1352" i="13"/>
  <c r="I1351" i="13"/>
  <c r="H1351" i="13"/>
  <c r="G1351" i="13"/>
  <c r="F1351" i="13"/>
  <c r="E1351" i="13"/>
  <c r="D1351" i="13"/>
  <c r="C1351" i="13"/>
  <c r="B1351" i="13"/>
  <c r="A1351" i="13"/>
  <c r="I1350" i="13"/>
  <c r="H1350" i="13"/>
  <c r="G1350" i="13"/>
  <c r="F1350" i="13"/>
  <c r="E1350" i="13"/>
  <c r="D1350" i="13"/>
  <c r="C1350" i="13"/>
  <c r="B1350" i="13"/>
  <c r="A1350" i="13"/>
  <c r="I1349" i="13"/>
  <c r="H1349" i="13"/>
  <c r="G1349" i="13"/>
  <c r="F1349" i="13"/>
  <c r="E1349" i="13"/>
  <c r="D1349" i="13"/>
  <c r="C1349" i="13"/>
  <c r="B1349" i="13"/>
  <c r="A1349" i="13"/>
  <c r="I1348" i="13"/>
  <c r="H1348" i="13"/>
  <c r="G1348" i="13"/>
  <c r="F1348" i="13"/>
  <c r="E1348" i="13"/>
  <c r="D1348" i="13"/>
  <c r="C1348" i="13"/>
  <c r="B1348" i="13"/>
  <c r="A1348" i="13"/>
  <c r="I1347" i="13"/>
  <c r="H1347" i="13"/>
  <c r="G1347" i="13"/>
  <c r="F1347" i="13"/>
  <c r="E1347" i="13"/>
  <c r="D1347" i="13"/>
  <c r="C1347" i="13"/>
  <c r="B1347" i="13"/>
  <c r="A1347" i="13"/>
  <c r="I1346" i="13"/>
  <c r="H1346" i="13"/>
  <c r="G1346" i="13"/>
  <c r="F1346" i="13"/>
  <c r="E1346" i="13"/>
  <c r="D1346" i="13"/>
  <c r="C1346" i="13"/>
  <c r="B1346" i="13"/>
  <c r="A1346" i="13"/>
  <c r="I1345" i="13"/>
  <c r="A72" i="16" s="1"/>
  <c r="B72" i="16" s="1"/>
  <c r="H1345" i="13"/>
  <c r="G1345" i="13"/>
  <c r="F1345" i="13"/>
  <c r="D72" i="16" s="1"/>
  <c r="E1345" i="13"/>
  <c r="D1345" i="13"/>
  <c r="C1345" i="13"/>
  <c r="B1345" i="13"/>
  <c r="A1345" i="13"/>
  <c r="I1344" i="13"/>
  <c r="H1344" i="13"/>
  <c r="G1344" i="13"/>
  <c r="F1344" i="13"/>
  <c r="E1344" i="13"/>
  <c r="D1344" i="13"/>
  <c r="C1344" i="13"/>
  <c r="B1344" i="13"/>
  <c r="A1344" i="13"/>
  <c r="I1343" i="13"/>
  <c r="H1343" i="13"/>
  <c r="G1343" i="13"/>
  <c r="F1343" i="13"/>
  <c r="E1343" i="13"/>
  <c r="D1343" i="13"/>
  <c r="C1343" i="13"/>
  <c r="B1343" i="13"/>
  <c r="A1343" i="13"/>
  <c r="I1342" i="13"/>
  <c r="H1342" i="13"/>
  <c r="G1342" i="13"/>
  <c r="F1342" i="13"/>
  <c r="E1342" i="13"/>
  <c r="D1342" i="13"/>
  <c r="C1342" i="13"/>
  <c r="B1342" i="13"/>
  <c r="A1342" i="13"/>
  <c r="I1341" i="13"/>
  <c r="H1341" i="13"/>
  <c r="G1341" i="13"/>
  <c r="F1341" i="13"/>
  <c r="E1341" i="13"/>
  <c r="D1341" i="13"/>
  <c r="C1341" i="13"/>
  <c r="B1341" i="13"/>
  <c r="A1341" i="13"/>
  <c r="I1340" i="13"/>
  <c r="H1340" i="13"/>
  <c r="G1340" i="13"/>
  <c r="F1340" i="13"/>
  <c r="E1340" i="13"/>
  <c r="D1340" i="13"/>
  <c r="C1340" i="13"/>
  <c r="B1340" i="13"/>
  <c r="A1340" i="13"/>
  <c r="I1339" i="13"/>
  <c r="H1339" i="13"/>
  <c r="G1339" i="13"/>
  <c r="F1339" i="13"/>
  <c r="E1339" i="13"/>
  <c r="D1339" i="13"/>
  <c r="C1339" i="13"/>
  <c r="B1339" i="13"/>
  <c r="A1339" i="13"/>
  <c r="I1338" i="13"/>
  <c r="H1338" i="13"/>
  <c r="G1338" i="13"/>
  <c r="F1338" i="13"/>
  <c r="E1338" i="13"/>
  <c r="D1338" i="13"/>
  <c r="C1338" i="13"/>
  <c r="B1338" i="13"/>
  <c r="A1338" i="13"/>
  <c r="I1337" i="13"/>
  <c r="H1337" i="13"/>
  <c r="G1337" i="13"/>
  <c r="F1337" i="13"/>
  <c r="E1337" i="13"/>
  <c r="D1337" i="13"/>
  <c r="E71" i="16" s="1"/>
  <c r="C1337" i="13"/>
  <c r="B1337" i="13"/>
  <c r="A1337" i="13"/>
  <c r="I1336" i="13"/>
  <c r="H1336" i="13"/>
  <c r="G1336" i="13"/>
  <c r="F1336" i="13"/>
  <c r="E1336" i="13"/>
  <c r="D1336" i="13"/>
  <c r="C1336" i="13"/>
  <c r="B1336" i="13"/>
  <c r="A1336" i="13"/>
  <c r="I1335" i="13"/>
  <c r="H1335" i="13"/>
  <c r="G1335" i="13"/>
  <c r="F1335" i="13"/>
  <c r="E1335" i="13"/>
  <c r="D1335" i="13"/>
  <c r="C1335" i="13"/>
  <c r="B1335" i="13"/>
  <c r="A1335" i="13"/>
  <c r="I1334" i="13"/>
  <c r="H1334" i="13"/>
  <c r="G1334" i="13"/>
  <c r="F1334" i="13"/>
  <c r="E1334" i="13"/>
  <c r="D1334" i="13"/>
  <c r="C1334" i="13"/>
  <c r="B1334" i="13"/>
  <c r="A1334" i="13"/>
  <c r="I1333" i="13"/>
  <c r="H1333" i="13"/>
  <c r="G1333" i="13"/>
  <c r="F1333" i="13"/>
  <c r="E1333" i="13"/>
  <c r="D1333" i="13"/>
  <c r="C1333" i="13"/>
  <c r="B1333" i="13"/>
  <c r="A1333" i="13"/>
  <c r="I1332" i="13"/>
  <c r="H1332" i="13"/>
  <c r="G1332" i="13"/>
  <c r="F1332" i="13"/>
  <c r="E1332" i="13"/>
  <c r="D1332" i="13"/>
  <c r="C1332" i="13"/>
  <c r="B1332" i="13"/>
  <c r="A1332" i="13"/>
  <c r="I1331" i="13"/>
  <c r="H1331" i="13"/>
  <c r="G1331" i="13"/>
  <c r="F1331" i="13"/>
  <c r="E1331" i="13"/>
  <c r="D1331" i="13"/>
  <c r="C1331" i="13"/>
  <c r="B1331" i="13"/>
  <c r="A1331" i="13"/>
  <c r="I1330" i="13"/>
  <c r="H1330" i="13"/>
  <c r="G1330" i="13"/>
  <c r="F1330" i="13"/>
  <c r="E1330" i="13"/>
  <c r="D1330" i="13"/>
  <c r="C1330" i="13"/>
  <c r="B1330" i="13"/>
  <c r="A1330" i="13"/>
  <c r="I1329" i="13"/>
  <c r="H1329" i="13"/>
  <c r="G1329" i="13"/>
  <c r="F1329" i="13"/>
  <c r="E1329" i="13"/>
  <c r="D1329" i="13"/>
  <c r="C1329" i="13"/>
  <c r="B1329" i="13"/>
  <c r="A1329" i="13"/>
  <c r="I1328" i="13"/>
  <c r="H1328" i="13"/>
  <c r="G1328" i="13"/>
  <c r="F1328" i="13"/>
  <c r="E1328" i="13"/>
  <c r="D1328" i="13"/>
  <c r="C1328" i="13"/>
  <c r="B1328" i="13"/>
  <c r="A1328" i="13"/>
  <c r="I1327" i="13"/>
  <c r="A71" i="16" s="1"/>
  <c r="B71" i="16" s="1"/>
  <c r="H1327" i="13"/>
  <c r="G1327" i="13"/>
  <c r="F1327" i="13"/>
  <c r="D71" i="16" s="1"/>
  <c r="E1327" i="13"/>
  <c r="D1327" i="13"/>
  <c r="C1327" i="13"/>
  <c r="B1327" i="13"/>
  <c r="A1327" i="13"/>
  <c r="I1326" i="13"/>
  <c r="H1326" i="13"/>
  <c r="G1326" i="13"/>
  <c r="F1326" i="13"/>
  <c r="E1326" i="13"/>
  <c r="D1326" i="13"/>
  <c r="C1326" i="13"/>
  <c r="B1326" i="13"/>
  <c r="A1326" i="13"/>
  <c r="I1325" i="13"/>
  <c r="H1325" i="13"/>
  <c r="G1325" i="13"/>
  <c r="F1325" i="13"/>
  <c r="E1325" i="13"/>
  <c r="D1325" i="13"/>
  <c r="C1325" i="13"/>
  <c r="B1325" i="13"/>
  <c r="A1325" i="13"/>
  <c r="I1324" i="13"/>
  <c r="H1324" i="13"/>
  <c r="G1324" i="13"/>
  <c r="F1324" i="13"/>
  <c r="E1324" i="13"/>
  <c r="D1324" i="13"/>
  <c r="C1324" i="13"/>
  <c r="B1324" i="13"/>
  <c r="A1324" i="13"/>
  <c r="I1323" i="13"/>
  <c r="H1323" i="13"/>
  <c r="G1323" i="13"/>
  <c r="F1323" i="13"/>
  <c r="E1323" i="13"/>
  <c r="D1323" i="13"/>
  <c r="C1323" i="13"/>
  <c r="B1323" i="13"/>
  <c r="A1323" i="13"/>
  <c r="I1322" i="13"/>
  <c r="H1322" i="13"/>
  <c r="G1322" i="13"/>
  <c r="F1322" i="13"/>
  <c r="E1322" i="13"/>
  <c r="D1322" i="13"/>
  <c r="C1322" i="13"/>
  <c r="B1322" i="13"/>
  <c r="A1322" i="13"/>
  <c r="I1321" i="13"/>
  <c r="H1321" i="13"/>
  <c r="G1321" i="13"/>
  <c r="F1321" i="13"/>
  <c r="E1321" i="13"/>
  <c r="D1321" i="13"/>
  <c r="C1321" i="13"/>
  <c r="B1321" i="13"/>
  <c r="A1321" i="13"/>
  <c r="I1320" i="13"/>
  <c r="H1320" i="13"/>
  <c r="G1320" i="13"/>
  <c r="F1320" i="13"/>
  <c r="E1320" i="13"/>
  <c r="D1320" i="13"/>
  <c r="E70" i="16" s="1"/>
  <c r="Q3" i="46" s="1"/>
  <c r="C1320" i="13"/>
  <c r="B1320" i="13"/>
  <c r="A1320" i="13"/>
  <c r="I1319" i="13"/>
  <c r="H1319" i="13"/>
  <c r="G1319" i="13"/>
  <c r="F1319" i="13"/>
  <c r="E1319" i="13"/>
  <c r="D1319" i="13"/>
  <c r="C1319" i="13"/>
  <c r="B1319" i="13"/>
  <c r="A1319" i="13"/>
  <c r="I1318" i="13"/>
  <c r="H1318" i="13"/>
  <c r="G1318" i="13"/>
  <c r="F1318" i="13"/>
  <c r="E1318" i="13"/>
  <c r="D1318" i="13"/>
  <c r="C1318" i="13"/>
  <c r="B1318" i="13"/>
  <c r="A1318" i="13"/>
  <c r="I1317" i="13"/>
  <c r="H1317" i="13"/>
  <c r="G1317" i="13"/>
  <c r="F1317" i="13"/>
  <c r="E1317" i="13"/>
  <c r="D1317" i="13"/>
  <c r="C1317" i="13"/>
  <c r="B1317" i="13"/>
  <c r="A1317" i="13"/>
  <c r="I1316" i="13"/>
  <c r="H1316" i="13"/>
  <c r="G1316" i="13"/>
  <c r="F1316" i="13"/>
  <c r="E1316" i="13"/>
  <c r="D1316" i="13"/>
  <c r="C1316" i="13"/>
  <c r="B1316" i="13"/>
  <c r="A1316" i="13"/>
  <c r="I1315" i="13"/>
  <c r="H1315" i="13"/>
  <c r="G1315" i="13"/>
  <c r="F1315" i="13"/>
  <c r="E1315" i="13"/>
  <c r="D1315" i="13"/>
  <c r="C1315" i="13"/>
  <c r="B1315" i="13"/>
  <c r="A1315" i="13"/>
  <c r="I1314" i="13"/>
  <c r="H1314" i="13"/>
  <c r="G1314" i="13"/>
  <c r="F1314" i="13"/>
  <c r="E1314" i="13"/>
  <c r="D1314" i="13"/>
  <c r="C1314" i="13"/>
  <c r="B1314" i="13"/>
  <c r="A1314" i="13"/>
  <c r="I1313" i="13"/>
  <c r="H1313" i="13"/>
  <c r="G1313" i="13"/>
  <c r="F1313" i="13"/>
  <c r="E1313" i="13"/>
  <c r="D1313" i="13"/>
  <c r="C1313" i="13"/>
  <c r="B1313" i="13"/>
  <c r="A1313" i="13"/>
  <c r="I1312" i="13"/>
  <c r="H1312" i="13"/>
  <c r="G1312" i="13"/>
  <c r="F1312" i="13"/>
  <c r="E1312" i="13"/>
  <c r="D1312" i="13"/>
  <c r="C1312" i="13"/>
  <c r="B1312" i="13"/>
  <c r="A1312" i="13"/>
  <c r="I1311" i="13"/>
  <c r="H1311" i="13"/>
  <c r="G1311" i="13"/>
  <c r="F1311" i="13"/>
  <c r="E1311" i="13"/>
  <c r="D1311" i="13"/>
  <c r="C1311" i="13"/>
  <c r="B1311" i="13"/>
  <c r="A1311" i="13"/>
  <c r="I1310" i="13"/>
  <c r="A70" i="16" s="1"/>
  <c r="B70" i="16" s="1"/>
  <c r="H1310" i="13"/>
  <c r="G1310" i="13"/>
  <c r="F1310" i="13"/>
  <c r="D70" i="16" s="1"/>
  <c r="Q2" i="46" s="1"/>
  <c r="E1310" i="13"/>
  <c r="D1310" i="13"/>
  <c r="C1310" i="13"/>
  <c r="B1310" i="13"/>
  <c r="A1310" i="13"/>
  <c r="I1309" i="13"/>
  <c r="H1309" i="13"/>
  <c r="G1309" i="13"/>
  <c r="F1309" i="13"/>
  <c r="E1309" i="13"/>
  <c r="D1309" i="13"/>
  <c r="C1309" i="13"/>
  <c r="B1309" i="13"/>
  <c r="A1309" i="13"/>
  <c r="I1308" i="13"/>
  <c r="H1308" i="13"/>
  <c r="G1308" i="13"/>
  <c r="F1308" i="13"/>
  <c r="E1308" i="13"/>
  <c r="D1308" i="13"/>
  <c r="C1308" i="13"/>
  <c r="B1308" i="13"/>
  <c r="A1308" i="13"/>
  <c r="I1307" i="13"/>
  <c r="H1307" i="13"/>
  <c r="G1307" i="13"/>
  <c r="F1307" i="13"/>
  <c r="E1307" i="13"/>
  <c r="D1307" i="13"/>
  <c r="C1307" i="13"/>
  <c r="B1307" i="13"/>
  <c r="A1307" i="13"/>
  <c r="I1306" i="13"/>
  <c r="H1306" i="13"/>
  <c r="G1306" i="13"/>
  <c r="F1306" i="13"/>
  <c r="E1306" i="13"/>
  <c r="D1306" i="13"/>
  <c r="C1306" i="13"/>
  <c r="B1306" i="13"/>
  <c r="A1306" i="13"/>
  <c r="I1305" i="13"/>
  <c r="H1305" i="13"/>
  <c r="G1305" i="13"/>
  <c r="F1305" i="13"/>
  <c r="E1305" i="13"/>
  <c r="D1305" i="13"/>
  <c r="C1305" i="13"/>
  <c r="B1305" i="13"/>
  <c r="A1305" i="13"/>
  <c r="I1304" i="13"/>
  <c r="H1304" i="13"/>
  <c r="G1304" i="13"/>
  <c r="F1304" i="13"/>
  <c r="E1304" i="13"/>
  <c r="D1304" i="13"/>
  <c r="C1304" i="13"/>
  <c r="B1304" i="13"/>
  <c r="A1304" i="13"/>
  <c r="I1303" i="13"/>
  <c r="H1303" i="13"/>
  <c r="G1303" i="13"/>
  <c r="F1303" i="13"/>
  <c r="E1303" i="13"/>
  <c r="D1303" i="13"/>
  <c r="C1303" i="13"/>
  <c r="B1303" i="13"/>
  <c r="A1303" i="13"/>
  <c r="I1302" i="13"/>
  <c r="H1302" i="13"/>
  <c r="G1302" i="13"/>
  <c r="F1302" i="13"/>
  <c r="E1302" i="13"/>
  <c r="D1302" i="13"/>
  <c r="C1302" i="13"/>
  <c r="B1302" i="13"/>
  <c r="A1302" i="13"/>
  <c r="I1301" i="13"/>
  <c r="H1301" i="13"/>
  <c r="G1301" i="13"/>
  <c r="F1301" i="13"/>
  <c r="E1301" i="13"/>
  <c r="D1301" i="13"/>
  <c r="E69" i="16" s="1"/>
  <c r="C1301" i="13"/>
  <c r="B1301" i="13"/>
  <c r="A1301" i="13"/>
  <c r="I1300" i="13"/>
  <c r="H1300" i="13"/>
  <c r="G1300" i="13"/>
  <c r="F1300" i="13"/>
  <c r="E1300" i="13"/>
  <c r="D1300" i="13"/>
  <c r="C1300" i="13"/>
  <c r="B1300" i="13"/>
  <c r="A1300" i="13"/>
  <c r="I1299" i="13"/>
  <c r="H1299" i="13"/>
  <c r="G1299" i="13"/>
  <c r="F1299" i="13"/>
  <c r="E1299" i="13"/>
  <c r="D1299" i="13"/>
  <c r="C1299" i="13"/>
  <c r="B1299" i="13"/>
  <c r="A1299" i="13"/>
  <c r="I1298" i="13"/>
  <c r="H1298" i="13"/>
  <c r="G1298" i="13"/>
  <c r="F1298" i="13"/>
  <c r="E1298" i="13"/>
  <c r="D1298" i="13"/>
  <c r="C1298" i="13"/>
  <c r="B1298" i="13"/>
  <c r="A1298" i="13"/>
  <c r="I1297" i="13"/>
  <c r="H1297" i="13"/>
  <c r="G1297" i="13"/>
  <c r="F1297" i="13"/>
  <c r="E1297" i="13"/>
  <c r="D1297" i="13"/>
  <c r="C1297" i="13"/>
  <c r="B1297" i="13"/>
  <c r="A1297" i="13"/>
  <c r="I1296" i="13"/>
  <c r="H1296" i="13"/>
  <c r="G1296" i="13"/>
  <c r="F1296" i="13"/>
  <c r="E1296" i="13"/>
  <c r="D1296" i="13"/>
  <c r="C1296" i="13"/>
  <c r="B1296" i="13"/>
  <c r="A1296" i="13"/>
  <c r="I1295" i="13"/>
  <c r="H1295" i="13"/>
  <c r="G1295" i="13"/>
  <c r="F1295" i="13"/>
  <c r="E1295" i="13"/>
  <c r="D1295" i="13"/>
  <c r="C1295" i="13"/>
  <c r="B1295" i="13"/>
  <c r="A1295" i="13"/>
  <c r="I1294" i="13"/>
  <c r="H1294" i="13"/>
  <c r="G1294" i="13"/>
  <c r="F1294" i="13"/>
  <c r="E1294" i="13"/>
  <c r="D1294" i="13"/>
  <c r="C1294" i="13"/>
  <c r="B1294" i="13"/>
  <c r="A1294" i="13"/>
  <c r="I1293" i="13"/>
  <c r="H1293" i="13"/>
  <c r="G1293" i="13"/>
  <c r="F1293" i="13"/>
  <c r="E1293" i="13"/>
  <c r="D1293" i="13"/>
  <c r="C1293" i="13"/>
  <c r="B1293" i="13"/>
  <c r="A1293" i="13"/>
  <c r="I1292" i="13"/>
  <c r="H1292" i="13"/>
  <c r="G1292" i="13"/>
  <c r="F1292" i="13"/>
  <c r="E1292" i="13"/>
  <c r="D1292" i="13"/>
  <c r="C1292" i="13"/>
  <c r="B1292" i="13"/>
  <c r="A1292" i="13"/>
  <c r="I1291" i="13"/>
  <c r="H1291" i="13"/>
  <c r="G1291" i="13"/>
  <c r="F1291" i="13"/>
  <c r="D69" i="16" s="1"/>
  <c r="E1291" i="13"/>
  <c r="D1291" i="13"/>
  <c r="C1291" i="13"/>
  <c r="B1291" i="13"/>
  <c r="A1291" i="13"/>
  <c r="I1290" i="13"/>
  <c r="H1290" i="13"/>
  <c r="G1290" i="13"/>
  <c r="F1290" i="13"/>
  <c r="E1290" i="13"/>
  <c r="D1290" i="13"/>
  <c r="C1290" i="13"/>
  <c r="B1290" i="13"/>
  <c r="A1290" i="13"/>
  <c r="I1289" i="13"/>
  <c r="H1289" i="13"/>
  <c r="G1289" i="13"/>
  <c r="F1289" i="13"/>
  <c r="E1289" i="13"/>
  <c r="D1289" i="13"/>
  <c r="C1289" i="13"/>
  <c r="B1289" i="13"/>
  <c r="A1289" i="13"/>
  <c r="I1288" i="13"/>
  <c r="H1288" i="13"/>
  <c r="G1288" i="13"/>
  <c r="F1288" i="13"/>
  <c r="E1288" i="13"/>
  <c r="D1288" i="13"/>
  <c r="C1288" i="13"/>
  <c r="B1288" i="13"/>
  <c r="A1288" i="13"/>
  <c r="I1287" i="13"/>
  <c r="H1287" i="13"/>
  <c r="G1287" i="13"/>
  <c r="F1287" i="13"/>
  <c r="E1287" i="13"/>
  <c r="D1287" i="13"/>
  <c r="C1287" i="13"/>
  <c r="B1287" i="13"/>
  <c r="A1287" i="13"/>
  <c r="I1286" i="13"/>
  <c r="H1286" i="13"/>
  <c r="G1286" i="13"/>
  <c r="F1286" i="13"/>
  <c r="E1286" i="13"/>
  <c r="D1286" i="13"/>
  <c r="C1286" i="13"/>
  <c r="B1286" i="13"/>
  <c r="A1286" i="13"/>
  <c r="I1285" i="13"/>
  <c r="H1285" i="13"/>
  <c r="G1285" i="13"/>
  <c r="F1285" i="13"/>
  <c r="E1285" i="13"/>
  <c r="D1285" i="13"/>
  <c r="C1285" i="13"/>
  <c r="B1285" i="13"/>
  <c r="A1285" i="13"/>
  <c r="I1284" i="13"/>
  <c r="H1284" i="13"/>
  <c r="G1284" i="13"/>
  <c r="F1284" i="13"/>
  <c r="E1284" i="13"/>
  <c r="D1284" i="13"/>
  <c r="C1284" i="13"/>
  <c r="B1284" i="13"/>
  <c r="A1284" i="13"/>
  <c r="I1283" i="13"/>
  <c r="H1283" i="13"/>
  <c r="G1283" i="13"/>
  <c r="F1283" i="13"/>
  <c r="E1283" i="13"/>
  <c r="D1283" i="13"/>
  <c r="C1283" i="13"/>
  <c r="B1283" i="13"/>
  <c r="A1283" i="13"/>
  <c r="I1282" i="13"/>
  <c r="H1282" i="13"/>
  <c r="G1282" i="13"/>
  <c r="F1282" i="13"/>
  <c r="E1282" i="13"/>
  <c r="D1282" i="13"/>
  <c r="C1282" i="13"/>
  <c r="B1282" i="13"/>
  <c r="A1282" i="13"/>
  <c r="I1281" i="13"/>
  <c r="H1281" i="13"/>
  <c r="G1281" i="13"/>
  <c r="F1281" i="13"/>
  <c r="E1281" i="13"/>
  <c r="D1281" i="13"/>
  <c r="C1281" i="13"/>
  <c r="B1281" i="13"/>
  <c r="A1281" i="13"/>
  <c r="I1280" i="13"/>
  <c r="H1280" i="13"/>
  <c r="G1280" i="13"/>
  <c r="F1280" i="13"/>
  <c r="E1280" i="13"/>
  <c r="D1280" i="13"/>
  <c r="C1280" i="13"/>
  <c r="B1280" i="13"/>
  <c r="A1280" i="13"/>
  <c r="I1279" i="13"/>
  <c r="H1279" i="13"/>
  <c r="G1279" i="13"/>
  <c r="F1279" i="13"/>
  <c r="E1279" i="13"/>
  <c r="D1279" i="13"/>
  <c r="C1279" i="13"/>
  <c r="B1279" i="13"/>
  <c r="A1279" i="13"/>
  <c r="I1278" i="13"/>
  <c r="H1278" i="13"/>
  <c r="G1278" i="13"/>
  <c r="F1278" i="13"/>
  <c r="E1278" i="13"/>
  <c r="D1278" i="13"/>
  <c r="C1278" i="13"/>
  <c r="B1278" i="13"/>
  <c r="A1278" i="13"/>
  <c r="I1277" i="13"/>
  <c r="H1277" i="13"/>
  <c r="G1277" i="13"/>
  <c r="F1277" i="13"/>
  <c r="E1277" i="13"/>
  <c r="D1277" i="13"/>
  <c r="C1277" i="13"/>
  <c r="B1277" i="13"/>
  <c r="A1277" i="13"/>
  <c r="I1276" i="13"/>
  <c r="H1276" i="13"/>
  <c r="G1276" i="13"/>
  <c r="F1276" i="13"/>
  <c r="E1276" i="13"/>
  <c r="D1276" i="13"/>
  <c r="C1276" i="13"/>
  <c r="B1276" i="13"/>
  <c r="A1276" i="13"/>
  <c r="I1275" i="13"/>
  <c r="H1275" i="13"/>
  <c r="G1275" i="13"/>
  <c r="F1275" i="13"/>
  <c r="E1275" i="13"/>
  <c r="D1275" i="13"/>
  <c r="C1275" i="13"/>
  <c r="B1275" i="13"/>
  <c r="A1275" i="13"/>
  <c r="I1274" i="13"/>
  <c r="H1274" i="13"/>
  <c r="G1274" i="13"/>
  <c r="F1274" i="13"/>
  <c r="E1274" i="13"/>
  <c r="D1274" i="13"/>
  <c r="C1274" i="13"/>
  <c r="B1274" i="13"/>
  <c r="A1274" i="13"/>
  <c r="I1273" i="13"/>
  <c r="H1273" i="13"/>
  <c r="G1273" i="13"/>
  <c r="F1273" i="13"/>
  <c r="E1273" i="13"/>
  <c r="D1273" i="13"/>
  <c r="C1273" i="13"/>
  <c r="B1273" i="13"/>
  <c r="A1273" i="13"/>
  <c r="I1272" i="13"/>
  <c r="H1272" i="13"/>
  <c r="G1272" i="13"/>
  <c r="F1272" i="13"/>
  <c r="E1272" i="13"/>
  <c r="D1272" i="13"/>
  <c r="C1272" i="13"/>
  <c r="B1272" i="13"/>
  <c r="A1272" i="13"/>
  <c r="I1271" i="13"/>
  <c r="H1271" i="13"/>
  <c r="G1271" i="13"/>
  <c r="F1271" i="13"/>
  <c r="E1271" i="13"/>
  <c r="D1271" i="13"/>
  <c r="C1271" i="13"/>
  <c r="B1271" i="13"/>
  <c r="A1271" i="13"/>
  <c r="I1270" i="13"/>
  <c r="H1270" i="13"/>
  <c r="G1270" i="13"/>
  <c r="F1270" i="13"/>
  <c r="E1270" i="13"/>
  <c r="D1270" i="13"/>
  <c r="C1270" i="13"/>
  <c r="B1270" i="13"/>
  <c r="A1270" i="13"/>
  <c r="I1269" i="13"/>
  <c r="H1269" i="13"/>
  <c r="G1269" i="13"/>
  <c r="F1269" i="13"/>
  <c r="E1269" i="13"/>
  <c r="D1269" i="13"/>
  <c r="C1269" i="13"/>
  <c r="B1269" i="13"/>
  <c r="A1269" i="13"/>
  <c r="I1268" i="13"/>
  <c r="H1268" i="13"/>
  <c r="G1268" i="13"/>
  <c r="F1268" i="13"/>
  <c r="E1268" i="13"/>
  <c r="D1268" i="13"/>
  <c r="C1268" i="13"/>
  <c r="B1268" i="13"/>
  <c r="A1268" i="13"/>
  <c r="I1267" i="13"/>
  <c r="H1267" i="13"/>
  <c r="G1267" i="13"/>
  <c r="F1267" i="13"/>
  <c r="E1267" i="13"/>
  <c r="D1267" i="13"/>
  <c r="C1267" i="13"/>
  <c r="B1267" i="13"/>
  <c r="A1267" i="13"/>
  <c r="I1266" i="13"/>
  <c r="H1266" i="13"/>
  <c r="G1266" i="13"/>
  <c r="F1266" i="13"/>
  <c r="E1266" i="13"/>
  <c r="D1266" i="13"/>
  <c r="C1266" i="13"/>
  <c r="B1266" i="13"/>
  <c r="A1266" i="13"/>
  <c r="I1265" i="13"/>
  <c r="H1265" i="13"/>
  <c r="G1265" i="13"/>
  <c r="F1265" i="13"/>
  <c r="E1265" i="13"/>
  <c r="D1265" i="13"/>
  <c r="C1265" i="13"/>
  <c r="B1265" i="13"/>
  <c r="A1265" i="13"/>
  <c r="I1264" i="13"/>
  <c r="H1264" i="13"/>
  <c r="G1264" i="13"/>
  <c r="F1264" i="13"/>
  <c r="E1264" i="13"/>
  <c r="D1264" i="13"/>
  <c r="C1264" i="13"/>
  <c r="B1264" i="13"/>
  <c r="A1264" i="13"/>
  <c r="I1263" i="13"/>
  <c r="H1263" i="13"/>
  <c r="G1263" i="13"/>
  <c r="F1263" i="13"/>
  <c r="E1263" i="13"/>
  <c r="D1263" i="13"/>
  <c r="C1263" i="13"/>
  <c r="B1263" i="13"/>
  <c r="A1263" i="13"/>
  <c r="I1262" i="13"/>
  <c r="H1262" i="13"/>
  <c r="G1262" i="13"/>
  <c r="F1262" i="13"/>
  <c r="E1262" i="13"/>
  <c r="D1262" i="13"/>
  <c r="C1262" i="13"/>
  <c r="B1262" i="13"/>
  <c r="A1262" i="13"/>
  <c r="I1261" i="13"/>
  <c r="H1261" i="13"/>
  <c r="G1261" i="13"/>
  <c r="F1261" i="13"/>
  <c r="E1261" i="13"/>
  <c r="D1261" i="13"/>
  <c r="C1261" i="13"/>
  <c r="B1261" i="13"/>
  <c r="A1261" i="13"/>
  <c r="I1260" i="13"/>
  <c r="H1260" i="13"/>
  <c r="G1260" i="13"/>
  <c r="F1260" i="13"/>
  <c r="E1260" i="13"/>
  <c r="D1260" i="13"/>
  <c r="C1260" i="13"/>
  <c r="B1260" i="13"/>
  <c r="A1260" i="13"/>
  <c r="I1259" i="13"/>
  <c r="H1259" i="13"/>
  <c r="G1259" i="13"/>
  <c r="F1259" i="13"/>
  <c r="E1259" i="13"/>
  <c r="D1259" i="13"/>
  <c r="C1259" i="13"/>
  <c r="B1259" i="13"/>
  <c r="A1259" i="13"/>
  <c r="I1258" i="13"/>
  <c r="H1258" i="13"/>
  <c r="G1258" i="13"/>
  <c r="F1258" i="13"/>
  <c r="E1258" i="13"/>
  <c r="D1258" i="13"/>
  <c r="E68" i="16" s="1"/>
  <c r="C1258" i="13"/>
  <c r="B1258" i="13"/>
  <c r="A1258" i="13"/>
  <c r="I1257" i="13"/>
  <c r="H1257" i="13"/>
  <c r="G1257" i="13"/>
  <c r="F1257" i="13"/>
  <c r="E1257" i="13"/>
  <c r="D1257" i="13"/>
  <c r="C1257" i="13"/>
  <c r="B1257" i="13"/>
  <c r="A1257" i="13"/>
  <c r="I1256" i="13"/>
  <c r="H1256" i="13"/>
  <c r="G1256" i="13"/>
  <c r="F1256" i="13"/>
  <c r="E1256" i="13"/>
  <c r="D1256" i="13"/>
  <c r="C1256" i="13"/>
  <c r="B1256" i="13"/>
  <c r="A1256" i="13"/>
  <c r="I1255" i="13"/>
  <c r="H1255" i="13"/>
  <c r="G1255" i="13"/>
  <c r="F1255" i="13"/>
  <c r="E1255" i="13"/>
  <c r="D1255" i="13"/>
  <c r="C1255" i="13"/>
  <c r="B1255" i="13"/>
  <c r="A1255" i="13"/>
  <c r="I1254" i="13"/>
  <c r="H1254" i="13"/>
  <c r="G1254" i="13"/>
  <c r="F1254" i="13"/>
  <c r="E1254" i="13"/>
  <c r="D1254" i="13"/>
  <c r="C1254" i="13"/>
  <c r="B1254" i="13"/>
  <c r="A1254" i="13"/>
  <c r="I1253" i="13"/>
  <c r="H1253" i="13"/>
  <c r="G1253" i="13"/>
  <c r="F1253" i="13"/>
  <c r="E1253" i="13"/>
  <c r="D1253" i="13"/>
  <c r="C1253" i="13"/>
  <c r="B1253" i="13"/>
  <c r="A1253" i="13"/>
  <c r="I1252" i="13"/>
  <c r="H1252" i="13"/>
  <c r="G1252" i="13"/>
  <c r="F1252" i="13"/>
  <c r="E1252" i="13"/>
  <c r="D1252" i="13"/>
  <c r="C1252" i="13"/>
  <c r="B1252" i="13"/>
  <c r="A1252" i="13"/>
  <c r="I1251" i="13"/>
  <c r="H1251" i="13"/>
  <c r="G1251" i="13"/>
  <c r="F1251" i="13"/>
  <c r="E1251" i="13"/>
  <c r="D1251" i="13"/>
  <c r="C1251" i="13"/>
  <c r="B1251" i="13"/>
  <c r="A1251" i="13"/>
  <c r="I1250" i="13"/>
  <c r="H1250" i="13"/>
  <c r="G1250" i="13"/>
  <c r="F1250" i="13"/>
  <c r="E1250" i="13"/>
  <c r="D1250" i="13"/>
  <c r="C1250" i="13"/>
  <c r="B1250" i="13"/>
  <c r="A1250" i="13"/>
  <c r="I1249" i="13"/>
  <c r="A68" i="16" s="1"/>
  <c r="B68" i="16" s="1"/>
  <c r="H1249" i="13"/>
  <c r="G1249" i="13"/>
  <c r="F1249" i="13"/>
  <c r="D68" i="16" s="1"/>
  <c r="E1249" i="13"/>
  <c r="D1249" i="13"/>
  <c r="C1249" i="13"/>
  <c r="B1249" i="13"/>
  <c r="A1249" i="13"/>
  <c r="I1248" i="13"/>
  <c r="H1248" i="13"/>
  <c r="G1248" i="13"/>
  <c r="F1248" i="13"/>
  <c r="E1248" i="13"/>
  <c r="D1248" i="13"/>
  <c r="C1248" i="13"/>
  <c r="B1248" i="13"/>
  <c r="A1248" i="13"/>
  <c r="I1247" i="13"/>
  <c r="H1247" i="13"/>
  <c r="G1247" i="13"/>
  <c r="F1247" i="13"/>
  <c r="E1247" i="13"/>
  <c r="D1247" i="13"/>
  <c r="C1247" i="13"/>
  <c r="B1247" i="13"/>
  <c r="A1247" i="13"/>
  <c r="I1246" i="13"/>
  <c r="H1246" i="13"/>
  <c r="G1246" i="13"/>
  <c r="F1246" i="13"/>
  <c r="E1246" i="13"/>
  <c r="D1246" i="13"/>
  <c r="C1246" i="13"/>
  <c r="B1246" i="13"/>
  <c r="A1246" i="13"/>
  <c r="I1245" i="13"/>
  <c r="H1245" i="13"/>
  <c r="G1245" i="13"/>
  <c r="F1245" i="13"/>
  <c r="E1245" i="13"/>
  <c r="D1245" i="13"/>
  <c r="C1245" i="13"/>
  <c r="B1245" i="13"/>
  <c r="A1245" i="13"/>
  <c r="I1244" i="13"/>
  <c r="H1244" i="13"/>
  <c r="G1244" i="13"/>
  <c r="F1244" i="13"/>
  <c r="E1244" i="13"/>
  <c r="D1244" i="13"/>
  <c r="C1244" i="13"/>
  <c r="B1244" i="13"/>
  <c r="A1244" i="13"/>
  <c r="I1243" i="13"/>
  <c r="H1243" i="13"/>
  <c r="G1243" i="13"/>
  <c r="F1243" i="13"/>
  <c r="E1243" i="13"/>
  <c r="D1243" i="13"/>
  <c r="C1243" i="13"/>
  <c r="B1243" i="13"/>
  <c r="A1243" i="13"/>
  <c r="I1242" i="13"/>
  <c r="H1242" i="13"/>
  <c r="G1242" i="13"/>
  <c r="F1242" i="13"/>
  <c r="E1242" i="13"/>
  <c r="D1242" i="13"/>
  <c r="E67" i="16" s="1"/>
  <c r="S3" i="55" s="1"/>
  <c r="C1242" i="13"/>
  <c r="B1242" i="13"/>
  <c r="A1242" i="13"/>
  <c r="I1241" i="13"/>
  <c r="H1241" i="13"/>
  <c r="G1241" i="13"/>
  <c r="F1241" i="13"/>
  <c r="E1241" i="13"/>
  <c r="D1241" i="13"/>
  <c r="C1241" i="13"/>
  <c r="B1241" i="13"/>
  <c r="A1241" i="13"/>
  <c r="I1240" i="13"/>
  <c r="H1240" i="13"/>
  <c r="G1240" i="13"/>
  <c r="F1240" i="13"/>
  <c r="E1240" i="13"/>
  <c r="D1240" i="13"/>
  <c r="C1240" i="13"/>
  <c r="B1240" i="13"/>
  <c r="A1240" i="13"/>
  <c r="I1239" i="13"/>
  <c r="H1239" i="13"/>
  <c r="G1239" i="13"/>
  <c r="F1239" i="13"/>
  <c r="E1239" i="13"/>
  <c r="D1239" i="13"/>
  <c r="C1239" i="13"/>
  <c r="B1239" i="13"/>
  <c r="A1239" i="13"/>
  <c r="I1238" i="13"/>
  <c r="H1238" i="13"/>
  <c r="G1238" i="13"/>
  <c r="F1238" i="13"/>
  <c r="E1238" i="13"/>
  <c r="D1238" i="13"/>
  <c r="C1238" i="13"/>
  <c r="B1238" i="13"/>
  <c r="A1238" i="13"/>
  <c r="I1237" i="13"/>
  <c r="H1237" i="13"/>
  <c r="G1237" i="13"/>
  <c r="F1237" i="13"/>
  <c r="E1237" i="13"/>
  <c r="D1237" i="13"/>
  <c r="C1237" i="13"/>
  <c r="B1237" i="13"/>
  <c r="A1237" i="13"/>
  <c r="I1236" i="13"/>
  <c r="H1236" i="13"/>
  <c r="G1236" i="13"/>
  <c r="F1236" i="13"/>
  <c r="E1236" i="13"/>
  <c r="D1236" i="13"/>
  <c r="C1236" i="13"/>
  <c r="B1236" i="13"/>
  <c r="A1236" i="13"/>
  <c r="I1235" i="13"/>
  <c r="H1235" i="13"/>
  <c r="G1235" i="13"/>
  <c r="F1235" i="13"/>
  <c r="E1235" i="13"/>
  <c r="D1235" i="13"/>
  <c r="C1235" i="13"/>
  <c r="B1235" i="13"/>
  <c r="A1235" i="13"/>
  <c r="I1234" i="13"/>
  <c r="H1234" i="13"/>
  <c r="G1234" i="13"/>
  <c r="F1234" i="13"/>
  <c r="E1234" i="13"/>
  <c r="D1234" i="13"/>
  <c r="C1234" i="13"/>
  <c r="B1234" i="13"/>
  <c r="A1234" i="13"/>
  <c r="I1233" i="13"/>
  <c r="H1233" i="13"/>
  <c r="G1233" i="13"/>
  <c r="F1233" i="13"/>
  <c r="E1233" i="13"/>
  <c r="D1233" i="13"/>
  <c r="C1233" i="13"/>
  <c r="B1233" i="13"/>
  <c r="A1233" i="13"/>
  <c r="I1232" i="13"/>
  <c r="A67" i="16" s="1"/>
  <c r="B67" i="16" s="1"/>
  <c r="H1232" i="13"/>
  <c r="G1232" i="13"/>
  <c r="F1232" i="13"/>
  <c r="D67" i="16" s="1"/>
  <c r="S2" i="55" s="1"/>
  <c r="E1232" i="13"/>
  <c r="D1232" i="13"/>
  <c r="C1232" i="13"/>
  <c r="B1232" i="13"/>
  <c r="A1232" i="13"/>
  <c r="I1231" i="13"/>
  <c r="H1231" i="13"/>
  <c r="G1231" i="13"/>
  <c r="F1231" i="13"/>
  <c r="E1231" i="13"/>
  <c r="D1231" i="13"/>
  <c r="C1231" i="13"/>
  <c r="B1231" i="13"/>
  <c r="A1231" i="13"/>
  <c r="I1230" i="13"/>
  <c r="H1230" i="13"/>
  <c r="G1230" i="13"/>
  <c r="F1230" i="13"/>
  <c r="E1230" i="13"/>
  <c r="D1230" i="13"/>
  <c r="C1230" i="13"/>
  <c r="B1230" i="13"/>
  <c r="A1230" i="13"/>
  <c r="I1229" i="13"/>
  <c r="H1229" i="13"/>
  <c r="G1229" i="13"/>
  <c r="F1229" i="13"/>
  <c r="E1229" i="13"/>
  <c r="D1229" i="13"/>
  <c r="C1229" i="13"/>
  <c r="B1229" i="13"/>
  <c r="A1229" i="13"/>
  <c r="I1228" i="13"/>
  <c r="H1228" i="13"/>
  <c r="G1228" i="13"/>
  <c r="F1228" i="13"/>
  <c r="E1228" i="13"/>
  <c r="D1228" i="13"/>
  <c r="C1228" i="13"/>
  <c r="B1228" i="13"/>
  <c r="A1228" i="13"/>
  <c r="I1227" i="13"/>
  <c r="H1227" i="13"/>
  <c r="G1227" i="13"/>
  <c r="F1227" i="13"/>
  <c r="E1227" i="13"/>
  <c r="D1227" i="13"/>
  <c r="C1227" i="13"/>
  <c r="B1227" i="13"/>
  <c r="A1227" i="13"/>
  <c r="I1226" i="13"/>
  <c r="H1226" i="13"/>
  <c r="G1226" i="13"/>
  <c r="F1226" i="13"/>
  <c r="E1226" i="13"/>
  <c r="D1226" i="13"/>
  <c r="C1226" i="13"/>
  <c r="B1226" i="13"/>
  <c r="A1226" i="13"/>
  <c r="I1225" i="13"/>
  <c r="H1225" i="13"/>
  <c r="G1225" i="13"/>
  <c r="F1225" i="13"/>
  <c r="E1225" i="13"/>
  <c r="D1225" i="13"/>
  <c r="E66" i="16" s="1"/>
  <c r="C1225" i="13"/>
  <c r="B1225" i="13"/>
  <c r="A1225" i="13"/>
  <c r="I1224" i="13"/>
  <c r="H1224" i="13"/>
  <c r="G1224" i="13"/>
  <c r="F1224" i="13"/>
  <c r="E1224" i="13"/>
  <c r="D1224" i="13"/>
  <c r="C1224" i="13"/>
  <c r="B1224" i="13"/>
  <c r="A1224" i="13"/>
  <c r="I1223" i="13"/>
  <c r="H1223" i="13"/>
  <c r="G1223" i="13"/>
  <c r="F1223" i="13"/>
  <c r="E1223" i="13"/>
  <c r="D1223" i="13"/>
  <c r="C1223" i="13"/>
  <c r="B1223" i="13"/>
  <c r="A1223" i="13"/>
  <c r="I1222" i="13"/>
  <c r="H1222" i="13"/>
  <c r="G1222" i="13"/>
  <c r="F1222" i="13"/>
  <c r="E1222" i="13"/>
  <c r="D1222" i="13"/>
  <c r="C1222" i="13"/>
  <c r="B1222" i="13"/>
  <c r="A1222" i="13"/>
  <c r="I1221" i="13"/>
  <c r="H1221" i="13"/>
  <c r="G1221" i="13"/>
  <c r="F1221" i="13"/>
  <c r="E1221" i="13"/>
  <c r="D1221" i="13"/>
  <c r="C1221" i="13"/>
  <c r="B1221" i="13"/>
  <c r="A1221" i="13"/>
  <c r="I1220" i="13"/>
  <c r="H1220" i="13"/>
  <c r="G1220" i="13"/>
  <c r="F1220" i="13"/>
  <c r="E1220" i="13"/>
  <c r="D1220" i="13"/>
  <c r="C1220" i="13"/>
  <c r="B1220" i="13"/>
  <c r="A1220" i="13"/>
  <c r="I1219" i="13"/>
  <c r="H1219" i="13"/>
  <c r="G1219" i="13"/>
  <c r="F1219" i="13"/>
  <c r="E1219" i="13"/>
  <c r="D1219" i="13"/>
  <c r="C1219" i="13"/>
  <c r="B1219" i="13"/>
  <c r="A1219" i="13"/>
  <c r="I1218" i="13"/>
  <c r="H1218" i="13"/>
  <c r="G1218" i="13"/>
  <c r="F1218" i="13"/>
  <c r="E1218" i="13"/>
  <c r="D1218" i="13"/>
  <c r="C1218" i="13"/>
  <c r="B1218" i="13"/>
  <c r="A1218" i="13"/>
  <c r="I1217" i="13"/>
  <c r="H1217" i="13"/>
  <c r="G1217" i="13"/>
  <c r="F1217" i="13"/>
  <c r="E1217" i="13"/>
  <c r="D1217" i="13"/>
  <c r="C1217" i="13"/>
  <c r="B1217" i="13"/>
  <c r="A1217" i="13"/>
  <c r="I1216" i="13"/>
  <c r="A66" i="16" s="1"/>
  <c r="B66" i="16" s="1"/>
  <c r="H1216" i="13"/>
  <c r="G1216" i="13"/>
  <c r="F1216" i="13"/>
  <c r="D66" i="16" s="1"/>
  <c r="E1216" i="13"/>
  <c r="D1216" i="13"/>
  <c r="C1216" i="13"/>
  <c r="B1216" i="13"/>
  <c r="A1216" i="13"/>
  <c r="I1215" i="13"/>
  <c r="H1215" i="13"/>
  <c r="G1215" i="13"/>
  <c r="F1215" i="13"/>
  <c r="E1215" i="13"/>
  <c r="D1215" i="13"/>
  <c r="C1215" i="13"/>
  <c r="B1215" i="13"/>
  <c r="A1215" i="13"/>
  <c r="I1214" i="13"/>
  <c r="H1214" i="13"/>
  <c r="G1214" i="13"/>
  <c r="F1214" i="13"/>
  <c r="E1214" i="13"/>
  <c r="D1214" i="13"/>
  <c r="C1214" i="13"/>
  <c r="B1214" i="13"/>
  <c r="A1214" i="13"/>
  <c r="I1213" i="13"/>
  <c r="H1213" i="13"/>
  <c r="G1213" i="13"/>
  <c r="F1213" i="13"/>
  <c r="E1213" i="13"/>
  <c r="D1213" i="13"/>
  <c r="C1213" i="13"/>
  <c r="B1213" i="13"/>
  <c r="A1213" i="13"/>
  <c r="I1212" i="13"/>
  <c r="H1212" i="13"/>
  <c r="G1212" i="13"/>
  <c r="F1212" i="13"/>
  <c r="E1212" i="13"/>
  <c r="D1212" i="13"/>
  <c r="C1212" i="13"/>
  <c r="B1212" i="13"/>
  <c r="A1212" i="13"/>
  <c r="I1211" i="13"/>
  <c r="H1211" i="13"/>
  <c r="G1211" i="13"/>
  <c r="F1211" i="13"/>
  <c r="E1211" i="13"/>
  <c r="D1211" i="13"/>
  <c r="C1211" i="13"/>
  <c r="B1211" i="13"/>
  <c r="A1211" i="13"/>
  <c r="I1210" i="13"/>
  <c r="H1210" i="13"/>
  <c r="G1210" i="13"/>
  <c r="F1210" i="13"/>
  <c r="E1210" i="13"/>
  <c r="D1210" i="13"/>
  <c r="C1210" i="13"/>
  <c r="B1210" i="13"/>
  <c r="A1210" i="13"/>
  <c r="I1209" i="13"/>
  <c r="H1209" i="13"/>
  <c r="G1209" i="13"/>
  <c r="F1209" i="13"/>
  <c r="E1209" i="13"/>
  <c r="D1209" i="13"/>
  <c r="C1209" i="13"/>
  <c r="B1209" i="13"/>
  <c r="A1209" i="13"/>
  <c r="I1208" i="13"/>
  <c r="H1208" i="13"/>
  <c r="G1208" i="13"/>
  <c r="F1208" i="13"/>
  <c r="E1208" i="13"/>
  <c r="D1208" i="13"/>
  <c r="E65" i="16" s="1"/>
  <c r="C1208" i="13"/>
  <c r="B1208" i="13"/>
  <c r="A1208" i="13"/>
  <c r="I1207" i="13"/>
  <c r="H1207" i="13"/>
  <c r="G1207" i="13"/>
  <c r="F1207" i="13"/>
  <c r="E1207" i="13"/>
  <c r="D1207" i="13"/>
  <c r="C1207" i="13"/>
  <c r="B1207" i="13"/>
  <c r="A1207" i="13"/>
  <c r="I1206" i="13"/>
  <c r="H1206" i="13"/>
  <c r="G1206" i="13"/>
  <c r="F1206" i="13"/>
  <c r="E1206" i="13"/>
  <c r="D1206" i="13"/>
  <c r="C1206" i="13"/>
  <c r="B1206" i="13"/>
  <c r="A1206" i="13"/>
  <c r="I1205" i="13"/>
  <c r="H1205" i="13"/>
  <c r="G1205" i="13"/>
  <c r="F1205" i="13"/>
  <c r="E1205" i="13"/>
  <c r="D1205" i="13"/>
  <c r="C1205" i="13"/>
  <c r="B1205" i="13"/>
  <c r="A1205" i="13"/>
  <c r="I1204" i="13"/>
  <c r="H1204" i="13"/>
  <c r="G1204" i="13"/>
  <c r="F1204" i="13"/>
  <c r="E1204" i="13"/>
  <c r="D1204" i="13"/>
  <c r="C1204" i="13"/>
  <c r="B1204" i="13"/>
  <c r="A1204" i="13"/>
  <c r="I1203" i="13"/>
  <c r="H1203" i="13"/>
  <c r="G1203" i="13"/>
  <c r="F1203" i="13"/>
  <c r="E1203" i="13"/>
  <c r="D1203" i="13"/>
  <c r="C1203" i="13"/>
  <c r="B1203" i="13"/>
  <c r="A1203" i="13"/>
  <c r="I1202" i="13"/>
  <c r="H1202" i="13"/>
  <c r="G1202" i="13"/>
  <c r="F1202" i="13"/>
  <c r="E1202" i="13"/>
  <c r="D1202" i="13"/>
  <c r="C1202" i="13"/>
  <c r="B1202" i="13"/>
  <c r="A1202" i="13"/>
  <c r="I1201" i="13"/>
  <c r="H1201" i="13"/>
  <c r="G1201" i="13"/>
  <c r="F1201" i="13"/>
  <c r="E1201" i="13"/>
  <c r="D1201" i="13"/>
  <c r="C1201" i="13"/>
  <c r="B1201" i="13"/>
  <c r="A1201" i="13"/>
  <c r="I1200" i="13"/>
  <c r="H1200" i="13"/>
  <c r="G1200" i="13"/>
  <c r="F1200" i="13"/>
  <c r="E1200" i="13"/>
  <c r="D1200" i="13"/>
  <c r="C1200" i="13"/>
  <c r="B1200" i="13"/>
  <c r="A1200" i="13"/>
  <c r="I1199" i="13"/>
  <c r="H1199" i="13"/>
  <c r="G1199" i="13"/>
  <c r="F1199" i="13"/>
  <c r="E1199" i="13"/>
  <c r="D1199" i="13"/>
  <c r="C1199" i="13"/>
  <c r="B1199" i="13"/>
  <c r="A1199" i="13"/>
  <c r="I1198" i="13"/>
  <c r="A65" i="16" s="1"/>
  <c r="B65" i="16" s="1"/>
  <c r="H1198" i="13"/>
  <c r="G1198" i="13"/>
  <c r="F1198" i="13"/>
  <c r="D65" i="16" s="1"/>
  <c r="E1198" i="13"/>
  <c r="D1198" i="13"/>
  <c r="C1198" i="13"/>
  <c r="B1198" i="13"/>
  <c r="A1198" i="13"/>
  <c r="I1197" i="13"/>
  <c r="H1197" i="13"/>
  <c r="G1197" i="13"/>
  <c r="F1197" i="13"/>
  <c r="E1197" i="13"/>
  <c r="D1197" i="13"/>
  <c r="C1197" i="13"/>
  <c r="B1197" i="13"/>
  <c r="A1197" i="13"/>
  <c r="I1196" i="13"/>
  <c r="H1196" i="13"/>
  <c r="G1196" i="13"/>
  <c r="F1196" i="13"/>
  <c r="E1196" i="13"/>
  <c r="D1196" i="13"/>
  <c r="C1196" i="13"/>
  <c r="B1196" i="13"/>
  <c r="A1196" i="13"/>
  <c r="I1195" i="13"/>
  <c r="H1195" i="13"/>
  <c r="G1195" i="13"/>
  <c r="F1195" i="13"/>
  <c r="E1195" i="13"/>
  <c r="D1195" i="13"/>
  <c r="C1195" i="13"/>
  <c r="B1195" i="13"/>
  <c r="A1195" i="13"/>
  <c r="I1194" i="13"/>
  <c r="H1194" i="13"/>
  <c r="G1194" i="13"/>
  <c r="F1194" i="13"/>
  <c r="E1194" i="13"/>
  <c r="D1194" i="13"/>
  <c r="C1194" i="13"/>
  <c r="B1194" i="13"/>
  <c r="A1194" i="13"/>
  <c r="I1193" i="13"/>
  <c r="H1193" i="13"/>
  <c r="G1193" i="13"/>
  <c r="F1193" i="13"/>
  <c r="E1193" i="13"/>
  <c r="D1193" i="13"/>
  <c r="C1193" i="13"/>
  <c r="B1193" i="13"/>
  <c r="A1193" i="13"/>
  <c r="I1192" i="13"/>
  <c r="H1192" i="13"/>
  <c r="G1192" i="13"/>
  <c r="F1192" i="13"/>
  <c r="E1192" i="13"/>
  <c r="D1192" i="13"/>
  <c r="C1192" i="13"/>
  <c r="B1192" i="13"/>
  <c r="A1192" i="13"/>
  <c r="I1191" i="13"/>
  <c r="H1191" i="13"/>
  <c r="G1191" i="13"/>
  <c r="F1191" i="13"/>
  <c r="E1191" i="13"/>
  <c r="D1191" i="13"/>
  <c r="C1191" i="13"/>
  <c r="B1191" i="13"/>
  <c r="A1191" i="13"/>
  <c r="I1190" i="13"/>
  <c r="H1190" i="13"/>
  <c r="G1190" i="13"/>
  <c r="F1190" i="13"/>
  <c r="E1190" i="13"/>
  <c r="D1190" i="13"/>
  <c r="C1190" i="13"/>
  <c r="B1190" i="13"/>
  <c r="A1190" i="13"/>
  <c r="I1189" i="13"/>
  <c r="H1189" i="13"/>
  <c r="G1189" i="13"/>
  <c r="F1189" i="13"/>
  <c r="E1189" i="13"/>
  <c r="D1189" i="13"/>
  <c r="E64" i="16" s="1"/>
  <c r="C1189" i="13"/>
  <c r="B1189" i="13"/>
  <c r="A1189" i="13"/>
  <c r="I1188" i="13"/>
  <c r="H1188" i="13"/>
  <c r="G1188" i="13"/>
  <c r="F1188" i="13"/>
  <c r="E1188" i="13"/>
  <c r="D1188" i="13"/>
  <c r="C1188" i="13"/>
  <c r="B1188" i="13"/>
  <c r="A1188" i="13"/>
  <c r="I1187" i="13"/>
  <c r="H1187" i="13"/>
  <c r="G1187" i="13"/>
  <c r="F1187" i="13"/>
  <c r="E1187" i="13"/>
  <c r="D1187" i="13"/>
  <c r="C1187" i="13"/>
  <c r="B1187" i="13"/>
  <c r="A1187" i="13"/>
  <c r="I1186" i="13"/>
  <c r="H1186" i="13"/>
  <c r="G1186" i="13"/>
  <c r="F1186" i="13"/>
  <c r="E1186" i="13"/>
  <c r="D1186" i="13"/>
  <c r="C1186" i="13"/>
  <c r="B1186" i="13"/>
  <c r="A1186" i="13"/>
  <c r="I1185" i="13"/>
  <c r="H1185" i="13"/>
  <c r="G1185" i="13"/>
  <c r="F1185" i="13"/>
  <c r="E1185" i="13"/>
  <c r="D1185" i="13"/>
  <c r="C1185" i="13"/>
  <c r="B1185" i="13"/>
  <c r="A1185" i="13"/>
  <c r="I1184" i="13"/>
  <c r="H1184" i="13"/>
  <c r="G1184" i="13"/>
  <c r="F1184" i="13"/>
  <c r="E1184" i="13"/>
  <c r="D1184" i="13"/>
  <c r="C1184" i="13"/>
  <c r="B1184" i="13"/>
  <c r="A1184" i="13"/>
  <c r="I1183" i="13"/>
  <c r="H1183" i="13"/>
  <c r="G1183" i="13"/>
  <c r="F1183" i="13"/>
  <c r="E1183" i="13"/>
  <c r="D1183" i="13"/>
  <c r="C1183" i="13"/>
  <c r="B1183" i="13"/>
  <c r="A1183" i="13"/>
  <c r="I1182" i="13"/>
  <c r="H1182" i="13"/>
  <c r="G1182" i="13"/>
  <c r="F1182" i="13"/>
  <c r="E1182" i="13"/>
  <c r="D1182" i="13"/>
  <c r="C1182" i="13"/>
  <c r="B1182" i="13"/>
  <c r="A1182" i="13"/>
  <c r="I1181" i="13"/>
  <c r="H1181" i="13"/>
  <c r="G1181" i="13"/>
  <c r="F1181" i="13"/>
  <c r="E1181" i="13"/>
  <c r="D1181" i="13"/>
  <c r="C1181" i="13"/>
  <c r="B1181" i="13"/>
  <c r="A1181" i="13"/>
  <c r="I1180" i="13"/>
  <c r="H1180" i="13"/>
  <c r="G1180" i="13"/>
  <c r="F1180" i="13"/>
  <c r="E1180" i="13"/>
  <c r="D1180" i="13"/>
  <c r="C1180" i="13"/>
  <c r="B1180" i="13"/>
  <c r="A1180" i="13"/>
  <c r="I1179" i="13"/>
  <c r="A64" i="16" s="1"/>
  <c r="B64" i="16" s="1"/>
  <c r="H1179" i="13"/>
  <c r="G1179" i="13"/>
  <c r="F1179" i="13"/>
  <c r="D64" i="16" s="1"/>
  <c r="E1179" i="13"/>
  <c r="D1179" i="13"/>
  <c r="C1179" i="13"/>
  <c r="B1179" i="13"/>
  <c r="A1179" i="13"/>
  <c r="I1178" i="13"/>
  <c r="H1178" i="13"/>
  <c r="G1178" i="13"/>
  <c r="F1178" i="13"/>
  <c r="E1178" i="13"/>
  <c r="D1178" i="13"/>
  <c r="C1178" i="13"/>
  <c r="B1178" i="13"/>
  <c r="A1178" i="13"/>
  <c r="I1177" i="13"/>
  <c r="H1177" i="13"/>
  <c r="G1177" i="13"/>
  <c r="F1177" i="13"/>
  <c r="E1177" i="13"/>
  <c r="D1177" i="13"/>
  <c r="C1177" i="13"/>
  <c r="B1177" i="13"/>
  <c r="A1177" i="13"/>
  <c r="I1176" i="13"/>
  <c r="H1176" i="13"/>
  <c r="G1176" i="13"/>
  <c r="F1176" i="13"/>
  <c r="E1176" i="13"/>
  <c r="D1176" i="13"/>
  <c r="C1176" i="13"/>
  <c r="B1176" i="13"/>
  <c r="A1176" i="13"/>
  <c r="I1175" i="13"/>
  <c r="H1175" i="13"/>
  <c r="G1175" i="13"/>
  <c r="F1175" i="13"/>
  <c r="E1175" i="13"/>
  <c r="D1175" i="13"/>
  <c r="C1175" i="13"/>
  <c r="B1175" i="13"/>
  <c r="A1175" i="13"/>
  <c r="I1174" i="13"/>
  <c r="H1174" i="13"/>
  <c r="G1174" i="13"/>
  <c r="F1174" i="13"/>
  <c r="E1174" i="13"/>
  <c r="D1174" i="13"/>
  <c r="C1174" i="13"/>
  <c r="B1174" i="13"/>
  <c r="A1174" i="13"/>
  <c r="I1173" i="13"/>
  <c r="H1173" i="13"/>
  <c r="G1173" i="13"/>
  <c r="F1173" i="13"/>
  <c r="E1173" i="13"/>
  <c r="D1173" i="13"/>
  <c r="C1173" i="13"/>
  <c r="B1173" i="13"/>
  <c r="A1173" i="13"/>
  <c r="I1172" i="13"/>
  <c r="H1172" i="13"/>
  <c r="G1172" i="13"/>
  <c r="F1172" i="13"/>
  <c r="E1172" i="13"/>
  <c r="D1172" i="13"/>
  <c r="C1172" i="13"/>
  <c r="B1172" i="13"/>
  <c r="A1172" i="13"/>
  <c r="I1171" i="13"/>
  <c r="H1171" i="13"/>
  <c r="G1171" i="13"/>
  <c r="F1171" i="13"/>
  <c r="E1171" i="13"/>
  <c r="D1171" i="13"/>
  <c r="C1171" i="13"/>
  <c r="B1171" i="13"/>
  <c r="A1171" i="13"/>
  <c r="I1170" i="13"/>
  <c r="H1170" i="13"/>
  <c r="G1170" i="13"/>
  <c r="F1170" i="13"/>
  <c r="E1170" i="13"/>
  <c r="D1170" i="13"/>
  <c r="C1170" i="13"/>
  <c r="B1170" i="13"/>
  <c r="A1170" i="13"/>
  <c r="I1169" i="13"/>
  <c r="H1169" i="13"/>
  <c r="G1169" i="13"/>
  <c r="F1169" i="13"/>
  <c r="E1169" i="13"/>
  <c r="D1169" i="13"/>
  <c r="C1169" i="13"/>
  <c r="B1169" i="13"/>
  <c r="A1169" i="13"/>
  <c r="I1168" i="13"/>
  <c r="H1168" i="13"/>
  <c r="G1168" i="13"/>
  <c r="F1168" i="13"/>
  <c r="E1168" i="13"/>
  <c r="D1168" i="13"/>
  <c r="C1168" i="13"/>
  <c r="B1168" i="13"/>
  <c r="A1168" i="13"/>
  <c r="I1167" i="13"/>
  <c r="H1167" i="13"/>
  <c r="G1167" i="13"/>
  <c r="F1167" i="13"/>
  <c r="E1167" i="13"/>
  <c r="D1167" i="13"/>
  <c r="C1167" i="13"/>
  <c r="B1167" i="13"/>
  <c r="A1167" i="13"/>
  <c r="I1166" i="13"/>
  <c r="H1166" i="13"/>
  <c r="G1166" i="13"/>
  <c r="F1166" i="13"/>
  <c r="E1166" i="13"/>
  <c r="D1166" i="13"/>
  <c r="C1166" i="13"/>
  <c r="B1166" i="13"/>
  <c r="A1166" i="13"/>
  <c r="I1165" i="13"/>
  <c r="H1165" i="13"/>
  <c r="G1165" i="13"/>
  <c r="F1165" i="13"/>
  <c r="E1165" i="13"/>
  <c r="D1165" i="13"/>
  <c r="C1165" i="13"/>
  <c r="B1165" i="13"/>
  <c r="A1165" i="13"/>
  <c r="I1164" i="13"/>
  <c r="H1164" i="13"/>
  <c r="G1164" i="13"/>
  <c r="F1164" i="13"/>
  <c r="E1164" i="13"/>
  <c r="D1164" i="13"/>
  <c r="C1164" i="13"/>
  <c r="B1164" i="13"/>
  <c r="A1164" i="13"/>
  <c r="I1163" i="13"/>
  <c r="H1163" i="13"/>
  <c r="G1163" i="13"/>
  <c r="F1163" i="13"/>
  <c r="E1163" i="13"/>
  <c r="D1163" i="13"/>
  <c r="C1163" i="13"/>
  <c r="B1163" i="13"/>
  <c r="A1163" i="13"/>
  <c r="I1162" i="13"/>
  <c r="H1162" i="13"/>
  <c r="G1162" i="13"/>
  <c r="F1162" i="13"/>
  <c r="E1162" i="13"/>
  <c r="D1162" i="13"/>
  <c r="C1162" i="13"/>
  <c r="B1162" i="13"/>
  <c r="A1162" i="13"/>
  <c r="I1161" i="13"/>
  <c r="H1161" i="13"/>
  <c r="G1161" i="13"/>
  <c r="F1161" i="13"/>
  <c r="E1161" i="13"/>
  <c r="D1161" i="13"/>
  <c r="C1161" i="13"/>
  <c r="B1161" i="13"/>
  <c r="A1161" i="13"/>
  <c r="I1160" i="13"/>
  <c r="H1160" i="13"/>
  <c r="G1160" i="13"/>
  <c r="F1160" i="13"/>
  <c r="E1160" i="13"/>
  <c r="D1160" i="13"/>
  <c r="C1160" i="13"/>
  <c r="B1160" i="13"/>
  <c r="A1160" i="13"/>
  <c r="I1159" i="13"/>
  <c r="H1159" i="13"/>
  <c r="G1159" i="13"/>
  <c r="F1159" i="13"/>
  <c r="E1159" i="13"/>
  <c r="D1159" i="13"/>
  <c r="C1159" i="13"/>
  <c r="B1159" i="13"/>
  <c r="A1159" i="13"/>
  <c r="I1158" i="13"/>
  <c r="H1158" i="13"/>
  <c r="G1158" i="13"/>
  <c r="F1158" i="13"/>
  <c r="E1158" i="13"/>
  <c r="D1158" i="13"/>
  <c r="C1158" i="13"/>
  <c r="B1158" i="13"/>
  <c r="A1158" i="13"/>
  <c r="I1157" i="13"/>
  <c r="H1157" i="13"/>
  <c r="G1157" i="13"/>
  <c r="F1157" i="13"/>
  <c r="E1157" i="13"/>
  <c r="D1157" i="13"/>
  <c r="C1157" i="13"/>
  <c r="B1157" i="13"/>
  <c r="A1157" i="13"/>
  <c r="I1156" i="13"/>
  <c r="H1156" i="13"/>
  <c r="G1156" i="13"/>
  <c r="F1156" i="13"/>
  <c r="E1156" i="13"/>
  <c r="D1156" i="13"/>
  <c r="C1156" i="13"/>
  <c r="B1156" i="13"/>
  <c r="A1156" i="13"/>
  <c r="I1155" i="13"/>
  <c r="H1155" i="13"/>
  <c r="G1155" i="13"/>
  <c r="F1155" i="13"/>
  <c r="E1155" i="13"/>
  <c r="D1155" i="13"/>
  <c r="E63" i="16" s="1"/>
  <c r="C1155" i="13"/>
  <c r="B1155" i="13"/>
  <c r="A1155" i="13"/>
  <c r="I1154" i="13"/>
  <c r="H1154" i="13"/>
  <c r="G1154" i="13"/>
  <c r="F1154" i="13"/>
  <c r="E1154" i="13"/>
  <c r="D1154" i="13"/>
  <c r="C1154" i="13"/>
  <c r="B1154" i="13"/>
  <c r="A1154" i="13"/>
  <c r="I1153" i="13"/>
  <c r="H1153" i="13"/>
  <c r="G1153" i="13"/>
  <c r="F1153" i="13"/>
  <c r="E1153" i="13"/>
  <c r="D1153" i="13"/>
  <c r="C1153" i="13"/>
  <c r="B1153" i="13"/>
  <c r="A1153" i="13"/>
  <c r="I1152" i="13"/>
  <c r="H1152" i="13"/>
  <c r="G1152" i="13"/>
  <c r="F1152" i="13"/>
  <c r="E1152" i="13"/>
  <c r="D1152" i="13"/>
  <c r="C1152" i="13"/>
  <c r="B1152" i="13"/>
  <c r="A1152" i="13"/>
  <c r="I1151" i="13"/>
  <c r="H1151" i="13"/>
  <c r="G1151" i="13"/>
  <c r="F1151" i="13"/>
  <c r="E1151" i="13"/>
  <c r="D1151" i="13"/>
  <c r="C1151" i="13"/>
  <c r="B1151" i="13"/>
  <c r="A1151" i="13"/>
  <c r="I1150" i="13"/>
  <c r="H1150" i="13"/>
  <c r="G1150" i="13"/>
  <c r="F1150" i="13"/>
  <c r="E1150" i="13"/>
  <c r="D1150" i="13"/>
  <c r="C1150" i="13"/>
  <c r="B1150" i="13"/>
  <c r="A1150" i="13"/>
  <c r="I1149" i="13"/>
  <c r="H1149" i="13"/>
  <c r="G1149" i="13"/>
  <c r="F1149" i="13"/>
  <c r="E1149" i="13"/>
  <c r="D1149" i="13"/>
  <c r="C1149" i="13"/>
  <c r="B1149" i="13"/>
  <c r="A1149" i="13"/>
  <c r="I1148" i="13"/>
  <c r="H1148" i="13"/>
  <c r="G1148" i="13"/>
  <c r="F1148" i="13"/>
  <c r="E1148" i="13"/>
  <c r="D1148" i="13"/>
  <c r="C1148" i="13"/>
  <c r="B1148" i="13"/>
  <c r="A1148" i="13"/>
  <c r="I1147" i="13"/>
  <c r="H1147" i="13"/>
  <c r="G1147" i="13"/>
  <c r="F1147" i="13"/>
  <c r="E1147" i="13"/>
  <c r="D1147" i="13"/>
  <c r="C1147" i="13"/>
  <c r="B1147" i="13"/>
  <c r="A1147" i="13"/>
  <c r="I1146" i="13"/>
  <c r="H1146" i="13"/>
  <c r="G1146" i="13"/>
  <c r="F1146" i="13"/>
  <c r="E1146" i="13"/>
  <c r="D1146" i="13"/>
  <c r="C1146" i="13"/>
  <c r="B1146" i="13"/>
  <c r="A1146" i="13"/>
  <c r="I1145" i="13"/>
  <c r="A63" i="16" s="1"/>
  <c r="B63" i="16" s="1"/>
  <c r="H1145" i="13"/>
  <c r="G1145" i="13"/>
  <c r="F1145" i="13"/>
  <c r="D63" i="16" s="1"/>
  <c r="E1145" i="13"/>
  <c r="D1145" i="13"/>
  <c r="C1145" i="13"/>
  <c r="B1145" i="13"/>
  <c r="A1145" i="13"/>
  <c r="I1144" i="13"/>
  <c r="H1144" i="13"/>
  <c r="G1144" i="13"/>
  <c r="F1144" i="13"/>
  <c r="E1144" i="13"/>
  <c r="D1144" i="13"/>
  <c r="C1144" i="13"/>
  <c r="B1144" i="13"/>
  <c r="A1144" i="13"/>
  <c r="I1143" i="13"/>
  <c r="H1143" i="13"/>
  <c r="G1143" i="13"/>
  <c r="F1143" i="13"/>
  <c r="E1143" i="13"/>
  <c r="D1143" i="13"/>
  <c r="C1143" i="13"/>
  <c r="B1143" i="13"/>
  <c r="A1143" i="13"/>
  <c r="I1142" i="13"/>
  <c r="H1142" i="13"/>
  <c r="G1142" i="13"/>
  <c r="F1142" i="13"/>
  <c r="E1142" i="13"/>
  <c r="D1142" i="13"/>
  <c r="C1142" i="13"/>
  <c r="B1142" i="13"/>
  <c r="A1142" i="13"/>
  <c r="I1141" i="13"/>
  <c r="H1141" i="13"/>
  <c r="G1141" i="13"/>
  <c r="F1141" i="13"/>
  <c r="E1141" i="13"/>
  <c r="D1141" i="13"/>
  <c r="C1141" i="13"/>
  <c r="B1141" i="13"/>
  <c r="A1141" i="13"/>
  <c r="I1140" i="13"/>
  <c r="H1140" i="13"/>
  <c r="G1140" i="13"/>
  <c r="F1140" i="13"/>
  <c r="E1140" i="13"/>
  <c r="D1140" i="13"/>
  <c r="C1140" i="13"/>
  <c r="B1140" i="13"/>
  <c r="A1140" i="13"/>
  <c r="I1139" i="13"/>
  <c r="H1139" i="13"/>
  <c r="G1139" i="13"/>
  <c r="F1139" i="13"/>
  <c r="E1139" i="13"/>
  <c r="D1139" i="13"/>
  <c r="C1139" i="13"/>
  <c r="B1139" i="13"/>
  <c r="A1139" i="13"/>
  <c r="I1138" i="13"/>
  <c r="H1138" i="13"/>
  <c r="G1138" i="13"/>
  <c r="F1138" i="13"/>
  <c r="E1138" i="13"/>
  <c r="D1138" i="13"/>
  <c r="C1138" i="13"/>
  <c r="B1138" i="13"/>
  <c r="A1138" i="13"/>
  <c r="I1137" i="13"/>
  <c r="H1137" i="13"/>
  <c r="G1137" i="13"/>
  <c r="F1137" i="13"/>
  <c r="E1137" i="13"/>
  <c r="D1137" i="13"/>
  <c r="C1137" i="13"/>
  <c r="B1137" i="13"/>
  <c r="A1137" i="13"/>
  <c r="I1136" i="13"/>
  <c r="H1136" i="13"/>
  <c r="G1136" i="13"/>
  <c r="F1136" i="13"/>
  <c r="E1136" i="13"/>
  <c r="D1136" i="13"/>
  <c r="E62" i="16" s="1"/>
  <c r="C1136" i="13"/>
  <c r="B1136" i="13"/>
  <c r="A1136" i="13"/>
  <c r="I1135" i="13"/>
  <c r="H1135" i="13"/>
  <c r="G1135" i="13"/>
  <c r="F1135" i="13"/>
  <c r="E1135" i="13"/>
  <c r="D1135" i="13"/>
  <c r="C1135" i="13"/>
  <c r="B1135" i="13"/>
  <c r="A1135" i="13"/>
  <c r="I1134" i="13"/>
  <c r="H1134" i="13"/>
  <c r="G1134" i="13"/>
  <c r="F1134" i="13"/>
  <c r="E1134" i="13"/>
  <c r="D1134" i="13"/>
  <c r="C1134" i="13"/>
  <c r="B1134" i="13"/>
  <c r="A1134" i="13"/>
  <c r="I1133" i="13"/>
  <c r="H1133" i="13"/>
  <c r="G1133" i="13"/>
  <c r="F1133" i="13"/>
  <c r="E1133" i="13"/>
  <c r="D1133" i="13"/>
  <c r="C1133" i="13"/>
  <c r="B1133" i="13"/>
  <c r="A1133" i="13"/>
  <c r="I1132" i="13"/>
  <c r="H1132" i="13"/>
  <c r="G1132" i="13"/>
  <c r="F1132" i="13"/>
  <c r="E1132" i="13"/>
  <c r="D1132" i="13"/>
  <c r="C1132" i="13"/>
  <c r="B1132" i="13"/>
  <c r="A1132" i="13"/>
  <c r="I1131" i="13"/>
  <c r="H1131" i="13"/>
  <c r="G1131" i="13"/>
  <c r="F1131" i="13"/>
  <c r="E1131" i="13"/>
  <c r="D1131" i="13"/>
  <c r="C1131" i="13"/>
  <c r="B1131" i="13"/>
  <c r="A1131" i="13"/>
  <c r="I1130" i="13"/>
  <c r="H1130" i="13"/>
  <c r="G1130" i="13"/>
  <c r="F1130" i="13"/>
  <c r="E1130" i="13"/>
  <c r="D1130" i="13"/>
  <c r="C1130" i="13"/>
  <c r="B1130" i="13"/>
  <c r="A1130" i="13"/>
  <c r="I1129" i="13"/>
  <c r="H1129" i="13"/>
  <c r="G1129" i="13"/>
  <c r="F1129" i="13"/>
  <c r="E1129" i="13"/>
  <c r="D1129" i="13"/>
  <c r="C1129" i="13"/>
  <c r="B1129" i="13"/>
  <c r="A1129" i="13"/>
  <c r="I1128" i="13"/>
  <c r="H1128" i="13"/>
  <c r="G1128" i="13"/>
  <c r="F1128" i="13"/>
  <c r="E1128" i="13"/>
  <c r="D1128" i="13"/>
  <c r="C1128" i="13"/>
  <c r="B1128" i="13"/>
  <c r="A1128" i="13"/>
  <c r="I1127" i="13"/>
  <c r="H1127" i="13"/>
  <c r="G1127" i="13"/>
  <c r="F1127" i="13"/>
  <c r="E1127" i="13"/>
  <c r="D1127" i="13"/>
  <c r="C1127" i="13"/>
  <c r="B1127" i="13"/>
  <c r="A1127" i="13"/>
  <c r="I1126" i="13"/>
  <c r="A62" i="16" s="1"/>
  <c r="B62" i="16" s="1"/>
  <c r="H1126" i="13"/>
  <c r="G1126" i="13"/>
  <c r="F1126" i="13"/>
  <c r="D62" i="16" s="1"/>
  <c r="E1126" i="13"/>
  <c r="D1126" i="13"/>
  <c r="C1126" i="13"/>
  <c r="B1126" i="13"/>
  <c r="A1126" i="13"/>
  <c r="I1125" i="13"/>
  <c r="H1125" i="13"/>
  <c r="G1125" i="13"/>
  <c r="F1125" i="13"/>
  <c r="E1125" i="13"/>
  <c r="D1125" i="13"/>
  <c r="C1125" i="13"/>
  <c r="B1125" i="13"/>
  <c r="A1125" i="13"/>
  <c r="I1124" i="13"/>
  <c r="H1124" i="13"/>
  <c r="G1124" i="13"/>
  <c r="F1124" i="13"/>
  <c r="E1124" i="13"/>
  <c r="D1124" i="13"/>
  <c r="C1124" i="13"/>
  <c r="B1124" i="13"/>
  <c r="A1124" i="13"/>
  <c r="I1123" i="13"/>
  <c r="H1123" i="13"/>
  <c r="G1123" i="13"/>
  <c r="F1123" i="13"/>
  <c r="E1123" i="13"/>
  <c r="D1123" i="13"/>
  <c r="C1123" i="13"/>
  <c r="B1123" i="13"/>
  <c r="A1123" i="13"/>
  <c r="I1122" i="13"/>
  <c r="H1122" i="13"/>
  <c r="G1122" i="13"/>
  <c r="F1122" i="13"/>
  <c r="E1122" i="13"/>
  <c r="D1122" i="13"/>
  <c r="C1122" i="13"/>
  <c r="B1122" i="13"/>
  <c r="A1122" i="13"/>
  <c r="I1121" i="13"/>
  <c r="H1121" i="13"/>
  <c r="G1121" i="13"/>
  <c r="F1121" i="13"/>
  <c r="E1121" i="13"/>
  <c r="D1121" i="13"/>
  <c r="C1121" i="13"/>
  <c r="B1121" i="13"/>
  <c r="A1121" i="13"/>
  <c r="I1120" i="13"/>
  <c r="H1120" i="13"/>
  <c r="G1120" i="13"/>
  <c r="F1120" i="13"/>
  <c r="E1120" i="13"/>
  <c r="D1120" i="13"/>
  <c r="C1120" i="13"/>
  <c r="B1120" i="13"/>
  <c r="A1120" i="13"/>
  <c r="I1119" i="13"/>
  <c r="H1119" i="13"/>
  <c r="G1119" i="13"/>
  <c r="F1119" i="13"/>
  <c r="E1119" i="13"/>
  <c r="D1119" i="13"/>
  <c r="C1119" i="13"/>
  <c r="B1119" i="13"/>
  <c r="A1119" i="13"/>
  <c r="I1118" i="13"/>
  <c r="H1118" i="13"/>
  <c r="G1118" i="13"/>
  <c r="F1118" i="13"/>
  <c r="E1118" i="13"/>
  <c r="D1118" i="13"/>
  <c r="C1118" i="13"/>
  <c r="B1118" i="13"/>
  <c r="A1118" i="13"/>
  <c r="I1117" i="13"/>
  <c r="H1117" i="13"/>
  <c r="G1117" i="13"/>
  <c r="F1117" i="13"/>
  <c r="E1117" i="13"/>
  <c r="D1117" i="13"/>
  <c r="C1117" i="13"/>
  <c r="B1117" i="13"/>
  <c r="A1117" i="13"/>
  <c r="I1116" i="13"/>
  <c r="H1116" i="13"/>
  <c r="G1116" i="13"/>
  <c r="F1116" i="13"/>
  <c r="E1116" i="13"/>
  <c r="D1116" i="13"/>
  <c r="C1116" i="13"/>
  <c r="B1116" i="13"/>
  <c r="A1116" i="13"/>
  <c r="I1115" i="13"/>
  <c r="A61" i="16" s="1"/>
  <c r="B61" i="16" s="1"/>
  <c r="H1115" i="13"/>
  <c r="G1115" i="13"/>
  <c r="F1115" i="13"/>
  <c r="D61" i="16" s="1"/>
  <c r="I61" i="16" s="1"/>
  <c r="E1115" i="13"/>
  <c r="D1115" i="13"/>
  <c r="C1115" i="13"/>
  <c r="B1115" i="13"/>
  <c r="A1115" i="13"/>
  <c r="I1114" i="13"/>
  <c r="H1114" i="13"/>
  <c r="G1114" i="13"/>
  <c r="F1114" i="13"/>
  <c r="E1114" i="13"/>
  <c r="D1114" i="13"/>
  <c r="C1114" i="13"/>
  <c r="B1114" i="13"/>
  <c r="A1114" i="13"/>
  <c r="I1113" i="13"/>
  <c r="H1113" i="13"/>
  <c r="G1113" i="13"/>
  <c r="F1113" i="13"/>
  <c r="E1113" i="13"/>
  <c r="D1113" i="13"/>
  <c r="C1113" i="13"/>
  <c r="B1113" i="13"/>
  <c r="A1113" i="13"/>
  <c r="I1112" i="13"/>
  <c r="H1112" i="13"/>
  <c r="G1112" i="13"/>
  <c r="E1112" i="13"/>
  <c r="D1112" i="13"/>
  <c r="C1112" i="13"/>
  <c r="B1112" i="13"/>
  <c r="A1112" i="13"/>
  <c r="I1104" i="13"/>
  <c r="H1104" i="13"/>
  <c r="G1104" i="13"/>
  <c r="F1104" i="13"/>
  <c r="E1104" i="13"/>
  <c r="D1104" i="13"/>
  <c r="C1104" i="13"/>
  <c r="B1104" i="13"/>
  <c r="A1104" i="13"/>
  <c r="I1103" i="13"/>
  <c r="H1103" i="13"/>
  <c r="G1103" i="13"/>
  <c r="F1103" i="13"/>
  <c r="E1103" i="13"/>
  <c r="D1103" i="13"/>
  <c r="C1103" i="13"/>
  <c r="B1103" i="13"/>
  <c r="A1103" i="13"/>
  <c r="I1102" i="13"/>
  <c r="H1102" i="13"/>
  <c r="G1102" i="13"/>
  <c r="F1102" i="13"/>
  <c r="E1102" i="13"/>
  <c r="D1102" i="13"/>
  <c r="C1102" i="13"/>
  <c r="B1102" i="13"/>
  <c r="A1102" i="13"/>
  <c r="I1101" i="13"/>
  <c r="H1101" i="13"/>
  <c r="G1101" i="13"/>
  <c r="F1101" i="13"/>
  <c r="E1101" i="13"/>
  <c r="D1101" i="13"/>
  <c r="C1101" i="13"/>
  <c r="B1101" i="13"/>
  <c r="A1101" i="13"/>
  <c r="I1100" i="13"/>
  <c r="H1100" i="13"/>
  <c r="G1100" i="13"/>
  <c r="F1100" i="13"/>
  <c r="E1100" i="13"/>
  <c r="D1100" i="13"/>
  <c r="E60" i="16" s="1"/>
  <c r="S3" i="54" s="1"/>
  <c r="C1100" i="13"/>
  <c r="B1100" i="13"/>
  <c r="A1100" i="13"/>
  <c r="I1099" i="13"/>
  <c r="H1099" i="13"/>
  <c r="G1099" i="13"/>
  <c r="F1099" i="13"/>
  <c r="E1099" i="13"/>
  <c r="D1099" i="13"/>
  <c r="C1099" i="13"/>
  <c r="B1099" i="13"/>
  <c r="A1099" i="13"/>
  <c r="I1098" i="13"/>
  <c r="H1098" i="13"/>
  <c r="G1098" i="13"/>
  <c r="F1098" i="13"/>
  <c r="E1098" i="13"/>
  <c r="D1098" i="13"/>
  <c r="C1098" i="13"/>
  <c r="B1098" i="13"/>
  <c r="A1098" i="13"/>
  <c r="I1097" i="13"/>
  <c r="H1097" i="13"/>
  <c r="G1097" i="13"/>
  <c r="F1097" i="13"/>
  <c r="E1097" i="13"/>
  <c r="D1097" i="13"/>
  <c r="C1097" i="13"/>
  <c r="B1097" i="13"/>
  <c r="A1097" i="13"/>
  <c r="I1096" i="13"/>
  <c r="H1096" i="13"/>
  <c r="G1096" i="13"/>
  <c r="F1096" i="13"/>
  <c r="E1096" i="13"/>
  <c r="D1096" i="13"/>
  <c r="C1096" i="13"/>
  <c r="B1096" i="13"/>
  <c r="A1096" i="13"/>
  <c r="I1095" i="13"/>
  <c r="H1095" i="13"/>
  <c r="G1095" i="13"/>
  <c r="F1095" i="13"/>
  <c r="E1095" i="13"/>
  <c r="D1095" i="13"/>
  <c r="C1095" i="13"/>
  <c r="B1095" i="13"/>
  <c r="A1095" i="13"/>
  <c r="I1094" i="13"/>
  <c r="H1094" i="13"/>
  <c r="G1094" i="13"/>
  <c r="F1094" i="13"/>
  <c r="E1094" i="13"/>
  <c r="D1094" i="13"/>
  <c r="C1094" i="13"/>
  <c r="B1094" i="13"/>
  <c r="A1094" i="13"/>
  <c r="I1093" i="13"/>
  <c r="H1093" i="13"/>
  <c r="G1093" i="13"/>
  <c r="F1093" i="13"/>
  <c r="E1093" i="13"/>
  <c r="D1093" i="13"/>
  <c r="C1093" i="13"/>
  <c r="B1093" i="13"/>
  <c r="A1093" i="13"/>
  <c r="I1092" i="13"/>
  <c r="H1092" i="13"/>
  <c r="G1092" i="13"/>
  <c r="F1092" i="13"/>
  <c r="E1092" i="13"/>
  <c r="D1092" i="13"/>
  <c r="C1092" i="13"/>
  <c r="B1092" i="13"/>
  <c r="A1092" i="13"/>
  <c r="I1091" i="13"/>
  <c r="H1091" i="13"/>
  <c r="G1091" i="13"/>
  <c r="F1091" i="13"/>
  <c r="E1091" i="13"/>
  <c r="D1091" i="13"/>
  <c r="C1091" i="13"/>
  <c r="B1091" i="13"/>
  <c r="A1091" i="13"/>
  <c r="I1090" i="13"/>
  <c r="A60" i="16" s="1"/>
  <c r="B60" i="16" s="1"/>
  <c r="H1090" i="13"/>
  <c r="G1090" i="13"/>
  <c r="F1090" i="13"/>
  <c r="D60" i="16" s="1"/>
  <c r="S2" i="54" s="1"/>
  <c r="E1090" i="13"/>
  <c r="D1090" i="13"/>
  <c r="C1090" i="13"/>
  <c r="B1090" i="13"/>
  <c r="A1090" i="13"/>
  <c r="I1089" i="13"/>
  <c r="H1089" i="13"/>
  <c r="G1089" i="13"/>
  <c r="F1089" i="13"/>
  <c r="E1089" i="13"/>
  <c r="D1089" i="13"/>
  <c r="C1089" i="13"/>
  <c r="B1089" i="13"/>
  <c r="A1089" i="13"/>
  <c r="I1088" i="13"/>
  <c r="H1088" i="13"/>
  <c r="G1088" i="13"/>
  <c r="F1088" i="13"/>
  <c r="E1088" i="13"/>
  <c r="D1088" i="13"/>
  <c r="C1088" i="13"/>
  <c r="B1088" i="13"/>
  <c r="A1088" i="13"/>
  <c r="I1087" i="13"/>
  <c r="H1087" i="13"/>
  <c r="G1087" i="13"/>
  <c r="F1087" i="13"/>
  <c r="E1087" i="13"/>
  <c r="D1087" i="13"/>
  <c r="C1087" i="13"/>
  <c r="B1087" i="13"/>
  <c r="A1087" i="13"/>
  <c r="I1086" i="13"/>
  <c r="H1086" i="13"/>
  <c r="G1086" i="13"/>
  <c r="F1086" i="13"/>
  <c r="E1086" i="13"/>
  <c r="D1086" i="13"/>
  <c r="C1086" i="13"/>
  <c r="B1086" i="13"/>
  <c r="A1086" i="13"/>
  <c r="I1085" i="13"/>
  <c r="H1085" i="13"/>
  <c r="G1085" i="13"/>
  <c r="F1085" i="13"/>
  <c r="E1085" i="13"/>
  <c r="D1085" i="13"/>
  <c r="C1085" i="13"/>
  <c r="B1085" i="13"/>
  <c r="A1085" i="13"/>
  <c r="I1084" i="13"/>
  <c r="H1084" i="13"/>
  <c r="G1084" i="13"/>
  <c r="F1084" i="13"/>
  <c r="E1084" i="13"/>
  <c r="D1084" i="13"/>
  <c r="E59" i="16" s="1"/>
  <c r="C1084" i="13"/>
  <c r="B1084" i="13"/>
  <c r="A1084" i="13"/>
  <c r="I1083" i="13"/>
  <c r="H1083" i="13"/>
  <c r="G1083" i="13"/>
  <c r="F1083" i="13"/>
  <c r="E1083" i="13"/>
  <c r="D1083" i="13"/>
  <c r="C1083" i="13"/>
  <c r="B1083" i="13"/>
  <c r="A1083" i="13"/>
  <c r="I1082" i="13"/>
  <c r="H1082" i="13"/>
  <c r="G1082" i="13"/>
  <c r="F1082" i="13"/>
  <c r="E1082" i="13"/>
  <c r="D1082" i="13"/>
  <c r="C1082" i="13"/>
  <c r="B1082" i="13"/>
  <c r="A1082" i="13"/>
  <c r="I1081" i="13"/>
  <c r="H1081" i="13"/>
  <c r="G1081" i="13"/>
  <c r="F1081" i="13"/>
  <c r="E1081" i="13"/>
  <c r="D1081" i="13"/>
  <c r="C1081" i="13"/>
  <c r="B1081" i="13"/>
  <c r="A1081" i="13"/>
  <c r="I1080" i="13"/>
  <c r="H1080" i="13"/>
  <c r="G1080" i="13"/>
  <c r="F1080" i="13"/>
  <c r="E1080" i="13"/>
  <c r="D1080" i="13"/>
  <c r="C1080" i="13"/>
  <c r="B1080" i="13"/>
  <c r="A1080" i="13"/>
  <c r="I1079" i="13"/>
  <c r="H1079" i="13"/>
  <c r="G1079" i="13"/>
  <c r="F1079" i="13"/>
  <c r="E1079" i="13"/>
  <c r="D1079" i="13"/>
  <c r="C1079" i="13"/>
  <c r="B1079" i="13"/>
  <c r="A1079" i="13"/>
  <c r="I1078" i="13"/>
  <c r="H1078" i="13"/>
  <c r="G1078" i="13"/>
  <c r="F1078" i="13"/>
  <c r="E1078" i="13"/>
  <c r="D1078" i="13"/>
  <c r="C1078" i="13"/>
  <c r="B1078" i="13"/>
  <c r="A1078" i="13"/>
  <c r="I1077" i="13"/>
  <c r="H1077" i="13"/>
  <c r="G1077" i="13"/>
  <c r="F1077" i="13"/>
  <c r="E1077" i="13"/>
  <c r="D1077" i="13"/>
  <c r="C1077" i="13"/>
  <c r="B1077" i="13"/>
  <c r="A1077" i="13"/>
  <c r="I1076" i="13"/>
  <c r="H1076" i="13"/>
  <c r="G1076" i="13"/>
  <c r="F1076" i="13"/>
  <c r="E1076" i="13"/>
  <c r="D1076" i="13"/>
  <c r="C1076" i="13"/>
  <c r="B1076" i="13"/>
  <c r="A1076" i="13"/>
  <c r="I1075" i="13"/>
  <c r="A59" i="16" s="1"/>
  <c r="B59" i="16" s="1"/>
  <c r="H1075" i="13"/>
  <c r="G1075" i="13"/>
  <c r="F1075" i="13"/>
  <c r="D59" i="16" s="1"/>
  <c r="E1075" i="13"/>
  <c r="D1075" i="13"/>
  <c r="C1075" i="13"/>
  <c r="B1075" i="13"/>
  <c r="A1075" i="13"/>
  <c r="I1074" i="13"/>
  <c r="H1074" i="13"/>
  <c r="G1074" i="13"/>
  <c r="F1074" i="13"/>
  <c r="E1074" i="13"/>
  <c r="D1074" i="13"/>
  <c r="C1074" i="13"/>
  <c r="B1074" i="13"/>
  <c r="A1074" i="13"/>
  <c r="I1073" i="13"/>
  <c r="H1073" i="13"/>
  <c r="G1073" i="13"/>
  <c r="F1073" i="13"/>
  <c r="E1073" i="13"/>
  <c r="D1073" i="13"/>
  <c r="C1073" i="13"/>
  <c r="B1073" i="13"/>
  <c r="A1073" i="13"/>
  <c r="I1072" i="13"/>
  <c r="H1072" i="13"/>
  <c r="G1072" i="13"/>
  <c r="F1072" i="13"/>
  <c r="E1072" i="13"/>
  <c r="D1072" i="13"/>
  <c r="C1072" i="13"/>
  <c r="B1072" i="13"/>
  <c r="A1072" i="13"/>
  <c r="I1071" i="13"/>
  <c r="H1071" i="13"/>
  <c r="G1071" i="13"/>
  <c r="F1071" i="13"/>
  <c r="E1071" i="13"/>
  <c r="D1071" i="13"/>
  <c r="C1071" i="13"/>
  <c r="B1071" i="13"/>
  <c r="A1071" i="13"/>
  <c r="I1070" i="13"/>
  <c r="H1070" i="13"/>
  <c r="G1070" i="13"/>
  <c r="F1070" i="13"/>
  <c r="E1070" i="13"/>
  <c r="D1070" i="13"/>
  <c r="C1070" i="13"/>
  <c r="B1070" i="13"/>
  <c r="A1070" i="13"/>
  <c r="I1069" i="13"/>
  <c r="H1069" i="13"/>
  <c r="G1069" i="13"/>
  <c r="F1069" i="13"/>
  <c r="E1069" i="13"/>
  <c r="D1069" i="13"/>
  <c r="C1069" i="13"/>
  <c r="B1069" i="13"/>
  <c r="A1069" i="13"/>
  <c r="I1068" i="13"/>
  <c r="H1068" i="13"/>
  <c r="G1068" i="13"/>
  <c r="F1068" i="13"/>
  <c r="E1068" i="13"/>
  <c r="D1068" i="13"/>
  <c r="C1068" i="13"/>
  <c r="B1068" i="13"/>
  <c r="A1068" i="13"/>
  <c r="I1067" i="13"/>
  <c r="H1067" i="13"/>
  <c r="G1067" i="13"/>
  <c r="F1067" i="13"/>
  <c r="E1067" i="13"/>
  <c r="D1067" i="13"/>
  <c r="E58" i="16" s="1"/>
  <c r="C1067" i="13"/>
  <c r="B1067" i="13"/>
  <c r="A1067" i="13"/>
  <c r="I1066" i="13"/>
  <c r="H1066" i="13"/>
  <c r="G1066" i="13"/>
  <c r="F1066" i="13"/>
  <c r="E1066" i="13"/>
  <c r="D1066" i="13"/>
  <c r="C1066" i="13"/>
  <c r="B1066" i="13"/>
  <c r="A1066" i="13"/>
  <c r="I1065" i="13"/>
  <c r="H1065" i="13"/>
  <c r="G1065" i="13"/>
  <c r="F1065" i="13"/>
  <c r="E1065" i="13"/>
  <c r="D1065" i="13"/>
  <c r="C1065" i="13"/>
  <c r="B1065" i="13"/>
  <c r="A1065" i="13"/>
  <c r="I1064" i="13"/>
  <c r="H1064" i="13"/>
  <c r="G1064" i="13"/>
  <c r="F1064" i="13"/>
  <c r="E1064" i="13"/>
  <c r="D1064" i="13"/>
  <c r="C1064" i="13"/>
  <c r="B1064" i="13"/>
  <c r="A1064" i="13"/>
  <c r="I1063" i="13"/>
  <c r="H1063" i="13"/>
  <c r="G1063" i="13"/>
  <c r="F1063" i="13"/>
  <c r="E1063" i="13"/>
  <c r="D1063" i="13"/>
  <c r="C1063" i="13"/>
  <c r="B1063" i="13"/>
  <c r="A1063" i="13"/>
  <c r="I1062" i="13"/>
  <c r="H1062" i="13"/>
  <c r="G1062" i="13"/>
  <c r="F1062" i="13"/>
  <c r="E1062" i="13"/>
  <c r="D1062" i="13"/>
  <c r="C1062" i="13"/>
  <c r="B1062" i="13"/>
  <c r="A1062" i="13"/>
  <c r="I1061" i="13"/>
  <c r="H1061" i="13"/>
  <c r="G1061" i="13"/>
  <c r="F1061" i="13"/>
  <c r="E1061" i="13"/>
  <c r="D1061" i="13"/>
  <c r="C1061" i="13"/>
  <c r="B1061" i="13"/>
  <c r="A1061" i="13"/>
  <c r="I1060" i="13"/>
  <c r="H1060" i="13"/>
  <c r="G1060" i="13"/>
  <c r="F1060" i="13"/>
  <c r="E1060" i="13"/>
  <c r="D1060" i="13"/>
  <c r="C1060" i="13"/>
  <c r="B1060" i="13"/>
  <c r="A1060" i="13"/>
  <c r="I1059" i="13"/>
  <c r="H1059" i="13"/>
  <c r="G1059" i="13"/>
  <c r="F1059" i="13"/>
  <c r="E1059" i="13"/>
  <c r="D1059" i="13"/>
  <c r="C1059" i="13"/>
  <c r="B1059" i="13"/>
  <c r="A1059" i="13"/>
  <c r="I1058" i="13"/>
  <c r="A58" i="16" s="1"/>
  <c r="B58" i="16" s="1"/>
  <c r="H1058" i="13"/>
  <c r="G1058" i="13"/>
  <c r="F1058" i="13"/>
  <c r="D58" i="16" s="1"/>
  <c r="E1058" i="13"/>
  <c r="D1058" i="13"/>
  <c r="C1058" i="13"/>
  <c r="B1058" i="13"/>
  <c r="A1058" i="13"/>
  <c r="I1057" i="13"/>
  <c r="H1057" i="13"/>
  <c r="G1057" i="13"/>
  <c r="F1057" i="13"/>
  <c r="E1057" i="13"/>
  <c r="D1057" i="13"/>
  <c r="C1057" i="13"/>
  <c r="B1057" i="13"/>
  <c r="A1057" i="13"/>
  <c r="I1056" i="13"/>
  <c r="H1056" i="13"/>
  <c r="G1056" i="13"/>
  <c r="F1056" i="13"/>
  <c r="E1056" i="13"/>
  <c r="D1056" i="13"/>
  <c r="C1056" i="13"/>
  <c r="B1056" i="13"/>
  <c r="A1056" i="13"/>
  <c r="I1055" i="13"/>
  <c r="H1055" i="13"/>
  <c r="G1055" i="13"/>
  <c r="F1055" i="13"/>
  <c r="E1055" i="13"/>
  <c r="D1055" i="13"/>
  <c r="C1055" i="13"/>
  <c r="B1055" i="13"/>
  <c r="A1055" i="13"/>
  <c r="I1054" i="13"/>
  <c r="H1054" i="13"/>
  <c r="G1054" i="13"/>
  <c r="F1054" i="13"/>
  <c r="E1054" i="13"/>
  <c r="D1054" i="13"/>
  <c r="C1054" i="13"/>
  <c r="B1054" i="13"/>
  <c r="A1054" i="13"/>
  <c r="I1053" i="13"/>
  <c r="H1053" i="13"/>
  <c r="G1053" i="13"/>
  <c r="F1053" i="13"/>
  <c r="E1053" i="13"/>
  <c r="D1053" i="13"/>
  <c r="C1053" i="13"/>
  <c r="B1053" i="13"/>
  <c r="A1053" i="13"/>
  <c r="I1052" i="13"/>
  <c r="H1052" i="13"/>
  <c r="G1052" i="13"/>
  <c r="F1052" i="13"/>
  <c r="E1052" i="13"/>
  <c r="D1052" i="13"/>
  <c r="C1052" i="13"/>
  <c r="B1052" i="13"/>
  <c r="A1052" i="13"/>
  <c r="I1051" i="13"/>
  <c r="H1051" i="13"/>
  <c r="G1051" i="13"/>
  <c r="F1051" i="13"/>
  <c r="E1051" i="13"/>
  <c r="D1051" i="13"/>
  <c r="C1051" i="13"/>
  <c r="B1051" i="13"/>
  <c r="A1051" i="13"/>
  <c r="I1050" i="13"/>
  <c r="H1050" i="13"/>
  <c r="G1050" i="13"/>
  <c r="F1050" i="13"/>
  <c r="E1050" i="13"/>
  <c r="D1050" i="13"/>
  <c r="C1050" i="13"/>
  <c r="B1050" i="13"/>
  <c r="A1050" i="13"/>
  <c r="I1049" i="13"/>
  <c r="H1049" i="13"/>
  <c r="G1049" i="13"/>
  <c r="F1049" i="13"/>
  <c r="E1049" i="13"/>
  <c r="D1049" i="13"/>
  <c r="E57" i="16" s="1"/>
  <c r="C1049" i="13"/>
  <c r="B1049" i="13"/>
  <c r="A1049" i="13"/>
  <c r="I1048" i="13"/>
  <c r="H1048" i="13"/>
  <c r="G1048" i="13"/>
  <c r="F1048" i="13"/>
  <c r="E1048" i="13"/>
  <c r="D1048" i="13"/>
  <c r="C1048" i="13"/>
  <c r="B1048" i="13"/>
  <c r="A1048" i="13"/>
  <c r="I1047" i="13"/>
  <c r="H1047" i="13"/>
  <c r="G1047" i="13"/>
  <c r="F1047" i="13"/>
  <c r="E1047" i="13"/>
  <c r="D1047" i="13"/>
  <c r="C1047" i="13"/>
  <c r="B1047" i="13"/>
  <c r="A1047" i="13"/>
  <c r="I1046" i="13"/>
  <c r="H1046" i="13"/>
  <c r="G1046" i="13"/>
  <c r="F1046" i="13"/>
  <c r="E1046" i="13"/>
  <c r="D1046" i="13"/>
  <c r="C1046" i="13"/>
  <c r="B1046" i="13"/>
  <c r="A1046" i="13"/>
  <c r="I1045" i="13"/>
  <c r="H1045" i="13"/>
  <c r="G1045" i="13"/>
  <c r="F1045" i="13"/>
  <c r="E1045" i="13"/>
  <c r="D1045" i="13"/>
  <c r="C1045" i="13"/>
  <c r="B1045" i="13"/>
  <c r="A1045" i="13"/>
  <c r="I1044" i="13"/>
  <c r="H1044" i="13"/>
  <c r="G1044" i="13"/>
  <c r="F1044" i="13"/>
  <c r="E1044" i="13"/>
  <c r="D1044" i="13"/>
  <c r="C1044" i="13"/>
  <c r="B1044" i="13"/>
  <c r="A1044" i="13"/>
  <c r="I1043" i="13"/>
  <c r="H1043" i="13"/>
  <c r="G1043" i="13"/>
  <c r="F1043" i="13"/>
  <c r="E1043" i="13"/>
  <c r="D1043" i="13"/>
  <c r="C1043" i="13"/>
  <c r="B1043" i="13"/>
  <c r="A1043" i="13"/>
  <c r="I1042" i="13"/>
  <c r="H1042" i="13"/>
  <c r="G1042" i="13"/>
  <c r="F1042" i="13"/>
  <c r="E1042" i="13"/>
  <c r="D1042" i="13"/>
  <c r="C1042" i="13"/>
  <c r="B1042" i="13"/>
  <c r="A1042" i="13"/>
  <c r="I1041" i="13"/>
  <c r="H1041" i="13"/>
  <c r="G1041" i="13"/>
  <c r="F1041" i="13"/>
  <c r="E1041" i="13"/>
  <c r="D1041" i="13"/>
  <c r="C1041" i="13"/>
  <c r="B1041" i="13"/>
  <c r="A1041" i="13"/>
  <c r="I1040" i="13"/>
  <c r="A57" i="16" s="1"/>
  <c r="B57" i="16" s="1"/>
  <c r="H1040" i="13"/>
  <c r="G1040" i="13"/>
  <c r="F1040" i="13"/>
  <c r="D57" i="16" s="1"/>
  <c r="E1040" i="13"/>
  <c r="D1040" i="13"/>
  <c r="C1040" i="13"/>
  <c r="B1040" i="13"/>
  <c r="A1040" i="13"/>
  <c r="I1039" i="13"/>
  <c r="H1039" i="13"/>
  <c r="G1039" i="13"/>
  <c r="F1039" i="13"/>
  <c r="E1039" i="13"/>
  <c r="D1039" i="13"/>
  <c r="C1039" i="13"/>
  <c r="B1039" i="13"/>
  <c r="A1039" i="13"/>
  <c r="I1038" i="13"/>
  <c r="H1038" i="13"/>
  <c r="G1038" i="13"/>
  <c r="F1038" i="13"/>
  <c r="E1038" i="13"/>
  <c r="D1038" i="13"/>
  <c r="C1038" i="13"/>
  <c r="B1038" i="13"/>
  <c r="A1038" i="13"/>
  <c r="I1037" i="13"/>
  <c r="H1037" i="13"/>
  <c r="G1037" i="13"/>
  <c r="F1037" i="13"/>
  <c r="E1037" i="13"/>
  <c r="D1037" i="13"/>
  <c r="C1037" i="13"/>
  <c r="B1037" i="13"/>
  <c r="A1037" i="13"/>
  <c r="I1036" i="13"/>
  <c r="H1036" i="13"/>
  <c r="G1036" i="13"/>
  <c r="F1036" i="13"/>
  <c r="E1036" i="13"/>
  <c r="D1036" i="13"/>
  <c r="C1036" i="13"/>
  <c r="B1036" i="13"/>
  <c r="A1036" i="13"/>
  <c r="I1035" i="13"/>
  <c r="H1035" i="13"/>
  <c r="G1035" i="13"/>
  <c r="F1035" i="13"/>
  <c r="E1035" i="13"/>
  <c r="D1035" i="13"/>
  <c r="C1035" i="13"/>
  <c r="B1035" i="13"/>
  <c r="A1035" i="13"/>
  <c r="I1034" i="13"/>
  <c r="H1034" i="13"/>
  <c r="G1034" i="13"/>
  <c r="F1034" i="13"/>
  <c r="E1034" i="13"/>
  <c r="D1034" i="13"/>
  <c r="C1034" i="13"/>
  <c r="B1034" i="13"/>
  <c r="A1034" i="13"/>
  <c r="I1033" i="13"/>
  <c r="H1033" i="13"/>
  <c r="G1033" i="13"/>
  <c r="F1033" i="13"/>
  <c r="E1033" i="13"/>
  <c r="D1033" i="13"/>
  <c r="C1033" i="13"/>
  <c r="B1033" i="13"/>
  <c r="A1033" i="13"/>
  <c r="I1032" i="13"/>
  <c r="H1032" i="13"/>
  <c r="G1032" i="13"/>
  <c r="F1032" i="13"/>
  <c r="E1032" i="13"/>
  <c r="D1032" i="13"/>
  <c r="C1032" i="13"/>
  <c r="B1032" i="13"/>
  <c r="A1032" i="13"/>
  <c r="I1031" i="13"/>
  <c r="H1031" i="13"/>
  <c r="G1031" i="13"/>
  <c r="F1031" i="13"/>
  <c r="E1031" i="13"/>
  <c r="D1031" i="13"/>
  <c r="C1031" i="13"/>
  <c r="B1031" i="13"/>
  <c r="A1031" i="13"/>
  <c r="I1030" i="13"/>
  <c r="H1030" i="13"/>
  <c r="G1030" i="13"/>
  <c r="F1030" i="13"/>
  <c r="E1030" i="13"/>
  <c r="D1030" i="13"/>
  <c r="C1030" i="13"/>
  <c r="B1030" i="13"/>
  <c r="A1030" i="13"/>
  <c r="I1029" i="13"/>
  <c r="H1029" i="13"/>
  <c r="G1029" i="13"/>
  <c r="F1029" i="13"/>
  <c r="E1029" i="13"/>
  <c r="D1029" i="13"/>
  <c r="C1029" i="13"/>
  <c r="B1029" i="13"/>
  <c r="F1020" i="13" s="1"/>
  <c r="E56" i="16" s="1"/>
  <c r="A1029" i="13"/>
  <c r="I1028" i="13"/>
  <c r="H1028" i="13"/>
  <c r="G1028" i="13"/>
  <c r="F1028" i="13"/>
  <c r="E1028" i="13"/>
  <c r="D1028" i="13"/>
  <c r="C1028" i="13"/>
  <c r="B1028" i="13"/>
  <c r="A1028" i="13"/>
  <c r="I1027" i="13"/>
  <c r="H1027" i="13"/>
  <c r="G1027" i="13"/>
  <c r="F1027" i="13"/>
  <c r="E1027" i="13"/>
  <c r="D1027" i="13"/>
  <c r="C1027" i="13"/>
  <c r="B1027" i="13"/>
  <c r="A1027" i="13"/>
  <c r="I1026" i="13"/>
  <c r="H1026" i="13"/>
  <c r="G1026" i="13"/>
  <c r="F1026" i="13"/>
  <c r="E1026" i="13"/>
  <c r="D1026" i="13"/>
  <c r="C1026" i="13"/>
  <c r="B1026" i="13"/>
  <c r="A1026" i="13"/>
  <c r="I1025" i="13"/>
  <c r="H1025" i="13"/>
  <c r="G1025" i="13"/>
  <c r="F1025" i="13"/>
  <c r="E1025" i="13"/>
  <c r="D1025" i="13"/>
  <c r="C1025" i="13"/>
  <c r="B1025" i="13"/>
  <c r="A1025" i="13"/>
  <c r="I1024" i="13"/>
  <c r="H1024" i="13"/>
  <c r="G1024" i="13"/>
  <c r="F1024" i="13"/>
  <c r="E1024" i="13"/>
  <c r="D1024" i="13"/>
  <c r="C1024" i="13"/>
  <c r="B1024" i="13"/>
  <c r="A1024" i="13"/>
  <c r="I1023" i="13"/>
  <c r="H1023" i="13"/>
  <c r="G1023" i="13"/>
  <c r="F1023" i="13"/>
  <c r="E1023" i="13"/>
  <c r="D1023" i="13"/>
  <c r="C1023" i="13"/>
  <c r="B1023" i="13"/>
  <c r="A1023" i="13"/>
  <c r="I1022" i="13"/>
  <c r="H1022" i="13"/>
  <c r="G1022" i="13"/>
  <c r="F1022" i="13"/>
  <c r="E1022" i="13"/>
  <c r="D1022" i="13"/>
  <c r="C1022" i="13"/>
  <c r="B1022" i="13"/>
  <c r="A1022" i="13"/>
  <c r="I1021" i="13"/>
  <c r="H1021" i="13"/>
  <c r="G1021" i="13"/>
  <c r="F1021" i="13"/>
  <c r="E1021" i="13"/>
  <c r="D1021" i="13"/>
  <c r="C1021" i="13"/>
  <c r="B1021" i="13"/>
  <c r="A1021" i="13"/>
  <c r="I1020" i="13"/>
  <c r="A56" i="16" s="1"/>
  <c r="B56" i="16" s="1"/>
  <c r="H1020" i="13"/>
  <c r="G1020" i="13"/>
  <c r="E1020" i="13"/>
  <c r="D1020" i="13"/>
  <c r="D56" i="16" s="1"/>
  <c r="J56" i="16" s="1"/>
  <c r="C1020" i="13"/>
  <c r="B1020" i="13"/>
  <c r="A1020" i="13"/>
  <c r="I1019" i="13"/>
  <c r="H1019" i="13"/>
  <c r="G1019" i="13"/>
  <c r="F1019" i="13"/>
  <c r="E1019" i="13"/>
  <c r="D1019" i="13"/>
  <c r="C1019" i="13"/>
  <c r="B1019" i="13"/>
  <c r="A1019" i="13"/>
  <c r="I1018" i="13"/>
  <c r="H1018" i="13"/>
  <c r="G1018" i="13"/>
  <c r="E1018" i="13"/>
  <c r="D1018" i="13"/>
  <c r="C1018" i="13"/>
  <c r="B1018" i="13"/>
  <c r="A1018" i="13"/>
  <c r="I1017" i="13"/>
  <c r="H1017" i="13"/>
  <c r="G1017" i="13"/>
  <c r="F1017" i="13"/>
  <c r="E1017" i="13"/>
  <c r="D1017" i="13"/>
  <c r="C1017" i="13"/>
  <c r="B1017" i="13"/>
  <c r="A1017" i="13"/>
  <c r="I1016" i="13"/>
  <c r="H1016" i="13"/>
  <c r="G1016" i="13"/>
  <c r="F1016" i="13"/>
  <c r="E1016" i="13"/>
  <c r="D1016" i="13"/>
  <c r="C1016" i="13"/>
  <c r="B1016" i="13"/>
  <c r="A1016" i="13"/>
  <c r="I1015" i="13"/>
  <c r="H1015" i="13"/>
  <c r="G1015" i="13"/>
  <c r="F1015" i="13"/>
  <c r="E1015" i="13"/>
  <c r="D1015" i="13"/>
  <c r="C1015" i="13"/>
  <c r="B1015" i="13"/>
  <c r="A1015" i="13"/>
  <c r="I1014" i="13"/>
  <c r="H1014" i="13"/>
  <c r="G1014" i="13"/>
  <c r="F1014" i="13"/>
  <c r="E1014" i="13"/>
  <c r="D1014" i="13"/>
  <c r="C1014" i="13"/>
  <c r="B1014" i="13"/>
  <c r="A1014" i="13"/>
  <c r="I1013" i="13"/>
  <c r="H1013" i="13"/>
  <c r="G1013" i="13"/>
  <c r="F1013" i="13"/>
  <c r="E1013" i="13"/>
  <c r="D1013" i="13"/>
  <c r="C1013" i="13"/>
  <c r="B1013" i="13"/>
  <c r="A1013" i="13"/>
  <c r="I1012" i="13"/>
  <c r="H1012" i="13"/>
  <c r="G1012" i="13"/>
  <c r="F1012" i="13"/>
  <c r="E1012" i="13"/>
  <c r="D1012" i="13"/>
  <c r="C1012" i="13"/>
  <c r="B1012" i="13"/>
  <c r="A1012" i="13"/>
  <c r="I1011" i="13"/>
  <c r="H1011" i="13"/>
  <c r="G1011" i="13"/>
  <c r="F1011" i="13"/>
  <c r="E1011" i="13"/>
  <c r="D1011" i="13"/>
  <c r="E55" i="16" s="1"/>
  <c r="C1011" i="13"/>
  <c r="B1011" i="13"/>
  <c r="A1011" i="13"/>
  <c r="I1010" i="13"/>
  <c r="H1010" i="13"/>
  <c r="G1010" i="13"/>
  <c r="F1010" i="13"/>
  <c r="E1010" i="13"/>
  <c r="D1010" i="13"/>
  <c r="C1010" i="13"/>
  <c r="B1010" i="13"/>
  <c r="A1010" i="13"/>
  <c r="I1009" i="13"/>
  <c r="H1009" i="13"/>
  <c r="G1009" i="13"/>
  <c r="F1009" i="13"/>
  <c r="E1009" i="13"/>
  <c r="D1009" i="13"/>
  <c r="C1009" i="13"/>
  <c r="B1009" i="13"/>
  <c r="A1009" i="13"/>
  <c r="I1008" i="13"/>
  <c r="H1008" i="13"/>
  <c r="G1008" i="13"/>
  <c r="F1008" i="13"/>
  <c r="E1008" i="13"/>
  <c r="D1008" i="13"/>
  <c r="C1008" i="13"/>
  <c r="B1008" i="13"/>
  <c r="A1008" i="13"/>
  <c r="I1007" i="13"/>
  <c r="H1007" i="13"/>
  <c r="G1007" i="13"/>
  <c r="F1007" i="13"/>
  <c r="E1007" i="13"/>
  <c r="D1007" i="13"/>
  <c r="C1007" i="13"/>
  <c r="B1007" i="13"/>
  <c r="A1007" i="13"/>
  <c r="I1006" i="13"/>
  <c r="H1006" i="13"/>
  <c r="G1006" i="13"/>
  <c r="F1006" i="13"/>
  <c r="E1006" i="13"/>
  <c r="D1006" i="13"/>
  <c r="C1006" i="13"/>
  <c r="B1006" i="13"/>
  <c r="A1006" i="13"/>
  <c r="I1005" i="13"/>
  <c r="H1005" i="13"/>
  <c r="G1005" i="13"/>
  <c r="F1005" i="13"/>
  <c r="E1005" i="13"/>
  <c r="D1005" i="13"/>
  <c r="C1005" i="13"/>
  <c r="B1005" i="13"/>
  <c r="A1005" i="13"/>
  <c r="I1004" i="13"/>
  <c r="H1004" i="13"/>
  <c r="G1004" i="13"/>
  <c r="F1004" i="13"/>
  <c r="E1004" i="13"/>
  <c r="D1004" i="13"/>
  <c r="C1004" i="13"/>
  <c r="B1004" i="13"/>
  <c r="A1004" i="13"/>
  <c r="I1003" i="13"/>
  <c r="H1003" i="13"/>
  <c r="G1003" i="13"/>
  <c r="F1003" i="13"/>
  <c r="E1003" i="13"/>
  <c r="D1003" i="13"/>
  <c r="C1003" i="13"/>
  <c r="B1003" i="13"/>
  <c r="A1003" i="13"/>
  <c r="I1002" i="13"/>
  <c r="H1002" i="13"/>
  <c r="G1002" i="13"/>
  <c r="F1002" i="13"/>
  <c r="E1002" i="13"/>
  <c r="D1002" i="13"/>
  <c r="C1002" i="13"/>
  <c r="B1002" i="13"/>
  <c r="A1002" i="13"/>
  <c r="I1001" i="13"/>
  <c r="H1001" i="13"/>
  <c r="G1001" i="13"/>
  <c r="F1001" i="13"/>
  <c r="E1001" i="13"/>
  <c r="D1001" i="13"/>
  <c r="C1001" i="13"/>
  <c r="B1001" i="13"/>
  <c r="A1001" i="13"/>
  <c r="I1000" i="13"/>
  <c r="A55" i="16" s="1"/>
  <c r="B55" i="16" s="1"/>
  <c r="H1000" i="13"/>
  <c r="G1000" i="13"/>
  <c r="F1000" i="13"/>
  <c r="D55" i="16" s="1"/>
  <c r="E1000" i="13"/>
  <c r="D1000" i="13"/>
  <c r="C1000" i="13"/>
  <c r="B1000" i="13"/>
  <c r="A1000" i="13"/>
  <c r="I999" i="13"/>
  <c r="H999" i="13"/>
  <c r="G999" i="13"/>
  <c r="F999" i="13"/>
  <c r="E999" i="13"/>
  <c r="D999" i="13"/>
  <c r="C999" i="13"/>
  <c r="B999" i="13"/>
  <c r="A999" i="13"/>
  <c r="I998" i="13"/>
  <c r="H998" i="13"/>
  <c r="G998" i="13"/>
  <c r="F998" i="13"/>
  <c r="E998" i="13"/>
  <c r="D998" i="13"/>
  <c r="C998" i="13"/>
  <c r="B998" i="13"/>
  <c r="A998" i="13"/>
  <c r="I997" i="13"/>
  <c r="H997" i="13"/>
  <c r="G997" i="13"/>
  <c r="F997" i="13"/>
  <c r="E997" i="13"/>
  <c r="D997" i="13"/>
  <c r="C997" i="13"/>
  <c r="B997" i="13"/>
  <c r="A997" i="13"/>
  <c r="I996" i="13"/>
  <c r="H996" i="13"/>
  <c r="G996" i="13"/>
  <c r="F996" i="13"/>
  <c r="E996" i="13"/>
  <c r="D996" i="13"/>
  <c r="C996" i="13"/>
  <c r="B996" i="13"/>
  <c r="A996" i="13"/>
  <c r="I995" i="13"/>
  <c r="H995" i="13"/>
  <c r="G995" i="13"/>
  <c r="F995" i="13"/>
  <c r="E995" i="13"/>
  <c r="D995" i="13"/>
  <c r="C995" i="13"/>
  <c r="B995" i="13"/>
  <c r="A995" i="13"/>
  <c r="I994" i="13"/>
  <c r="H994" i="13"/>
  <c r="G994" i="13"/>
  <c r="F994" i="13"/>
  <c r="E994" i="13"/>
  <c r="D994" i="13"/>
  <c r="C994" i="13"/>
  <c r="B994" i="13"/>
  <c r="A994" i="13"/>
  <c r="I993" i="13"/>
  <c r="H993" i="13"/>
  <c r="G993" i="13"/>
  <c r="F993" i="13"/>
  <c r="E993" i="13"/>
  <c r="D993" i="13"/>
  <c r="C993" i="13"/>
  <c r="B993" i="13"/>
  <c r="A993" i="13"/>
  <c r="I992" i="13"/>
  <c r="H992" i="13"/>
  <c r="G992" i="13"/>
  <c r="F992" i="13"/>
  <c r="E992" i="13"/>
  <c r="D992" i="13"/>
  <c r="C992" i="13"/>
  <c r="B992" i="13"/>
  <c r="A992" i="13"/>
  <c r="I991" i="13"/>
  <c r="H991" i="13"/>
  <c r="G991" i="13"/>
  <c r="F991" i="13"/>
  <c r="E991" i="13"/>
  <c r="D991" i="13"/>
  <c r="E54" i="16" s="1"/>
  <c r="C991" i="13"/>
  <c r="B991" i="13"/>
  <c r="A991" i="13"/>
  <c r="I990" i="13"/>
  <c r="H990" i="13"/>
  <c r="G990" i="13"/>
  <c r="F990" i="13"/>
  <c r="E990" i="13"/>
  <c r="D990" i="13"/>
  <c r="C990" i="13"/>
  <c r="B990" i="13"/>
  <c r="A990" i="13"/>
  <c r="I989" i="13"/>
  <c r="H989" i="13"/>
  <c r="G989" i="13"/>
  <c r="F989" i="13"/>
  <c r="E989" i="13"/>
  <c r="D989" i="13"/>
  <c r="C989" i="13"/>
  <c r="B989" i="13"/>
  <c r="A989" i="13"/>
  <c r="I988" i="13"/>
  <c r="H988" i="13"/>
  <c r="G988" i="13"/>
  <c r="F988" i="13"/>
  <c r="E988" i="13"/>
  <c r="D988" i="13"/>
  <c r="C988" i="13"/>
  <c r="B988" i="13"/>
  <c r="A988" i="13"/>
  <c r="I987" i="13"/>
  <c r="H987" i="13"/>
  <c r="G987" i="13"/>
  <c r="F987" i="13"/>
  <c r="E987" i="13"/>
  <c r="D987" i="13"/>
  <c r="C987" i="13"/>
  <c r="B987" i="13"/>
  <c r="A987" i="13"/>
  <c r="I986" i="13"/>
  <c r="H986" i="13"/>
  <c r="G986" i="13"/>
  <c r="F986" i="13"/>
  <c r="E986" i="13"/>
  <c r="D986" i="13"/>
  <c r="C986" i="13"/>
  <c r="B986" i="13"/>
  <c r="A986" i="13"/>
  <c r="I985" i="13"/>
  <c r="H985" i="13"/>
  <c r="G985" i="13"/>
  <c r="F985" i="13"/>
  <c r="E985" i="13"/>
  <c r="D985" i="13"/>
  <c r="C985" i="13"/>
  <c r="B985" i="13"/>
  <c r="A985" i="13"/>
  <c r="I984" i="13"/>
  <c r="H984" i="13"/>
  <c r="G984" i="13"/>
  <c r="F984" i="13"/>
  <c r="E984" i="13"/>
  <c r="D984" i="13"/>
  <c r="C984" i="13"/>
  <c r="B984" i="13"/>
  <c r="A984" i="13"/>
  <c r="I983" i="13"/>
  <c r="H983" i="13"/>
  <c r="G983" i="13"/>
  <c r="F983" i="13"/>
  <c r="E983" i="13"/>
  <c r="D983" i="13"/>
  <c r="C983" i="13"/>
  <c r="B983" i="13"/>
  <c r="A983" i="13"/>
  <c r="I982" i="13"/>
  <c r="H982" i="13"/>
  <c r="G982" i="13"/>
  <c r="F982" i="13"/>
  <c r="E982" i="13"/>
  <c r="D982" i="13"/>
  <c r="C982" i="13"/>
  <c r="B982" i="13"/>
  <c r="A982" i="13"/>
  <c r="I981" i="13"/>
  <c r="A54" i="16" s="1"/>
  <c r="B54" i="16" s="1"/>
  <c r="H981" i="13"/>
  <c r="G981" i="13"/>
  <c r="F981" i="13"/>
  <c r="D54" i="16" s="1"/>
  <c r="E981" i="13"/>
  <c r="D981" i="13"/>
  <c r="C981" i="13"/>
  <c r="B981" i="13"/>
  <c r="A981" i="13"/>
  <c r="I980" i="13"/>
  <c r="H980" i="13"/>
  <c r="G980" i="13"/>
  <c r="F980" i="13"/>
  <c r="E980" i="13"/>
  <c r="D980" i="13"/>
  <c r="C980" i="13"/>
  <c r="B980" i="13"/>
  <c r="A980" i="13"/>
  <c r="I979" i="13"/>
  <c r="H979" i="13"/>
  <c r="G979" i="13"/>
  <c r="F979" i="13"/>
  <c r="E979" i="13"/>
  <c r="D979" i="13"/>
  <c r="C979" i="13"/>
  <c r="B979" i="13"/>
  <c r="A979" i="13"/>
  <c r="I978" i="13"/>
  <c r="H978" i="13"/>
  <c r="G978" i="13"/>
  <c r="F978" i="13"/>
  <c r="E978" i="13"/>
  <c r="D978" i="13"/>
  <c r="C978" i="13"/>
  <c r="B978" i="13"/>
  <c r="A978" i="13"/>
  <c r="I977" i="13"/>
  <c r="H977" i="13"/>
  <c r="G977" i="13"/>
  <c r="F977" i="13"/>
  <c r="E977" i="13"/>
  <c r="D977" i="13"/>
  <c r="C977" i="13"/>
  <c r="B977" i="13"/>
  <c r="A977" i="13"/>
  <c r="I976" i="13"/>
  <c r="H976" i="13"/>
  <c r="G976" i="13"/>
  <c r="F976" i="13"/>
  <c r="E976" i="13"/>
  <c r="D976" i="13"/>
  <c r="C976" i="13"/>
  <c r="B976" i="13"/>
  <c r="A976" i="13"/>
  <c r="I975" i="13"/>
  <c r="H975" i="13"/>
  <c r="G975" i="13"/>
  <c r="F975" i="13"/>
  <c r="E975" i="13"/>
  <c r="D975" i="13"/>
  <c r="C975" i="13"/>
  <c r="B975" i="13"/>
  <c r="A975" i="13"/>
  <c r="I974" i="13"/>
  <c r="H974" i="13"/>
  <c r="G974" i="13"/>
  <c r="F974" i="13"/>
  <c r="E974" i="13"/>
  <c r="D974" i="13"/>
  <c r="E53" i="16" s="1"/>
  <c r="C974" i="13"/>
  <c r="B974" i="13"/>
  <c r="A974" i="13"/>
  <c r="I973" i="13"/>
  <c r="H973" i="13"/>
  <c r="G973" i="13"/>
  <c r="F973" i="13"/>
  <c r="E973" i="13"/>
  <c r="D973" i="13"/>
  <c r="C973" i="13"/>
  <c r="B973" i="13"/>
  <c r="A973" i="13"/>
  <c r="I972" i="13"/>
  <c r="H972" i="13"/>
  <c r="G972" i="13"/>
  <c r="F972" i="13"/>
  <c r="E972" i="13"/>
  <c r="D972" i="13"/>
  <c r="C972" i="13"/>
  <c r="B972" i="13"/>
  <c r="A972" i="13"/>
  <c r="I971" i="13"/>
  <c r="H971" i="13"/>
  <c r="G971" i="13"/>
  <c r="F971" i="13"/>
  <c r="E971" i="13"/>
  <c r="D971" i="13"/>
  <c r="C971" i="13"/>
  <c r="B971" i="13"/>
  <c r="A971" i="13"/>
  <c r="I970" i="13"/>
  <c r="H970" i="13"/>
  <c r="G970" i="13"/>
  <c r="F970" i="13"/>
  <c r="E970" i="13"/>
  <c r="D970" i="13"/>
  <c r="C970" i="13"/>
  <c r="B970" i="13"/>
  <c r="A970" i="13"/>
  <c r="I969" i="13"/>
  <c r="H969" i="13"/>
  <c r="G969" i="13"/>
  <c r="F969" i="13"/>
  <c r="E969" i="13"/>
  <c r="D969" i="13"/>
  <c r="C969" i="13"/>
  <c r="B969" i="13"/>
  <c r="A969" i="13"/>
  <c r="I968" i="13"/>
  <c r="H968" i="13"/>
  <c r="G968" i="13"/>
  <c r="F968" i="13"/>
  <c r="E968" i="13"/>
  <c r="D968" i="13"/>
  <c r="C968" i="13"/>
  <c r="B968" i="13"/>
  <c r="A968" i="13"/>
  <c r="I967" i="13"/>
  <c r="H967" i="13"/>
  <c r="G967" i="13"/>
  <c r="F967" i="13"/>
  <c r="E967" i="13"/>
  <c r="D967" i="13"/>
  <c r="C967" i="13"/>
  <c r="B967" i="13"/>
  <c r="A967" i="13"/>
  <c r="I966" i="13"/>
  <c r="H966" i="13"/>
  <c r="G966" i="13"/>
  <c r="F966" i="13"/>
  <c r="E966" i="13"/>
  <c r="D966" i="13"/>
  <c r="C966" i="13"/>
  <c r="B966" i="13"/>
  <c r="A966" i="13"/>
  <c r="I965" i="13"/>
  <c r="H965" i="13"/>
  <c r="G965" i="13"/>
  <c r="F965" i="13"/>
  <c r="E965" i="13"/>
  <c r="D965" i="13"/>
  <c r="C965" i="13"/>
  <c r="B965" i="13"/>
  <c r="A965" i="13"/>
  <c r="I964" i="13"/>
  <c r="A53" i="16" s="1"/>
  <c r="B53" i="16" s="1"/>
  <c r="H964" i="13"/>
  <c r="G964" i="13"/>
  <c r="F964" i="13"/>
  <c r="D53" i="16" s="1"/>
  <c r="E964" i="13"/>
  <c r="D964" i="13"/>
  <c r="C964" i="13"/>
  <c r="B964" i="13"/>
  <c r="A964" i="13"/>
  <c r="I963" i="13"/>
  <c r="H963" i="13"/>
  <c r="G963" i="13"/>
  <c r="F963" i="13"/>
  <c r="E963" i="13"/>
  <c r="D963" i="13"/>
  <c r="C963" i="13"/>
  <c r="B963" i="13"/>
  <c r="A963" i="13"/>
  <c r="I962" i="13"/>
  <c r="H962" i="13"/>
  <c r="G962" i="13"/>
  <c r="F962" i="13"/>
  <c r="E962" i="13"/>
  <c r="D962" i="13"/>
  <c r="C962" i="13"/>
  <c r="B962" i="13"/>
  <c r="A962" i="13"/>
  <c r="I961" i="13"/>
  <c r="H961" i="13"/>
  <c r="G961" i="13"/>
  <c r="F961" i="13"/>
  <c r="E961" i="13"/>
  <c r="D961" i="13"/>
  <c r="C961" i="13"/>
  <c r="B961" i="13"/>
  <c r="A961" i="13"/>
  <c r="I960" i="13"/>
  <c r="H960" i="13"/>
  <c r="G960" i="13"/>
  <c r="F960" i="13"/>
  <c r="E960" i="13"/>
  <c r="D960" i="13"/>
  <c r="C960" i="13"/>
  <c r="B960" i="13"/>
  <c r="A960" i="13"/>
  <c r="I959" i="13"/>
  <c r="H959" i="13"/>
  <c r="G959" i="13"/>
  <c r="F959" i="13"/>
  <c r="E959" i="13"/>
  <c r="D959" i="13"/>
  <c r="C959" i="13"/>
  <c r="B959" i="13"/>
  <c r="A959" i="13"/>
  <c r="I958" i="13"/>
  <c r="H958" i="13"/>
  <c r="G958" i="13"/>
  <c r="F958" i="13"/>
  <c r="E958" i="13"/>
  <c r="D958" i="13"/>
  <c r="C958" i="13"/>
  <c r="B958" i="13"/>
  <c r="A958" i="13"/>
  <c r="I957" i="13"/>
  <c r="H957" i="13"/>
  <c r="G957" i="13"/>
  <c r="F957" i="13"/>
  <c r="E957" i="13"/>
  <c r="E52" i="16" s="1"/>
  <c r="Q3" i="45" s="1"/>
  <c r="D957" i="13"/>
  <c r="C957" i="13"/>
  <c r="B957" i="13"/>
  <c r="A957" i="13"/>
  <c r="I956" i="13"/>
  <c r="H956" i="13"/>
  <c r="G956" i="13"/>
  <c r="F956" i="13"/>
  <c r="E956" i="13"/>
  <c r="D956" i="13"/>
  <c r="C956" i="13"/>
  <c r="B956" i="13"/>
  <c r="A956" i="13"/>
  <c r="I955" i="13"/>
  <c r="H955" i="13"/>
  <c r="G955" i="13"/>
  <c r="F955" i="13"/>
  <c r="E955" i="13"/>
  <c r="D955" i="13"/>
  <c r="C955" i="13"/>
  <c r="B955" i="13"/>
  <c r="A955" i="13"/>
  <c r="I954" i="13"/>
  <c r="H954" i="13"/>
  <c r="G954" i="13"/>
  <c r="F954" i="13"/>
  <c r="E954" i="13"/>
  <c r="D954" i="13"/>
  <c r="C954" i="13"/>
  <c r="B954" i="13"/>
  <c r="A954" i="13"/>
  <c r="I953" i="13"/>
  <c r="H953" i="13"/>
  <c r="G953" i="13"/>
  <c r="F953" i="13"/>
  <c r="E953" i="13"/>
  <c r="D953" i="13"/>
  <c r="C953" i="13"/>
  <c r="B953" i="13"/>
  <c r="A953" i="13"/>
  <c r="I952" i="13"/>
  <c r="H952" i="13"/>
  <c r="G952" i="13"/>
  <c r="F952" i="13"/>
  <c r="E952" i="13"/>
  <c r="D952" i="13"/>
  <c r="C952" i="13"/>
  <c r="B952" i="13"/>
  <c r="A952" i="13"/>
  <c r="I951" i="13"/>
  <c r="H951" i="13"/>
  <c r="G951" i="13"/>
  <c r="F951" i="13"/>
  <c r="E951" i="13"/>
  <c r="D951" i="13"/>
  <c r="C951" i="13"/>
  <c r="B951" i="13"/>
  <c r="A951" i="13"/>
  <c r="I950" i="13"/>
  <c r="H950" i="13"/>
  <c r="G950" i="13"/>
  <c r="F950" i="13"/>
  <c r="E950" i="13"/>
  <c r="D950" i="13"/>
  <c r="C950" i="13"/>
  <c r="B950" i="13"/>
  <c r="A950" i="13"/>
  <c r="I949" i="13"/>
  <c r="A52" i="16" s="1"/>
  <c r="H949" i="13"/>
  <c r="G949" i="13"/>
  <c r="F949" i="13"/>
  <c r="D52" i="16" s="1"/>
  <c r="Q2" i="45" s="1"/>
  <c r="E949" i="13"/>
  <c r="D949" i="13"/>
  <c r="C949" i="13"/>
  <c r="B949" i="13"/>
  <c r="A949" i="13"/>
  <c r="I948" i="13"/>
  <c r="H948" i="13"/>
  <c r="G948" i="13"/>
  <c r="F948" i="13"/>
  <c r="E948" i="13"/>
  <c r="D948" i="13"/>
  <c r="C948" i="13"/>
  <c r="B948" i="13"/>
  <c r="A948" i="13"/>
  <c r="I947" i="13"/>
  <c r="H947" i="13"/>
  <c r="G947" i="13"/>
  <c r="F947" i="13"/>
  <c r="E947" i="13"/>
  <c r="D947" i="13"/>
  <c r="C947" i="13"/>
  <c r="B947" i="13"/>
  <c r="A947" i="13"/>
  <c r="I946" i="13"/>
  <c r="H946" i="13"/>
  <c r="G946" i="13"/>
  <c r="F946" i="13"/>
  <c r="E946" i="13"/>
  <c r="D946" i="13"/>
  <c r="C946" i="13"/>
  <c r="B946" i="13"/>
  <c r="A946" i="13"/>
  <c r="I945" i="13"/>
  <c r="H945" i="13"/>
  <c r="G945" i="13"/>
  <c r="F945" i="13"/>
  <c r="E945" i="13"/>
  <c r="D945" i="13"/>
  <c r="C945" i="13"/>
  <c r="B945" i="13"/>
  <c r="A945" i="13"/>
  <c r="I944" i="13"/>
  <c r="H944" i="13"/>
  <c r="G944" i="13"/>
  <c r="F944" i="13"/>
  <c r="E944" i="13"/>
  <c r="D944" i="13"/>
  <c r="C944" i="13"/>
  <c r="B944" i="13"/>
  <c r="A944" i="13"/>
  <c r="I943" i="13"/>
  <c r="H943" i="13"/>
  <c r="G943" i="13"/>
  <c r="F943" i="13"/>
  <c r="E943" i="13"/>
  <c r="D943" i="13"/>
  <c r="C943" i="13"/>
  <c r="B943" i="13"/>
  <c r="A943" i="13"/>
  <c r="I942" i="13"/>
  <c r="H942" i="13"/>
  <c r="G942" i="13"/>
  <c r="F942" i="13"/>
  <c r="E942" i="13"/>
  <c r="D942" i="13"/>
  <c r="C942" i="13"/>
  <c r="B942" i="13"/>
  <c r="A942" i="13"/>
  <c r="I941" i="13"/>
  <c r="H941" i="13"/>
  <c r="G941" i="13"/>
  <c r="F941" i="13"/>
  <c r="E941" i="13"/>
  <c r="D941" i="13"/>
  <c r="C941" i="13"/>
  <c r="B941" i="13"/>
  <c r="A941" i="13"/>
  <c r="I940" i="13"/>
  <c r="H940" i="13"/>
  <c r="G940" i="13"/>
  <c r="F940" i="13"/>
  <c r="E940" i="13"/>
  <c r="D940" i="13"/>
  <c r="C940" i="13"/>
  <c r="B940" i="13"/>
  <c r="A940" i="13"/>
  <c r="I939" i="13"/>
  <c r="H939" i="13"/>
  <c r="G939" i="13"/>
  <c r="F939" i="13"/>
  <c r="E939" i="13"/>
  <c r="D939" i="13"/>
  <c r="C939" i="13"/>
  <c r="B939" i="13"/>
  <c r="A939" i="13"/>
  <c r="I938" i="13"/>
  <c r="H938" i="13"/>
  <c r="G938" i="13"/>
  <c r="F938" i="13"/>
  <c r="E938" i="13"/>
  <c r="D938" i="13"/>
  <c r="C938" i="13"/>
  <c r="B938" i="13"/>
  <c r="A938" i="13"/>
  <c r="I937" i="13"/>
  <c r="H937" i="13"/>
  <c r="G937" i="13"/>
  <c r="F937" i="13"/>
  <c r="E937" i="13"/>
  <c r="D937" i="13"/>
  <c r="C937" i="13"/>
  <c r="B937" i="13"/>
  <c r="A937" i="13"/>
  <c r="I936" i="13"/>
  <c r="H936" i="13"/>
  <c r="G936" i="13"/>
  <c r="F936" i="13"/>
  <c r="E936" i="13"/>
  <c r="D936" i="13"/>
  <c r="C936" i="13"/>
  <c r="B936" i="13"/>
  <c r="A936" i="13"/>
  <c r="I935" i="13"/>
  <c r="H935" i="13"/>
  <c r="G935" i="13"/>
  <c r="F935" i="13"/>
  <c r="E935" i="13"/>
  <c r="D935" i="13"/>
  <c r="C935" i="13"/>
  <c r="B935" i="13"/>
  <c r="A935" i="13"/>
  <c r="I934" i="13"/>
  <c r="H934" i="13"/>
  <c r="G934" i="13"/>
  <c r="F934" i="13"/>
  <c r="E934" i="13"/>
  <c r="D934" i="13"/>
  <c r="C934" i="13"/>
  <c r="B934" i="13"/>
  <c r="A934" i="13"/>
  <c r="I933" i="13"/>
  <c r="H933" i="13"/>
  <c r="G933" i="13"/>
  <c r="F933" i="13"/>
  <c r="E933" i="13"/>
  <c r="D933" i="13"/>
  <c r="C933" i="13"/>
  <c r="B933" i="13"/>
  <c r="A933" i="13"/>
  <c r="I932" i="13"/>
  <c r="H932" i="13"/>
  <c r="G932" i="13"/>
  <c r="F932" i="13"/>
  <c r="E932" i="13"/>
  <c r="D932" i="13"/>
  <c r="C932" i="13"/>
  <c r="B932" i="13"/>
  <c r="A932" i="13"/>
  <c r="I931" i="13"/>
  <c r="H931" i="13"/>
  <c r="G931" i="13"/>
  <c r="F931" i="13"/>
  <c r="E931" i="13"/>
  <c r="D931" i="13"/>
  <c r="C931" i="13"/>
  <c r="B931" i="13"/>
  <c r="A931" i="13"/>
  <c r="I930" i="13"/>
  <c r="H930" i="13"/>
  <c r="G930" i="13"/>
  <c r="F930" i="13"/>
  <c r="E930" i="13"/>
  <c r="D930" i="13"/>
  <c r="C930" i="13"/>
  <c r="B930" i="13"/>
  <c r="A930" i="13"/>
  <c r="I929" i="13"/>
  <c r="H929" i="13"/>
  <c r="G929" i="13"/>
  <c r="F929" i="13"/>
  <c r="E929" i="13"/>
  <c r="D929" i="13"/>
  <c r="C929" i="13"/>
  <c r="B929" i="13"/>
  <c r="A929" i="13"/>
  <c r="I928" i="13"/>
  <c r="H928" i="13"/>
  <c r="G928" i="13"/>
  <c r="F928" i="13"/>
  <c r="E928" i="13"/>
  <c r="D928" i="13"/>
  <c r="C928" i="13"/>
  <c r="B928" i="13"/>
  <c r="A928" i="13"/>
  <c r="I927" i="13"/>
  <c r="H927" i="13"/>
  <c r="G927" i="13"/>
  <c r="F927" i="13"/>
  <c r="E927" i="13"/>
  <c r="D927" i="13"/>
  <c r="E51" i="16" s="1"/>
  <c r="C927" i="13"/>
  <c r="B927" i="13"/>
  <c r="A927" i="13"/>
  <c r="I926" i="13"/>
  <c r="H926" i="13"/>
  <c r="G926" i="13"/>
  <c r="F926" i="13"/>
  <c r="E926" i="13"/>
  <c r="D926" i="13"/>
  <c r="C926" i="13"/>
  <c r="B926" i="13"/>
  <c r="A926" i="13"/>
  <c r="I925" i="13"/>
  <c r="H925" i="13"/>
  <c r="G925" i="13"/>
  <c r="F925" i="13"/>
  <c r="E925" i="13"/>
  <c r="D925" i="13"/>
  <c r="C925" i="13"/>
  <c r="B925" i="13"/>
  <c r="A925" i="13"/>
  <c r="I924" i="13"/>
  <c r="H924" i="13"/>
  <c r="G924" i="13"/>
  <c r="F924" i="13"/>
  <c r="E924" i="13"/>
  <c r="D924" i="13"/>
  <c r="C924" i="13"/>
  <c r="B924" i="13"/>
  <c r="A924" i="13"/>
  <c r="I923" i="13"/>
  <c r="H923" i="13"/>
  <c r="G923" i="13"/>
  <c r="F923" i="13"/>
  <c r="E923" i="13"/>
  <c r="D923" i="13"/>
  <c r="C923" i="13"/>
  <c r="B923" i="13"/>
  <c r="A923" i="13"/>
  <c r="I922" i="13"/>
  <c r="H922" i="13"/>
  <c r="G922" i="13"/>
  <c r="F922" i="13"/>
  <c r="E922" i="13"/>
  <c r="D922" i="13"/>
  <c r="C922" i="13"/>
  <c r="B922" i="13"/>
  <c r="A922" i="13"/>
  <c r="I921" i="13"/>
  <c r="H921" i="13"/>
  <c r="G921" i="13"/>
  <c r="F921" i="13"/>
  <c r="E921" i="13"/>
  <c r="D921" i="13"/>
  <c r="C921" i="13"/>
  <c r="B921" i="13"/>
  <c r="A921" i="13"/>
  <c r="I920" i="13"/>
  <c r="H920" i="13"/>
  <c r="G920" i="13"/>
  <c r="F920" i="13"/>
  <c r="E920" i="13"/>
  <c r="D920" i="13"/>
  <c r="C920" i="13"/>
  <c r="B920" i="13"/>
  <c r="A920" i="13"/>
  <c r="I919" i="13"/>
  <c r="H919" i="13"/>
  <c r="G919" i="13"/>
  <c r="F919" i="13"/>
  <c r="E919" i="13"/>
  <c r="D919" i="13"/>
  <c r="C919" i="13"/>
  <c r="B919" i="13"/>
  <c r="A919" i="13"/>
  <c r="I918" i="13"/>
  <c r="H918" i="13"/>
  <c r="G918" i="13"/>
  <c r="F918" i="13"/>
  <c r="E918" i="13"/>
  <c r="D918" i="13"/>
  <c r="C918" i="13"/>
  <c r="B918" i="13"/>
  <c r="A918" i="13"/>
  <c r="I917" i="13"/>
  <c r="A51" i="16" s="1"/>
  <c r="B51" i="16" s="1"/>
  <c r="H917" i="13"/>
  <c r="G917" i="13"/>
  <c r="F917" i="13"/>
  <c r="D51" i="16" s="1"/>
  <c r="E917" i="13"/>
  <c r="D917" i="13"/>
  <c r="C917" i="13"/>
  <c r="B917" i="13"/>
  <c r="A917" i="13"/>
  <c r="I916" i="13"/>
  <c r="H916" i="13"/>
  <c r="G916" i="13"/>
  <c r="F916" i="13"/>
  <c r="E916" i="13"/>
  <c r="D916" i="13"/>
  <c r="C916" i="13"/>
  <c r="B916" i="13"/>
  <c r="A916" i="13"/>
  <c r="I915" i="13"/>
  <c r="H915" i="13"/>
  <c r="G915" i="13"/>
  <c r="F915" i="13"/>
  <c r="E915" i="13"/>
  <c r="D915" i="13"/>
  <c r="C915" i="13"/>
  <c r="B915" i="13"/>
  <c r="A915" i="13"/>
  <c r="I914" i="13"/>
  <c r="H914" i="13"/>
  <c r="G914" i="13"/>
  <c r="F914" i="13"/>
  <c r="E914" i="13"/>
  <c r="D914" i="13"/>
  <c r="C914" i="13"/>
  <c r="B914" i="13"/>
  <c r="A914" i="13"/>
  <c r="I913" i="13"/>
  <c r="H913" i="13"/>
  <c r="G913" i="13"/>
  <c r="F913" i="13"/>
  <c r="E913" i="13"/>
  <c r="D913" i="13"/>
  <c r="C913" i="13"/>
  <c r="B913" i="13"/>
  <c r="A913" i="13"/>
  <c r="I912" i="13"/>
  <c r="H912" i="13"/>
  <c r="G912" i="13"/>
  <c r="F912" i="13"/>
  <c r="E912" i="13"/>
  <c r="D912" i="13"/>
  <c r="C912" i="13"/>
  <c r="B912" i="13"/>
  <c r="A912" i="13"/>
  <c r="I911" i="13"/>
  <c r="H911" i="13"/>
  <c r="G911" i="13"/>
  <c r="F911" i="13"/>
  <c r="E911" i="13"/>
  <c r="D911" i="13"/>
  <c r="C911" i="13"/>
  <c r="B911" i="13"/>
  <c r="A911" i="13"/>
  <c r="I910" i="13"/>
  <c r="H910" i="13"/>
  <c r="G910" i="13"/>
  <c r="F910" i="13"/>
  <c r="E910" i="13"/>
  <c r="D910" i="13"/>
  <c r="C910" i="13"/>
  <c r="B910" i="13"/>
  <c r="A910" i="13"/>
  <c r="I909" i="13"/>
  <c r="H909" i="13"/>
  <c r="G909" i="13"/>
  <c r="F909" i="13"/>
  <c r="E909" i="13"/>
  <c r="D909" i="13"/>
  <c r="E50" i="16" s="1"/>
  <c r="C909" i="13"/>
  <c r="B909" i="13"/>
  <c r="A909" i="13"/>
  <c r="I908" i="13"/>
  <c r="H908" i="13"/>
  <c r="G908" i="13"/>
  <c r="F908" i="13"/>
  <c r="E908" i="13"/>
  <c r="D908" i="13"/>
  <c r="C908" i="13"/>
  <c r="B908" i="13"/>
  <c r="A908" i="13"/>
  <c r="I907" i="13"/>
  <c r="H907" i="13"/>
  <c r="G907" i="13"/>
  <c r="F907" i="13"/>
  <c r="E907" i="13"/>
  <c r="D907" i="13"/>
  <c r="C907" i="13"/>
  <c r="B907" i="13"/>
  <c r="A907" i="13"/>
  <c r="I906" i="13"/>
  <c r="H906" i="13"/>
  <c r="G906" i="13"/>
  <c r="F906" i="13"/>
  <c r="E906" i="13"/>
  <c r="D906" i="13"/>
  <c r="C906" i="13"/>
  <c r="B906" i="13"/>
  <c r="A906" i="13"/>
  <c r="I905" i="13"/>
  <c r="H905" i="13"/>
  <c r="G905" i="13"/>
  <c r="F905" i="13"/>
  <c r="E905" i="13"/>
  <c r="D905" i="13"/>
  <c r="C905" i="13"/>
  <c r="B905" i="13"/>
  <c r="A905" i="13"/>
  <c r="I904" i="13"/>
  <c r="H904" i="13"/>
  <c r="G904" i="13"/>
  <c r="F904" i="13"/>
  <c r="E904" i="13"/>
  <c r="D904" i="13"/>
  <c r="C904" i="13"/>
  <c r="B904" i="13"/>
  <c r="A904" i="13"/>
  <c r="I903" i="13"/>
  <c r="H903" i="13"/>
  <c r="G903" i="13"/>
  <c r="F903" i="13"/>
  <c r="E903" i="13"/>
  <c r="D903" i="13"/>
  <c r="C903" i="13"/>
  <c r="B903" i="13"/>
  <c r="A903" i="13"/>
  <c r="I902" i="13"/>
  <c r="H902" i="13"/>
  <c r="G902" i="13"/>
  <c r="F902" i="13"/>
  <c r="E902" i="13"/>
  <c r="D902" i="13"/>
  <c r="C902" i="13"/>
  <c r="B902" i="13"/>
  <c r="A902" i="13"/>
  <c r="I901" i="13"/>
  <c r="H901" i="13"/>
  <c r="G901" i="13"/>
  <c r="F901" i="13"/>
  <c r="E901" i="13"/>
  <c r="D901" i="13"/>
  <c r="C901" i="13"/>
  <c r="B901" i="13"/>
  <c r="A901" i="13"/>
  <c r="I900" i="13"/>
  <c r="A50" i="16" s="1"/>
  <c r="B50" i="16" s="1"/>
  <c r="H900" i="13"/>
  <c r="G900" i="13"/>
  <c r="F900" i="13"/>
  <c r="D50" i="16" s="1"/>
  <c r="E900" i="13"/>
  <c r="D900" i="13"/>
  <c r="C900" i="13"/>
  <c r="B900" i="13"/>
  <c r="A900" i="13"/>
  <c r="I899" i="13"/>
  <c r="H899" i="13"/>
  <c r="G899" i="13"/>
  <c r="F899" i="13"/>
  <c r="E899" i="13"/>
  <c r="D899" i="13"/>
  <c r="C899" i="13"/>
  <c r="B899" i="13"/>
  <c r="A899" i="13"/>
  <c r="I898" i="13"/>
  <c r="H898" i="13"/>
  <c r="G898" i="13"/>
  <c r="F898" i="13"/>
  <c r="E898" i="13"/>
  <c r="D898" i="13"/>
  <c r="C898" i="13"/>
  <c r="B898" i="13"/>
  <c r="A898" i="13"/>
  <c r="I897" i="13"/>
  <c r="H897" i="13"/>
  <c r="G897" i="13"/>
  <c r="F897" i="13"/>
  <c r="E897" i="13"/>
  <c r="D897" i="13"/>
  <c r="C897" i="13"/>
  <c r="B897" i="13"/>
  <c r="A897" i="13"/>
  <c r="I896" i="13"/>
  <c r="H896" i="13"/>
  <c r="G896" i="13"/>
  <c r="F896" i="13"/>
  <c r="E896" i="13"/>
  <c r="D896" i="13"/>
  <c r="C896" i="13"/>
  <c r="B896" i="13"/>
  <c r="A896" i="13"/>
  <c r="I895" i="13"/>
  <c r="H895" i="13"/>
  <c r="G895" i="13"/>
  <c r="F895" i="13"/>
  <c r="E895" i="13"/>
  <c r="D895" i="13"/>
  <c r="C895" i="13"/>
  <c r="B895" i="13"/>
  <c r="A895" i="13"/>
  <c r="I894" i="13"/>
  <c r="H894" i="13"/>
  <c r="G894" i="13"/>
  <c r="F894" i="13"/>
  <c r="E894" i="13"/>
  <c r="D894" i="13"/>
  <c r="C894" i="13"/>
  <c r="B894" i="13"/>
  <c r="A894" i="13"/>
  <c r="I893" i="13"/>
  <c r="H893" i="13"/>
  <c r="G893" i="13"/>
  <c r="F893" i="13"/>
  <c r="E893" i="13"/>
  <c r="D893" i="13"/>
  <c r="C893" i="13"/>
  <c r="B893" i="13"/>
  <c r="A893" i="13"/>
  <c r="I892" i="13"/>
  <c r="H892" i="13"/>
  <c r="G892" i="13"/>
  <c r="F892" i="13"/>
  <c r="E892" i="13"/>
  <c r="D892" i="13"/>
  <c r="C892" i="13"/>
  <c r="B892" i="13"/>
  <c r="A892" i="13"/>
  <c r="I891" i="13"/>
  <c r="H891" i="13"/>
  <c r="G891" i="13"/>
  <c r="F891" i="13"/>
  <c r="E891" i="13"/>
  <c r="D891" i="13"/>
  <c r="C891" i="13"/>
  <c r="B891" i="13"/>
  <c r="A891" i="13"/>
  <c r="I890" i="13"/>
  <c r="H890" i="13"/>
  <c r="G890" i="13"/>
  <c r="F890" i="13"/>
  <c r="E890" i="13"/>
  <c r="D890" i="13"/>
  <c r="C890" i="13"/>
  <c r="B890" i="13"/>
  <c r="A890" i="13"/>
  <c r="I889" i="13"/>
  <c r="H889" i="13"/>
  <c r="G889" i="13"/>
  <c r="F889" i="13"/>
  <c r="E889" i="13"/>
  <c r="D889" i="13"/>
  <c r="C889" i="13"/>
  <c r="B889" i="13"/>
  <c r="A889" i="13"/>
  <c r="I888" i="13"/>
  <c r="H888" i="13"/>
  <c r="G888" i="13"/>
  <c r="F888" i="13"/>
  <c r="E888" i="13"/>
  <c r="D888" i="13"/>
  <c r="C888" i="13"/>
  <c r="B888" i="13"/>
  <c r="A888" i="13"/>
  <c r="I887" i="13"/>
  <c r="H887" i="13"/>
  <c r="G887" i="13"/>
  <c r="F887" i="13"/>
  <c r="E887" i="13"/>
  <c r="D887" i="13"/>
  <c r="C887" i="13"/>
  <c r="B887" i="13"/>
  <c r="A887" i="13"/>
  <c r="I886" i="13"/>
  <c r="H886" i="13"/>
  <c r="G886" i="13"/>
  <c r="F886" i="13"/>
  <c r="E886" i="13"/>
  <c r="D886" i="13"/>
  <c r="C886" i="13"/>
  <c r="B886" i="13"/>
  <c r="A886" i="13"/>
  <c r="I885" i="13"/>
  <c r="H885" i="13"/>
  <c r="G885" i="13"/>
  <c r="F885" i="13"/>
  <c r="E885" i="13"/>
  <c r="D885" i="13"/>
  <c r="C885" i="13"/>
  <c r="B885" i="13"/>
  <c r="A885" i="13"/>
  <c r="I884" i="13"/>
  <c r="H884" i="13"/>
  <c r="G884" i="13"/>
  <c r="F884" i="13"/>
  <c r="E884" i="13"/>
  <c r="D884" i="13"/>
  <c r="C884" i="13"/>
  <c r="B884" i="13"/>
  <c r="A884" i="13"/>
  <c r="I883" i="13"/>
  <c r="H883" i="13"/>
  <c r="G883" i="13"/>
  <c r="F883" i="13"/>
  <c r="E883" i="13"/>
  <c r="D883" i="13"/>
  <c r="C883" i="13"/>
  <c r="B883" i="13"/>
  <c r="A883" i="13"/>
  <c r="I882" i="13"/>
  <c r="H882" i="13"/>
  <c r="G882" i="13"/>
  <c r="F882" i="13"/>
  <c r="E882" i="13"/>
  <c r="D882" i="13"/>
  <c r="C882" i="13"/>
  <c r="B882" i="13"/>
  <c r="A882" i="13"/>
  <c r="I881" i="13"/>
  <c r="H881" i="13"/>
  <c r="G881" i="13"/>
  <c r="F881" i="13"/>
  <c r="E881" i="13"/>
  <c r="D881" i="13"/>
  <c r="E49" i="16" s="1"/>
  <c r="C881" i="13"/>
  <c r="B881" i="13"/>
  <c r="A881" i="13"/>
  <c r="I880" i="13"/>
  <c r="H880" i="13"/>
  <c r="G880" i="13"/>
  <c r="F880" i="13"/>
  <c r="E880" i="13"/>
  <c r="D880" i="13"/>
  <c r="C880" i="13"/>
  <c r="B880" i="13"/>
  <c r="A880" i="13"/>
  <c r="I879" i="13"/>
  <c r="H879" i="13"/>
  <c r="G879" i="13"/>
  <c r="F879" i="13"/>
  <c r="E879" i="13"/>
  <c r="D879" i="13"/>
  <c r="C879" i="13"/>
  <c r="B879" i="13"/>
  <c r="A879" i="13"/>
  <c r="I878" i="13"/>
  <c r="H878" i="13"/>
  <c r="G878" i="13"/>
  <c r="F878" i="13"/>
  <c r="E878" i="13"/>
  <c r="D878" i="13"/>
  <c r="C878" i="13"/>
  <c r="B878" i="13"/>
  <c r="A878" i="13"/>
  <c r="I877" i="13"/>
  <c r="H877" i="13"/>
  <c r="G877" i="13"/>
  <c r="F877" i="13"/>
  <c r="E877" i="13"/>
  <c r="D877" i="13"/>
  <c r="C877" i="13"/>
  <c r="B877" i="13"/>
  <c r="A877" i="13"/>
  <c r="I876" i="13"/>
  <c r="H876" i="13"/>
  <c r="G876" i="13"/>
  <c r="F876" i="13"/>
  <c r="E876" i="13"/>
  <c r="D876" i="13"/>
  <c r="C876" i="13"/>
  <c r="B876" i="13"/>
  <c r="A876" i="13"/>
  <c r="I875" i="13"/>
  <c r="H875" i="13"/>
  <c r="G875" i="13"/>
  <c r="F875" i="13"/>
  <c r="E875" i="13"/>
  <c r="D875" i="13"/>
  <c r="C875" i="13"/>
  <c r="B875" i="13"/>
  <c r="A875" i="13"/>
  <c r="I874" i="13"/>
  <c r="H874" i="13"/>
  <c r="G874" i="13"/>
  <c r="F874" i="13"/>
  <c r="E874" i="13"/>
  <c r="D874" i="13"/>
  <c r="C874" i="13"/>
  <c r="B874" i="13"/>
  <c r="A874" i="13"/>
  <c r="I873" i="13"/>
  <c r="H873" i="13"/>
  <c r="G873" i="13"/>
  <c r="F873" i="13"/>
  <c r="E873" i="13"/>
  <c r="D873" i="13"/>
  <c r="C873" i="13"/>
  <c r="B873" i="13"/>
  <c r="A873" i="13"/>
  <c r="I872" i="13"/>
  <c r="H872" i="13"/>
  <c r="G872" i="13"/>
  <c r="F872" i="13"/>
  <c r="E872" i="13"/>
  <c r="D872" i="13"/>
  <c r="C872" i="13"/>
  <c r="B872" i="13"/>
  <c r="A872" i="13"/>
  <c r="I871" i="13"/>
  <c r="A49" i="16" s="1"/>
  <c r="B49" i="16" s="1"/>
  <c r="H871" i="13"/>
  <c r="G871" i="13"/>
  <c r="F871" i="13"/>
  <c r="D49" i="16" s="1"/>
  <c r="E871" i="13"/>
  <c r="D871" i="13"/>
  <c r="C871" i="13"/>
  <c r="B871" i="13"/>
  <c r="A871" i="13"/>
  <c r="I870" i="13"/>
  <c r="H870" i="13"/>
  <c r="G870" i="13"/>
  <c r="F870" i="13"/>
  <c r="E870" i="13"/>
  <c r="D870" i="13"/>
  <c r="C870" i="13"/>
  <c r="B870" i="13"/>
  <c r="A870" i="13"/>
  <c r="I869" i="13"/>
  <c r="H869" i="13"/>
  <c r="G869" i="13"/>
  <c r="F869" i="13"/>
  <c r="E869" i="13"/>
  <c r="D869" i="13"/>
  <c r="C869" i="13"/>
  <c r="B869" i="13"/>
  <c r="A869" i="13"/>
  <c r="I868" i="13"/>
  <c r="H868" i="13"/>
  <c r="G868" i="13"/>
  <c r="F868" i="13"/>
  <c r="E868" i="13"/>
  <c r="D868" i="13"/>
  <c r="C868" i="13"/>
  <c r="B868" i="13"/>
  <c r="A868" i="13"/>
  <c r="I867" i="13"/>
  <c r="H867" i="13"/>
  <c r="G867" i="13"/>
  <c r="F867" i="13"/>
  <c r="E867" i="13"/>
  <c r="D867" i="13"/>
  <c r="C867" i="13"/>
  <c r="B867" i="13"/>
  <c r="A867" i="13"/>
  <c r="I866" i="13"/>
  <c r="H866" i="13"/>
  <c r="G866" i="13"/>
  <c r="F866" i="13"/>
  <c r="E866" i="13"/>
  <c r="D866" i="13"/>
  <c r="C866" i="13"/>
  <c r="B866" i="13"/>
  <c r="A866" i="13"/>
  <c r="I865" i="13"/>
  <c r="H865" i="13"/>
  <c r="G865" i="13"/>
  <c r="F865" i="13"/>
  <c r="E865" i="13"/>
  <c r="D865" i="13"/>
  <c r="C865" i="13"/>
  <c r="B865" i="13"/>
  <c r="A865" i="13"/>
  <c r="I864" i="13"/>
  <c r="H864" i="13"/>
  <c r="G864" i="13"/>
  <c r="F864" i="13"/>
  <c r="E864" i="13"/>
  <c r="D864" i="13"/>
  <c r="C864" i="13"/>
  <c r="B864" i="13"/>
  <c r="A864" i="13"/>
  <c r="I863" i="13"/>
  <c r="H863" i="13"/>
  <c r="G863" i="13"/>
  <c r="F863" i="13"/>
  <c r="E863" i="13"/>
  <c r="D863" i="13"/>
  <c r="E48" i="16" s="1"/>
  <c r="C863" i="13"/>
  <c r="B863" i="13"/>
  <c r="A863" i="13"/>
  <c r="I862" i="13"/>
  <c r="H862" i="13"/>
  <c r="G862" i="13"/>
  <c r="F862" i="13"/>
  <c r="E862" i="13"/>
  <c r="D862" i="13"/>
  <c r="C862" i="13"/>
  <c r="B862" i="13"/>
  <c r="A862" i="13"/>
  <c r="I861" i="13"/>
  <c r="H861" i="13"/>
  <c r="G861" i="13"/>
  <c r="F861" i="13"/>
  <c r="E861" i="13"/>
  <c r="D861" i="13"/>
  <c r="C861" i="13"/>
  <c r="B861" i="13"/>
  <c r="A861" i="13"/>
  <c r="I860" i="13"/>
  <c r="H860" i="13"/>
  <c r="G860" i="13"/>
  <c r="F860" i="13"/>
  <c r="E860" i="13"/>
  <c r="D860" i="13"/>
  <c r="C860" i="13"/>
  <c r="B860" i="13"/>
  <c r="A860" i="13"/>
  <c r="I859" i="13"/>
  <c r="H859" i="13"/>
  <c r="G859" i="13"/>
  <c r="F859" i="13"/>
  <c r="E859" i="13"/>
  <c r="D859" i="13"/>
  <c r="C859" i="13"/>
  <c r="B859" i="13"/>
  <c r="A859" i="13"/>
  <c r="I858" i="13"/>
  <c r="H858" i="13"/>
  <c r="G858" i="13"/>
  <c r="F858" i="13"/>
  <c r="E858" i="13"/>
  <c r="D858" i="13"/>
  <c r="C858" i="13"/>
  <c r="B858" i="13"/>
  <c r="A858" i="13"/>
  <c r="I857" i="13"/>
  <c r="H857" i="13"/>
  <c r="G857" i="13"/>
  <c r="F857" i="13"/>
  <c r="E857" i="13"/>
  <c r="D857" i="13"/>
  <c r="C857" i="13"/>
  <c r="B857" i="13"/>
  <c r="A857" i="13"/>
  <c r="I856" i="13"/>
  <c r="H856" i="13"/>
  <c r="G856" i="13"/>
  <c r="F856" i="13"/>
  <c r="E856" i="13"/>
  <c r="D856" i="13"/>
  <c r="C856" i="13"/>
  <c r="B856" i="13"/>
  <c r="A856" i="13"/>
  <c r="I855" i="13"/>
  <c r="H855" i="13"/>
  <c r="G855" i="13"/>
  <c r="F855" i="13"/>
  <c r="E855" i="13"/>
  <c r="D855" i="13"/>
  <c r="C855" i="13"/>
  <c r="B855" i="13"/>
  <c r="A855" i="13"/>
  <c r="I854" i="13"/>
  <c r="H854" i="13"/>
  <c r="G854" i="13"/>
  <c r="F854" i="13"/>
  <c r="E854" i="13"/>
  <c r="D854" i="13"/>
  <c r="C854" i="13"/>
  <c r="B854" i="13"/>
  <c r="A854" i="13"/>
  <c r="I853" i="13"/>
  <c r="A48" i="16" s="1"/>
  <c r="B48" i="16" s="1"/>
  <c r="H853" i="13"/>
  <c r="G853" i="13"/>
  <c r="F853" i="13"/>
  <c r="D48" i="16" s="1"/>
  <c r="E853" i="13"/>
  <c r="D853" i="13"/>
  <c r="C853" i="13"/>
  <c r="B853" i="13"/>
  <c r="A853" i="13"/>
  <c r="I852" i="13"/>
  <c r="H852" i="13"/>
  <c r="G852" i="13"/>
  <c r="F852" i="13"/>
  <c r="E852" i="13"/>
  <c r="D852" i="13"/>
  <c r="C852" i="13"/>
  <c r="B852" i="13"/>
  <c r="A852" i="13"/>
  <c r="I851" i="13"/>
  <c r="H851" i="13"/>
  <c r="G851" i="13"/>
  <c r="F851" i="13"/>
  <c r="E851" i="13"/>
  <c r="D851" i="13"/>
  <c r="C851" i="13"/>
  <c r="B851" i="13"/>
  <c r="A851" i="13"/>
  <c r="I850" i="13"/>
  <c r="H850" i="13"/>
  <c r="G850" i="13"/>
  <c r="F850" i="13"/>
  <c r="E850" i="13"/>
  <c r="D850" i="13"/>
  <c r="C850" i="13"/>
  <c r="B850" i="13"/>
  <c r="A850" i="13"/>
  <c r="I849" i="13"/>
  <c r="H849" i="13"/>
  <c r="G849" i="13"/>
  <c r="F849" i="13"/>
  <c r="E849" i="13"/>
  <c r="D849" i="13"/>
  <c r="C849" i="13"/>
  <c r="B849" i="13"/>
  <c r="A849" i="13"/>
  <c r="I848" i="13"/>
  <c r="H848" i="13"/>
  <c r="G848" i="13"/>
  <c r="F848" i="13"/>
  <c r="E848" i="13"/>
  <c r="D848" i="13"/>
  <c r="C848" i="13"/>
  <c r="B848" i="13"/>
  <c r="A848" i="13"/>
  <c r="I847" i="13"/>
  <c r="H847" i="13"/>
  <c r="G847" i="13"/>
  <c r="F847" i="13"/>
  <c r="E847" i="13"/>
  <c r="D847" i="13"/>
  <c r="C847" i="13"/>
  <c r="B847" i="13"/>
  <c r="A847" i="13"/>
  <c r="I846" i="13"/>
  <c r="H846" i="13"/>
  <c r="G846" i="13"/>
  <c r="F846" i="13"/>
  <c r="E846" i="13"/>
  <c r="D846" i="13"/>
  <c r="E47" i="16" s="1"/>
  <c r="C846" i="13"/>
  <c r="B846" i="13"/>
  <c r="A846" i="13"/>
  <c r="I845" i="13"/>
  <c r="H845" i="13"/>
  <c r="G845" i="13"/>
  <c r="F845" i="13"/>
  <c r="E845" i="13"/>
  <c r="D845" i="13"/>
  <c r="C845" i="13"/>
  <c r="B845" i="13"/>
  <c r="A845" i="13"/>
  <c r="I844" i="13"/>
  <c r="H844" i="13"/>
  <c r="G844" i="13"/>
  <c r="F844" i="13"/>
  <c r="E844" i="13"/>
  <c r="D844" i="13"/>
  <c r="C844" i="13"/>
  <c r="B844" i="13"/>
  <c r="A844" i="13"/>
  <c r="I843" i="13"/>
  <c r="H843" i="13"/>
  <c r="G843" i="13"/>
  <c r="F843" i="13"/>
  <c r="E843" i="13"/>
  <c r="D843" i="13"/>
  <c r="C843" i="13"/>
  <c r="B843" i="13"/>
  <c r="A843" i="13"/>
  <c r="I842" i="13"/>
  <c r="H842" i="13"/>
  <c r="G842" i="13"/>
  <c r="F842" i="13"/>
  <c r="E842" i="13"/>
  <c r="D842" i="13"/>
  <c r="C842" i="13"/>
  <c r="B842" i="13"/>
  <c r="A842" i="13"/>
  <c r="I841" i="13"/>
  <c r="H841" i="13"/>
  <c r="G841" i="13"/>
  <c r="F841" i="13"/>
  <c r="E841" i="13"/>
  <c r="D841" i="13"/>
  <c r="C841" i="13"/>
  <c r="B841" i="13"/>
  <c r="A841" i="13"/>
  <c r="I840" i="13"/>
  <c r="H840" i="13"/>
  <c r="G840" i="13"/>
  <c r="F840" i="13"/>
  <c r="E840" i="13"/>
  <c r="D840" i="13"/>
  <c r="C840" i="13"/>
  <c r="B840" i="13"/>
  <c r="A840" i="13"/>
  <c r="I839" i="13"/>
  <c r="H839" i="13"/>
  <c r="G839" i="13"/>
  <c r="F839" i="13"/>
  <c r="E839" i="13"/>
  <c r="D839" i="13"/>
  <c r="C839" i="13"/>
  <c r="B839" i="13"/>
  <c r="A839" i="13"/>
  <c r="I838" i="13"/>
  <c r="H838" i="13"/>
  <c r="G838" i="13"/>
  <c r="F838" i="13"/>
  <c r="E838" i="13"/>
  <c r="D838" i="13"/>
  <c r="C838" i="13"/>
  <c r="B838" i="13"/>
  <c r="A838" i="13"/>
  <c r="I837" i="13"/>
  <c r="H837" i="13"/>
  <c r="G837" i="13"/>
  <c r="F837" i="13"/>
  <c r="E837" i="13"/>
  <c r="D837" i="13"/>
  <c r="C837" i="13"/>
  <c r="B837" i="13"/>
  <c r="A837" i="13"/>
  <c r="I836" i="13"/>
  <c r="A47" i="16" s="1"/>
  <c r="B47" i="16" s="1"/>
  <c r="H836" i="13"/>
  <c r="G836" i="13"/>
  <c r="F836" i="13"/>
  <c r="D47" i="16" s="1"/>
  <c r="E836" i="13"/>
  <c r="D836" i="13"/>
  <c r="C836" i="13"/>
  <c r="B836" i="13"/>
  <c r="A836" i="13"/>
  <c r="I835" i="13"/>
  <c r="H835" i="13"/>
  <c r="G835" i="13"/>
  <c r="F835" i="13"/>
  <c r="E835" i="13"/>
  <c r="D835" i="13"/>
  <c r="C835" i="13"/>
  <c r="B835" i="13"/>
  <c r="A835" i="13"/>
  <c r="I834" i="13"/>
  <c r="H834" i="13"/>
  <c r="G834" i="13"/>
  <c r="F834" i="13"/>
  <c r="E834" i="13"/>
  <c r="D834" i="13"/>
  <c r="C834" i="13"/>
  <c r="B834" i="13"/>
  <c r="A834" i="13"/>
  <c r="I833" i="13"/>
  <c r="H833" i="13"/>
  <c r="G833" i="13"/>
  <c r="F833" i="13"/>
  <c r="E833" i="13"/>
  <c r="D833" i="13"/>
  <c r="C833" i="13"/>
  <c r="B833" i="13"/>
  <c r="A833" i="13"/>
  <c r="I832" i="13"/>
  <c r="H832" i="13"/>
  <c r="G832" i="13"/>
  <c r="F832" i="13"/>
  <c r="E832" i="13"/>
  <c r="D832" i="13"/>
  <c r="C832" i="13"/>
  <c r="B832" i="13"/>
  <c r="A832" i="13"/>
  <c r="I831" i="13"/>
  <c r="H831" i="13"/>
  <c r="G831" i="13"/>
  <c r="F831" i="13"/>
  <c r="E831" i="13"/>
  <c r="D831" i="13"/>
  <c r="C831" i="13"/>
  <c r="B831" i="13"/>
  <c r="A831" i="13"/>
  <c r="I830" i="13"/>
  <c r="H830" i="13"/>
  <c r="G830" i="13"/>
  <c r="F830" i="13"/>
  <c r="E830" i="13"/>
  <c r="D830" i="13"/>
  <c r="C830" i="13"/>
  <c r="B830" i="13"/>
  <c r="A830" i="13"/>
  <c r="I829" i="13"/>
  <c r="H829" i="13"/>
  <c r="G829" i="13"/>
  <c r="F829" i="13"/>
  <c r="E829" i="13"/>
  <c r="D829" i="13"/>
  <c r="E46" i="16" s="1"/>
  <c r="C829" i="13"/>
  <c r="B829" i="13"/>
  <c r="A829" i="13"/>
  <c r="I828" i="13"/>
  <c r="H828" i="13"/>
  <c r="G828" i="13"/>
  <c r="F828" i="13"/>
  <c r="E828" i="13"/>
  <c r="D828" i="13"/>
  <c r="C828" i="13"/>
  <c r="B828" i="13"/>
  <c r="A828" i="13"/>
  <c r="I827" i="13"/>
  <c r="H827" i="13"/>
  <c r="G827" i="13"/>
  <c r="F827" i="13"/>
  <c r="E827" i="13"/>
  <c r="D827" i="13"/>
  <c r="C827" i="13"/>
  <c r="B827" i="13"/>
  <c r="A827" i="13"/>
  <c r="I826" i="13"/>
  <c r="H826" i="13"/>
  <c r="G826" i="13"/>
  <c r="F826" i="13"/>
  <c r="E826" i="13"/>
  <c r="D826" i="13"/>
  <c r="C826" i="13"/>
  <c r="B826" i="13"/>
  <c r="A826" i="13"/>
  <c r="I825" i="13"/>
  <c r="H825" i="13"/>
  <c r="G825" i="13"/>
  <c r="F825" i="13"/>
  <c r="E825" i="13"/>
  <c r="D825" i="13"/>
  <c r="C825" i="13"/>
  <c r="B825" i="13"/>
  <c r="A825" i="13"/>
  <c r="I824" i="13"/>
  <c r="H824" i="13"/>
  <c r="G824" i="13"/>
  <c r="F824" i="13"/>
  <c r="E824" i="13"/>
  <c r="D824" i="13"/>
  <c r="C824" i="13"/>
  <c r="B824" i="13"/>
  <c r="A824" i="13"/>
  <c r="I823" i="13"/>
  <c r="H823" i="13"/>
  <c r="G823" i="13"/>
  <c r="F823" i="13"/>
  <c r="E823" i="13"/>
  <c r="D823" i="13"/>
  <c r="C823" i="13"/>
  <c r="B823" i="13"/>
  <c r="A823" i="13"/>
  <c r="I822" i="13"/>
  <c r="H822" i="13"/>
  <c r="G822" i="13"/>
  <c r="F822" i="13"/>
  <c r="E822" i="13"/>
  <c r="D822" i="13"/>
  <c r="C822" i="13"/>
  <c r="B822" i="13"/>
  <c r="A822" i="13"/>
  <c r="I821" i="13"/>
  <c r="H821" i="13"/>
  <c r="G821" i="13"/>
  <c r="F821" i="13"/>
  <c r="E821" i="13"/>
  <c r="D821" i="13"/>
  <c r="C821" i="13"/>
  <c r="B821" i="13"/>
  <c r="A821" i="13"/>
  <c r="I820" i="13"/>
  <c r="H820" i="13"/>
  <c r="G820" i="13"/>
  <c r="F820" i="13"/>
  <c r="E820" i="13"/>
  <c r="D820" i="13"/>
  <c r="C820" i="13"/>
  <c r="B820" i="13"/>
  <c r="A820" i="13"/>
  <c r="I819" i="13"/>
  <c r="A46" i="16" s="1"/>
  <c r="B46" i="16" s="1"/>
  <c r="H819" i="13"/>
  <c r="G819" i="13"/>
  <c r="F819" i="13"/>
  <c r="D46" i="16" s="1"/>
  <c r="E819" i="13"/>
  <c r="D819" i="13"/>
  <c r="C819" i="13"/>
  <c r="B819" i="13"/>
  <c r="A819" i="13"/>
  <c r="I818" i="13"/>
  <c r="H818" i="13"/>
  <c r="G818" i="13"/>
  <c r="F818" i="13"/>
  <c r="E818" i="13"/>
  <c r="D818" i="13"/>
  <c r="C818" i="13"/>
  <c r="B818" i="13"/>
  <c r="A818" i="13"/>
  <c r="I817" i="13"/>
  <c r="H817" i="13"/>
  <c r="G817" i="13"/>
  <c r="F817" i="13"/>
  <c r="E817" i="13"/>
  <c r="D817" i="13"/>
  <c r="C817" i="13"/>
  <c r="B817" i="13"/>
  <c r="A817" i="13"/>
  <c r="I816" i="13"/>
  <c r="H816" i="13"/>
  <c r="G816" i="13"/>
  <c r="F816" i="13"/>
  <c r="E816" i="13"/>
  <c r="D816" i="13"/>
  <c r="C816" i="13"/>
  <c r="B816" i="13"/>
  <c r="A816" i="13"/>
  <c r="I815" i="13"/>
  <c r="H815" i="13"/>
  <c r="G815" i="13"/>
  <c r="F815" i="13"/>
  <c r="E815" i="13"/>
  <c r="D815" i="13"/>
  <c r="C815" i="13"/>
  <c r="B815" i="13"/>
  <c r="A815" i="13"/>
  <c r="I814" i="13"/>
  <c r="H814" i="13"/>
  <c r="G814" i="13"/>
  <c r="F814" i="13"/>
  <c r="E814" i="13"/>
  <c r="D814" i="13"/>
  <c r="C814" i="13"/>
  <c r="B814" i="13"/>
  <c r="A814" i="13"/>
  <c r="I813" i="13"/>
  <c r="H813" i="13"/>
  <c r="G813" i="13"/>
  <c r="F813" i="13"/>
  <c r="E813" i="13"/>
  <c r="D813" i="13"/>
  <c r="C813" i="13"/>
  <c r="B813" i="13"/>
  <c r="A813" i="13"/>
  <c r="I812" i="13"/>
  <c r="H812" i="13"/>
  <c r="G812" i="13"/>
  <c r="F812" i="13"/>
  <c r="E812" i="13"/>
  <c r="D812" i="13"/>
  <c r="C812" i="13"/>
  <c r="B812" i="13"/>
  <c r="A812" i="13"/>
  <c r="I811" i="13"/>
  <c r="H811" i="13"/>
  <c r="G811" i="13"/>
  <c r="F811" i="13"/>
  <c r="E811" i="13"/>
  <c r="D811" i="13"/>
  <c r="E45" i="16" s="1"/>
  <c r="C811" i="13"/>
  <c r="B811" i="13"/>
  <c r="A811" i="13"/>
  <c r="I810" i="13"/>
  <c r="H810" i="13"/>
  <c r="G810" i="13"/>
  <c r="F810" i="13"/>
  <c r="E810" i="13"/>
  <c r="D810" i="13"/>
  <c r="C810" i="13"/>
  <c r="B810" i="13"/>
  <c r="A810" i="13"/>
  <c r="I809" i="13"/>
  <c r="H809" i="13"/>
  <c r="G809" i="13"/>
  <c r="F809" i="13"/>
  <c r="E809" i="13"/>
  <c r="D809" i="13"/>
  <c r="C809" i="13"/>
  <c r="B809" i="13"/>
  <c r="A809" i="13"/>
  <c r="I808" i="13"/>
  <c r="H808" i="13"/>
  <c r="G808" i="13"/>
  <c r="F808" i="13"/>
  <c r="E808" i="13"/>
  <c r="D808" i="13"/>
  <c r="C808" i="13"/>
  <c r="B808" i="13"/>
  <c r="A808" i="13"/>
  <c r="I807" i="13"/>
  <c r="H807" i="13"/>
  <c r="G807" i="13"/>
  <c r="F807" i="13"/>
  <c r="E807" i="13"/>
  <c r="D807" i="13"/>
  <c r="C807" i="13"/>
  <c r="B807" i="13"/>
  <c r="A807" i="13"/>
  <c r="I806" i="13"/>
  <c r="H806" i="13"/>
  <c r="G806" i="13"/>
  <c r="F806" i="13"/>
  <c r="E806" i="13"/>
  <c r="D806" i="13"/>
  <c r="C806" i="13"/>
  <c r="B806" i="13"/>
  <c r="A806" i="13"/>
  <c r="I805" i="13"/>
  <c r="H805" i="13"/>
  <c r="G805" i="13"/>
  <c r="F805" i="13"/>
  <c r="E805" i="13"/>
  <c r="D805" i="13"/>
  <c r="C805" i="13"/>
  <c r="B805" i="13"/>
  <c r="A805" i="13"/>
  <c r="I804" i="13"/>
  <c r="H804" i="13"/>
  <c r="G804" i="13"/>
  <c r="F804" i="13"/>
  <c r="E804" i="13"/>
  <c r="D804" i="13"/>
  <c r="C804" i="13"/>
  <c r="B804" i="13"/>
  <c r="A804" i="13"/>
  <c r="I803" i="13"/>
  <c r="H803" i="13"/>
  <c r="G803" i="13"/>
  <c r="F803" i="13"/>
  <c r="E803" i="13"/>
  <c r="D803" i="13"/>
  <c r="C803" i="13"/>
  <c r="B803" i="13"/>
  <c r="A803" i="13"/>
  <c r="I802" i="13"/>
  <c r="H802" i="13"/>
  <c r="G802" i="13"/>
  <c r="F802" i="13"/>
  <c r="E802" i="13"/>
  <c r="D802" i="13"/>
  <c r="C802" i="13"/>
  <c r="B802" i="13"/>
  <c r="A802" i="13"/>
  <c r="I801" i="13"/>
  <c r="A45" i="16" s="1"/>
  <c r="B45" i="16" s="1"/>
  <c r="H801" i="13"/>
  <c r="G801" i="13"/>
  <c r="F801" i="13"/>
  <c r="D45" i="16" s="1"/>
  <c r="J45" i="16" s="1"/>
  <c r="E801" i="13"/>
  <c r="D801" i="13"/>
  <c r="C801" i="13"/>
  <c r="B801" i="13"/>
  <c r="A801" i="13"/>
  <c r="I800" i="13"/>
  <c r="H800" i="13"/>
  <c r="G800" i="13"/>
  <c r="F800" i="13"/>
  <c r="E800" i="13"/>
  <c r="D800" i="13"/>
  <c r="C800" i="13"/>
  <c r="B800" i="13"/>
  <c r="A800" i="13"/>
  <c r="I799" i="13"/>
  <c r="H799" i="13"/>
  <c r="G799" i="13"/>
  <c r="F799" i="13"/>
  <c r="E799" i="13"/>
  <c r="D799" i="13"/>
  <c r="C799" i="13"/>
  <c r="B799" i="13"/>
  <c r="A799" i="13"/>
  <c r="I798" i="13"/>
  <c r="H798" i="13"/>
  <c r="G798" i="13"/>
  <c r="F798" i="13"/>
  <c r="E798" i="13"/>
  <c r="D798" i="13"/>
  <c r="C798" i="13"/>
  <c r="B798" i="13"/>
  <c r="A798" i="13"/>
  <c r="I797" i="13"/>
  <c r="H797" i="13"/>
  <c r="G797" i="13"/>
  <c r="F797" i="13"/>
  <c r="E797" i="13"/>
  <c r="D797" i="13"/>
  <c r="C797" i="13"/>
  <c r="B797" i="13"/>
  <c r="A797" i="13"/>
  <c r="I796" i="13"/>
  <c r="H796" i="13"/>
  <c r="G796" i="13"/>
  <c r="F796" i="13"/>
  <c r="E796" i="13"/>
  <c r="D796" i="13"/>
  <c r="C796" i="13"/>
  <c r="B796" i="13"/>
  <c r="A796" i="13"/>
  <c r="I795" i="13"/>
  <c r="H795" i="13"/>
  <c r="G795" i="13"/>
  <c r="F795" i="13"/>
  <c r="E795" i="13"/>
  <c r="D795" i="13"/>
  <c r="C795" i="13"/>
  <c r="B795" i="13"/>
  <c r="A795" i="13"/>
  <c r="I794" i="13"/>
  <c r="H794" i="13"/>
  <c r="G794" i="13"/>
  <c r="F794" i="13"/>
  <c r="E794" i="13"/>
  <c r="D794" i="13"/>
  <c r="C794" i="13"/>
  <c r="B794" i="13"/>
  <c r="A794" i="13"/>
  <c r="I793" i="13"/>
  <c r="H793" i="13"/>
  <c r="G793" i="13"/>
  <c r="F793" i="13"/>
  <c r="E793" i="13"/>
  <c r="D793" i="13"/>
  <c r="C793" i="13"/>
  <c r="B793" i="13"/>
  <c r="A793" i="13"/>
  <c r="I792" i="13"/>
  <c r="H792" i="13"/>
  <c r="G792" i="13"/>
  <c r="F792" i="13"/>
  <c r="E792" i="13"/>
  <c r="D792" i="13"/>
  <c r="E44" i="16" s="1"/>
  <c r="C792" i="13"/>
  <c r="B792" i="13"/>
  <c r="A792" i="13"/>
  <c r="I791" i="13"/>
  <c r="H791" i="13"/>
  <c r="G791" i="13"/>
  <c r="F791" i="13"/>
  <c r="E791" i="13"/>
  <c r="D791" i="13"/>
  <c r="C791" i="13"/>
  <c r="B791" i="13"/>
  <c r="A791" i="13"/>
  <c r="I790" i="13"/>
  <c r="H790" i="13"/>
  <c r="G790" i="13"/>
  <c r="F790" i="13"/>
  <c r="E790" i="13"/>
  <c r="D790" i="13"/>
  <c r="C790" i="13"/>
  <c r="B790" i="13"/>
  <c r="A790" i="13"/>
  <c r="I789" i="13"/>
  <c r="H789" i="13"/>
  <c r="G789" i="13"/>
  <c r="F789" i="13"/>
  <c r="E789" i="13"/>
  <c r="D789" i="13"/>
  <c r="C789" i="13"/>
  <c r="B789" i="13"/>
  <c r="A789" i="13"/>
  <c r="I788" i="13"/>
  <c r="H788" i="13"/>
  <c r="G788" i="13"/>
  <c r="F788" i="13"/>
  <c r="E788" i="13"/>
  <c r="D788" i="13"/>
  <c r="C788" i="13"/>
  <c r="B788" i="13"/>
  <c r="A788" i="13"/>
  <c r="I787" i="13"/>
  <c r="H787" i="13"/>
  <c r="G787" i="13"/>
  <c r="F787" i="13"/>
  <c r="E787" i="13"/>
  <c r="D787" i="13"/>
  <c r="C787" i="13"/>
  <c r="B787" i="13"/>
  <c r="A787" i="13"/>
  <c r="I786" i="13"/>
  <c r="H786" i="13"/>
  <c r="G786" i="13"/>
  <c r="F786" i="13"/>
  <c r="E786" i="13"/>
  <c r="D786" i="13"/>
  <c r="C786" i="13"/>
  <c r="B786" i="13"/>
  <c r="A786" i="13"/>
  <c r="I785" i="13"/>
  <c r="H785" i="13"/>
  <c r="G785" i="13"/>
  <c r="F785" i="13"/>
  <c r="E785" i="13"/>
  <c r="D785" i="13"/>
  <c r="C785" i="13"/>
  <c r="B785" i="13"/>
  <c r="A785" i="13"/>
  <c r="I784" i="13"/>
  <c r="H784" i="13"/>
  <c r="G784" i="13"/>
  <c r="F784" i="13"/>
  <c r="E784" i="13"/>
  <c r="D784" i="13"/>
  <c r="C784" i="13"/>
  <c r="B784" i="13"/>
  <c r="A784" i="13"/>
  <c r="I783" i="13"/>
  <c r="A44" i="16" s="1"/>
  <c r="B44" i="16" s="1"/>
  <c r="H783" i="13"/>
  <c r="G783" i="13"/>
  <c r="F783" i="13"/>
  <c r="D44" i="16" s="1"/>
  <c r="E783" i="13"/>
  <c r="D783" i="13"/>
  <c r="C783" i="13"/>
  <c r="B783" i="13"/>
  <c r="A783" i="13"/>
  <c r="I782" i="13"/>
  <c r="H782" i="13"/>
  <c r="G782" i="13"/>
  <c r="F782" i="13"/>
  <c r="E782" i="13"/>
  <c r="D782" i="13"/>
  <c r="C782" i="13"/>
  <c r="B782" i="13"/>
  <c r="A782" i="13"/>
  <c r="I781" i="13"/>
  <c r="H781" i="13"/>
  <c r="G781" i="13"/>
  <c r="F781" i="13"/>
  <c r="E781" i="13"/>
  <c r="D781" i="13"/>
  <c r="C781" i="13"/>
  <c r="B781" i="13"/>
  <c r="A781" i="13"/>
  <c r="I780" i="13"/>
  <c r="H780" i="13"/>
  <c r="G780" i="13"/>
  <c r="F780" i="13"/>
  <c r="E780" i="13"/>
  <c r="D780" i="13"/>
  <c r="C780" i="13"/>
  <c r="B780" i="13"/>
  <c r="A780" i="13"/>
  <c r="I779" i="13"/>
  <c r="H779" i="13"/>
  <c r="G779" i="13"/>
  <c r="F779" i="13"/>
  <c r="E779" i="13"/>
  <c r="D779" i="13"/>
  <c r="E43" i="16" s="1"/>
  <c r="C779" i="13"/>
  <c r="B779" i="13"/>
  <c r="A779" i="13"/>
  <c r="I778" i="13"/>
  <c r="H778" i="13"/>
  <c r="G778" i="13"/>
  <c r="F778" i="13"/>
  <c r="E778" i="13"/>
  <c r="D778" i="13"/>
  <c r="C778" i="13"/>
  <c r="B778" i="13"/>
  <c r="A778" i="13"/>
  <c r="I777" i="13"/>
  <c r="H777" i="13"/>
  <c r="G777" i="13"/>
  <c r="F777" i="13"/>
  <c r="E777" i="13"/>
  <c r="D777" i="13"/>
  <c r="C777" i="13"/>
  <c r="B777" i="13"/>
  <c r="A777" i="13"/>
  <c r="I776" i="13"/>
  <c r="H776" i="13"/>
  <c r="G776" i="13"/>
  <c r="F776" i="13"/>
  <c r="E776" i="13"/>
  <c r="D776" i="13"/>
  <c r="C776" i="13"/>
  <c r="B776" i="13"/>
  <c r="A776" i="13"/>
  <c r="I775" i="13"/>
  <c r="H775" i="13"/>
  <c r="G775" i="13"/>
  <c r="F775" i="13"/>
  <c r="E775" i="13"/>
  <c r="D775" i="13"/>
  <c r="C775" i="13"/>
  <c r="B775" i="13"/>
  <c r="A775" i="13"/>
  <c r="I774" i="13"/>
  <c r="H774" i="13"/>
  <c r="G774" i="13"/>
  <c r="F774" i="13"/>
  <c r="E774" i="13"/>
  <c r="D774" i="13"/>
  <c r="C774" i="13"/>
  <c r="B774" i="13"/>
  <c r="A774" i="13"/>
  <c r="I773" i="13"/>
  <c r="H773" i="13"/>
  <c r="G773" i="13"/>
  <c r="F773" i="13"/>
  <c r="E773" i="13"/>
  <c r="D773" i="13"/>
  <c r="C773" i="13"/>
  <c r="B773" i="13"/>
  <c r="A773" i="13"/>
  <c r="I772" i="13"/>
  <c r="H772" i="13"/>
  <c r="G772" i="13"/>
  <c r="F772" i="13"/>
  <c r="E772" i="13"/>
  <c r="D772" i="13"/>
  <c r="C772" i="13"/>
  <c r="B772" i="13"/>
  <c r="A772" i="13"/>
  <c r="I771" i="13"/>
  <c r="H771" i="13"/>
  <c r="G771" i="13"/>
  <c r="F771" i="13"/>
  <c r="E771" i="13"/>
  <c r="D771" i="13"/>
  <c r="C771" i="13"/>
  <c r="B771" i="13"/>
  <c r="A771" i="13"/>
  <c r="I770" i="13"/>
  <c r="H770" i="13"/>
  <c r="G770" i="13"/>
  <c r="F770" i="13"/>
  <c r="E770" i="13"/>
  <c r="D770" i="13"/>
  <c r="C770" i="13"/>
  <c r="B770" i="13"/>
  <c r="A770" i="13"/>
  <c r="I769" i="13"/>
  <c r="A43" i="16" s="1"/>
  <c r="B43" i="16" s="1"/>
  <c r="H769" i="13"/>
  <c r="G769" i="13"/>
  <c r="F769" i="13"/>
  <c r="E769" i="13"/>
  <c r="D769" i="13"/>
  <c r="C769" i="13"/>
  <c r="B769" i="13"/>
  <c r="A769" i="13"/>
  <c r="I768" i="13"/>
  <c r="H768" i="13"/>
  <c r="G768" i="13"/>
  <c r="F768" i="13"/>
  <c r="E768" i="13"/>
  <c r="D768" i="13"/>
  <c r="C768" i="13"/>
  <c r="B768" i="13"/>
  <c r="A768" i="13"/>
  <c r="I767" i="13"/>
  <c r="H767" i="13"/>
  <c r="G767" i="13"/>
  <c r="F767" i="13"/>
  <c r="E767" i="13"/>
  <c r="D767" i="13"/>
  <c r="C767" i="13"/>
  <c r="B767" i="13"/>
  <c r="A767" i="13"/>
  <c r="I766" i="13"/>
  <c r="H766" i="13"/>
  <c r="G766" i="13"/>
  <c r="F766" i="13"/>
  <c r="E766" i="13"/>
  <c r="D766" i="13"/>
  <c r="C766" i="13"/>
  <c r="B766" i="13"/>
  <c r="A766" i="13"/>
  <c r="I765" i="13"/>
  <c r="H765" i="13"/>
  <c r="G765" i="13"/>
  <c r="F765" i="13"/>
  <c r="E765" i="13"/>
  <c r="D765" i="13"/>
  <c r="C765" i="13"/>
  <c r="B765" i="13"/>
  <c r="A765" i="13"/>
  <c r="I764" i="13"/>
  <c r="H764" i="13"/>
  <c r="G764" i="13"/>
  <c r="F764" i="13"/>
  <c r="E764" i="13"/>
  <c r="D764" i="13"/>
  <c r="C764" i="13"/>
  <c r="B764" i="13"/>
  <c r="A764" i="13"/>
  <c r="I763" i="13"/>
  <c r="H763" i="13"/>
  <c r="G763" i="13"/>
  <c r="F763" i="13"/>
  <c r="E763" i="13"/>
  <c r="D763" i="13"/>
  <c r="C763" i="13"/>
  <c r="B763" i="13"/>
  <c r="A763" i="13"/>
  <c r="I762" i="13"/>
  <c r="H762" i="13"/>
  <c r="G762" i="13"/>
  <c r="F762" i="13"/>
  <c r="E762" i="13"/>
  <c r="D762" i="13"/>
  <c r="C762" i="13"/>
  <c r="B762" i="13"/>
  <c r="A762" i="13"/>
  <c r="I761" i="13"/>
  <c r="H761" i="13"/>
  <c r="G761" i="13"/>
  <c r="F761" i="13"/>
  <c r="E761" i="13"/>
  <c r="D761" i="13"/>
  <c r="E42" i="16" s="1"/>
  <c r="C761" i="13"/>
  <c r="B761" i="13"/>
  <c r="A761" i="13"/>
  <c r="I760" i="13"/>
  <c r="H760" i="13"/>
  <c r="G760" i="13"/>
  <c r="F760" i="13"/>
  <c r="E760" i="13"/>
  <c r="D760" i="13"/>
  <c r="C760" i="13"/>
  <c r="B760" i="13"/>
  <c r="A760" i="13"/>
  <c r="I759" i="13"/>
  <c r="H759" i="13"/>
  <c r="G759" i="13"/>
  <c r="F759" i="13"/>
  <c r="E759" i="13"/>
  <c r="D759" i="13"/>
  <c r="C759" i="13"/>
  <c r="B759" i="13"/>
  <c r="A759" i="13"/>
  <c r="I758" i="13"/>
  <c r="H758" i="13"/>
  <c r="G758" i="13"/>
  <c r="F758" i="13"/>
  <c r="E758" i="13"/>
  <c r="D758" i="13"/>
  <c r="C758" i="13"/>
  <c r="B758" i="13"/>
  <c r="A758" i="13"/>
  <c r="I757" i="13"/>
  <c r="H757" i="13"/>
  <c r="G757" i="13"/>
  <c r="F757" i="13"/>
  <c r="E757" i="13"/>
  <c r="D757" i="13"/>
  <c r="C757" i="13"/>
  <c r="B757" i="13"/>
  <c r="A757" i="13"/>
  <c r="I756" i="13"/>
  <c r="H756" i="13"/>
  <c r="G756" i="13"/>
  <c r="F756" i="13"/>
  <c r="E756" i="13"/>
  <c r="D756" i="13"/>
  <c r="C756" i="13"/>
  <c r="B756" i="13"/>
  <c r="A756" i="13"/>
  <c r="I755" i="13"/>
  <c r="H755" i="13"/>
  <c r="G755" i="13"/>
  <c r="F755" i="13"/>
  <c r="E755" i="13"/>
  <c r="D755" i="13"/>
  <c r="C755" i="13"/>
  <c r="B755" i="13"/>
  <c r="A755" i="13"/>
  <c r="I754" i="13"/>
  <c r="H754" i="13"/>
  <c r="G754" i="13"/>
  <c r="F754" i="13"/>
  <c r="E754" i="13"/>
  <c r="D754" i="13"/>
  <c r="C754" i="13"/>
  <c r="B754" i="13"/>
  <c r="A754" i="13"/>
  <c r="I753" i="13"/>
  <c r="H753" i="13"/>
  <c r="G753" i="13"/>
  <c r="F753" i="13"/>
  <c r="E753" i="13"/>
  <c r="D753" i="13"/>
  <c r="C753" i="13"/>
  <c r="B753" i="13"/>
  <c r="A753" i="13"/>
  <c r="I752" i="13"/>
  <c r="H752" i="13"/>
  <c r="G752" i="13"/>
  <c r="F752" i="13"/>
  <c r="E752" i="13"/>
  <c r="D752" i="13"/>
  <c r="C752" i="13"/>
  <c r="B752" i="13"/>
  <c r="A752" i="13"/>
  <c r="I751" i="13"/>
  <c r="A42" i="16" s="1"/>
  <c r="B42" i="16" s="1"/>
  <c r="H751" i="13"/>
  <c r="G751" i="13"/>
  <c r="F751" i="13"/>
  <c r="D42" i="16" s="1"/>
  <c r="E751" i="13"/>
  <c r="D751" i="13"/>
  <c r="C751" i="13"/>
  <c r="B751" i="13"/>
  <c r="A751" i="13"/>
  <c r="I750" i="13"/>
  <c r="H750" i="13"/>
  <c r="G750" i="13"/>
  <c r="F750" i="13"/>
  <c r="E750" i="13"/>
  <c r="D750" i="13"/>
  <c r="C750" i="13"/>
  <c r="B750" i="13"/>
  <c r="A750" i="13"/>
  <c r="I749" i="13"/>
  <c r="H749" i="13"/>
  <c r="G749" i="13"/>
  <c r="F749" i="13"/>
  <c r="E749" i="13"/>
  <c r="D749" i="13"/>
  <c r="C749" i="13"/>
  <c r="B749" i="13"/>
  <c r="A749" i="13"/>
  <c r="I748" i="13"/>
  <c r="H748" i="13"/>
  <c r="G748" i="13"/>
  <c r="F748" i="13"/>
  <c r="E748" i="13"/>
  <c r="D748" i="13"/>
  <c r="C748" i="13"/>
  <c r="B748" i="13"/>
  <c r="A748" i="13"/>
  <c r="I747" i="13"/>
  <c r="H747" i="13"/>
  <c r="G747" i="13"/>
  <c r="F747" i="13"/>
  <c r="E747" i="13"/>
  <c r="D747" i="13"/>
  <c r="C747" i="13"/>
  <c r="B747" i="13"/>
  <c r="A747" i="13"/>
  <c r="I746" i="13"/>
  <c r="H746" i="13"/>
  <c r="G746" i="13"/>
  <c r="F746" i="13"/>
  <c r="E746" i="13"/>
  <c r="D746" i="13"/>
  <c r="C746" i="13"/>
  <c r="B746" i="13"/>
  <c r="A746" i="13"/>
  <c r="I745" i="13"/>
  <c r="H745" i="13"/>
  <c r="G745" i="13"/>
  <c r="F745" i="13"/>
  <c r="E745" i="13"/>
  <c r="D745" i="13"/>
  <c r="C745" i="13"/>
  <c r="B745" i="13"/>
  <c r="A745" i="13"/>
  <c r="I744" i="13"/>
  <c r="H744" i="13"/>
  <c r="G744" i="13"/>
  <c r="F744" i="13"/>
  <c r="E744" i="13"/>
  <c r="D744" i="13"/>
  <c r="E41" i="16" s="1"/>
  <c r="C744" i="13"/>
  <c r="B744" i="13"/>
  <c r="A744" i="13"/>
  <c r="I743" i="13"/>
  <c r="H743" i="13"/>
  <c r="G743" i="13"/>
  <c r="F743" i="13"/>
  <c r="E743" i="13"/>
  <c r="D743" i="13"/>
  <c r="C743" i="13"/>
  <c r="B743" i="13"/>
  <c r="A743" i="13"/>
  <c r="I742" i="13"/>
  <c r="H742" i="13"/>
  <c r="G742" i="13"/>
  <c r="F742" i="13"/>
  <c r="E742" i="13"/>
  <c r="D742" i="13"/>
  <c r="C742" i="13"/>
  <c r="B742" i="13"/>
  <c r="A742" i="13"/>
  <c r="I741" i="13"/>
  <c r="H741" i="13"/>
  <c r="G741" i="13"/>
  <c r="F741" i="13"/>
  <c r="E741" i="13"/>
  <c r="D741" i="13"/>
  <c r="C741" i="13"/>
  <c r="B741" i="13"/>
  <c r="A741" i="13"/>
  <c r="I740" i="13"/>
  <c r="H740" i="13"/>
  <c r="G740" i="13"/>
  <c r="F740" i="13"/>
  <c r="E740" i="13"/>
  <c r="D740" i="13"/>
  <c r="C740" i="13"/>
  <c r="B740" i="13"/>
  <c r="A740" i="13"/>
  <c r="I739" i="13"/>
  <c r="H739" i="13"/>
  <c r="G739" i="13"/>
  <c r="F739" i="13"/>
  <c r="E739" i="13"/>
  <c r="D739" i="13"/>
  <c r="C739" i="13"/>
  <c r="B739" i="13"/>
  <c r="A739" i="13"/>
  <c r="I738" i="13"/>
  <c r="H738" i="13"/>
  <c r="G738" i="13"/>
  <c r="F738" i="13"/>
  <c r="E738" i="13"/>
  <c r="D738" i="13"/>
  <c r="C738" i="13"/>
  <c r="B738" i="13"/>
  <c r="A738" i="13"/>
  <c r="I737" i="13"/>
  <c r="H737" i="13"/>
  <c r="G737" i="13"/>
  <c r="F737" i="13"/>
  <c r="E737" i="13"/>
  <c r="D737" i="13"/>
  <c r="C737" i="13"/>
  <c r="B737" i="13"/>
  <c r="A737" i="13"/>
  <c r="I736" i="13"/>
  <c r="H736" i="13"/>
  <c r="G736" i="13"/>
  <c r="F736" i="13"/>
  <c r="E736" i="13"/>
  <c r="D736" i="13"/>
  <c r="C736" i="13"/>
  <c r="B736" i="13"/>
  <c r="A736" i="13"/>
  <c r="I735" i="13"/>
  <c r="A41" i="16" s="1"/>
  <c r="B41" i="16" s="1"/>
  <c r="H735" i="13"/>
  <c r="G735" i="13"/>
  <c r="F735" i="13"/>
  <c r="D41" i="16" s="1"/>
  <c r="E735" i="13"/>
  <c r="D735" i="13"/>
  <c r="C735" i="13"/>
  <c r="B735" i="13"/>
  <c r="A735" i="13"/>
  <c r="I734" i="13"/>
  <c r="H734" i="13"/>
  <c r="G734" i="13"/>
  <c r="F734" i="13"/>
  <c r="E734" i="13"/>
  <c r="D734" i="13"/>
  <c r="C734" i="13"/>
  <c r="B734" i="13"/>
  <c r="A734" i="13"/>
  <c r="I733" i="13"/>
  <c r="H733" i="13"/>
  <c r="G733" i="13"/>
  <c r="F733" i="13"/>
  <c r="E733" i="13"/>
  <c r="D733" i="13"/>
  <c r="C733" i="13"/>
  <c r="B733" i="13"/>
  <c r="A733" i="13"/>
  <c r="I732" i="13"/>
  <c r="H732" i="13"/>
  <c r="G732" i="13"/>
  <c r="F732" i="13"/>
  <c r="E732" i="13"/>
  <c r="D732" i="13"/>
  <c r="C732" i="13"/>
  <c r="B732" i="13"/>
  <c r="A732" i="13"/>
  <c r="I731" i="13"/>
  <c r="H731" i="13"/>
  <c r="G731" i="13"/>
  <c r="F731" i="13"/>
  <c r="E731" i="13"/>
  <c r="D731" i="13"/>
  <c r="C731" i="13"/>
  <c r="B731" i="13"/>
  <c r="A731" i="13"/>
  <c r="I730" i="13"/>
  <c r="H730" i="13"/>
  <c r="G730" i="13"/>
  <c r="F730" i="13"/>
  <c r="E730" i="13"/>
  <c r="D730" i="13"/>
  <c r="C730" i="13"/>
  <c r="B730" i="13"/>
  <c r="A730" i="13"/>
  <c r="I729" i="13"/>
  <c r="H729" i="13"/>
  <c r="G729" i="13"/>
  <c r="F729" i="13"/>
  <c r="E729" i="13"/>
  <c r="D729" i="13"/>
  <c r="E40" i="16" s="1"/>
  <c r="C729" i="13"/>
  <c r="B729" i="13"/>
  <c r="A729" i="13"/>
  <c r="I728" i="13"/>
  <c r="H728" i="13"/>
  <c r="G728" i="13"/>
  <c r="F728" i="13"/>
  <c r="E728" i="13"/>
  <c r="D728" i="13"/>
  <c r="C728" i="13"/>
  <c r="B728" i="13"/>
  <c r="A728" i="13"/>
  <c r="I727" i="13"/>
  <c r="H727" i="13"/>
  <c r="G727" i="13"/>
  <c r="F727" i="13"/>
  <c r="E727" i="13"/>
  <c r="D727" i="13"/>
  <c r="C727" i="13"/>
  <c r="B727" i="13"/>
  <c r="A727" i="13"/>
  <c r="I726" i="13"/>
  <c r="H726" i="13"/>
  <c r="G726" i="13"/>
  <c r="F726" i="13"/>
  <c r="E726" i="13"/>
  <c r="D726" i="13"/>
  <c r="C726" i="13"/>
  <c r="B726" i="13"/>
  <c r="A726" i="13"/>
  <c r="I725" i="13"/>
  <c r="H725" i="13"/>
  <c r="G725" i="13"/>
  <c r="F725" i="13"/>
  <c r="E725" i="13"/>
  <c r="D725" i="13"/>
  <c r="C725" i="13"/>
  <c r="B725" i="13"/>
  <c r="A725" i="13"/>
  <c r="I724" i="13"/>
  <c r="H724" i="13"/>
  <c r="G724" i="13"/>
  <c r="F724" i="13"/>
  <c r="E724" i="13"/>
  <c r="D724" i="13"/>
  <c r="C724" i="13"/>
  <c r="B724" i="13"/>
  <c r="A724" i="13"/>
  <c r="I723" i="13"/>
  <c r="H723" i="13"/>
  <c r="G723" i="13"/>
  <c r="F723" i="13"/>
  <c r="E723" i="13"/>
  <c r="D723" i="13"/>
  <c r="C723" i="13"/>
  <c r="B723" i="13"/>
  <c r="A723" i="13"/>
  <c r="I722" i="13"/>
  <c r="H722" i="13"/>
  <c r="G722" i="13"/>
  <c r="F722" i="13"/>
  <c r="E722" i="13"/>
  <c r="D722" i="13"/>
  <c r="C722" i="13"/>
  <c r="B722" i="13"/>
  <c r="A722" i="13"/>
  <c r="I721" i="13"/>
  <c r="H721" i="13"/>
  <c r="G721" i="13"/>
  <c r="F721" i="13"/>
  <c r="E721" i="13"/>
  <c r="D721" i="13"/>
  <c r="C721" i="13"/>
  <c r="B721" i="13"/>
  <c r="A721" i="13"/>
  <c r="I720" i="13"/>
  <c r="H720" i="13"/>
  <c r="G720" i="13"/>
  <c r="F720" i="13"/>
  <c r="E720" i="13"/>
  <c r="D720" i="13"/>
  <c r="C720" i="13"/>
  <c r="B720" i="13"/>
  <c r="A720" i="13"/>
  <c r="I719" i="13"/>
  <c r="A40" i="16" s="1"/>
  <c r="B40" i="16" s="1"/>
  <c r="H719" i="13"/>
  <c r="G719" i="13"/>
  <c r="F719" i="13"/>
  <c r="D40" i="16" s="1"/>
  <c r="E719" i="13"/>
  <c r="D719" i="13"/>
  <c r="C719" i="13"/>
  <c r="B719" i="13"/>
  <c r="A719" i="13"/>
  <c r="I718" i="13"/>
  <c r="H718" i="13"/>
  <c r="G718" i="13"/>
  <c r="F718" i="13"/>
  <c r="E718" i="13"/>
  <c r="D718" i="13"/>
  <c r="C718" i="13"/>
  <c r="B718" i="13"/>
  <c r="A718" i="13"/>
  <c r="I717" i="13"/>
  <c r="H717" i="13"/>
  <c r="G717" i="13"/>
  <c r="F717" i="13"/>
  <c r="E717" i="13"/>
  <c r="D717" i="13"/>
  <c r="C717" i="13"/>
  <c r="B717" i="13"/>
  <c r="A717" i="13"/>
  <c r="I716" i="13"/>
  <c r="H716" i="13"/>
  <c r="G716" i="13"/>
  <c r="F716" i="13"/>
  <c r="E716" i="13"/>
  <c r="D716" i="13"/>
  <c r="C716" i="13"/>
  <c r="B716" i="13"/>
  <c r="A716" i="13"/>
  <c r="I715" i="13"/>
  <c r="H715" i="13"/>
  <c r="G715" i="13"/>
  <c r="F715" i="13"/>
  <c r="E715" i="13"/>
  <c r="D715" i="13"/>
  <c r="C715" i="13"/>
  <c r="B715" i="13"/>
  <c r="A715" i="13"/>
  <c r="I714" i="13"/>
  <c r="H714" i="13"/>
  <c r="G714" i="13"/>
  <c r="F714" i="13"/>
  <c r="E714" i="13"/>
  <c r="D714" i="13"/>
  <c r="C714" i="13"/>
  <c r="B714" i="13"/>
  <c r="A714" i="13"/>
  <c r="I713" i="13"/>
  <c r="H713" i="13"/>
  <c r="G713" i="13"/>
  <c r="F713" i="13"/>
  <c r="E713" i="13"/>
  <c r="D713" i="13"/>
  <c r="C713" i="13"/>
  <c r="B713" i="13"/>
  <c r="A713" i="13"/>
  <c r="I712" i="13"/>
  <c r="H712" i="13"/>
  <c r="G712" i="13"/>
  <c r="F712" i="13"/>
  <c r="E712" i="13"/>
  <c r="D712" i="13"/>
  <c r="C712" i="13"/>
  <c r="B712" i="13"/>
  <c r="D703" i="13" s="1"/>
  <c r="A712" i="13"/>
  <c r="I711" i="13"/>
  <c r="H711" i="13"/>
  <c r="G711" i="13"/>
  <c r="F711" i="13"/>
  <c r="E711" i="13"/>
  <c r="D711" i="13"/>
  <c r="C711" i="13"/>
  <c r="B711" i="13"/>
  <c r="D702" i="13" s="1"/>
  <c r="A711" i="13"/>
  <c r="I710" i="13"/>
  <c r="H710" i="13"/>
  <c r="G710" i="13"/>
  <c r="F710" i="13"/>
  <c r="D39" i="16" s="1"/>
  <c r="E710" i="13"/>
  <c r="D710" i="13"/>
  <c r="C710" i="13"/>
  <c r="B710" i="13"/>
  <c r="D701" i="13" s="1"/>
  <c r="A710" i="13"/>
  <c r="I709" i="13"/>
  <c r="H709" i="13"/>
  <c r="G709" i="13"/>
  <c r="F709" i="13"/>
  <c r="E709" i="13"/>
  <c r="D709" i="13"/>
  <c r="C709" i="13"/>
  <c r="B709" i="13"/>
  <c r="A709" i="13"/>
  <c r="I708" i="13"/>
  <c r="H708" i="13"/>
  <c r="G708" i="13"/>
  <c r="F708" i="13"/>
  <c r="E708" i="13"/>
  <c r="D708" i="13"/>
  <c r="C708" i="13"/>
  <c r="B708" i="13"/>
  <c r="A708" i="13"/>
  <c r="I707" i="13"/>
  <c r="H707" i="13"/>
  <c r="G707" i="13"/>
  <c r="F707" i="13"/>
  <c r="E707" i="13"/>
  <c r="D707" i="13"/>
  <c r="C707" i="13"/>
  <c r="B707" i="13"/>
  <c r="A707" i="13"/>
  <c r="I706" i="13"/>
  <c r="H706" i="13"/>
  <c r="G706" i="13"/>
  <c r="F706" i="13"/>
  <c r="E706" i="13"/>
  <c r="D706" i="13"/>
  <c r="C706" i="13"/>
  <c r="B706" i="13"/>
  <c r="A706" i="13"/>
  <c r="I705" i="13"/>
  <c r="H705" i="13"/>
  <c r="G705" i="13"/>
  <c r="F705" i="13"/>
  <c r="D705" i="13"/>
  <c r="E704" i="13" s="1"/>
  <c r="C705" i="13"/>
  <c r="B705" i="13"/>
  <c r="A705" i="13"/>
  <c r="I704" i="13"/>
  <c r="H704" i="13"/>
  <c r="G704" i="13"/>
  <c r="F704" i="13"/>
  <c r="D704" i="13"/>
  <c r="C704" i="13"/>
  <c r="B704" i="13"/>
  <c r="A704" i="13"/>
  <c r="I703" i="13"/>
  <c r="H703" i="13"/>
  <c r="G703" i="13"/>
  <c r="F703" i="13"/>
  <c r="C703" i="13"/>
  <c r="B703" i="13"/>
  <c r="A703" i="13"/>
  <c r="I702" i="13"/>
  <c r="H702" i="13"/>
  <c r="G702" i="13"/>
  <c r="F702" i="13"/>
  <c r="C702" i="13"/>
  <c r="B702" i="13"/>
  <c r="A702" i="13"/>
  <c r="I701" i="13"/>
  <c r="A39" i="16" s="1"/>
  <c r="B39" i="16" s="1"/>
  <c r="H701" i="13"/>
  <c r="G701" i="13"/>
  <c r="F701" i="13"/>
  <c r="C701" i="13"/>
  <c r="B701" i="13"/>
  <c r="A701" i="13"/>
  <c r="I700" i="13"/>
  <c r="H700" i="13"/>
  <c r="G700" i="13"/>
  <c r="F700" i="13"/>
  <c r="D700" i="13"/>
  <c r="C700" i="13"/>
  <c r="B700" i="13"/>
  <c r="A700" i="13"/>
  <c r="I699" i="13"/>
  <c r="H699" i="13"/>
  <c r="G699" i="13"/>
  <c r="F699" i="13"/>
  <c r="E699" i="13"/>
  <c r="D699" i="13"/>
  <c r="C699" i="13"/>
  <c r="B699" i="13"/>
  <c r="A699" i="13"/>
  <c r="I698" i="13"/>
  <c r="H698" i="13"/>
  <c r="G698" i="13"/>
  <c r="F698" i="13"/>
  <c r="E698" i="13"/>
  <c r="D698" i="13"/>
  <c r="C698" i="13"/>
  <c r="B698" i="13"/>
  <c r="A698" i="13"/>
  <c r="I697" i="13"/>
  <c r="H697" i="13"/>
  <c r="G697" i="13"/>
  <c r="F697" i="13"/>
  <c r="E697" i="13"/>
  <c r="D697" i="13"/>
  <c r="C697" i="13"/>
  <c r="B697" i="13"/>
  <c r="A697" i="13"/>
  <c r="I696" i="13"/>
  <c r="H696" i="13"/>
  <c r="G696" i="13"/>
  <c r="F696" i="13"/>
  <c r="E696" i="13"/>
  <c r="D696" i="13"/>
  <c r="C696" i="13"/>
  <c r="B696" i="13"/>
  <c r="A696" i="13"/>
  <c r="I695" i="13"/>
  <c r="H695" i="13"/>
  <c r="G695" i="13"/>
  <c r="F695" i="13"/>
  <c r="E695" i="13"/>
  <c r="D695" i="13"/>
  <c r="C695" i="13"/>
  <c r="B695" i="13"/>
  <c r="A695" i="13"/>
  <c r="I694" i="13"/>
  <c r="H694" i="13"/>
  <c r="G694" i="13"/>
  <c r="F694" i="13"/>
  <c r="E694" i="13"/>
  <c r="D694" i="13"/>
  <c r="C694" i="13"/>
  <c r="B694" i="13"/>
  <c r="A694" i="13"/>
  <c r="I693" i="13"/>
  <c r="H693" i="13"/>
  <c r="G693" i="13"/>
  <c r="F693" i="13"/>
  <c r="E693" i="13"/>
  <c r="D693" i="13"/>
  <c r="C693" i="13"/>
  <c r="B693" i="13"/>
  <c r="A693" i="13"/>
  <c r="I692" i="13"/>
  <c r="H692" i="13"/>
  <c r="G692" i="13"/>
  <c r="F692" i="13"/>
  <c r="E692" i="13"/>
  <c r="D692" i="13"/>
  <c r="C692" i="13"/>
  <c r="B692" i="13"/>
  <c r="A692" i="13"/>
  <c r="I691" i="13"/>
  <c r="H691" i="13"/>
  <c r="G691" i="13"/>
  <c r="F691" i="13"/>
  <c r="E691" i="13"/>
  <c r="D691" i="13"/>
  <c r="C691" i="13"/>
  <c r="B691" i="13"/>
  <c r="A691" i="13"/>
  <c r="I690" i="13"/>
  <c r="H690" i="13"/>
  <c r="G690" i="13"/>
  <c r="F690" i="13"/>
  <c r="E690" i="13"/>
  <c r="D690" i="13"/>
  <c r="C690" i="13"/>
  <c r="B690" i="13"/>
  <c r="A690" i="13"/>
  <c r="I689" i="13"/>
  <c r="H689" i="13"/>
  <c r="G689" i="13"/>
  <c r="F689" i="13"/>
  <c r="E689" i="13"/>
  <c r="D689" i="13"/>
  <c r="C689" i="13"/>
  <c r="B689" i="13"/>
  <c r="A689" i="13"/>
  <c r="I688" i="13"/>
  <c r="H688" i="13"/>
  <c r="G688" i="13"/>
  <c r="F688" i="13"/>
  <c r="E688" i="13"/>
  <c r="D688" i="13"/>
  <c r="C688" i="13"/>
  <c r="B688" i="13"/>
  <c r="A688" i="13"/>
  <c r="I687" i="13"/>
  <c r="H687" i="13"/>
  <c r="G687" i="13"/>
  <c r="F687" i="13"/>
  <c r="E687" i="13"/>
  <c r="D687" i="13"/>
  <c r="C687" i="13"/>
  <c r="B687" i="13"/>
  <c r="A687" i="13"/>
  <c r="I686" i="13"/>
  <c r="H686" i="13"/>
  <c r="G686" i="13"/>
  <c r="F686" i="13"/>
  <c r="E686" i="13"/>
  <c r="D686" i="13"/>
  <c r="C686" i="13"/>
  <c r="B686" i="13"/>
  <c r="A686" i="13"/>
  <c r="I685" i="13"/>
  <c r="H685" i="13"/>
  <c r="G685" i="13"/>
  <c r="F685" i="13"/>
  <c r="E685" i="13"/>
  <c r="D685" i="13"/>
  <c r="C685" i="13"/>
  <c r="B685" i="13"/>
  <c r="A685" i="13"/>
  <c r="I684" i="13"/>
  <c r="H684" i="13"/>
  <c r="G684" i="13"/>
  <c r="F684" i="13"/>
  <c r="E684" i="13"/>
  <c r="D684" i="13"/>
  <c r="C684" i="13"/>
  <c r="B684" i="13"/>
  <c r="A684" i="13"/>
  <c r="I683" i="13"/>
  <c r="H683" i="13"/>
  <c r="G683" i="13"/>
  <c r="F683" i="13"/>
  <c r="E683" i="13"/>
  <c r="D683" i="13"/>
  <c r="C683" i="13"/>
  <c r="B683" i="13"/>
  <c r="A683" i="13"/>
  <c r="I682" i="13"/>
  <c r="H682" i="13"/>
  <c r="G682" i="13"/>
  <c r="F682" i="13"/>
  <c r="E682" i="13"/>
  <c r="D682" i="13"/>
  <c r="C682" i="13"/>
  <c r="B682" i="13"/>
  <c r="A682" i="13"/>
  <c r="I681" i="13"/>
  <c r="H681" i="13"/>
  <c r="G681" i="13"/>
  <c r="F681" i="13"/>
  <c r="E681" i="13"/>
  <c r="D681" i="13"/>
  <c r="C681" i="13"/>
  <c r="B681" i="13"/>
  <c r="A681" i="13"/>
  <c r="I680" i="13"/>
  <c r="H680" i="13"/>
  <c r="G680" i="13"/>
  <c r="F680" i="13"/>
  <c r="E680" i="13"/>
  <c r="D680" i="13"/>
  <c r="C680" i="13"/>
  <c r="B680" i="13"/>
  <c r="A680" i="13"/>
  <c r="I679" i="13"/>
  <c r="H679" i="13"/>
  <c r="G679" i="13"/>
  <c r="F679" i="13"/>
  <c r="E679" i="13"/>
  <c r="D679" i="13"/>
  <c r="C679" i="13"/>
  <c r="B679" i="13"/>
  <c r="A679" i="13"/>
  <c r="I678" i="13"/>
  <c r="H678" i="13"/>
  <c r="G678" i="13"/>
  <c r="F678" i="13"/>
  <c r="E678" i="13"/>
  <c r="D678" i="13"/>
  <c r="C678" i="13"/>
  <c r="B678" i="13"/>
  <c r="A678" i="13"/>
  <c r="I677" i="13"/>
  <c r="H677" i="13"/>
  <c r="G677" i="13"/>
  <c r="F677" i="13"/>
  <c r="E677" i="13"/>
  <c r="D677" i="13"/>
  <c r="C677" i="13"/>
  <c r="B677" i="13"/>
  <c r="A677" i="13"/>
  <c r="I676" i="13"/>
  <c r="H676" i="13"/>
  <c r="G676" i="13"/>
  <c r="F676" i="13"/>
  <c r="E676" i="13"/>
  <c r="D676" i="13"/>
  <c r="E38" i="16" s="1"/>
  <c r="C676" i="13"/>
  <c r="B676" i="13"/>
  <c r="A676" i="13"/>
  <c r="I675" i="13"/>
  <c r="H675" i="13"/>
  <c r="G675" i="13"/>
  <c r="F675" i="13"/>
  <c r="E675" i="13"/>
  <c r="D675" i="13"/>
  <c r="C675" i="13"/>
  <c r="B675" i="13"/>
  <c r="A675" i="13"/>
  <c r="I674" i="13"/>
  <c r="H674" i="13"/>
  <c r="G674" i="13"/>
  <c r="F674" i="13"/>
  <c r="E674" i="13"/>
  <c r="D674" i="13"/>
  <c r="C674" i="13"/>
  <c r="B674" i="13"/>
  <c r="A674" i="13"/>
  <c r="I673" i="13"/>
  <c r="H673" i="13"/>
  <c r="G673" i="13"/>
  <c r="F673" i="13"/>
  <c r="E673" i="13"/>
  <c r="D673" i="13"/>
  <c r="C673" i="13"/>
  <c r="B673" i="13"/>
  <c r="A673" i="13"/>
  <c r="I672" i="13"/>
  <c r="H672" i="13"/>
  <c r="G672" i="13"/>
  <c r="F672" i="13"/>
  <c r="E672" i="13"/>
  <c r="D672" i="13"/>
  <c r="C672" i="13"/>
  <c r="B672" i="13"/>
  <c r="A672" i="13"/>
  <c r="I671" i="13"/>
  <c r="H671" i="13"/>
  <c r="G671" i="13"/>
  <c r="F671" i="13"/>
  <c r="E671" i="13"/>
  <c r="D671" i="13"/>
  <c r="C671" i="13"/>
  <c r="B671" i="13"/>
  <c r="A671" i="13"/>
  <c r="I670" i="13"/>
  <c r="H670" i="13"/>
  <c r="G670" i="13"/>
  <c r="F670" i="13"/>
  <c r="E670" i="13"/>
  <c r="D670" i="13"/>
  <c r="C670" i="13"/>
  <c r="B670" i="13"/>
  <c r="A670" i="13"/>
  <c r="I669" i="13"/>
  <c r="H669" i="13"/>
  <c r="G669" i="13"/>
  <c r="F669" i="13"/>
  <c r="E669" i="13"/>
  <c r="D669" i="13"/>
  <c r="C669" i="13"/>
  <c r="B669" i="13"/>
  <c r="A669" i="13"/>
  <c r="I668" i="13"/>
  <c r="H668" i="13"/>
  <c r="G668" i="13"/>
  <c r="F668" i="13"/>
  <c r="E668" i="13"/>
  <c r="D668" i="13"/>
  <c r="C668" i="13"/>
  <c r="B668" i="13"/>
  <c r="A668" i="13"/>
  <c r="I667" i="13"/>
  <c r="H667" i="13"/>
  <c r="G667" i="13"/>
  <c r="F667" i="13"/>
  <c r="E667" i="13"/>
  <c r="D667" i="13"/>
  <c r="C667" i="13"/>
  <c r="B667" i="13"/>
  <c r="A667" i="13"/>
  <c r="I666" i="13"/>
  <c r="H666" i="13"/>
  <c r="G666" i="13"/>
  <c r="F666" i="13"/>
  <c r="E666" i="13"/>
  <c r="D666" i="13"/>
  <c r="C666" i="13"/>
  <c r="B666" i="13"/>
  <c r="A666" i="13"/>
  <c r="I665" i="13"/>
  <c r="H665" i="13"/>
  <c r="G665" i="13"/>
  <c r="F665" i="13"/>
  <c r="E665" i="13"/>
  <c r="D665" i="13"/>
  <c r="C665" i="13"/>
  <c r="B665" i="13"/>
  <c r="A665" i="13"/>
  <c r="I664" i="13"/>
  <c r="H664" i="13"/>
  <c r="G664" i="13"/>
  <c r="F664" i="13"/>
  <c r="E664" i="13"/>
  <c r="D664" i="13"/>
  <c r="C664" i="13"/>
  <c r="B664" i="13"/>
  <c r="A664" i="13"/>
  <c r="I663" i="13"/>
  <c r="H663" i="13"/>
  <c r="G663" i="13"/>
  <c r="F663" i="13"/>
  <c r="E663" i="13"/>
  <c r="D663" i="13"/>
  <c r="C663" i="13"/>
  <c r="B663" i="13"/>
  <c r="A663" i="13"/>
  <c r="I662" i="13"/>
  <c r="H662" i="13"/>
  <c r="G662" i="13"/>
  <c r="F662" i="13"/>
  <c r="E662" i="13"/>
  <c r="D662" i="13"/>
  <c r="C662" i="13"/>
  <c r="B662" i="13"/>
  <c r="A662" i="13"/>
  <c r="I661" i="13"/>
  <c r="H661" i="13"/>
  <c r="G661" i="13"/>
  <c r="F661" i="13"/>
  <c r="E661" i="13"/>
  <c r="D661" i="13"/>
  <c r="C661" i="13"/>
  <c r="B661" i="13"/>
  <c r="A661" i="13"/>
  <c r="I660" i="13"/>
  <c r="H660" i="13"/>
  <c r="G660" i="13"/>
  <c r="F660" i="13"/>
  <c r="E660" i="13"/>
  <c r="D660" i="13"/>
  <c r="C660" i="13"/>
  <c r="B660" i="13"/>
  <c r="A660" i="13"/>
  <c r="I659" i="13"/>
  <c r="H659" i="13"/>
  <c r="G659" i="13"/>
  <c r="F659" i="13"/>
  <c r="E659" i="13"/>
  <c r="D659" i="13"/>
  <c r="C659" i="13"/>
  <c r="B659" i="13"/>
  <c r="A659" i="13"/>
  <c r="I658" i="13"/>
  <c r="A38" i="16" s="1"/>
  <c r="B38" i="16" s="1"/>
  <c r="H658" i="13"/>
  <c r="G658" i="13"/>
  <c r="F658" i="13"/>
  <c r="D38" i="16" s="1"/>
  <c r="E658" i="13"/>
  <c r="D658" i="13"/>
  <c r="C658" i="13"/>
  <c r="B658" i="13"/>
  <c r="A658" i="13"/>
  <c r="I657" i="13"/>
  <c r="H657" i="13"/>
  <c r="G657" i="13"/>
  <c r="F657" i="13"/>
  <c r="E657" i="13"/>
  <c r="D657" i="13"/>
  <c r="C657" i="13"/>
  <c r="B657" i="13"/>
  <c r="A657" i="13"/>
  <c r="I656" i="13"/>
  <c r="H656" i="13"/>
  <c r="G656" i="13"/>
  <c r="F656" i="13"/>
  <c r="E656" i="13"/>
  <c r="D656" i="13"/>
  <c r="C656" i="13"/>
  <c r="B656" i="13"/>
  <c r="A656" i="13"/>
  <c r="I655" i="13"/>
  <c r="H655" i="13"/>
  <c r="G655" i="13"/>
  <c r="F655" i="13"/>
  <c r="E655" i="13"/>
  <c r="D655" i="13"/>
  <c r="C655" i="13"/>
  <c r="B655" i="13"/>
  <c r="A655" i="13"/>
  <c r="I654" i="13"/>
  <c r="H654" i="13"/>
  <c r="G654" i="13"/>
  <c r="F654" i="13"/>
  <c r="E654" i="13"/>
  <c r="D654" i="13"/>
  <c r="C654" i="13"/>
  <c r="B654" i="13"/>
  <c r="A654" i="13"/>
  <c r="I653" i="13"/>
  <c r="H653" i="13"/>
  <c r="G653" i="13"/>
  <c r="F653" i="13"/>
  <c r="E653" i="13"/>
  <c r="D653" i="13"/>
  <c r="C653" i="13"/>
  <c r="B653" i="13"/>
  <c r="A653" i="13"/>
  <c r="I652" i="13"/>
  <c r="H652" i="13"/>
  <c r="G652" i="13"/>
  <c r="F652" i="13"/>
  <c r="E652" i="13"/>
  <c r="D652" i="13"/>
  <c r="C652" i="13"/>
  <c r="B652" i="13"/>
  <c r="A652" i="13"/>
  <c r="I651" i="13"/>
  <c r="H651" i="13"/>
  <c r="G651" i="13"/>
  <c r="F651" i="13"/>
  <c r="E651" i="13"/>
  <c r="D651" i="13"/>
  <c r="C651" i="13"/>
  <c r="B651" i="13"/>
  <c r="A651" i="13"/>
  <c r="I650" i="13"/>
  <c r="H650" i="13"/>
  <c r="G650" i="13"/>
  <c r="F650" i="13"/>
  <c r="E650" i="13"/>
  <c r="D650" i="13"/>
  <c r="E37" i="16" s="1"/>
  <c r="C650" i="13"/>
  <c r="B650" i="13"/>
  <c r="A650" i="13"/>
  <c r="I649" i="13"/>
  <c r="H649" i="13"/>
  <c r="G649" i="13"/>
  <c r="F649" i="13"/>
  <c r="E649" i="13"/>
  <c r="D649" i="13"/>
  <c r="C649" i="13"/>
  <c r="B649" i="13"/>
  <c r="A649" i="13"/>
  <c r="I648" i="13"/>
  <c r="H648" i="13"/>
  <c r="G648" i="13"/>
  <c r="F648" i="13"/>
  <c r="E648" i="13"/>
  <c r="D648" i="13"/>
  <c r="C648" i="13"/>
  <c r="B648" i="13"/>
  <c r="A648" i="13"/>
  <c r="I647" i="13"/>
  <c r="H647" i="13"/>
  <c r="G647" i="13"/>
  <c r="F647" i="13"/>
  <c r="E647" i="13"/>
  <c r="D647" i="13"/>
  <c r="C647" i="13"/>
  <c r="B647" i="13"/>
  <c r="A647" i="13"/>
  <c r="I646" i="13"/>
  <c r="H646" i="13"/>
  <c r="G646" i="13"/>
  <c r="F646" i="13"/>
  <c r="E646" i="13"/>
  <c r="D646" i="13"/>
  <c r="C646" i="13"/>
  <c r="B646" i="13"/>
  <c r="A646" i="13"/>
  <c r="I645" i="13"/>
  <c r="H645" i="13"/>
  <c r="G645" i="13"/>
  <c r="F645" i="13"/>
  <c r="E645" i="13"/>
  <c r="D645" i="13"/>
  <c r="C645" i="13"/>
  <c r="B645" i="13"/>
  <c r="A645" i="13"/>
  <c r="I644" i="13"/>
  <c r="H644" i="13"/>
  <c r="G644" i="13"/>
  <c r="F644" i="13"/>
  <c r="E644" i="13"/>
  <c r="D644" i="13"/>
  <c r="C644" i="13"/>
  <c r="B644" i="13"/>
  <c r="A644" i="13"/>
  <c r="I643" i="13"/>
  <c r="H643" i="13"/>
  <c r="G643" i="13"/>
  <c r="F643" i="13"/>
  <c r="E643" i="13"/>
  <c r="D643" i="13"/>
  <c r="C643" i="13"/>
  <c r="B643" i="13"/>
  <c r="A643" i="13"/>
  <c r="I642" i="13"/>
  <c r="H642" i="13"/>
  <c r="G642" i="13"/>
  <c r="F642" i="13"/>
  <c r="E642" i="13"/>
  <c r="D642" i="13"/>
  <c r="C642" i="13"/>
  <c r="B642" i="13"/>
  <c r="A642" i="13"/>
  <c r="I641" i="13"/>
  <c r="H641" i="13"/>
  <c r="G641" i="13"/>
  <c r="F641" i="13"/>
  <c r="E641" i="13"/>
  <c r="D641" i="13"/>
  <c r="C641" i="13"/>
  <c r="B641" i="13"/>
  <c r="A641" i="13"/>
  <c r="I640" i="13"/>
  <c r="A37" i="16" s="1"/>
  <c r="B37" i="16" s="1"/>
  <c r="H640" i="13"/>
  <c r="G640" i="13"/>
  <c r="F640" i="13"/>
  <c r="D37" i="16" s="1"/>
  <c r="E640" i="13"/>
  <c r="D640" i="13"/>
  <c r="C640" i="13"/>
  <c r="B640" i="13"/>
  <c r="A640" i="13"/>
  <c r="I639" i="13"/>
  <c r="H639" i="13"/>
  <c r="G639" i="13"/>
  <c r="F639" i="13"/>
  <c r="E639" i="13"/>
  <c r="D639" i="13"/>
  <c r="C639" i="13"/>
  <c r="B639" i="13"/>
  <c r="A639" i="13"/>
  <c r="I638" i="13"/>
  <c r="H638" i="13"/>
  <c r="G638" i="13"/>
  <c r="F638" i="13"/>
  <c r="E638" i="13"/>
  <c r="D638" i="13"/>
  <c r="C638" i="13"/>
  <c r="B638" i="13"/>
  <c r="A638" i="13"/>
  <c r="I637" i="13"/>
  <c r="H637" i="13"/>
  <c r="G637" i="13"/>
  <c r="F637" i="13"/>
  <c r="E637" i="13"/>
  <c r="D637" i="13"/>
  <c r="C637" i="13"/>
  <c r="B637" i="13"/>
  <c r="A637" i="13"/>
  <c r="I636" i="13"/>
  <c r="H636" i="13"/>
  <c r="G636" i="13"/>
  <c r="F636" i="13"/>
  <c r="E636" i="13"/>
  <c r="D636" i="13"/>
  <c r="C636" i="13"/>
  <c r="B636" i="13"/>
  <c r="A636" i="13"/>
  <c r="I635" i="13"/>
  <c r="H635" i="13"/>
  <c r="G635" i="13"/>
  <c r="F635" i="13"/>
  <c r="E635" i="13"/>
  <c r="D635" i="13"/>
  <c r="C635" i="13"/>
  <c r="B635" i="13"/>
  <c r="A635" i="13"/>
  <c r="I634" i="13"/>
  <c r="H634" i="13"/>
  <c r="G634" i="13"/>
  <c r="F634" i="13"/>
  <c r="E634" i="13"/>
  <c r="D634" i="13"/>
  <c r="C634" i="13"/>
  <c r="B634" i="13"/>
  <c r="A634" i="13"/>
  <c r="I633" i="13"/>
  <c r="H633" i="13"/>
  <c r="G633" i="13"/>
  <c r="F633" i="13"/>
  <c r="E633" i="13"/>
  <c r="D633" i="13"/>
  <c r="C633" i="13"/>
  <c r="B633" i="13"/>
  <c r="A633" i="13"/>
  <c r="I632" i="13"/>
  <c r="H632" i="13"/>
  <c r="G632" i="13"/>
  <c r="F632" i="13"/>
  <c r="E632" i="13"/>
  <c r="D632" i="13"/>
  <c r="E36" i="16" s="1"/>
  <c r="C632" i="13"/>
  <c r="B632" i="13"/>
  <c r="A632" i="13"/>
  <c r="I631" i="13"/>
  <c r="H631" i="13"/>
  <c r="G631" i="13"/>
  <c r="F631" i="13"/>
  <c r="E631" i="13"/>
  <c r="D631" i="13"/>
  <c r="C631" i="13"/>
  <c r="B631" i="13"/>
  <c r="A631" i="13"/>
  <c r="I630" i="13"/>
  <c r="H630" i="13"/>
  <c r="G630" i="13"/>
  <c r="F630" i="13"/>
  <c r="E630" i="13"/>
  <c r="D630" i="13"/>
  <c r="C630" i="13"/>
  <c r="B630" i="13"/>
  <c r="A630" i="13"/>
  <c r="I629" i="13"/>
  <c r="H629" i="13"/>
  <c r="G629" i="13"/>
  <c r="F629" i="13"/>
  <c r="E629" i="13"/>
  <c r="D629" i="13"/>
  <c r="C629" i="13"/>
  <c r="B629" i="13"/>
  <c r="A629" i="13"/>
  <c r="I628" i="13"/>
  <c r="H628" i="13"/>
  <c r="G628" i="13"/>
  <c r="F628" i="13"/>
  <c r="E628" i="13"/>
  <c r="D628" i="13"/>
  <c r="C628" i="13"/>
  <c r="B628" i="13"/>
  <c r="A628" i="13"/>
  <c r="I627" i="13"/>
  <c r="H627" i="13"/>
  <c r="G627" i="13"/>
  <c r="F627" i="13"/>
  <c r="E627" i="13"/>
  <c r="D627" i="13"/>
  <c r="C627" i="13"/>
  <c r="B627" i="13"/>
  <c r="A627" i="13"/>
  <c r="I626" i="13"/>
  <c r="H626" i="13"/>
  <c r="G626" i="13"/>
  <c r="F626" i="13"/>
  <c r="E626" i="13"/>
  <c r="D626" i="13"/>
  <c r="C626" i="13"/>
  <c r="B626" i="13"/>
  <c r="A626" i="13"/>
  <c r="I625" i="13"/>
  <c r="H625" i="13"/>
  <c r="G625" i="13"/>
  <c r="F625" i="13"/>
  <c r="E625" i="13"/>
  <c r="D625" i="13"/>
  <c r="C625" i="13"/>
  <c r="B625" i="13"/>
  <c r="A625" i="13"/>
  <c r="I624" i="13"/>
  <c r="H624" i="13"/>
  <c r="G624" i="13"/>
  <c r="F624" i="13"/>
  <c r="E624" i="13"/>
  <c r="D624" i="13"/>
  <c r="C624" i="13"/>
  <c r="B624" i="13"/>
  <c r="A624" i="13"/>
  <c r="I623" i="13"/>
  <c r="H623" i="13"/>
  <c r="G623" i="13"/>
  <c r="F623" i="13"/>
  <c r="E623" i="13"/>
  <c r="D623" i="13"/>
  <c r="C623" i="13"/>
  <c r="B623" i="13"/>
  <c r="A623" i="13"/>
  <c r="I622" i="13"/>
  <c r="A36" i="16" s="1"/>
  <c r="B36" i="16" s="1"/>
  <c r="H622" i="13"/>
  <c r="G622" i="13"/>
  <c r="F622" i="13"/>
  <c r="D36" i="16" s="1"/>
  <c r="E622" i="13"/>
  <c r="D622" i="13"/>
  <c r="C622" i="13"/>
  <c r="B622" i="13"/>
  <c r="A622" i="13"/>
  <c r="I621" i="13"/>
  <c r="H621" i="13"/>
  <c r="G621" i="13"/>
  <c r="F621" i="13"/>
  <c r="E621" i="13"/>
  <c r="D621" i="13"/>
  <c r="C621" i="13"/>
  <c r="B621" i="13"/>
  <c r="A621" i="13"/>
  <c r="I620" i="13"/>
  <c r="H620" i="13"/>
  <c r="G620" i="13"/>
  <c r="F620" i="13"/>
  <c r="E620" i="13"/>
  <c r="D620" i="13"/>
  <c r="C620" i="13"/>
  <c r="B620" i="13"/>
  <c r="A620" i="13"/>
  <c r="I619" i="13"/>
  <c r="H619" i="13"/>
  <c r="G619" i="13"/>
  <c r="F619" i="13"/>
  <c r="E619" i="13"/>
  <c r="D619" i="13"/>
  <c r="C619" i="13"/>
  <c r="B619" i="13"/>
  <c r="A619" i="13"/>
  <c r="I618" i="13"/>
  <c r="H618" i="13"/>
  <c r="G618" i="13"/>
  <c r="F618" i="13"/>
  <c r="E618" i="13"/>
  <c r="D618" i="13"/>
  <c r="C618" i="13"/>
  <c r="B618" i="13"/>
  <c r="A618" i="13"/>
  <c r="I617" i="13"/>
  <c r="H617" i="13"/>
  <c r="G617" i="13"/>
  <c r="F617" i="13"/>
  <c r="E617" i="13"/>
  <c r="D617" i="13"/>
  <c r="C617" i="13"/>
  <c r="B617" i="13"/>
  <c r="A617" i="13"/>
  <c r="I616" i="13"/>
  <c r="H616" i="13"/>
  <c r="G616" i="13"/>
  <c r="F616" i="13"/>
  <c r="E616" i="13"/>
  <c r="D616" i="13"/>
  <c r="C616" i="13"/>
  <c r="B616" i="13"/>
  <c r="A616" i="13"/>
  <c r="I615" i="13"/>
  <c r="H615" i="13"/>
  <c r="G615" i="13"/>
  <c r="F615" i="13"/>
  <c r="E615" i="13"/>
  <c r="D615" i="13"/>
  <c r="E35" i="16" s="1"/>
  <c r="C615" i="13"/>
  <c r="B615" i="13"/>
  <c r="A615" i="13"/>
  <c r="I614" i="13"/>
  <c r="H614" i="13"/>
  <c r="G614" i="13"/>
  <c r="F614" i="13"/>
  <c r="E614" i="13"/>
  <c r="D614" i="13"/>
  <c r="C614" i="13"/>
  <c r="B614" i="13"/>
  <c r="A614" i="13"/>
  <c r="I613" i="13"/>
  <c r="H613" i="13"/>
  <c r="G613" i="13"/>
  <c r="F613" i="13"/>
  <c r="E613" i="13"/>
  <c r="D613" i="13"/>
  <c r="C613" i="13"/>
  <c r="B613" i="13"/>
  <c r="A613" i="13"/>
  <c r="I612" i="13"/>
  <c r="H612" i="13"/>
  <c r="G612" i="13"/>
  <c r="F612" i="13"/>
  <c r="E612" i="13"/>
  <c r="D612" i="13"/>
  <c r="C612" i="13"/>
  <c r="B612" i="13"/>
  <c r="A612" i="13"/>
  <c r="I611" i="13"/>
  <c r="H611" i="13"/>
  <c r="G611" i="13"/>
  <c r="F611" i="13"/>
  <c r="E611" i="13"/>
  <c r="D611" i="13"/>
  <c r="C611" i="13"/>
  <c r="B611" i="13"/>
  <c r="A611" i="13"/>
  <c r="I610" i="13"/>
  <c r="H610" i="13"/>
  <c r="G610" i="13"/>
  <c r="F610" i="13"/>
  <c r="E610" i="13"/>
  <c r="D610" i="13"/>
  <c r="C610" i="13"/>
  <c r="B610" i="13"/>
  <c r="A610" i="13"/>
  <c r="I609" i="13"/>
  <c r="H609" i="13"/>
  <c r="G609" i="13"/>
  <c r="F609" i="13"/>
  <c r="E609" i="13"/>
  <c r="D609" i="13"/>
  <c r="C609" i="13"/>
  <c r="B609" i="13"/>
  <c r="A609" i="13"/>
  <c r="I608" i="13"/>
  <c r="H608" i="13"/>
  <c r="G608" i="13"/>
  <c r="F608" i="13"/>
  <c r="E608" i="13"/>
  <c r="D608" i="13"/>
  <c r="C608" i="13"/>
  <c r="B608" i="13"/>
  <c r="A608" i="13"/>
  <c r="I607" i="13"/>
  <c r="H607" i="13"/>
  <c r="G607" i="13"/>
  <c r="F607" i="13"/>
  <c r="E607" i="13"/>
  <c r="D607" i="13"/>
  <c r="C607" i="13"/>
  <c r="B607" i="13"/>
  <c r="A607" i="13"/>
  <c r="I606" i="13"/>
  <c r="H606" i="13"/>
  <c r="G606" i="13"/>
  <c r="F606" i="13"/>
  <c r="D35" i="16" s="1"/>
  <c r="E606" i="13"/>
  <c r="D606" i="13"/>
  <c r="C606" i="13"/>
  <c r="B606" i="13"/>
  <c r="A606" i="13"/>
  <c r="I605" i="13"/>
  <c r="A35" i="16" s="1"/>
  <c r="B35" i="16" s="1"/>
  <c r="H605" i="13"/>
  <c r="G605" i="13"/>
  <c r="F605" i="13"/>
  <c r="E605" i="13"/>
  <c r="D605" i="13"/>
  <c r="C605" i="13"/>
  <c r="B605" i="13"/>
  <c r="A605" i="13"/>
  <c r="I604" i="13"/>
  <c r="H604" i="13"/>
  <c r="G604" i="13"/>
  <c r="F604" i="13"/>
  <c r="E604" i="13"/>
  <c r="D604" i="13"/>
  <c r="C604" i="13"/>
  <c r="B604" i="13"/>
  <c r="A604" i="13"/>
  <c r="I603" i="13"/>
  <c r="H603" i="13"/>
  <c r="G603" i="13"/>
  <c r="F603" i="13"/>
  <c r="E603" i="13"/>
  <c r="D603" i="13"/>
  <c r="C603" i="13"/>
  <c r="B603" i="13"/>
  <c r="A603" i="13"/>
  <c r="I602" i="13"/>
  <c r="H602" i="13"/>
  <c r="G602" i="13"/>
  <c r="F602" i="13"/>
  <c r="E602" i="13"/>
  <c r="D602" i="13"/>
  <c r="C602" i="13"/>
  <c r="B602" i="13"/>
  <c r="A602" i="13"/>
  <c r="I601" i="13"/>
  <c r="H601" i="13"/>
  <c r="G601" i="13"/>
  <c r="F601" i="13"/>
  <c r="E601" i="13"/>
  <c r="D601" i="13"/>
  <c r="C601" i="13"/>
  <c r="B601" i="13"/>
  <c r="A601" i="13"/>
  <c r="I600" i="13"/>
  <c r="H600" i="13"/>
  <c r="G600" i="13"/>
  <c r="F600" i="13"/>
  <c r="E600" i="13"/>
  <c r="D600" i="13"/>
  <c r="C600" i="13"/>
  <c r="B600" i="13"/>
  <c r="A600" i="13"/>
  <c r="I599" i="13"/>
  <c r="H599" i="13"/>
  <c r="G599" i="13"/>
  <c r="F599" i="13"/>
  <c r="E599" i="13"/>
  <c r="D599" i="13"/>
  <c r="C599" i="13"/>
  <c r="B599" i="13"/>
  <c r="A599" i="13"/>
  <c r="I598" i="13"/>
  <c r="H598" i="13"/>
  <c r="G598" i="13"/>
  <c r="F598" i="13"/>
  <c r="E598" i="13"/>
  <c r="D598" i="13"/>
  <c r="C598" i="13"/>
  <c r="B598" i="13"/>
  <c r="A598" i="13"/>
  <c r="I597" i="13"/>
  <c r="H597" i="13"/>
  <c r="G597" i="13"/>
  <c r="F597" i="13"/>
  <c r="E597" i="13"/>
  <c r="D597" i="13"/>
  <c r="E34" i="16" s="1"/>
  <c r="C597" i="13"/>
  <c r="B597" i="13"/>
  <c r="A597" i="13"/>
  <c r="I596" i="13"/>
  <c r="H596" i="13"/>
  <c r="G596" i="13"/>
  <c r="F596" i="13"/>
  <c r="E596" i="13"/>
  <c r="D596" i="13"/>
  <c r="C596" i="13"/>
  <c r="B596" i="13"/>
  <c r="A596" i="13"/>
  <c r="I595" i="13"/>
  <c r="H595" i="13"/>
  <c r="G595" i="13"/>
  <c r="F595" i="13"/>
  <c r="E595" i="13"/>
  <c r="D595" i="13"/>
  <c r="C595" i="13"/>
  <c r="B595" i="13"/>
  <c r="A595" i="13"/>
  <c r="I594" i="13"/>
  <c r="H594" i="13"/>
  <c r="G594" i="13"/>
  <c r="F594" i="13"/>
  <c r="E594" i="13"/>
  <c r="D594" i="13"/>
  <c r="C594" i="13"/>
  <c r="B594" i="13"/>
  <c r="A594" i="13"/>
  <c r="I593" i="13"/>
  <c r="H593" i="13"/>
  <c r="G593" i="13"/>
  <c r="F593" i="13"/>
  <c r="E593" i="13"/>
  <c r="D593" i="13"/>
  <c r="C593" i="13"/>
  <c r="B593" i="13"/>
  <c r="A593" i="13"/>
  <c r="I592" i="13"/>
  <c r="H592" i="13"/>
  <c r="G592" i="13"/>
  <c r="F592" i="13"/>
  <c r="E592" i="13"/>
  <c r="D592" i="13"/>
  <c r="C592" i="13"/>
  <c r="B592" i="13"/>
  <c r="A592" i="13"/>
  <c r="I591" i="13"/>
  <c r="H591" i="13"/>
  <c r="G591" i="13"/>
  <c r="F591" i="13"/>
  <c r="E591" i="13"/>
  <c r="D591" i="13"/>
  <c r="C591" i="13"/>
  <c r="B591" i="13"/>
  <c r="A591" i="13"/>
  <c r="I590" i="13"/>
  <c r="H590" i="13"/>
  <c r="G590" i="13"/>
  <c r="F590" i="13"/>
  <c r="E590" i="13"/>
  <c r="D590" i="13"/>
  <c r="C590" i="13"/>
  <c r="B590" i="13"/>
  <c r="A590" i="13"/>
  <c r="I589" i="13"/>
  <c r="H589" i="13"/>
  <c r="G589" i="13"/>
  <c r="F589" i="13"/>
  <c r="E589" i="13"/>
  <c r="D589" i="13"/>
  <c r="C589" i="13"/>
  <c r="B589" i="13"/>
  <c r="A589" i="13"/>
  <c r="I588" i="13"/>
  <c r="A34" i="16" s="1"/>
  <c r="B34" i="16" s="1"/>
  <c r="H588" i="13"/>
  <c r="G588" i="13"/>
  <c r="F588" i="13"/>
  <c r="D34" i="16" s="1"/>
  <c r="E588" i="13"/>
  <c r="D588" i="13"/>
  <c r="C588" i="13"/>
  <c r="B588" i="13"/>
  <c r="A588" i="13"/>
  <c r="I587" i="13"/>
  <c r="H587" i="13"/>
  <c r="G587" i="13"/>
  <c r="F587" i="13"/>
  <c r="E587" i="13"/>
  <c r="D587" i="13"/>
  <c r="C587" i="13"/>
  <c r="B587" i="13"/>
  <c r="A587" i="13"/>
  <c r="I586" i="13"/>
  <c r="H586" i="13"/>
  <c r="G586" i="13"/>
  <c r="F586" i="13"/>
  <c r="E586" i="13"/>
  <c r="D586" i="13"/>
  <c r="C586" i="13"/>
  <c r="B586" i="13"/>
  <c r="A586" i="13"/>
  <c r="I585" i="13"/>
  <c r="H585" i="13"/>
  <c r="G585" i="13"/>
  <c r="F585" i="13"/>
  <c r="E585" i="13"/>
  <c r="D585" i="13"/>
  <c r="C585" i="13"/>
  <c r="B585" i="13"/>
  <c r="A585" i="13"/>
  <c r="I584" i="13"/>
  <c r="H584" i="13"/>
  <c r="G584" i="13"/>
  <c r="F584" i="13"/>
  <c r="E584" i="13"/>
  <c r="D584" i="13"/>
  <c r="C584" i="13"/>
  <c r="B584" i="13"/>
  <c r="A584" i="13"/>
  <c r="I583" i="13"/>
  <c r="H583" i="13"/>
  <c r="G583" i="13"/>
  <c r="F583" i="13"/>
  <c r="E583" i="13"/>
  <c r="D583" i="13"/>
  <c r="C583" i="13"/>
  <c r="B583" i="13"/>
  <c r="A583" i="13"/>
  <c r="I582" i="13"/>
  <c r="H582" i="13"/>
  <c r="G582" i="13"/>
  <c r="F582" i="13"/>
  <c r="E582" i="13"/>
  <c r="D582" i="13"/>
  <c r="C582" i="13"/>
  <c r="B582" i="13"/>
  <c r="A582" i="13"/>
  <c r="I581" i="13"/>
  <c r="H581" i="13"/>
  <c r="G581" i="13"/>
  <c r="F581" i="13"/>
  <c r="E581" i="13"/>
  <c r="D581" i="13"/>
  <c r="C581" i="13"/>
  <c r="B581" i="13"/>
  <c r="A581" i="13"/>
  <c r="I580" i="13"/>
  <c r="H580" i="13"/>
  <c r="G580" i="13"/>
  <c r="F580" i="13"/>
  <c r="E580" i="13"/>
  <c r="D580" i="13"/>
  <c r="E33" i="16" s="1"/>
  <c r="C580" i="13"/>
  <c r="B580" i="13"/>
  <c r="A580" i="13"/>
  <c r="I579" i="13"/>
  <c r="H579" i="13"/>
  <c r="G579" i="13"/>
  <c r="F579" i="13"/>
  <c r="E579" i="13"/>
  <c r="D579" i="13"/>
  <c r="C579" i="13"/>
  <c r="B579" i="13"/>
  <c r="A579" i="13"/>
  <c r="I578" i="13"/>
  <c r="H578" i="13"/>
  <c r="G578" i="13"/>
  <c r="F578" i="13"/>
  <c r="E578" i="13"/>
  <c r="D578" i="13"/>
  <c r="C578" i="13"/>
  <c r="B578" i="13"/>
  <c r="A578" i="13"/>
  <c r="I577" i="13"/>
  <c r="H577" i="13"/>
  <c r="G577" i="13"/>
  <c r="F577" i="13"/>
  <c r="E577" i="13"/>
  <c r="D577" i="13"/>
  <c r="C577" i="13"/>
  <c r="B577" i="13"/>
  <c r="A577" i="13"/>
  <c r="I576" i="13"/>
  <c r="H576" i="13"/>
  <c r="G576" i="13"/>
  <c r="F576" i="13"/>
  <c r="E576" i="13"/>
  <c r="D576" i="13"/>
  <c r="C576" i="13"/>
  <c r="B576" i="13"/>
  <c r="A576" i="13"/>
  <c r="I575" i="13"/>
  <c r="H575" i="13"/>
  <c r="G575" i="13"/>
  <c r="F575" i="13"/>
  <c r="E575" i="13"/>
  <c r="D575" i="13"/>
  <c r="C575" i="13"/>
  <c r="B575" i="13"/>
  <c r="A575" i="13"/>
  <c r="I574" i="13"/>
  <c r="H574" i="13"/>
  <c r="G574" i="13"/>
  <c r="F574" i="13"/>
  <c r="E574" i="13"/>
  <c r="D574" i="13"/>
  <c r="C574" i="13"/>
  <c r="B574" i="13"/>
  <c r="A574" i="13"/>
  <c r="I573" i="13"/>
  <c r="H573" i="13"/>
  <c r="G573" i="13"/>
  <c r="F573" i="13"/>
  <c r="E573" i="13"/>
  <c r="D573" i="13"/>
  <c r="C573" i="13"/>
  <c r="B573" i="13"/>
  <c r="A573" i="13"/>
  <c r="I572" i="13"/>
  <c r="H572" i="13"/>
  <c r="G572" i="13"/>
  <c r="F572" i="13"/>
  <c r="E572" i="13"/>
  <c r="D572" i="13"/>
  <c r="C572" i="13"/>
  <c r="B572" i="13"/>
  <c r="A572" i="13"/>
  <c r="I571" i="13"/>
  <c r="A33" i="16" s="1"/>
  <c r="B33" i="16" s="1"/>
  <c r="H571" i="13"/>
  <c r="G571" i="13"/>
  <c r="F571" i="13"/>
  <c r="D33" i="16" s="1"/>
  <c r="E571" i="13"/>
  <c r="D571" i="13"/>
  <c r="C571" i="13"/>
  <c r="B571" i="13"/>
  <c r="A571" i="13"/>
  <c r="I570" i="13"/>
  <c r="H570" i="13"/>
  <c r="G570" i="13"/>
  <c r="F570" i="13"/>
  <c r="E570" i="13"/>
  <c r="D570" i="13"/>
  <c r="C570" i="13"/>
  <c r="B570" i="13"/>
  <c r="A570" i="13"/>
  <c r="I569" i="13"/>
  <c r="H569" i="13"/>
  <c r="G569" i="13"/>
  <c r="F569" i="13"/>
  <c r="E569" i="13"/>
  <c r="D569" i="13"/>
  <c r="C569" i="13"/>
  <c r="B569" i="13"/>
  <c r="A569" i="13"/>
  <c r="I568" i="13"/>
  <c r="H568" i="13"/>
  <c r="G568" i="13"/>
  <c r="F568" i="13"/>
  <c r="E568" i="13"/>
  <c r="D568" i="13"/>
  <c r="C568" i="13"/>
  <c r="B568" i="13"/>
  <c r="A568" i="13"/>
  <c r="I567" i="13"/>
  <c r="H567" i="13"/>
  <c r="G567" i="13"/>
  <c r="F567" i="13"/>
  <c r="E567" i="13"/>
  <c r="D567" i="13"/>
  <c r="C567" i="13"/>
  <c r="B567" i="13"/>
  <c r="A567" i="13"/>
  <c r="I566" i="13"/>
  <c r="H566" i="13"/>
  <c r="G566" i="13"/>
  <c r="F566" i="13"/>
  <c r="E566" i="13"/>
  <c r="D566" i="13"/>
  <c r="E32" i="16" s="1"/>
  <c r="C566" i="13"/>
  <c r="B566" i="13"/>
  <c r="A566" i="13"/>
  <c r="I565" i="13"/>
  <c r="H565" i="13"/>
  <c r="G565" i="13"/>
  <c r="F565" i="13"/>
  <c r="F551" i="13" s="1"/>
  <c r="E565" i="13"/>
  <c r="E551" i="13" s="1"/>
  <c r="D565" i="13"/>
  <c r="C565" i="13"/>
  <c r="C551" i="13" s="1"/>
  <c r="B565" i="13"/>
  <c r="B551" i="13" s="1"/>
  <c r="A565" i="13"/>
  <c r="A551" i="13" s="1"/>
  <c r="I564" i="13"/>
  <c r="H564" i="13"/>
  <c r="G564" i="13"/>
  <c r="F564" i="13"/>
  <c r="E564" i="13"/>
  <c r="D564" i="13"/>
  <c r="C564" i="13"/>
  <c r="B564" i="13"/>
  <c r="A564" i="13"/>
  <c r="I563" i="13"/>
  <c r="H563" i="13"/>
  <c r="G563" i="13"/>
  <c r="F563" i="13"/>
  <c r="E563" i="13"/>
  <c r="D563" i="13"/>
  <c r="C563" i="13"/>
  <c r="B563" i="13"/>
  <c r="A563" i="13"/>
  <c r="I562" i="13"/>
  <c r="H562" i="13"/>
  <c r="G562" i="13"/>
  <c r="F562" i="13"/>
  <c r="E562" i="13"/>
  <c r="D562" i="13"/>
  <c r="C562" i="13"/>
  <c r="B562" i="13"/>
  <c r="A562" i="13"/>
  <c r="I561" i="13"/>
  <c r="H561" i="13"/>
  <c r="G561" i="13"/>
  <c r="F561" i="13"/>
  <c r="E561" i="13"/>
  <c r="D561" i="13"/>
  <c r="C561" i="13"/>
  <c r="B561" i="13"/>
  <c r="A561" i="13"/>
  <c r="I560" i="13"/>
  <c r="H560" i="13"/>
  <c r="G560" i="13"/>
  <c r="F560" i="13"/>
  <c r="E560" i="13"/>
  <c r="D560" i="13"/>
  <c r="C560" i="13"/>
  <c r="B560" i="13"/>
  <c r="A560" i="13"/>
  <c r="I559" i="13"/>
  <c r="H559" i="13"/>
  <c r="G559" i="13"/>
  <c r="F559" i="13"/>
  <c r="E559" i="13"/>
  <c r="D559" i="13"/>
  <c r="C559" i="13"/>
  <c r="B559" i="13"/>
  <c r="A559" i="13"/>
  <c r="I558" i="13"/>
  <c r="H558" i="13"/>
  <c r="G558" i="13"/>
  <c r="F558" i="13"/>
  <c r="E558" i="13"/>
  <c r="D558" i="13"/>
  <c r="C558" i="13"/>
  <c r="B558" i="13"/>
  <c r="A558" i="13"/>
  <c r="I557" i="13"/>
  <c r="A32" i="16" s="1"/>
  <c r="B32" i="16" s="1"/>
  <c r="H557" i="13"/>
  <c r="G557" i="13"/>
  <c r="F557" i="13"/>
  <c r="D32" i="16" s="1"/>
  <c r="E557" i="13"/>
  <c r="D557" i="13"/>
  <c r="C557" i="13"/>
  <c r="B557" i="13"/>
  <c r="A557" i="13"/>
  <c r="I556" i="13"/>
  <c r="H556" i="13"/>
  <c r="G556" i="13"/>
  <c r="F556" i="13"/>
  <c r="E556" i="13"/>
  <c r="D556" i="13"/>
  <c r="C556" i="13"/>
  <c r="B556" i="13"/>
  <c r="A556" i="13"/>
  <c r="I555" i="13"/>
  <c r="H555" i="13"/>
  <c r="G555" i="13"/>
  <c r="F555" i="13"/>
  <c r="E555" i="13"/>
  <c r="D555" i="13"/>
  <c r="C555" i="13"/>
  <c r="B555" i="13"/>
  <c r="A555" i="13"/>
  <c r="I554" i="13"/>
  <c r="H554" i="13"/>
  <c r="G554" i="13"/>
  <c r="F554" i="13"/>
  <c r="E554" i="13"/>
  <c r="D554" i="13"/>
  <c r="C554" i="13"/>
  <c r="B554" i="13"/>
  <c r="A554" i="13"/>
  <c r="H552" i="13"/>
  <c r="G552" i="13"/>
  <c r="F552" i="13"/>
  <c r="E552" i="13"/>
  <c r="C552" i="13"/>
  <c r="B552" i="13"/>
  <c r="D551" i="13"/>
  <c r="I550" i="13"/>
  <c r="I549" i="13"/>
  <c r="I551" i="13" s="1"/>
  <c r="I552" i="13" s="1"/>
  <c r="H549" i="13"/>
  <c r="G549" i="13"/>
  <c r="F549" i="13"/>
  <c r="E549" i="13"/>
  <c r="D549" i="13"/>
  <c r="C549" i="13"/>
  <c r="B549" i="13"/>
  <c r="A549" i="13"/>
  <c r="I548" i="13"/>
  <c r="H548" i="13"/>
  <c r="G548" i="13"/>
  <c r="F548" i="13"/>
  <c r="E548" i="13"/>
  <c r="D548" i="13"/>
  <c r="C548" i="13"/>
  <c r="B548" i="13"/>
  <c r="A548" i="13"/>
  <c r="I547" i="13"/>
  <c r="H547" i="13"/>
  <c r="G547" i="13"/>
  <c r="F547" i="13"/>
  <c r="E547" i="13"/>
  <c r="D547" i="13"/>
  <c r="C547" i="13"/>
  <c r="B547" i="13"/>
  <c r="A547" i="13"/>
  <c r="I546" i="13"/>
  <c r="H546" i="13"/>
  <c r="G546" i="13"/>
  <c r="F546" i="13"/>
  <c r="E546" i="13"/>
  <c r="D546" i="13"/>
  <c r="C546" i="13"/>
  <c r="B546" i="13"/>
  <c r="A546" i="13"/>
  <c r="I545" i="13"/>
  <c r="H545" i="13"/>
  <c r="G545" i="13"/>
  <c r="F545" i="13"/>
  <c r="E545" i="13"/>
  <c r="D545" i="13"/>
  <c r="C545" i="13"/>
  <c r="B545" i="13"/>
  <c r="A545" i="13"/>
  <c r="I544" i="13"/>
  <c r="A31" i="16" s="1"/>
  <c r="B31" i="16" s="1"/>
  <c r="H544" i="13"/>
  <c r="G544" i="13"/>
  <c r="F544" i="13"/>
  <c r="D31" i="16" s="1"/>
  <c r="E544" i="13"/>
  <c r="D544" i="13"/>
  <c r="C544" i="13"/>
  <c r="B544" i="13"/>
  <c r="A544" i="13"/>
  <c r="I543" i="13"/>
  <c r="H543" i="13"/>
  <c r="G543" i="13"/>
  <c r="F543" i="13"/>
  <c r="E543" i="13"/>
  <c r="D543" i="13"/>
  <c r="C543" i="13"/>
  <c r="B543" i="13"/>
  <c r="A543" i="13"/>
  <c r="I542" i="13"/>
  <c r="H542" i="13"/>
  <c r="G542" i="13"/>
  <c r="F542" i="13"/>
  <c r="E542" i="13"/>
  <c r="D542" i="13"/>
  <c r="C542" i="13"/>
  <c r="B542" i="13"/>
  <c r="A542" i="13"/>
  <c r="I541" i="13"/>
  <c r="H541" i="13"/>
  <c r="G541" i="13"/>
  <c r="F541" i="13"/>
  <c r="E541" i="13"/>
  <c r="D541" i="13"/>
  <c r="C541" i="13"/>
  <c r="B541" i="13"/>
  <c r="A541" i="13"/>
  <c r="I540" i="13"/>
  <c r="H540" i="13"/>
  <c r="G540" i="13"/>
  <c r="F540" i="13"/>
  <c r="E540" i="13"/>
  <c r="D540" i="13"/>
  <c r="C540" i="13"/>
  <c r="B540" i="13"/>
  <c r="A540" i="13"/>
  <c r="I539" i="13"/>
  <c r="H539" i="13"/>
  <c r="G539" i="13"/>
  <c r="F539" i="13"/>
  <c r="E539" i="13"/>
  <c r="D539" i="13"/>
  <c r="C539" i="13"/>
  <c r="B539" i="13"/>
  <c r="A539" i="13"/>
  <c r="I538" i="13"/>
  <c r="H538" i="13"/>
  <c r="G538" i="13"/>
  <c r="F538" i="13"/>
  <c r="E538" i="13"/>
  <c r="D538" i="13"/>
  <c r="C538" i="13"/>
  <c r="B538" i="13"/>
  <c r="A538" i="13"/>
  <c r="I537" i="13"/>
  <c r="H537" i="13"/>
  <c r="G537" i="13"/>
  <c r="F537" i="13"/>
  <c r="E537" i="13"/>
  <c r="D537" i="13"/>
  <c r="C537" i="13"/>
  <c r="B537" i="13"/>
  <c r="A537" i="13"/>
  <c r="I536" i="13"/>
  <c r="H536" i="13"/>
  <c r="G536" i="13"/>
  <c r="F536" i="13"/>
  <c r="E536" i="13"/>
  <c r="E30" i="16" s="1"/>
  <c r="D536" i="13"/>
  <c r="C536" i="13"/>
  <c r="B536" i="13"/>
  <c r="A536" i="13"/>
  <c r="I535" i="13"/>
  <c r="H535" i="13"/>
  <c r="G535" i="13"/>
  <c r="F535" i="13"/>
  <c r="E535" i="13"/>
  <c r="D535" i="13"/>
  <c r="C535" i="13"/>
  <c r="B535" i="13"/>
  <c r="A535" i="13"/>
  <c r="I534" i="13"/>
  <c r="H534" i="13"/>
  <c r="G534" i="13"/>
  <c r="F534" i="13"/>
  <c r="E534" i="13"/>
  <c r="D534" i="13"/>
  <c r="C534" i="13"/>
  <c r="B534" i="13"/>
  <c r="A534" i="13"/>
  <c r="I533" i="13"/>
  <c r="H533" i="13"/>
  <c r="G533" i="13"/>
  <c r="F533" i="13"/>
  <c r="E533" i="13"/>
  <c r="D533" i="13"/>
  <c r="C533" i="13"/>
  <c r="B533" i="13"/>
  <c r="A533" i="13"/>
  <c r="I532" i="13"/>
  <c r="H532" i="13"/>
  <c r="G532" i="13"/>
  <c r="F532" i="13"/>
  <c r="E532" i="13"/>
  <c r="D532" i="13"/>
  <c r="C532" i="13"/>
  <c r="B532" i="13"/>
  <c r="A532" i="13"/>
  <c r="I531" i="13"/>
  <c r="H531" i="13"/>
  <c r="G531" i="13"/>
  <c r="F531" i="13"/>
  <c r="E531" i="13"/>
  <c r="D531" i="13"/>
  <c r="C531" i="13"/>
  <c r="B531" i="13"/>
  <c r="A531" i="13"/>
  <c r="I530" i="13"/>
  <c r="H530" i="13"/>
  <c r="G530" i="13"/>
  <c r="F530" i="13"/>
  <c r="E530" i="13"/>
  <c r="D530" i="13"/>
  <c r="C530" i="13"/>
  <c r="B530" i="13"/>
  <c r="A530" i="13"/>
  <c r="I529" i="13"/>
  <c r="H529" i="13"/>
  <c r="G529" i="13"/>
  <c r="F529" i="13"/>
  <c r="E529" i="13"/>
  <c r="D529" i="13"/>
  <c r="C529" i="13"/>
  <c r="B529" i="13"/>
  <c r="A529" i="13"/>
  <c r="I528" i="13"/>
  <c r="H528" i="13"/>
  <c r="G528" i="13"/>
  <c r="F528" i="13"/>
  <c r="E528" i="13"/>
  <c r="D528" i="13"/>
  <c r="C528" i="13"/>
  <c r="B528" i="13"/>
  <c r="A528" i="13"/>
  <c r="I527" i="13"/>
  <c r="H527" i="13"/>
  <c r="G527" i="13"/>
  <c r="F527" i="13"/>
  <c r="E527" i="13"/>
  <c r="D527" i="13"/>
  <c r="C527" i="13"/>
  <c r="B527" i="13"/>
  <c r="A527" i="13"/>
  <c r="I526" i="13"/>
  <c r="A30" i="16" s="1"/>
  <c r="B30" i="16" s="1"/>
  <c r="H526" i="13"/>
  <c r="G526" i="13"/>
  <c r="F526" i="13"/>
  <c r="D30" i="16" s="1"/>
  <c r="E526" i="13"/>
  <c r="D526" i="13"/>
  <c r="C526" i="13"/>
  <c r="B526" i="13"/>
  <c r="A526" i="13"/>
  <c r="I525" i="13"/>
  <c r="H525" i="13"/>
  <c r="G525" i="13"/>
  <c r="F525" i="13"/>
  <c r="E525" i="13"/>
  <c r="D525" i="13"/>
  <c r="C525" i="13"/>
  <c r="B525" i="13"/>
  <c r="A525" i="13"/>
  <c r="I524" i="13"/>
  <c r="H524" i="13"/>
  <c r="G524" i="13"/>
  <c r="F524" i="13"/>
  <c r="E524" i="13"/>
  <c r="D524" i="13"/>
  <c r="C524" i="13"/>
  <c r="B524" i="13"/>
  <c r="A524" i="13"/>
  <c r="I523" i="13"/>
  <c r="H523" i="13"/>
  <c r="G523" i="13"/>
  <c r="F523" i="13"/>
  <c r="E523" i="13"/>
  <c r="D523" i="13"/>
  <c r="C523" i="13"/>
  <c r="B523" i="13"/>
  <c r="A523" i="13"/>
  <c r="I522" i="13"/>
  <c r="H522" i="13"/>
  <c r="G522" i="13"/>
  <c r="F522" i="13"/>
  <c r="E522" i="13"/>
  <c r="D522" i="13"/>
  <c r="C522" i="13"/>
  <c r="B522" i="13"/>
  <c r="A522" i="13"/>
  <c r="I521" i="13"/>
  <c r="H521" i="13"/>
  <c r="G521" i="13"/>
  <c r="F521" i="13"/>
  <c r="E521" i="13"/>
  <c r="D521" i="13"/>
  <c r="C521" i="13"/>
  <c r="B521" i="13"/>
  <c r="A521" i="13"/>
  <c r="I520" i="13"/>
  <c r="H520" i="13"/>
  <c r="G520" i="13"/>
  <c r="F520" i="13"/>
  <c r="E520" i="13"/>
  <c r="D520" i="13"/>
  <c r="C520" i="13"/>
  <c r="B520" i="13"/>
  <c r="A520" i="13"/>
  <c r="I519" i="13"/>
  <c r="H519" i="13"/>
  <c r="G519" i="13"/>
  <c r="F519" i="13"/>
  <c r="E519" i="13"/>
  <c r="D519" i="13"/>
  <c r="C519" i="13"/>
  <c r="B519" i="13"/>
  <c r="A519" i="13"/>
  <c r="I518" i="13"/>
  <c r="H518" i="13"/>
  <c r="G518" i="13"/>
  <c r="F518" i="13"/>
  <c r="E518" i="13"/>
  <c r="D518" i="13"/>
  <c r="E29" i="16" s="1"/>
  <c r="S3" i="62" s="1"/>
  <c r="C518" i="13"/>
  <c r="B518" i="13"/>
  <c r="A518" i="13"/>
  <c r="I517" i="13"/>
  <c r="H517" i="13"/>
  <c r="G517" i="13"/>
  <c r="F517" i="13"/>
  <c r="E517" i="13"/>
  <c r="D517" i="13"/>
  <c r="C517" i="13"/>
  <c r="B517" i="13"/>
  <c r="A517" i="13"/>
  <c r="I516" i="13"/>
  <c r="H516" i="13"/>
  <c r="G516" i="13"/>
  <c r="F516" i="13"/>
  <c r="E516" i="13"/>
  <c r="D516" i="13"/>
  <c r="C516" i="13"/>
  <c r="B516" i="13"/>
  <c r="A516" i="13"/>
  <c r="I515" i="13"/>
  <c r="H515" i="13"/>
  <c r="G515" i="13"/>
  <c r="F515" i="13"/>
  <c r="E515" i="13"/>
  <c r="D515" i="13"/>
  <c r="C515" i="13"/>
  <c r="B515" i="13"/>
  <c r="A515" i="13"/>
  <c r="I514" i="13"/>
  <c r="H514" i="13"/>
  <c r="G514" i="13"/>
  <c r="F514" i="13"/>
  <c r="E514" i="13"/>
  <c r="D514" i="13"/>
  <c r="C514" i="13"/>
  <c r="B514" i="13"/>
  <c r="A514" i="13"/>
  <c r="I513" i="13"/>
  <c r="H513" i="13"/>
  <c r="G513" i="13"/>
  <c r="F513" i="13"/>
  <c r="E513" i="13"/>
  <c r="D513" i="13"/>
  <c r="C513" i="13"/>
  <c r="B513" i="13"/>
  <c r="A513" i="13"/>
  <c r="I512" i="13"/>
  <c r="H512" i="13"/>
  <c r="G512" i="13"/>
  <c r="F512" i="13"/>
  <c r="E512" i="13"/>
  <c r="D512" i="13"/>
  <c r="C512" i="13"/>
  <c r="B512" i="13"/>
  <c r="A512" i="13"/>
  <c r="I511" i="13"/>
  <c r="H511" i="13"/>
  <c r="G511" i="13"/>
  <c r="F511" i="13"/>
  <c r="E511" i="13"/>
  <c r="D511" i="13"/>
  <c r="C511" i="13"/>
  <c r="B511" i="13"/>
  <c r="A511" i="13"/>
  <c r="I510" i="13"/>
  <c r="H510" i="13"/>
  <c r="G510" i="13"/>
  <c r="F510" i="13"/>
  <c r="E510" i="13"/>
  <c r="D510" i="13"/>
  <c r="C510" i="13"/>
  <c r="B510" i="13"/>
  <c r="A510" i="13"/>
  <c r="I509" i="13"/>
  <c r="A29" i="16" s="1"/>
  <c r="B29" i="16" s="1"/>
  <c r="H509" i="13"/>
  <c r="G509" i="13"/>
  <c r="F509" i="13"/>
  <c r="D29" i="16" s="1"/>
  <c r="S2" i="62" s="1"/>
  <c r="E509" i="13"/>
  <c r="D509" i="13"/>
  <c r="C509" i="13"/>
  <c r="B509" i="13"/>
  <c r="A509" i="13"/>
  <c r="I508" i="13"/>
  <c r="H508" i="13"/>
  <c r="G508" i="13"/>
  <c r="F508" i="13"/>
  <c r="E508" i="13"/>
  <c r="D508" i="13"/>
  <c r="C508" i="13"/>
  <c r="B508" i="13"/>
  <c r="A508" i="13"/>
  <c r="I507" i="13"/>
  <c r="H507" i="13"/>
  <c r="G507" i="13"/>
  <c r="F507" i="13"/>
  <c r="E507" i="13"/>
  <c r="D507" i="13"/>
  <c r="C507" i="13"/>
  <c r="B507" i="13"/>
  <c r="A507" i="13"/>
  <c r="I506" i="13"/>
  <c r="H506" i="13"/>
  <c r="G506" i="13"/>
  <c r="F506" i="13"/>
  <c r="E506" i="13"/>
  <c r="D506" i="13"/>
  <c r="C506" i="13"/>
  <c r="B506" i="13"/>
  <c r="A506" i="13"/>
  <c r="I505" i="13"/>
  <c r="H505" i="13"/>
  <c r="G505" i="13"/>
  <c r="F505" i="13"/>
  <c r="E505" i="13"/>
  <c r="D505" i="13"/>
  <c r="C505" i="13"/>
  <c r="B505" i="13"/>
  <c r="A505" i="13"/>
  <c r="I504" i="13"/>
  <c r="H504" i="13"/>
  <c r="G504" i="13"/>
  <c r="F504" i="13"/>
  <c r="E504" i="13"/>
  <c r="D504" i="13"/>
  <c r="C504" i="13"/>
  <c r="B504" i="13"/>
  <c r="A504" i="13"/>
  <c r="I503" i="13"/>
  <c r="H503" i="13"/>
  <c r="G503" i="13"/>
  <c r="F503" i="13"/>
  <c r="E503" i="13"/>
  <c r="D503" i="13"/>
  <c r="C503" i="13"/>
  <c r="B503" i="13"/>
  <c r="A503" i="13"/>
  <c r="I501" i="13"/>
  <c r="H501" i="13"/>
  <c r="G501" i="13"/>
  <c r="F501" i="13"/>
  <c r="E501" i="13"/>
  <c r="D501" i="13"/>
  <c r="C501" i="13"/>
  <c r="B501" i="13"/>
  <c r="A501" i="13"/>
  <c r="I500" i="13"/>
  <c r="H500" i="13"/>
  <c r="G500" i="13"/>
  <c r="F500" i="13"/>
  <c r="E500" i="13"/>
  <c r="D500" i="13"/>
  <c r="C500" i="13"/>
  <c r="B500" i="13"/>
  <c r="A500" i="13"/>
  <c r="I499" i="13"/>
  <c r="H499" i="13"/>
  <c r="G499" i="13"/>
  <c r="F499" i="13"/>
  <c r="E499" i="13"/>
  <c r="D499" i="13"/>
  <c r="C499" i="13"/>
  <c r="B499" i="13"/>
  <c r="A499" i="13"/>
  <c r="I498" i="13"/>
  <c r="H498" i="13"/>
  <c r="G498" i="13"/>
  <c r="F498" i="13"/>
  <c r="E498" i="13"/>
  <c r="D498" i="13"/>
  <c r="C498" i="13"/>
  <c r="B498" i="13"/>
  <c r="A498" i="13"/>
  <c r="I497" i="13"/>
  <c r="H497" i="13"/>
  <c r="G497" i="13"/>
  <c r="F497" i="13"/>
  <c r="E497" i="13"/>
  <c r="D497" i="13"/>
  <c r="C497" i="13"/>
  <c r="B497" i="13"/>
  <c r="A497" i="13"/>
  <c r="I496" i="13"/>
  <c r="H496" i="13"/>
  <c r="G496" i="13"/>
  <c r="F496" i="13"/>
  <c r="E496" i="13"/>
  <c r="D496" i="13"/>
  <c r="C496" i="13"/>
  <c r="B496" i="13"/>
  <c r="A496" i="13"/>
  <c r="I495" i="13"/>
  <c r="H495" i="13"/>
  <c r="G495" i="13"/>
  <c r="F495" i="13"/>
  <c r="E495" i="13"/>
  <c r="D495" i="13"/>
  <c r="C495" i="13"/>
  <c r="B495" i="13"/>
  <c r="A495" i="13"/>
  <c r="I494" i="13"/>
  <c r="H494" i="13"/>
  <c r="G494" i="13"/>
  <c r="F494" i="13"/>
  <c r="E494" i="13"/>
  <c r="D494" i="13"/>
  <c r="C494" i="13"/>
  <c r="B494" i="13"/>
  <c r="A494" i="13"/>
  <c r="I493" i="13"/>
  <c r="H493" i="13"/>
  <c r="G493" i="13"/>
  <c r="F493" i="13"/>
  <c r="E493" i="13"/>
  <c r="D493" i="13"/>
  <c r="C493" i="13"/>
  <c r="B493" i="13"/>
  <c r="A493" i="13"/>
  <c r="I492" i="13"/>
  <c r="H492" i="13"/>
  <c r="G492" i="13"/>
  <c r="F492" i="13"/>
  <c r="E492" i="13"/>
  <c r="D492" i="13"/>
  <c r="C492" i="13"/>
  <c r="B492" i="13"/>
  <c r="A492" i="13"/>
  <c r="I491" i="13"/>
  <c r="H491" i="13"/>
  <c r="G491" i="13"/>
  <c r="F491" i="13"/>
  <c r="E491" i="13"/>
  <c r="D491" i="13"/>
  <c r="C491" i="13"/>
  <c r="B491" i="13"/>
  <c r="A491" i="13"/>
  <c r="I490" i="13"/>
  <c r="H490" i="13"/>
  <c r="G490" i="13"/>
  <c r="F490" i="13"/>
  <c r="E490" i="13"/>
  <c r="D490" i="13"/>
  <c r="C490" i="13"/>
  <c r="B490" i="13"/>
  <c r="A490" i="13"/>
  <c r="I489" i="13"/>
  <c r="H489" i="13"/>
  <c r="G489" i="13"/>
  <c r="F489" i="13"/>
  <c r="E489" i="13"/>
  <c r="D489" i="13"/>
  <c r="C489" i="13"/>
  <c r="B489" i="13"/>
  <c r="A489" i="13"/>
  <c r="I488" i="13"/>
  <c r="H488" i="13"/>
  <c r="G488" i="13"/>
  <c r="F488" i="13"/>
  <c r="E488" i="13"/>
  <c r="D488" i="13"/>
  <c r="C488" i="13"/>
  <c r="B488" i="13"/>
  <c r="A488" i="13"/>
  <c r="I487" i="13"/>
  <c r="H487" i="13"/>
  <c r="G487" i="13"/>
  <c r="F487" i="13"/>
  <c r="E487" i="13"/>
  <c r="D487" i="13"/>
  <c r="C487" i="13"/>
  <c r="B487" i="13"/>
  <c r="A487" i="13"/>
  <c r="I486" i="13"/>
  <c r="H486" i="13"/>
  <c r="G486" i="13"/>
  <c r="F486" i="13"/>
  <c r="E486" i="13"/>
  <c r="D486" i="13"/>
  <c r="C486" i="13"/>
  <c r="B486" i="13"/>
  <c r="A486" i="13"/>
  <c r="I485" i="13"/>
  <c r="H485" i="13"/>
  <c r="G485" i="13"/>
  <c r="F485" i="13"/>
  <c r="E485" i="13"/>
  <c r="D485" i="13"/>
  <c r="C485" i="13"/>
  <c r="B485" i="13"/>
  <c r="A485" i="13"/>
  <c r="I484" i="13"/>
  <c r="H484" i="13"/>
  <c r="G484" i="13"/>
  <c r="F484" i="13"/>
  <c r="E484" i="13"/>
  <c r="D484" i="13"/>
  <c r="E28" i="16" s="1"/>
  <c r="C484" i="13"/>
  <c r="B484" i="13"/>
  <c r="A484" i="13"/>
  <c r="I483" i="13"/>
  <c r="H483" i="13"/>
  <c r="G483" i="13"/>
  <c r="F483" i="13"/>
  <c r="E483" i="13"/>
  <c r="D483" i="13"/>
  <c r="C483" i="13"/>
  <c r="B483" i="13"/>
  <c r="A483" i="13"/>
  <c r="I482" i="13"/>
  <c r="H482" i="13"/>
  <c r="G482" i="13"/>
  <c r="F482" i="13"/>
  <c r="E482" i="13"/>
  <c r="D482" i="13"/>
  <c r="C482" i="13"/>
  <c r="B482" i="13"/>
  <c r="A482" i="13"/>
  <c r="I481" i="13"/>
  <c r="H481" i="13"/>
  <c r="G481" i="13"/>
  <c r="F481" i="13"/>
  <c r="E481" i="13"/>
  <c r="D481" i="13"/>
  <c r="C481" i="13"/>
  <c r="B481" i="13"/>
  <c r="A481" i="13"/>
  <c r="I480" i="13"/>
  <c r="H480" i="13"/>
  <c r="G480" i="13"/>
  <c r="F480" i="13"/>
  <c r="E480" i="13"/>
  <c r="D480" i="13"/>
  <c r="C480" i="13"/>
  <c r="B480" i="13"/>
  <c r="A480" i="13"/>
  <c r="I479" i="13"/>
  <c r="H479" i="13"/>
  <c r="G479" i="13"/>
  <c r="F479" i="13"/>
  <c r="E479" i="13"/>
  <c r="D479" i="13"/>
  <c r="C479" i="13"/>
  <c r="B479" i="13"/>
  <c r="A479" i="13"/>
  <c r="I478" i="13"/>
  <c r="H478" i="13"/>
  <c r="G478" i="13"/>
  <c r="F478" i="13"/>
  <c r="E478" i="13"/>
  <c r="D478" i="13"/>
  <c r="C478" i="13"/>
  <c r="B478" i="13"/>
  <c r="A478" i="13"/>
  <c r="I477" i="13"/>
  <c r="H477" i="13"/>
  <c r="G477" i="13"/>
  <c r="F477" i="13"/>
  <c r="E477" i="13"/>
  <c r="D477" i="13"/>
  <c r="C477" i="13"/>
  <c r="B477" i="13"/>
  <c r="A477" i="13"/>
  <c r="I476" i="13"/>
  <c r="H476" i="13"/>
  <c r="G476" i="13"/>
  <c r="F476" i="13"/>
  <c r="E476" i="13"/>
  <c r="D476" i="13"/>
  <c r="C476" i="13"/>
  <c r="B476" i="13"/>
  <c r="A476" i="13"/>
  <c r="I475" i="13"/>
  <c r="A28" i="16" s="1"/>
  <c r="B28" i="16" s="1"/>
  <c r="H475" i="13"/>
  <c r="G475" i="13"/>
  <c r="F475" i="13"/>
  <c r="D28" i="16" s="1"/>
  <c r="E475" i="13"/>
  <c r="D475" i="13"/>
  <c r="C475" i="13"/>
  <c r="B475" i="13"/>
  <c r="A475" i="13"/>
  <c r="I474" i="13"/>
  <c r="H474" i="13"/>
  <c r="G474" i="13"/>
  <c r="F474" i="13"/>
  <c r="E474" i="13"/>
  <c r="D474" i="13"/>
  <c r="C474" i="13"/>
  <c r="B474" i="13"/>
  <c r="A474" i="13"/>
  <c r="I473" i="13"/>
  <c r="H473" i="13"/>
  <c r="G473" i="13"/>
  <c r="F473" i="13"/>
  <c r="E473" i="13"/>
  <c r="D473" i="13"/>
  <c r="C473" i="13"/>
  <c r="B473" i="13"/>
  <c r="A473" i="13"/>
  <c r="I472" i="13"/>
  <c r="H472" i="13"/>
  <c r="G472" i="13"/>
  <c r="F472" i="13"/>
  <c r="E472" i="13"/>
  <c r="D472" i="13"/>
  <c r="C472" i="13"/>
  <c r="B472" i="13"/>
  <c r="A472" i="13"/>
  <c r="I471" i="13"/>
  <c r="H471" i="13"/>
  <c r="G471" i="13"/>
  <c r="F471" i="13"/>
  <c r="E471" i="13"/>
  <c r="D471" i="13"/>
  <c r="C471" i="13"/>
  <c r="B471" i="13"/>
  <c r="A471" i="13"/>
  <c r="I470" i="13"/>
  <c r="H470" i="13"/>
  <c r="G470" i="13"/>
  <c r="F470" i="13"/>
  <c r="E470" i="13"/>
  <c r="D470" i="13"/>
  <c r="C470" i="13"/>
  <c r="B470" i="13"/>
  <c r="A470" i="13"/>
  <c r="I469" i="13"/>
  <c r="H469" i="13"/>
  <c r="G469" i="13"/>
  <c r="F469" i="13"/>
  <c r="E469" i="13"/>
  <c r="D469" i="13"/>
  <c r="C469" i="13"/>
  <c r="B469" i="13"/>
  <c r="A469" i="13"/>
  <c r="I468" i="13"/>
  <c r="H468" i="13"/>
  <c r="G468" i="13"/>
  <c r="F468" i="13"/>
  <c r="E468" i="13"/>
  <c r="D468" i="13"/>
  <c r="C468" i="13"/>
  <c r="B468" i="13"/>
  <c r="A468" i="13"/>
  <c r="I467" i="13"/>
  <c r="H467" i="13"/>
  <c r="G467" i="13"/>
  <c r="F467" i="13"/>
  <c r="E467" i="13"/>
  <c r="D467" i="13"/>
  <c r="E27" i="16" s="1"/>
  <c r="C467" i="13"/>
  <c r="B467" i="13"/>
  <c r="A467" i="13"/>
  <c r="I466" i="13"/>
  <c r="H466" i="13"/>
  <c r="G466" i="13"/>
  <c r="F466" i="13"/>
  <c r="E466" i="13"/>
  <c r="D466" i="13"/>
  <c r="C466" i="13"/>
  <c r="B466" i="13"/>
  <c r="A466" i="13"/>
  <c r="I465" i="13"/>
  <c r="H465" i="13"/>
  <c r="G465" i="13"/>
  <c r="F465" i="13"/>
  <c r="E465" i="13"/>
  <c r="D465" i="13"/>
  <c r="C465" i="13"/>
  <c r="B465" i="13"/>
  <c r="A465" i="13"/>
  <c r="I464" i="13"/>
  <c r="H464" i="13"/>
  <c r="G464" i="13"/>
  <c r="F464" i="13"/>
  <c r="E464" i="13"/>
  <c r="D464" i="13"/>
  <c r="C464" i="13"/>
  <c r="B464" i="13"/>
  <c r="A464" i="13"/>
  <c r="I463" i="13"/>
  <c r="H463" i="13"/>
  <c r="G463" i="13"/>
  <c r="F463" i="13"/>
  <c r="E463" i="13"/>
  <c r="D463" i="13"/>
  <c r="C463" i="13"/>
  <c r="B463" i="13"/>
  <c r="A463" i="13"/>
  <c r="I462" i="13"/>
  <c r="H462" i="13"/>
  <c r="G462" i="13"/>
  <c r="F462" i="13"/>
  <c r="E462" i="13"/>
  <c r="D462" i="13"/>
  <c r="C462" i="13"/>
  <c r="B462" i="13"/>
  <c r="A462" i="13"/>
  <c r="I461" i="13"/>
  <c r="H461" i="13"/>
  <c r="G461" i="13"/>
  <c r="F461" i="13"/>
  <c r="E461" i="13"/>
  <c r="D461" i="13"/>
  <c r="C461" i="13"/>
  <c r="B461" i="13"/>
  <c r="A461" i="13"/>
  <c r="I460" i="13"/>
  <c r="H460" i="13"/>
  <c r="G460" i="13"/>
  <c r="F460" i="13"/>
  <c r="E460" i="13"/>
  <c r="D460" i="13"/>
  <c r="C460" i="13"/>
  <c r="B460" i="13"/>
  <c r="A460" i="13"/>
  <c r="I459" i="13"/>
  <c r="H459" i="13"/>
  <c r="G459" i="13"/>
  <c r="F459" i="13"/>
  <c r="E459" i="13"/>
  <c r="D459" i="13"/>
  <c r="C459" i="13"/>
  <c r="B459" i="13"/>
  <c r="A459" i="13"/>
  <c r="I458" i="13"/>
  <c r="H458" i="13"/>
  <c r="G458" i="13"/>
  <c r="F458" i="13"/>
  <c r="E458" i="13"/>
  <c r="D458" i="13"/>
  <c r="C458" i="13"/>
  <c r="B458" i="13"/>
  <c r="A458" i="13"/>
  <c r="I457" i="13"/>
  <c r="A27" i="16" s="1"/>
  <c r="B27" i="16" s="1"/>
  <c r="H457" i="13"/>
  <c r="G457" i="13"/>
  <c r="F457" i="13"/>
  <c r="D27" i="16" s="1"/>
  <c r="E457" i="13"/>
  <c r="D457" i="13"/>
  <c r="C457" i="13"/>
  <c r="B457" i="13"/>
  <c r="A457" i="13"/>
  <c r="I456" i="13"/>
  <c r="H456" i="13"/>
  <c r="G456" i="13"/>
  <c r="F456" i="13"/>
  <c r="E456" i="13"/>
  <c r="D456" i="13"/>
  <c r="C456" i="13"/>
  <c r="B456" i="13"/>
  <c r="A456" i="13"/>
  <c r="I455" i="13"/>
  <c r="H455" i="13"/>
  <c r="G455" i="13"/>
  <c r="F455" i="13"/>
  <c r="E455" i="13"/>
  <c r="D455" i="13"/>
  <c r="C455" i="13"/>
  <c r="B455" i="13"/>
  <c r="A455" i="13"/>
  <c r="I454" i="13"/>
  <c r="H454" i="13"/>
  <c r="G454" i="13"/>
  <c r="F454" i="13"/>
  <c r="E454" i="13"/>
  <c r="D454" i="13"/>
  <c r="C454" i="13"/>
  <c r="B454" i="13"/>
  <c r="A454" i="13"/>
  <c r="I453" i="13"/>
  <c r="H453" i="13"/>
  <c r="G453" i="13"/>
  <c r="F453" i="13"/>
  <c r="E453" i="13"/>
  <c r="D453" i="13"/>
  <c r="C453" i="13"/>
  <c r="B453" i="13"/>
  <c r="A453" i="13"/>
  <c r="I452" i="13"/>
  <c r="H452" i="13"/>
  <c r="G452" i="13"/>
  <c r="F452" i="13"/>
  <c r="E452" i="13"/>
  <c r="D452" i="13"/>
  <c r="C452" i="13"/>
  <c r="B452" i="13"/>
  <c r="A452" i="13"/>
  <c r="I451" i="13"/>
  <c r="H451" i="13"/>
  <c r="G451" i="13"/>
  <c r="F451" i="13"/>
  <c r="E451" i="13"/>
  <c r="D451" i="13"/>
  <c r="C451" i="13"/>
  <c r="B451" i="13"/>
  <c r="A451" i="13"/>
  <c r="I450" i="13"/>
  <c r="H450" i="13"/>
  <c r="G450" i="13"/>
  <c r="F450" i="13"/>
  <c r="E450" i="13"/>
  <c r="D450" i="13"/>
  <c r="C450" i="13"/>
  <c r="B450" i="13"/>
  <c r="A450" i="13"/>
  <c r="I449" i="13"/>
  <c r="H449" i="13"/>
  <c r="G449" i="13"/>
  <c r="F449" i="13"/>
  <c r="E449" i="13"/>
  <c r="D449" i="13"/>
  <c r="E26" i="16" s="1"/>
  <c r="C449" i="13"/>
  <c r="B449" i="13"/>
  <c r="A449" i="13"/>
  <c r="I448" i="13"/>
  <c r="H448" i="13"/>
  <c r="G448" i="13"/>
  <c r="F448" i="13"/>
  <c r="E448" i="13"/>
  <c r="D448" i="13"/>
  <c r="C448" i="13"/>
  <c r="B448" i="13"/>
  <c r="A448" i="13"/>
  <c r="I447" i="13"/>
  <c r="H447" i="13"/>
  <c r="G447" i="13"/>
  <c r="F447" i="13"/>
  <c r="E447" i="13"/>
  <c r="D447" i="13"/>
  <c r="C447" i="13"/>
  <c r="B447" i="13"/>
  <c r="A447" i="13"/>
  <c r="I446" i="13"/>
  <c r="H446" i="13"/>
  <c r="G446" i="13"/>
  <c r="F446" i="13"/>
  <c r="E446" i="13"/>
  <c r="D446" i="13"/>
  <c r="C446" i="13"/>
  <c r="B446" i="13"/>
  <c r="A446" i="13"/>
  <c r="I445" i="13"/>
  <c r="H445" i="13"/>
  <c r="G445" i="13"/>
  <c r="F445" i="13"/>
  <c r="E445" i="13"/>
  <c r="D445" i="13"/>
  <c r="C445" i="13"/>
  <c r="B445" i="13"/>
  <c r="A445" i="13"/>
  <c r="I444" i="13"/>
  <c r="H444" i="13"/>
  <c r="G444" i="13"/>
  <c r="F444" i="13"/>
  <c r="E444" i="13"/>
  <c r="D444" i="13"/>
  <c r="C444" i="13"/>
  <c r="B444" i="13"/>
  <c r="A444" i="13"/>
  <c r="I443" i="13"/>
  <c r="H443" i="13"/>
  <c r="G443" i="13"/>
  <c r="F443" i="13"/>
  <c r="E443" i="13"/>
  <c r="D443" i="13"/>
  <c r="C443" i="13"/>
  <c r="B443" i="13"/>
  <c r="A443" i="13"/>
  <c r="I442" i="13"/>
  <c r="H442" i="13"/>
  <c r="G442" i="13"/>
  <c r="F442" i="13"/>
  <c r="E442" i="13"/>
  <c r="D442" i="13"/>
  <c r="C442" i="13"/>
  <c r="B442" i="13"/>
  <c r="A442" i="13"/>
  <c r="I441" i="13"/>
  <c r="H441" i="13"/>
  <c r="G441" i="13"/>
  <c r="F441" i="13"/>
  <c r="E441" i="13"/>
  <c r="D441" i="13"/>
  <c r="C441" i="13"/>
  <c r="B441" i="13"/>
  <c r="A441" i="13"/>
  <c r="I440" i="13"/>
  <c r="A26" i="16" s="1"/>
  <c r="B26" i="16" s="1"/>
  <c r="H440" i="13"/>
  <c r="G440" i="13"/>
  <c r="F440" i="13"/>
  <c r="D26" i="16" s="1"/>
  <c r="E440" i="13"/>
  <c r="D440" i="13"/>
  <c r="C440" i="13"/>
  <c r="B440" i="13"/>
  <c r="A440" i="13"/>
  <c r="I439" i="13"/>
  <c r="H439" i="13"/>
  <c r="G439" i="13"/>
  <c r="F439" i="13"/>
  <c r="E439" i="13"/>
  <c r="D439" i="13"/>
  <c r="C439" i="13"/>
  <c r="B439" i="13"/>
  <c r="A439" i="13"/>
  <c r="I438" i="13"/>
  <c r="H438" i="13"/>
  <c r="G438" i="13"/>
  <c r="F438" i="13"/>
  <c r="E438" i="13"/>
  <c r="D438" i="13"/>
  <c r="C438" i="13"/>
  <c r="B438" i="13"/>
  <c r="A438" i="13"/>
  <c r="I437" i="13"/>
  <c r="H437" i="13"/>
  <c r="G437" i="13"/>
  <c r="F437" i="13"/>
  <c r="E437" i="13"/>
  <c r="D437" i="13"/>
  <c r="C437" i="13"/>
  <c r="B437" i="13"/>
  <c r="A437" i="13"/>
  <c r="I436" i="13"/>
  <c r="H436" i="13"/>
  <c r="G436" i="13"/>
  <c r="F436" i="13"/>
  <c r="E436" i="13"/>
  <c r="D436" i="13"/>
  <c r="C436" i="13"/>
  <c r="B436" i="13"/>
  <c r="A436" i="13"/>
  <c r="I435" i="13"/>
  <c r="H435" i="13"/>
  <c r="G435" i="13"/>
  <c r="F435" i="13"/>
  <c r="E435" i="13"/>
  <c r="D435" i="13"/>
  <c r="C435" i="13"/>
  <c r="B435" i="13"/>
  <c r="A435" i="13"/>
  <c r="I434" i="13"/>
  <c r="H434" i="13"/>
  <c r="G434" i="13"/>
  <c r="F434" i="13"/>
  <c r="E434" i="13"/>
  <c r="D434" i="13"/>
  <c r="C434" i="13"/>
  <c r="B434" i="13"/>
  <c r="A434" i="13"/>
  <c r="I433" i="13"/>
  <c r="H433" i="13"/>
  <c r="G433" i="13"/>
  <c r="F433" i="13"/>
  <c r="E433" i="13"/>
  <c r="D433" i="13"/>
  <c r="C433" i="13"/>
  <c r="B433" i="13"/>
  <c r="A433" i="13"/>
  <c r="I432" i="13"/>
  <c r="H432" i="13"/>
  <c r="G432" i="13"/>
  <c r="F432" i="13"/>
  <c r="E432" i="13"/>
  <c r="D432" i="13"/>
  <c r="E25" i="16" s="1"/>
  <c r="C432" i="13"/>
  <c r="B432" i="13"/>
  <c r="A432" i="13"/>
  <c r="I431" i="13"/>
  <c r="H431" i="13"/>
  <c r="G431" i="13"/>
  <c r="F431" i="13"/>
  <c r="E431" i="13"/>
  <c r="D431" i="13"/>
  <c r="C431" i="13"/>
  <c r="B431" i="13"/>
  <c r="A431" i="13"/>
  <c r="I430" i="13"/>
  <c r="H430" i="13"/>
  <c r="G430" i="13"/>
  <c r="F430" i="13"/>
  <c r="E430" i="13"/>
  <c r="D430" i="13"/>
  <c r="C430" i="13"/>
  <c r="B430" i="13"/>
  <c r="A430" i="13"/>
  <c r="I429" i="13"/>
  <c r="H429" i="13"/>
  <c r="G429" i="13"/>
  <c r="F429" i="13"/>
  <c r="E429" i="13"/>
  <c r="D429" i="13"/>
  <c r="C429" i="13"/>
  <c r="B429" i="13"/>
  <c r="A429" i="13"/>
  <c r="I428" i="13"/>
  <c r="H428" i="13"/>
  <c r="G428" i="13"/>
  <c r="F428" i="13"/>
  <c r="E428" i="13"/>
  <c r="D428" i="13"/>
  <c r="C428" i="13"/>
  <c r="B428" i="13"/>
  <c r="A428" i="13"/>
  <c r="I427" i="13"/>
  <c r="H427" i="13"/>
  <c r="G427" i="13"/>
  <c r="F427" i="13"/>
  <c r="E427" i="13"/>
  <c r="D427" i="13"/>
  <c r="C427" i="13"/>
  <c r="B427" i="13"/>
  <c r="A427" i="13"/>
  <c r="I426" i="13"/>
  <c r="H426" i="13"/>
  <c r="G426" i="13"/>
  <c r="F426" i="13"/>
  <c r="E426" i="13"/>
  <c r="D426" i="13"/>
  <c r="C426" i="13"/>
  <c r="B426" i="13"/>
  <c r="A426" i="13"/>
  <c r="I425" i="13"/>
  <c r="H425" i="13"/>
  <c r="G425" i="13"/>
  <c r="F425" i="13"/>
  <c r="E425" i="13"/>
  <c r="D425" i="13"/>
  <c r="C425" i="13"/>
  <c r="B425" i="13"/>
  <c r="A425" i="13"/>
  <c r="I424" i="13"/>
  <c r="H424" i="13"/>
  <c r="G424" i="13"/>
  <c r="F424" i="13"/>
  <c r="E424" i="13"/>
  <c r="D424" i="13"/>
  <c r="C424" i="13"/>
  <c r="B424" i="13"/>
  <c r="A424" i="13"/>
  <c r="I423" i="13"/>
  <c r="A25" i="16" s="1"/>
  <c r="B25" i="16" s="1"/>
  <c r="H423" i="13"/>
  <c r="G423" i="13"/>
  <c r="F423" i="13"/>
  <c r="D25" i="16" s="1"/>
  <c r="E423" i="13"/>
  <c r="D423" i="13"/>
  <c r="C423" i="13"/>
  <c r="B423" i="13"/>
  <c r="A423" i="13"/>
  <c r="I422" i="13"/>
  <c r="H422" i="13"/>
  <c r="G422" i="13"/>
  <c r="F422" i="13"/>
  <c r="E422" i="13"/>
  <c r="D422" i="13"/>
  <c r="C422" i="13"/>
  <c r="B422" i="13"/>
  <c r="A422" i="13"/>
  <c r="I421" i="13"/>
  <c r="H421" i="13"/>
  <c r="G421" i="13"/>
  <c r="F421" i="13"/>
  <c r="E421" i="13"/>
  <c r="D421" i="13"/>
  <c r="C421" i="13"/>
  <c r="B421" i="13"/>
  <c r="A421" i="13"/>
  <c r="I420" i="13"/>
  <c r="H420" i="13"/>
  <c r="G420" i="13"/>
  <c r="F420" i="13"/>
  <c r="E420" i="13"/>
  <c r="D420" i="13"/>
  <c r="C420" i="13"/>
  <c r="B420" i="13"/>
  <c r="A420" i="13"/>
  <c r="I419" i="13"/>
  <c r="H419" i="13"/>
  <c r="G419" i="13"/>
  <c r="F419" i="13"/>
  <c r="E419" i="13"/>
  <c r="D419" i="13"/>
  <c r="C419" i="13"/>
  <c r="B419" i="13"/>
  <c r="A419" i="13"/>
  <c r="I418" i="13"/>
  <c r="H418" i="13"/>
  <c r="G418" i="13"/>
  <c r="F418" i="13"/>
  <c r="E418" i="13"/>
  <c r="D418" i="13"/>
  <c r="C418" i="13"/>
  <c r="B418" i="13"/>
  <c r="A418" i="13"/>
  <c r="I417" i="13"/>
  <c r="H417" i="13"/>
  <c r="G417" i="13"/>
  <c r="F417" i="13"/>
  <c r="E417" i="13"/>
  <c r="D417" i="13"/>
  <c r="C417" i="13"/>
  <c r="B417" i="13"/>
  <c r="A417" i="13"/>
  <c r="I416" i="13"/>
  <c r="H416" i="13"/>
  <c r="G416" i="13"/>
  <c r="F416" i="13"/>
  <c r="E416" i="13"/>
  <c r="D416" i="13"/>
  <c r="C416" i="13"/>
  <c r="B416" i="13"/>
  <c r="A416" i="13"/>
  <c r="I415" i="13"/>
  <c r="H415" i="13"/>
  <c r="G415" i="13"/>
  <c r="F415" i="13"/>
  <c r="E415" i="13"/>
  <c r="D415" i="13"/>
  <c r="E24" i="16" s="1"/>
  <c r="C415" i="13"/>
  <c r="B415" i="13"/>
  <c r="A415" i="13"/>
  <c r="I414" i="13"/>
  <c r="H414" i="13"/>
  <c r="G414" i="13"/>
  <c r="F414" i="13"/>
  <c r="E414" i="13"/>
  <c r="D414" i="13"/>
  <c r="C414" i="13"/>
  <c r="B414" i="13"/>
  <c r="A414" i="13"/>
  <c r="I413" i="13"/>
  <c r="H413" i="13"/>
  <c r="G413" i="13"/>
  <c r="F413" i="13"/>
  <c r="E413" i="13"/>
  <c r="D413" i="13"/>
  <c r="C413" i="13"/>
  <c r="B413" i="13"/>
  <c r="A413" i="13"/>
  <c r="I412" i="13"/>
  <c r="H412" i="13"/>
  <c r="G412" i="13"/>
  <c r="F412" i="13"/>
  <c r="E412" i="13"/>
  <c r="D412" i="13"/>
  <c r="C412" i="13"/>
  <c r="B412" i="13"/>
  <c r="A412" i="13"/>
  <c r="I411" i="13"/>
  <c r="H411" i="13"/>
  <c r="G411" i="13"/>
  <c r="F411" i="13"/>
  <c r="E411" i="13"/>
  <c r="D411" i="13"/>
  <c r="C411" i="13"/>
  <c r="B411" i="13"/>
  <c r="A411" i="13"/>
  <c r="I410" i="13"/>
  <c r="H410" i="13"/>
  <c r="G410" i="13"/>
  <c r="F410" i="13"/>
  <c r="E410" i="13"/>
  <c r="D410" i="13"/>
  <c r="C410" i="13"/>
  <c r="B410" i="13"/>
  <c r="A410" i="13"/>
  <c r="I409" i="13"/>
  <c r="H409" i="13"/>
  <c r="G409" i="13"/>
  <c r="F409" i="13"/>
  <c r="E409" i="13"/>
  <c r="D409" i="13"/>
  <c r="C409" i="13"/>
  <c r="B409" i="13"/>
  <c r="A409" i="13"/>
  <c r="I408" i="13"/>
  <c r="H408" i="13"/>
  <c r="G408" i="13"/>
  <c r="F408" i="13"/>
  <c r="E408" i="13"/>
  <c r="D408" i="13"/>
  <c r="C408" i="13"/>
  <c r="B408" i="13"/>
  <c r="A408" i="13"/>
  <c r="I407" i="13"/>
  <c r="H407" i="13"/>
  <c r="G407" i="13"/>
  <c r="F407" i="13"/>
  <c r="E407" i="13"/>
  <c r="D407" i="13"/>
  <c r="C407" i="13"/>
  <c r="B407" i="13"/>
  <c r="A407" i="13"/>
  <c r="I406" i="13"/>
  <c r="A24" i="16" s="1"/>
  <c r="B24" i="16" s="1"/>
  <c r="H406" i="13"/>
  <c r="G406" i="13"/>
  <c r="F406" i="13"/>
  <c r="D24" i="16" s="1"/>
  <c r="E406" i="13"/>
  <c r="D406" i="13"/>
  <c r="C406" i="13"/>
  <c r="B406" i="13"/>
  <c r="A406" i="13"/>
  <c r="I405" i="13"/>
  <c r="H405" i="13"/>
  <c r="G405" i="13"/>
  <c r="F405" i="13"/>
  <c r="E405" i="13"/>
  <c r="D405" i="13"/>
  <c r="C405" i="13"/>
  <c r="B405" i="13"/>
  <c r="A405" i="13"/>
  <c r="I404" i="13"/>
  <c r="H404" i="13"/>
  <c r="G404" i="13"/>
  <c r="F404" i="13"/>
  <c r="E404" i="13"/>
  <c r="D404" i="13"/>
  <c r="C404" i="13"/>
  <c r="B404" i="13"/>
  <c r="A404" i="13"/>
  <c r="I403" i="13"/>
  <c r="H403" i="13"/>
  <c r="G403" i="13"/>
  <c r="F403" i="13"/>
  <c r="E403" i="13"/>
  <c r="D403" i="13"/>
  <c r="C403" i="13"/>
  <c r="B403" i="13"/>
  <c r="A403" i="13"/>
  <c r="I402" i="13"/>
  <c r="H402" i="13"/>
  <c r="G402" i="13"/>
  <c r="F402" i="13"/>
  <c r="E402" i="13"/>
  <c r="D402" i="13"/>
  <c r="C402" i="13"/>
  <c r="B402" i="13"/>
  <c r="A402" i="13"/>
  <c r="I401" i="13"/>
  <c r="H401" i="13"/>
  <c r="G401" i="13"/>
  <c r="F401" i="13"/>
  <c r="E401" i="13"/>
  <c r="D401" i="13"/>
  <c r="B401" i="13"/>
  <c r="A401" i="13"/>
  <c r="I400" i="13"/>
  <c r="H400" i="13"/>
  <c r="G400" i="13"/>
  <c r="F400" i="13"/>
  <c r="E400" i="13"/>
  <c r="D400" i="13"/>
  <c r="C400" i="13"/>
  <c r="B400" i="13"/>
  <c r="A400" i="13"/>
  <c r="I399" i="13"/>
  <c r="H399" i="13"/>
  <c r="G399" i="13"/>
  <c r="F399" i="13"/>
  <c r="E399" i="13"/>
  <c r="D399" i="13"/>
  <c r="C399" i="13"/>
  <c r="B399" i="13"/>
  <c r="A399" i="13"/>
  <c r="I398" i="13"/>
  <c r="H398" i="13"/>
  <c r="G398" i="13"/>
  <c r="F398" i="13"/>
  <c r="E398" i="13"/>
  <c r="D398" i="13"/>
  <c r="C398" i="13"/>
  <c r="B398" i="13"/>
  <c r="A398" i="13"/>
  <c r="I397" i="13"/>
  <c r="H397" i="13"/>
  <c r="G397" i="13"/>
  <c r="F397" i="13"/>
  <c r="E397" i="13"/>
  <c r="D397" i="13"/>
  <c r="C397" i="13"/>
  <c r="B397" i="13"/>
  <c r="A397" i="13"/>
  <c r="I396" i="13"/>
  <c r="H396" i="13"/>
  <c r="G396" i="13"/>
  <c r="F396" i="13"/>
  <c r="E396" i="13"/>
  <c r="D396" i="13"/>
  <c r="C396" i="13"/>
  <c r="B396" i="13"/>
  <c r="A396" i="13"/>
  <c r="I395" i="13"/>
  <c r="H395" i="13"/>
  <c r="G395" i="13"/>
  <c r="F395" i="13"/>
  <c r="E395" i="13"/>
  <c r="D395" i="13"/>
  <c r="C395" i="13"/>
  <c r="B395" i="13"/>
  <c r="A395" i="13"/>
  <c r="I394" i="13"/>
  <c r="H394" i="13"/>
  <c r="G394" i="13"/>
  <c r="F394" i="13"/>
  <c r="E394" i="13"/>
  <c r="D394" i="13"/>
  <c r="C394" i="13"/>
  <c r="B394" i="13"/>
  <c r="A394" i="13"/>
  <c r="I393" i="13"/>
  <c r="H393" i="13"/>
  <c r="G393" i="13"/>
  <c r="F393" i="13"/>
  <c r="E393" i="13"/>
  <c r="D393" i="13"/>
  <c r="C393" i="13"/>
  <c r="B393" i="13"/>
  <c r="A393" i="13"/>
  <c r="I392" i="13"/>
  <c r="H392" i="13"/>
  <c r="G392" i="13"/>
  <c r="F392" i="13"/>
  <c r="E392" i="13"/>
  <c r="D392" i="13"/>
  <c r="C392" i="13"/>
  <c r="B392" i="13"/>
  <c r="A392" i="13"/>
  <c r="I391" i="13"/>
  <c r="A23" i="16" s="1"/>
  <c r="B23" i="16" s="1"/>
  <c r="H391" i="13"/>
  <c r="G391" i="13"/>
  <c r="F391" i="13"/>
  <c r="E391" i="13"/>
  <c r="C391" i="13"/>
  <c r="B391" i="13"/>
  <c r="A391" i="13"/>
  <c r="I390" i="13"/>
  <c r="H390" i="13"/>
  <c r="G390" i="13"/>
  <c r="F390" i="13"/>
  <c r="E390" i="13"/>
  <c r="D390" i="13"/>
  <c r="C390" i="13"/>
  <c r="B390" i="13"/>
  <c r="A390" i="13"/>
  <c r="I389" i="13"/>
  <c r="H389" i="13"/>
  <c r="G389" i="13"/>
  <c r="F389" i="13"/>
  <c r="E389" i="13"/>
  <c r="D389" i="13"/>
  <c r="C389" i="13"/>
  <c r="B389" i="13"/>
  <c r="A389" i="13"/>
  <c r="I388" i="13"/>
  <c r="H388" i="13"/>
  <c r="G388" i="13"/>
  <c r="F388" i="13"/>
  <c r="E388" i="13"/>
  <c r="D388" i="13"/>
  <c r="C388" i="13"/>
  <c r="B388" i="13"/>
  <c r="A388" i="13"/>
  <c r="I380" i="13"/>
  <c r="H380" i="13"/>
  <c r="G380" i="13"/>
  <c r="F380" i="13"/>
  <c r="E380" i="13"/>
  <c r="D380" i="13"/>
  <c r="C380" i="13"/>
  <c r="B380" i="13"/>
  <c r="A380" i="13"/>
  <c r="I379" i="13"/>
  <c r="H379" i="13"/>
  <c r="G379" i="13"/>
  <c r="F379" i="13"/>
  <c r="E379" i="13"/>
  <c r="D379" i="13"/>
  <c r="C379" i="13"/>
  <c r="B379" i="13"/>
  <c r="A379" i="13"/>
  <c r="I378" i="13"/>
  <c r="H378" i="13"/>
  <c r="G378" i="13"/>
  <c r="F378" i="13"/>
  <c r="E378" i="13"/>
  <c r="D378" i="13"/>
  <c r="C378" i="13"/>
  <c r="B378" i="13"/>
  <c r="A378" i="13"/>
  <c r="I377" i="13"/>
  <c r="H377" i="13"/>
  <c r="G377" i="13"/>
  <c r="F377" i="13"/>
  <c r="E377" i="13"/>
  <c r="D377" i="13"/>
  <c r="C377" i="13"/>
  <c r="B377" i="13"/>
  <c r="A377" i="13"/>
  <c r="I376" i="13"/>
  <c r="H376" i="13"/>
  <c r="G376" i="13"/>
  <c r="F376" i="13"/>
  <c r="E376" i="13"/>
  <c r="E22" i="16" s="1"/>
  <c r="Q3" i="42" s="1"/>
  <c r="D376" i="13"/>
  <c r="C376" i="13"/>
  <c r="B376" i="13"/>
  <c r="A376" i="13"/>
  <c r="I375" i="13"/>
  <c r="H375" i="13"/>
  <c r="G375" i="13"/>
  <c r="F375" i="13"/>
  <c r="E375" i="13"/>
  <c r="D375" i="13"/>
  <c r="C375" i="13"/>
  <c r="B375" i="13"/>
  <c r="A375" i="13"/>
  <c r="I374" i="13"/>
  <c r="H374" i="13"/>
  <c r="G374" i="13"/>
  <c r="F374" i="13"/>
  <c r="E374" i="13"/>
  <c r="D374" i="13"/>
  <c r="C374" i="13"/>
  <c r="B374" i="13"/>
  <c r="A374" i="13"/>
  <c r="I373" i="13"/>
  <c r="H373" i="13"/>
  <c r="G373" i="13"/>
  <c r="F373" i="13"/>
  <c r="E373" i="13"/>
  <c r="D373" i="13"/>
  <c r="C373" i="13"/>
  <c r="B373" i="13"/>
  <c r="A373" i="13"/>
  <c r="I372" i="13"/>
  <c r="H372" i="13"/>
  <c r="G372" i="13"/>
  <c r="F372" i="13"/>
  <c r="E372" i="13"/>
  <c r="D372" i="13"/>
  <c r="C372" i="13"/>
  <c r="B372" i="13"/>
  <c r="A372" i="13"/>
  <c r="I371" i="13"/>
  <c r="H371" i="13"/>
  <c r="G371" i="13"/>
  <c r="F371" i="13"/>
  <c r="E371" i="13"/>
  <c r="D371" i="13"/>
  <c r="C371" i="13"/>
  <c r="B371" i="13"/>
  <c r="A371" i="13"/>
  <c r="I370" i="13"/>
  <c r="H370" i="13"/>
  <c r="G370" i="13"/>
  <c r="F370" i="13"/>
  <c r="E370" i="13"/>
  <c r="D370" i="13"/>
  <c r="C370" i="13"/>
  <c r="B370" i="13"/>
  <c r="A370" i="13"/>
  <c r="I369" i="13"/>
  <c r="H369" i="13"/>
  <c r="G369" i="13"/>
  <c r="F369" i="13"/>
  <c r="E369" i="13"/>
  <c r="D369" i="13"/>
  <c r="C369" i="13"/>
  <c r="B369" i="13"/>
  <c r="A369" i="13"/>
  <c r="I368" i="13"/>
  <c r="H368" i="13"/>
  <c r="G368" i="13"/>
  <c r="F368" i="13"/>
  <c r="E368" i="13"/>
  <c r="D368" i="13"/>
  <c r="C368" i="13"/>
  <c r="B368" i="13"/>
  <c r="A368" i="13"/>
  <c r="I367" i="13"/>
  <c r="H367" i="13"/>
  <c r="G367" i="13"/>
  <c r="F367" i="13"/>
  <c r="E367" i="13"/>
  <c r="D367" i="13"/>
  <c r="C367" i="13"/>
  <c r="B367" i="13"/>
  <c r="A367" i="13"/>
  <c r="I366" i="13"/>
  <c r="A22" i="16" s="1"/>
  <c r="B22" i="16" s="1"/>
  <c r="H366" i="13"/>
  <c r="G366" i="13"/>
  <c r="F366" i="13"/>
  <c r="D22" i="16" s="1"/>
  <c r="Q2" i="42" s="1"/>
  <c r="E366" i="13"/>
  <c r="D366" i="13"/>
  <c r="C366" i="13"/>
  <c r="B366" i="13"/>
  <c r="A366" i="13"/>
  <c r="I365" i="13"/>
  <c r="H365" i="13"/>
  <c r="G365" i="13"/>
  <c r="F365" i="13"/>
  <c r="E365" i="13"/>
  <c r="D365" i="13"/>
  <c r="C365" i="13"/>
  <c r="B365" i="13"/>
  <c r="A365" i="13"/>
  <c r="I364" i="13"/>
  <c r="H364" i="13"/>
  <c r="G364" i="13"/>
  <c r="F364" i="13"/>
  <c r="E364" i="13"/>
  <c r="D364" i="13"/>
  <c r="C364" i="13"/>
  <c r="B364" i="13"/>
  <c r="A364" i="13"/>
  <c r="I363" i="13"/>
  <c r="H363" i="13"/>
  <c r="G363" i="13"/>
  <c r="F363" i="13"/>
  <c r="E363" i="13"/>
  <c r="D363" i="13"/>
  <c r="C363" i="13"/>
  <c r="B363" i="13"/>
  <c r="A363" i="13"/>
  <c r="I362" i="13"/>
  <c r="H362" i="13"/>
  <c r="G362" i="13"/>
  <c r="F362" i="13"/>
  <c r="E362" i="13"/>
  <c r="D362" i="13"/>
  <c r="C362" i="13"/>
  <c r="B362" i="13"/>
  <c r="A362" i="13"/>
  <c r="I361" i="13"/>
  <c r="H361" i="13"/>
  <c r="G361" i="13"/>
  <c r="F361" i="13"/>
  <c r="E361" i="13"/>
  <c r="D361" i="13"/>
  <c r="C361" i="13"/>
  <c r="B361" i="13"/>
  <c r="A361" i="13"/>
  <c r="I360" i="13"/>
  <c r="H360" i="13"/>
  <c r="G360" i="13"/>
  <c r="F360" i="13"/>
  <c r="E360" i="13"/>
  <c r="D360" i="13"/>
  <c r="C360" i="13"/>
  <c r="B360" i="13"/>
  <c r="A360" i="13"/>
  <c r="I359" i="13"/>
  <c r="H359" i="13"/>
  <c r="G359" i="13"/>
  <c r="F359" i="13"/>
  <c r="E359" i="13"/>
  <c r="D359" i="13"/>
  <c r="C359" i="13"/>
  <c r="B359" i="13"/>
  <c r="A359" i="13"/>
  <c r="I358" i="13"/>
  <c r="H358" i="13"/>
  <c r="G358" i="13"/>
  <c r="F358" i="13"/>
  <c r="E358" i="13"/>
  <c r="D358" i="13"/>
  <c r="C358" i="13"/>
  <c r="B358" i="13"/>
  <c r="A358" i="13"/>
  <c r="I357" i="13"/>
  <c r="H357" i="13"/>
  <c r="G357" i="13"/>
  <c r="F357" i="13"/>
  <c r="E357" i="13"/>
  <c r="D357" i="13"/>
  <c r="E21" i="16" s="1"/>
  <c r="Q3" i="41" s="1"/>
  <c r="C357" i="13"/>
  <c r="B357" i="13"/>
  <c r="A357" i="13"/>
  <c r="I356" i="13"/>
  <c r="H356" i="13"/>
  <c r="G356" i="13"/>
  <c r="F356" i="13"/>
  <c r="E356" i="13"/>
  <c r="D356" i="13"/>
  <c r="C356" i="13"/>
  <c r="B356" i="13"/>
  <c r="A356" i="13"/>
  <c r="I355" i="13"/>
  <c r="H355" i="13"/>
  <c r="G355" i="13"/>
  <c r="F355" i="13"/>
  <c r="E355" i="13"/>
  <c r="D355" i="13"/>
  <c r="C355" i="13"/>
  <c r="B355" i="13"/>
  <c r="A355" i="13"/>
  <c r="I354" i="13"/>
  <c r="H354" i="13"/>
  <c r="G354" i="13"/>
  <c r="F354" i="13"/>
  <c r="E354" i="13"/>
  <c r="D354" i="13"/>
  <c r="C354" i="13"/>
  <c r="B354" i="13"/>
  <c r="A354" i="13"/>
  <c r="I353" i="13"/>
  <c r="H353" i="13"/>
  <c r="G353" i="13"/>
  <c r="F353" i="13"/>
  <c r="E353" i="13"/>
  <c r="D353" i="13"/>
  <c r="C353" i="13"/>
  <c r="B353" i="13"/>
  <c r="A353" i="13"/>
  <c r="I352" i="13"/>
  <c r="H352" i="13"/>
  <c r="G352" i="13"/>
  <c r="F352" i="13"/>
  <c r="E352" i="13"/>
  <c r="D352" i="13"/>
  <c r="C352" i="13"/>
  <c r="B352" i="13"/>
  <c r="A352" i="13"/>
  <c r="I351" i="13"/>
  <c r="H351" i="13"/>
  <c r="G351" i="13"/>
  <c r="F351" i="13"/>
  <c r="E351" i="13"/>
  <c r="D351" i="13"/>
  <c r="C351" i="13"/>
  <c r="B351" i="13"/>
  <c r="A351" i="13"/>
  <c r="I350" i="13"/>
  <c r="H350" i="13"/>
  <c r="G350" i="13"/>
  <c r="F350" i="13"/>
  <c r="E350" i="13"/>
  <c r="D350" i="13"/>
  <c r="C350" i="13"/>
  <c r="B350" i="13"/>
  <c r="A350" i="13"/>
  <c r="I349" i="13"/>
  <c r="H349" i="13"/>
  <c r="G349" i="13"/>
  <c r="F349" i="13"/>
  <c r="E349" i="13"/>
  <c r="D349" i="13"/>
  <c r="C349" i="13"/>
  <c r="B349" i="13"/>
  <c r="A349" i="13"/>
  <c r="I348" i="13"/>
  <c r="A21" i="16" s="1"/>
  <c r="B21" i="16" s="1"/>
  <c r="H348" i="13"/>
  <c r="G348" i="13"/>
  <c r="F348" i="13"/>
  <c r="D21" i="16" s="1"/>
  <c r="Q2" i="41" s="1"/>
  <c r="E348" i="13"/>
  <c r="D348" i="13"/>
  <c r="C348" i="13"/>
  <c r="B348" i="13"/>
  <c r="A348" i="13"/>
  <c r="I347" i="13"/>
  <c r="H347" i="13"/>
  <c r="G347" i="13"/>
  <c r="F347" i="13"/>
  <c r="E347" i="13"/>
  <c r="D347" i="13"/>
  <c r="C347" i="13"/>
  <c r="B347" i="13"/>
  <c r="A347" i="13"/>
  <c r="I346" i="13"/>
  <c r="H346" i="13"/>
  <c r="G346" i="13"/>
  <c r="F346" i="13"/>
  <c r="E346" i="13"/>
  <c r="D346" i="13"/>
  <c r="C346" i="13"/>
  <c r="B346" i="13"/>
  <c r="A346" i="13"/>
  <c r="I345" i="13"/>
  <c r="H345" i="13"/>
  <c r="G345" i="13"/>
  <c r="F345" i="13"/>
  <c r="E345" i="13"/>
  <c r="D345" i="13"/>
  <c r="C345" i="13"/>
  <c r="B345" i="13"/>
  <c r="A345" i="13"/>
  <c r="I344" i="13"/>
  <c r="H344" i="13"/>
  <c r="G344" i="13"/>
  <c r="F344" i="13"/>
  <c r="E344" i="13"/>
  <c r="D344" i="13"/>
  <c r="C344" i="13"/>
  <c r="B344" i="13"/>
  <c r="A344" i="13"/>
  <c r="I343" i="13"/>
  <c r="H343" i="13"/>
  <c r="G343" i="13"/>
  <c r="F343" i="13"/>
  <c r="E343" i="13"/>
  <c r="D343" i="13"/>
  <c r="C343" i="13"/>
  <c r="B343" i="13"/>
  <c r="A343" i="13"/>
  <c r="I342" i="13"/>
  <c r="H342" i="13"/>
  <c r="G342" i="13"/>
  <c r="F342" i="13"/>
  <c r="E342" i="13"/>
  <c r="D342" i="13"/>
  <c r="C342" i="13"/>
  <c r="B342" i="13"/>
  <c r="A342" i="13"/>
  <c r="I341" i="13"/>
  <c r="H341" i="13"/>
  <c r="G341" i="13"/>
  <c r="F341" i="13"/>
  <c r="E341" i="13"/>
  <c r="D341" i="13"/>
  <c r="C341" i="13"/>
  <c r="B341" i="13"/>
  <c r="A341" i="13"/>
  <c r="I340" i="13"/>
  <c r="H340" i="13"/>
  <c r="G340" i="13"/>
  <c r="F340" i="13"/>
  <c r="E340" i="13"/>
  <c r="E20" i="16" s="1"/>
  <c r="S3" i="40" s="1"/>
  <c r="D340" i="13"/>
  <c r="C340" i="13"/>
  <c r="B340" i="13"/>
  <c r="A340" i="13"/>
  <c r="I339" i="13"/>
  <c r="H339" i="13"/>
  <c r="G339" i="13"/>
  <c r="F339" i="13"/>
  <c r="E339" i="13"/>
  <c r="D339" i="13"/>
  <c r="C339" i="13"/>
  <c r="B339" i="13"/>
  <c r="A339" i="13"/>
  <c r="I338" i="13"/>
  <c r="H338" i="13"/>
  <c r="G338" i="13"/>
  <c r="F338" i="13"/>
  <c r="E338" i="13"/>
  <c r="D338" i="13"/>
  <c r="C338" i="13"/>
  <c r="B338" i="13"/>
  <c r="A338" i="13"/>
  <c r="I337" i="13"/>
  <c r="H337" i="13"/>
  <c r="G337" i="13"/>
  <c r="F337" i="13"/>
  <c r="E337" i="13"/>
  <c r="D337" i="13"/>
  <c r="C337" i="13"/>
  <c r="B337" i="13"/>
  <c r="A337" i="13"/>
  <c r="I336" i="13"/>
  <c r="H336" i="13"/>
  <c r="G336" i="13"/>
  <c r="F336" i="13"/>
  <c r="E336" i="13"/>
  <c r="D336" i="13"/>
  <c r="C336" i="13"/>
  <c r="B336" i="13"/>
  <c r="A336" i="13"/>
  <c r="I335" i="13"/>
  <c r="H335" i="13"/>
  <c r="G335" i="13"/>
  <c r="F335" i="13"/>
  <c r="E335" i="13"/>
  <c r="D335" i="13"/>
  <c r="C335" i="13"/>
  <c r="B335" i="13"/>
  <c r="A335" i="13"/>
  <c r="I334" i="13"/>
  <c r="H334" i="13"/>
  <c r="G334" i="13"/>
  <c r="F334" i="13"/>
  <c r="E334" i="13"/>
  <c r="D334" i="13"/>
  <c r="C334" i="13"/>
  <c r="B334" i="13"/>
  <c r="A334" i="13"/>
  <c r="I333" i="13"/>
  <c r="H333" i="13"/>
  <c r="G333" i="13"/>
  <c r="F333" i="13"/>
  <c r="E333" i="13"/>
  <c r="D333" i="13"/>
  <c r="C333" i="13"/>
  <c r="B333" i="13"/>
  <c r="A333" i="13"/>
  <c r="I332" i="13"/>
  <c r="H332" i="13"/>
  <c r="G332" i="13"/>
  <c r="F332" i="13"/>
  <c r="E332" i="13"/>
  <c r="D332" i="13"/>
  <c r="C332" i="13"/>
  <c r="B332" i="13"/>
  <c r="A332" i="13"/>
  <c r="I331" i="13"/>
  <c r="H331" i="13"/>
  <c r="G331" i="13"/>
  <c r="F331" i="13"/>
  <c r="E331" i="13"/>
  <c r="D331" i="13"/>
  <c r="C331" i="13"/>
  <c r="B331" i="13"/>
  <c r="A331" i="13"/>
  <c r="I330" i="13"/>
  <c r="A20" i="16" s="1"/>
  <c r="B20" i="16" s="1"/>
  <c r="H330" i="13"/>
  <c r="G330" i="13"/>
  <c r="F330" i="13"/>
  <c r="D20" i="16" s="1"/>
  <c r="S2" i="40" s="1"/>
  <c r="E330" i="13"/>
  <c r="D330" i="13"/>
  <c r="C330" i="13"/>
  <c r="B330" i="13"/>
  <c r="A330" i="13"/>
  <c r="I329" i="13"/>
  <c r="H329" i="13"/>
  <c r="G329" i="13"/>
  <c r="F329" i="13"/>
  <c r="E329" i="13"/>
  <c r="D329" i="13"/>
  <c r="C329" i="13"/>
  <c r="B329" i="13"/>
  <c r="A329" i="13"/>
  <c r="I328" i="13"/>
  <c r="H328" i="13"/>
  <c r="G328" i="13"/>
  <c r="F328" i="13"/>
  <c r="E328" i="13"/>
  <c r="D328" i="13"/>
  <c r="C328" i="13"/>
  <c r="B328" i="13"/>
  <c r="A328" i="13"/>
  <c r="I327" i="13"/>
  <c r="H327" i="13"/>
  <c r="G327" i="13"/>
  <c r="F327" i="13"/>
  <c r="E327" i="13"/>
  <c r="D327" i="13"/>
  <c r="C327" i="13"/>
  <c r="B327" i="13"/>
  <c r="A327" i="13"/>
  <c r="I326" i="13"/>
  <c r="H326" i="13"/>
  <c r="G326" i="13"/>
  <c r="F326" i="13"/>
  <c r="E326" i="13"/>
  <c r="D326" i="13"/>
  <c r="C326" i="13"/>
  <c r="B326" i="13"/>
  <c r="A326" i="13"/>
  <c r="I325" i="13"/>
  <c r="H325" i="13"/>
  <c r="G325" i="13"/>
  <c r="F325" i="13"/>
  <c r="E325" i="13"/>
  <c r="D325" i="13"/>
  <c r="C325" i="13"/>
  <c r="B325" i="13"/>
  <c r="A325" i="13"/>
  <c r="I324" i="13"/>
  <c r="H324" i="13"/>
  <c r="G324" i="13"/>
  <c r="F324" i="13"/>
  <c r="E324" i="13"/>
  <c r="D324" i="13"/>
  <c r="E19" i="16" s="1"/>
  <c r="Q3" i="39" s="1"/>
  <c r="C324" i="13"/>
  <c r="B324" i="13"/>
  <c r="A324" i="13"/>
  <c r="I323" i="13"/>
  <c r="H323" i="13"/>
  <c r="G323" i="13"/>
  <c r="F323" i="13"/>
  <c r="E323" i="13"/>
  <c r="D323" i="13"/>
  <c r="C323" i="13"/>
  <c r="B323" i="13"/>
  <c r="A323" i="13"/>
  <c r="I322" i="13"/>
  <c r="H322" i="13"/>
  <c r="G322" i="13"/>
  <c r="F322" i="13"/>
  <c r="E322" i="13"/>
  <c r="D322" i="13"/>
  <c r="C322" i="13"/>
  <c r="B322" i="13"/>
  <c r="A322" i="13"/>
  <c r="I321" i="13"/>
  <c r="H321" i="13"/>
  <c r="G321" i="13"/>
  <c r="F321" i="13"/>
  <c r="E321" i="13"/>
  <c r="D321" i="13"/>
  <c r="C321" i="13"/>
  <c r="B321" i="13"/>
  <c r="A321" i="13"/>
  <c r="I320" i="13"/>
  <c r="H320" i="13"/>
  <c r="G320" i="13"/>
  <c r="F320" i="13"/>
  <c r="E320" i="13"/>
  <c r="D320" i="13"/>
  <c r="C320" i="13"/>
  <c r="B320" i="13"/>
  <c r="A320" i="13"/>
  <c r="I319" i="13"/>
  <c r="H319" i="13"/>
  <c r="G319" i="13"/>
  <c r="F319" i="13"/>
  <c r="E319" i="13"/>
  <c r="D319" i="13"/>
  <c r="C319" i="13"/>
  <c r="B319" i="13"/>
  <c r="A319" i="13"/>
  <c r="I318" i="13"/>
  <c r="H318" i="13"/>
  <c r="G318" i="13"/>
  <c r="F318" i="13"/>
  <c r="E318" i="13"/>
  <c r="D318" i="13"/>
  <c r="C318" i="13"/>
  <c r="B318" i="13"/>
  <c r="A318" i="13"/>
  <c r="I317" i="13"/>
  <c r="H317" i="13"/>
  <c r="G317" i="13"/>
  <c r="F317" i="13"/>
  <c r="E317" i="13"/>
  <c r="D317" i="13"/>
  <c r="C317" i="13"/>
  <c r="B317" i="13"/>
  <c r="A317" i="13"/>
  <c r="I316" i="13"/>
  <c r="A19" i="16" s="1"/>
  <c r="B19" i="16" s="1"/>
  <c r="H316" i="13"/>
  <c r="G316" i="13"/>
  <c r="F316" i="13"/>
  <c r="D19" i="16" s="1"/>
  <c r="Q2" i="39" s="1"/>
  <c r="E316" i="13"/>
  <c r="D316" i="13"/>
  <c r="C316" i="13"/>
  <c r="B316" i="13"/>
  <c r="A316" i="13"/>
  <c r="I315" i="13"/>
  <c r="H315" i="13"/>
  <c r="G315" i="13"/>
  <c r="F315" i="13"/>
  <c r="E315" i="13"/>
  <c r="D315" i="13"/>
  <c r="C315" i="13"/>
  <c r="B315" i="13"/>
  <c r="A315" i="13"/>
  <c r="I314" i="13"/>
  <c r="H314" i="13"/>
  <c r="G314" i="13"/>
  <c r="F314" i="13"/>
  <c r="E314" i="13"/>
  <c r="D314" i="13"/>
  <c r="C314" i="13"/>
  <c r="B314" i="13"/>
  <c r="A314" i="13"/>
  <c r="I313" i="13"/>
  <c r="H313" i="13"/>
  <c r="G313" i="13"/>
  <c r="F313" i="13"/>
  <c r="E313" i="13"/>
  <c r="D313" i="13"/>
  <c r="C313" i="13"/>
  <c r="B313" i="13"/>
  <c r="A313" i="13"/>
  <c r="I312" i="13"/>
  <c r="H312" i="13"/>
  <c r="G312" i="13"/>
  <c r="F312" i="13"/>
  <c r="E312" i="13"/>
  <c r="D312" i="13"/>
  <c r="C312" i="13"/>
  <c r="B312" i="13"/>
  <c r="A312" i="13"/>
  <c r="I311" i="13"/>
  <c r="H311" i="13"/>
  <c r="G311" i="13"/>
  <c r="F311" i="13"/>
  <c r="E311" i="13"/>
  <c r="D311" i="13"/>
  <c r="C311" i="13"/>
  <c r="B311" i="13"/>
  <c r="A311" i="13"/>
  <c r="I309" i="13"/>
  <c r="H309" i="13"/>
  <c r="G309" i="13"/>
  <c r="F309" i="13"/>
  <c r="E309" i="13"/>
  <c r="D309" i="13"/>
  <c r="C309" i="13"/>
  <c r="B309" i="13"/>
  <c r="A309" i="13"/>
  <c r="I308" i="13"/>
  <c r="H308" i="13"/>
  <c r="G308" i="13"/>
  <c r="F308" i="13"/>
  <c r="E308" i="13"/>
  <c r="D308" i="13"/>
  <c r="C308" i="13"/>
  <c r="B308" i="13"/>
  <c r="A308" i="13"/>
  <c r="I307" i="13"/>
  <c r="H307" i="13"/>
  <c r="G307" i="13"/>
  <c r="F307" i="13"/>
  <c r="E307" i="13"/>
  <c r="D307" i="13"/>
  <c r="C307" i="13"/>
  <c r="B307" i="13"/>
  <c r="A307" i="13"/>
  <c r="I306" i="13"/>
  <c r="H306" i="13"/>
  <c r="G306" i="13"/>
  <c r="F306" i="13"/>
  <c r="E306" i="13"/>
  <c r="D306" i="13"/>
  <c r="C306" i="13"/>
  <c r="B306" i="13"/>
  <c r="A306" i="13"/>
  <c r="I305" i="13"/>
  <c r="H305" i="13"/>
  <c r="G305" i="13"/>
  <c r="F305" i="13"/>
  <c r="E305" i="13"/>
  <c r="D305" i="13"/>
  <c r="C305" i="13"/>
  <c r="B305" i="13"/>
  <c r="A305" i="13"/>
  <c r="I304" i="13"/>
  <c r="H304" i="13"/>
  <c r="G304" i="13"/>
  <c r="F304" i="13"/>
  <c r="E304" i="13"/>
  <c r="D304" i="13"/>
  <c r="C304" i="13"/>
  <c r="B304" i="13"/>
  <c r="A304" i="13"/>
  <c r="I303" i="13"/>
  <c r="H303" i="13"/>
  <c r="G303" i="13"/>
  <c r="F303" i="13"/>
  <c r="E303" i="13"/>
  <c r="D303" i="13"/>
  <c r="C303" i="13"/>
  <c r="B303" i="13"/>
  <c r="A303" i="13"/>
  <c r="I302" i="13"/>
  <c r="H302" i="13"/>
  <c r="G302" i="13"/>
  <c r="F302" i="13"/>
  <c r="E302" i="13"/>
  <c r="D302" i="13"/>
  <c r="C302" i="13"/>
  <c r="B302" i="13"/>
  <c r="A302" i="13"/>
  <c r="I301" i="13"/>
  <c r="H301" i="13"/>
  <c r="G301" i="13"/>
  <c r="F301" i="13"/>
  <c r="E301" i="13"/>
  <c r="D301" i="13"/>
  <c r="C301" i="13"/>
  <c r="B301" i="13"/>
  <c r="A301" i="13"/>
  <c r="I300" i="13"/>
  <c r="A18" i="16" s="1"/>
  <c r="B18" i="16" s="1"/>
  <c r="H300" i="13"/>
  <c r="G300" i="13"/>
  <c r="F300" i="13"/>
  <c r="E300" i="13"/>
  <c r="D300" i="13"/>
  <c r="C300" i="13"/>
  <c r="B300" i="13"/>
  <c r="A300" i="13"/>
  <c r="I298" i="13"/>
  <c r="H298" i="13"/>
  <c r="G298" i="13"/>
  <c r="F298" i="13"/>
  <c r="E298" i="13"/>
  <c r="D298" i="13"/>
  <c r="C298" i="13"/>
  <c r="B298" i="13"/>
  <c r="A298" i="13"/>
  <c r="I297" i="13"/>
  <c r="H297" i="13"/>
  <c r="G297" i="13"/>
  <c r="F297" i="13"/>
  <c r="E297" i="13"/>
  <c r="D297" i="13"/>
  <c r="C297" i="13"/>
  <c r="B297" i="13"/>
  <c r="A297" i="13"/>
  <c r="I296" i="13"/>
  <c r="H296" i="13"/>
  <c r="G296" i="13"/>
  <c r="F296" i="13"/>
  <c r="E296" i="13"/>
  <c r="D296" i="13"/>
  <c r="C296" i="13"/>
  <c r="B296" i="13"/>
  <c r="A296" i="13"/>
  <c r="I295" i="13"/>
  <c r="H295" i="13"/>
  <c r="G295" i="13"/>
  <c r="F295" i="13"/>
  <c r="E295" i="13"/>
  <c r="D295" i="13"/>
  <c r="C295" i="13"/>
  <c r="B295" i="13"/>
  <c r="A295" i="13"/>
  <c r="I294" i="13"/>
  <c r="H294" i="13"/>
  <c r="G294" i="13"/>
  <c r="F294" i="13"/>
  <c r="E294" i="13"/>
  <c r="D294" i="13"/>
  <c r="C294" i="13"/>
  <c r="B294" i="13"/>
  <c r="A294" i="13"/>
  <c r="I293" i="13"/>
  <c r="H293" i="13"/>
  <c r="G293" i="13"/>
  <c r="F293" i="13"/>
  <c r="E293" i="13"/>
  <c r="D293" i="13"/>
  <c r="C293" i="13"/>
  <c r="B293" i="13"/>
  <c r="A293" i="13"/>
  <c r="I292" i="13"/>
  <c r="H292" i="13"/>
  <c r="G292" i="13"/>
  <c r="F292" i="13"/>
  <c r="E292" i="13"/>
  <c r="D292" i="13"/>
  <c r="C292" i="13"/>
  <c r="B292" i="13"/>
  <c r="A292" i="13"/>
  <c r="I291" i="13"/>
  <c r="H291" i="13"/>
  <c r="G291" i="13"/>
  <c r="F291" i="13"/>
  <c r="E291" i="13"/>
  <c r="D291" i="13"/>
  <c r="C291" i="13"/>
  <c r="B291" i="13"/>
  <c r="A291" i="13"/>
  <c r="I290" i="13"/>
  <c r="H290" i="13"/>
  <c r="G290" i="13"/>
  <c r="F290" i="13"/>
  <c r="E290" i="13"/>
  <c r="D290" i="13"/>
  <c r="C290" i="13"/>
  <c r="B290" i="13"/>
  <c r="A290" i="13"/>
  <c r="I289" i="13"/>
  <c r="H289" i="13"/>
  <c r="G289" i="13"/>
  <c r="F289" i="13"/>
  <c r="E289" i="13"/>
  <c r="D289" i="13"/>
  <c r="C289" i="13"/>
  <c r="B289" i="13"/>
  <c r="A289" i="13"/>
  <c r="I288" i="13"/>
  <c r="H288" i="13"/>
  <c r="G288" i="13"/>
  <c r="F288" i="13"/>
  <c r="E288" i="13"/>
  <c r="D288" i="13"/>
  <c r="C288" i="13"/>
  <c r="B288" i="13"/>
  <c r="A288" i="13"/>
  <c r="I287" i="13"/>
  <c r="H287" i="13"/>
  <c r="G287" i="13"/>
  <c r="F287" i="13"/>
  <c r="E287" i="13"/>
  <c r="D287" i="13"/>
  <c r="C287" i="13"/>
  <c r="B287" i="13"/>
  <c r="A287" i="13"/>
  <c r="I286" i="13"/>
  <c r="H286" i="13"/>
  <c r="G286" i="13"/>
  <c r="F286" i="13"/>
  <c r="E286" i="13"/>
  <c r="D286" i="13"/>
  <c r="C286" i="13"/>
  <c r="B286" i="13"/>
  <c r="A286" i="13"/>
  <c r="I285" i="13"/>
  <c r="H285" i="13"/>
  <c r="G285" i="13"/>
  <c r="F285" i="13"/>
  <c r="E285" i="13"/>
  <c r="D285" i="13"/>
  <c r="C285" i="13"/>
  <c r="B285" i="13"/>
  <c r="A285" i="13"/>
  <c r="I284" i="13"/>
  <c r="H284" i="13"/>
  <c r="G284" i="13"/>
  <c r="F284" i="13"/>
  <c r="E284" i="13"/>
  <c r="D284" i="13"/>
  <c r="C284" i="13"/>
  <c r="B284" i="13"/>
  <c r="A284" i="13"/>
  <c r="I283" i="13"/>
  <c r="H283" i="13"/>
  <c r="G283" i="13"/>
  <c r="F283" i="13"/>
  <c r="E283" i="13"/>
  <c r="D283" i="13"/>
  <c r="C283" i="13"/>
  <c r="B283" i="13"/>
  <c r="A283" i="13"/>
  <c r="I282" i="13"/>
  <c r="H282" i="13"/>
  <c r="G282" i="13"/>
  <c r="F282" i="13"/>
  <c r="E282" i="13"/>
  <c r="D282" i="13"/>
  <c r="C282" i="13"/>
  <c r="B282" i="13"/>
  <c r="A282" i="13"/>
  <c r="I281" i="13"/>
  <c r="H281" i="13"/>
  <c r="G281" i="13"/>
  <c r="F281" i="13"/>
  <c r="E281" i="13"/>
  <c r="D281" i="13"/>
  <c r="E17" i="16" s="1"/>
  <c r="S3" i="37" s="1"/>
  <c r="C281" i="13"/>
  <c r="B281" i="13"/>
  <c r="A281" i="13"/>
  <c r="I280" i="13"/>
  <c r="H280" i="13"/>
  <c r="G280" i="13"/>
  <c r="F280" i="13"/>
  <c r="E280" i="13"/>
  <c r="D280" i="13"/>
  <c r="C280" i="13"/>
  <c r="B280" i="13"/>
  <c r="A280" i="13"/>
  <c r="I279" i="13"/>
  <c r="H279" i="13"/>
  <c r="G279" i="13"/>
  <c r="F279" i="13"/>
  <c r="E279" i="13"/>
  <c r="D279" i="13"/>
  <c r="C279" i="13"/>
  <c r="B279" i="13"/>
  <c r="A279" i="13"/>
  <c r="I278" i="13"/>
  <c r="H278" i="13"/>
  <c r="G278" i="13"/>
  <c r="F278" i="13"/>
  <c r="E278" i="13"/>
  <c r="D278" i="13"/>
  <c r="C278" i="13"/>
  <c r="B278" i="13"/>
  <c r="A278" i="13"/>
  <c r="I277" i="13"/>
  <c r="H277" i="13"/>
  <c r="G277" i="13"/>
  <c r="F277" i="13"/>
  <c r="E277" i="13"/>
  <c r="D277" i="13"/>
  <c r="C277" i="13"/>
  <c r="B277" i="13"/>
  <c r="A277" i="13"/>
  <c r="I276" i="13"/>
  <c r="H276" i="13"/>
  <c r="G276" i="13"/>
  <c r="F276" i="13"/>
  <c r="E276" i="13"/>
  <c r="D276" i="13"/>
  <c r="C276" i="13"/>
  <c r="B276" i="13"/>
  <c r="A276" i="13"/>
  <c r="I275" i="13"/>
  <c r="H275" i="13"/>
  <c r="G275" i="13"/>
  <c r="F275" i="13"/>
  <c r="E275" i="13"/>
  <c r="D275" i="13"/>
  <c r="C275" i="13"/>
  <c r="B275" i="13"/>
  <c r="A275" i="13"/>
  <c r="I274" i="13"/>
  <c r="H274" i="13"/>
  <c r="G274" i="13"/>
  <c r="F274" i="13"/>
  <c r="E274" i="13"/>
  <c r="D274" i="13"/>
  <c r="C274" i="13"/>
  <c r="B274" i="13"/>
  <c r="A274" i="13"/>
  <c r="I273" i="13"/>
  <c r="H273" i="13"/>
  <c r="G273" i="13"/>
  <c r="F273" i="13"/>
  <c r="E273" i="13"/>
  <c r="D273" i="13"/>
  <c r="C273" i="13"/>
  <c r="B273" i="13"/>
  <c r="A273" i="13"/>
  <c r="I272" i="13"/>
  <c r="H272" i="13"/>
  <c r="G272" i="13"/>
  <c r="F272" i="13"/>
  <c r="E272" i="13"/>
  <c r="D272" i="13"/>
  <c r="C272" i="13"/>
  <c r="B272" i="13"/>
  <c r="A272" i="13"/>
  <c r="I271" i="13"/>
  <c r="A17" i="16" s="1"/>
  <c r="B17" i="16" s="1"/>
  <c r="H271" i="13"/>
  <c r="G271" i="13"/>
  <c r="F271" i="13"/>
  <c r="D17" i="16" s="1"/>
  <c r="S2" i="37" s="1"/>
  <c r="E271" i="13"/>
  <c r="D271" i="13"/>
  <c r="C271" i="13"/>
  <c r="B271" i="13"/>
  <c r="A271" i="13"/>
  <c r="I270" i="13"/>
  <c r="H270" i="13"/>
  <c r="G270" i="13"/>
  <c r="F270" i="13"/>
  <c r="E270" i="13"/>
  <c r="D270" i="13"/>
  <c r="C270" i="13"/>
  <c r="B270" i="13"/>
  <c r="A270" i="13"/>
  <c r="I269" i="13"/>
  <c r="H269" i="13"/>
  <c r="G269" i="13"/>
  <c r="F269" i="13"/>
  <c r="E269" i="13"/>
  <c r="D269" i="13"/>
  <c r="C269" i="13"/>
  <c r="B269" i="13"/>
  <c r="A269" i="13"/>
  <c r="I268" i="13"/>
  <c r="H268" i="13"/>
  <c r="G268" i="13"/>
  <c r="F268" i="13"/>
  <c r="E268" i="13"/>
  <c r="D268" i="13"/>
  <c r="C268" i="13"/>
  <c r="B268" i="13"/>
  <c r="A268" i="13"/>
  <c r="I267" i="13"/>
  <c r="H267" i="13"/>
  <c r="G267" i="13"/>
  <c r="F267" i="13"/>
  <c r="E267" i="13"/>
  <c r="D267" i="13"/>
  <c r="C267" i="13"/>
  <c r="B267" i="13"/>
  <c r="A267" i="13"/>
  <c r="I266" i="13"/>
  <c r="H266" i="13"/>
  <c r="G266" i="13"/>
  <c r="F266" i="13"/>
  <c r="E266" i="13"/>
  <c r="D266" i="13"/>
  <c r="C266" i="13"/>
  <c r="B266" i="13"/>
  <c r="A266" i="13"/>
  <c r="I265" i="13"/>
  <c r="H265" i="13"/>
  <c r="G265" i="13"/>
  <c r="F265" i="13"/>
  <c r="E265" i="13"/>
  <c r="D265" i="13"/>
  <c r="E16" i="16" s="1"/>
  <c r="Q3" i="36" s="1"/>
  <c r="C265" i="13"/>
  <c r="B265" i="13"/>
  <c r="A265" i="13"/>
  <c r="I264" i="13"/>
  <c r="H264" i="13"/>
  <c r="G264" i="13"/>
  <c r="F264" i="13"/>
  <c r="E264" i="13"/>
  <c r="D264" i="13"/>
  <c r="C264" i="13"/>
  <c r="B264" i="13"/>
  <c r="A264" i="13"/>
  <c r="I263" i="13"/>
  <c r="H263" i="13"/>
  <c r="G263" i="13"/>
  <c r="F263" i="13"/>
  <c r="E263" i="13"/>
  <c r="D263" i="13"/>
  <c r="C263" i="13"/>
  <c r="B263" i="13"/>
  <c r="A263" i="13"/>
  <c r="I262" i="13"/>
  <c r="H262" i="13"/>
  <c r="G262" i="13"/>
  <c r="F262" i="13"/>
  <c r="E262" i="13"/>
  <c r="D262" i="13"/>
  <c r="C262" i="13"/>
  <c r="B262" i="13"/>
  <c r="A262" i="13"/>
  <c r="I261" i="13"/>
  <c r="H261" i="13"/>
  <c r="G261" i="13"/>
  <c r="F261" i="13"/>
  <c r="E261" i="13"/>
  <c r="D261" i="13"/>
  <c r="C261" i="13"/>
  <c r="B261" i="13"/>
  <c r="A261" i="13"/>
  <c r="I260" i="13"/>
  <c r="H260" i="13"/>
  <c r="G260" i="13"/>
  <c r="F260" i="13"/>
  <c r="E260" i="13"/>
  <c r="D260" i="13"/>
  <c r="C260" i="13"/>
  <c r="B260" i="13"/>
  <c r="A260" i="13"/>
  <c r="I259" i="13"/>
  <c r="H259" i="13"/>
  <c r="G259" i="13"/>
  <c r="F259" i="13"/>
  <c r="E259" i="13"/>
  <c r="D259" i="13"/>
  <c r="C259" i="13"/>
  <c r="B259" i="13"/>
  <c r="A259" i="13"/>
  <c r="I258" i="13"/>
  <c r="H258" i="13"/>
  <c r="G258" i="13"/>
  <c r="F258" i="13"/>
  <c r="E258" i="13"/>
  <c r="D258" i="13"/>
  <c r="C258" i="13"/>
  <c r="B258" i="13"/>
  <c r="A258" i="13"/>
  <c r="I257" i="13"/>
  <c r="A16" i="16" s="1"/>
  <c r="B16" i="16" s="1"/>
  <c r="H257" i="13"/>
  <c r="G257" i="13"/>
  <c r="F257" i="13"/>
  <c r="D16" i="16" s="1"/>
  <c r="Q2" i="36" s="1"/>
  <c r="E257" i="13"/>
  <c r="D257" i="13"/>
  <c r="C257" i="13"/>
  <c r="B257" i="13"/>
  <c r="A257" i="13"/>
  <c r="I256" i="13"/>
  <c r="H256" i="13"/>
  <c r="G256" i="13"/>
  <c r="F256" i="13"/>
  <c r="E256" i="13"/>
  <c r="D256" i="13"/>
  <c r="C256" i="13"/>
  <c r="B256" i="13"/>
  <c r="A256" i="13"/>
  <c r="I255" i="13"/>
  <c r="H255" i="13"/>
  <c r="G255" i="13"/>
  <c r="F255" i="13"/>
  <c r="E255" i="13"/>
  <c r="D255" i="13"/>
  <c r="C255" i="13"/>
  <c r="B255" i="13"/>
  <c r="A255" i="13"/>
  <c r="I254" i="13"/>
  <c r="H254" i="13"/>
  <c r="G254" i="13"/>
  <c r="F254" i="13"/>
  <c r="E254" i="13"/>
  <c r="D254" i="13"/>
  <c r="C254" i="13"/>
  <c r="B254" i="13"/>
  <c r="A254" i="13"/>
  <c r="I253" i="13"/>
  <c r="H253" i="13"/>
  <c r="G253" i="13"/>
  <c r="F253" i="13"/>
  <c r="E253" i="13"/>
  <c r="D253" i="13"/>
  <c r="C253" i="13"/>
  <c r="B253" i="13"/>
  <c r="A253" i="13"/>
  <c r="I252" i="13"/>
  <c r="H252" i="13"/>
  <c r="G252" i="13"/>
  <c r="F252" i="13"/>
  <c r="E252" i="13"/>
  <c r="D252" i="13"/>
  <c r="C252" i="13"/>
  <c r="B252" i="13"/>
  <c r="A252" i="13"/>
  <c r="I251" i="13"/>
  <c r="H251" i="13"/>
  <c r="G251" i="13"/>
  <c r="F251" i="13"/>
  <c r="E251" i="13"/>
  <c r="D251" i="13"/>
  <c r="C251" i="13"/>
  <c r="B251" i="13"/>
  <c r="A251" i="13"/>
  <c r="I250" i="13"/>
  <c r="H250" i="13"/>
  <c r="G250" i="13"/>
  <c r="F250" i="13"/>
  <c r="E250" i="13"/>
  <c r="D250" i="13"/>
  <c r="C250" i="13"/>
  <c r="B250" i="13"/>
  <c r="A250" i="13"/>
  <c r="I249" i="13"/>
  <c r="H249" i="13"/>
  <c r="G249" i="13"/>
  <c r="F249" i="13"/>
  <c r="E249" i="13"/>
  <c r="D249" i="13"/>
  <c r="C249" i="13"/>
  <c r="B249" i="13"/>
  <c r="A249" i="13"/>
  <c r="I248" i="13"/>
  <c r="H248" i="13"/>
  <c r="G248" i="13"/>
  <c r="F248" i="13"/>
  <c r="E248" i="13"/>
  <c r="E15" i="16" s="1"/>
  <c r="Q3" i="35" s="1"/>
  <c r="D248" i="13"/>
  <c r="C248" i="13"/>
  <c r="B248" i="13"/>
  <c r="A248" i="13"/>
  <c r="I247" i="13"/>
  <c r="H247" i="13"/>
  <c r="G247" i="13"/>
  <c r="F247" i="13"/>
  <c r="E247" i="13"/>
  <c r="D247" i="13"/>
  <c r="C247" i="13"/>
  <c r="B247" i="13"/>
  <c r="A247" i="13"/>
  <c r="I246" i="13"/>
  <c r="H246" i="13"/>
  <c r="G246" i="13"/>
  <c r="F246" i="13"/>
  <c r="E246" i="13"/>
  <c r="D246" i="13"/>
  <c r="C246" i="13"/>
  <c r="B246" i="13"/>
  <c r="A246" i="13"/>
  <c r="I245" i="13"/>
  <c r="H245" i="13"/>
  <c r="G245" i="13"/>
  <c r="F245" i="13"/>
  <c r="E245" i="13"/>
  <c r="D245" i="13"/>
  <c r="C245" i="13"/>
  <c r="B245" i="13"/>
  <c r="A245" i="13"/>
  <c r="I244" i="13"/>
  <c r="H244" i="13"/>
  <c r="G244" i="13"/>
  <c r="F244" i="13"/>
  <c r="E244" i="13"/>
  <c r="D244" i="13"/>
  <c r="C244" i="13"/>
  <c r="B244" i="13"/>
  <c r="A244" i="13"/>
  <c r="I243" i="13"/>
  <c r="H243" i="13"/>
  <c r="G243" i="13"/>
  <c r="F243" i="13"/>
  <c r="E243" i="13"/>
  <c r="D243" i="13"/>
  <c r="C243" i="13"/>
  <c r="B243" i="13"/>
  <c r="A243" i="13"/>
  <c r="I242" i="13"/>
  <c r="H242" i="13"/>
  <c r="G242" i="13"/>
  <c r="F242" i="13"/>
  <c r="E242" i="13"/>
  <c r="D242" i="13"/>
  <c r="C242" i="13"/>
  <c r="B242" i="13"/>
  <c r="A242" i="13"/>
  <c r="I241" i="13"/>
  <c r="H241" i="13"/>
  <c r="G241" i="13"/>
  <c r="F241" i="13"/>
  <c r="E241" i="13"/>
  <c r="D241" i="13"/>
  <c r="C241" i="13"/>
  <c r="B241" i="13"/>
  <c r="A241" i="13"/>
  <c r="I240" i="13"/>
  <c r="H240" i="13"/>
  <c r="G240" i="13"/>
  <c r="F240" i="13"/>
  <c r="E240" i="13"/>
  <c r="D240" i="13"/>
  <c r="C240" i="13"/>
  <c r="B240" i="13"/>
  <c r="A240" i="13"/>
  <c r="I239" i="13"/>
  <c r="H239" i="13"/>
  <c r="G239" i="13"/>
  <c r="F239" i="13"/>
  <c r="E239" i="13"/>
  <c r="D239" i="13"/>
  <c r="C239" i="13"/>
  <c r="B239" i="13"/>
  <c r="A239" i="13"/>
  <c r="I238" i="13"/>
  <c r="A15" i="16" s="1"/>
  <c r="B15" i="16" s="1"/>
  <c r="H238" i="13"/>
  <c r="G238" i="13"/>
  <c r="F238" i="13"/>
  <c r="D15" i="16" s="1"/>
  <c r="Q2" i="35" s="1"/>
  <c r="R10" i="35" s="1"/>
  <c r="E238" i="13"/>
  <c r="D238" i="13"/>
  <c r="C238" i="13"/>
  <c r="B238" i="13"/>
  <c r="A238" i="13"/>
  <c r="I237" i="13"/>
  <c r="H237" i="13"/>
  <c r="G237" i="13"/>
  <c r="F237" i="13"/>
  <c r="E237" i="13"/>
  <c r="D237" i="13"/>
  <c r="C237" i="13"/>
  <c r="B237" i="13"/>
  <c r="A237" i="13"/>
  <c r="I236" i="13"/>
  <c r="H236" i="13"/>
  <c r="G236" i="13"/>
  <c r="F236" i="13"/>
  <c r="E236" i="13"/>
  <c r="D236" i="13"/>
  <c r="C236" i="13"/>
  <c r="B236" i="13"/>
  <c r="A236" i="13"/>
  <c r="I235" i="13"/>
  <c r="H235" i="13"/>
  <c r="G235" i="13"/>
  <c r="F235" i="13"/>
  <c r="E235" i="13"/>
  <c r="D235" i="13"/>
  <c r="C235" i="13"/>
  <c r="B235" i="13"/>
  <c r="A235" i="13"/>
  <c r="I234" i="13"/>
  <c r="H234" i="13"/>
  <c r="G234" i="13"/>
  <c r="F234" i="13"/>
  <c r="E234" i="13"/>
  <c r="D234" i="13"/>
  <c r="C234" i="13"/>
  <c r="B234" i="13"/>
  <c r="A234" i="13"/>
  <c r="I233" i="13"/>
  <c r="H233" i="13"/>
  <c r="G233" i="13"/>
  <c r="F233" i="13"/>
  <c r="E233" i="13"/>
  <c r="D233" i="13"/>
  <c r="C233" i="13"/>
  <c r="B233" i="13"/>
  <c r="A233" i="13"/>
  <c r="I232" i="13"/>
  <c r="H232" i="13"/>
  <c r="G232" i="13"/>
  <c r="F232" i="13"/>
  <c r="E232" i="13"/>
  <c r="E14" i="16" s="1"/>
  <c r="S3" i="34" s="1"/>
  <c r="D232" i="13"/>
  <c r="C232" i="13"/>
  <c r="B232" i="13"/>
  <c r="A232" i="13"/>
  <c r="I231" i="13"/>
  <c r="H231" i="13"/>
  <c r="G231" i="13"/>
  <c r="F231" i="13"/>
  <c r="E231" i="13"/>
  <c r="D231" i="13"/>
  <c r="C231" i="13"/>
  <c r="B231" i="13"/>
  <c r="A231" i="13"/>
  <c r="I230" i="13"/>
  <c r="H230" i="13"/>
  <c r="G230" i="13"/>
  <c r="F230" i="13"/>
  <c r="E230" i="13"/>
  <c r="D230" i="13"/>
  <c r="C230" i="13"/>
  <c r="B230" i="13"/>
  <c r="A230" i="13"/>
  <c r="I229" i="13"/>
  <c r="H229" i="13"/>
  <c r="G229" i="13"/>
  <c r="F229" i="13"/>
  <c r="E229" i="13"/>
  <c r="D229" i="13"/>
  <c r="C229" i="13"/>
  <c r="B229" i="13"/>
  <c r="A229" i="13"/>
  <c r="I228" i="13"/>
  <c r="H228" i="13"/>
  <c r="G228" i="13"/>
  <c r="F228" i="13"/>
  <c r="E228" i="13"/>
  <c r="D228" i="13"/>
  <c r="C228" i="13"/>
  <c r="B228" i="13"/>
  <c r="A228" i="13"/>
  <c r="I227" i="13"/>
  <c r="H227" i="13"/>
  <c r="G227" i="13"/>
  <c r="F227" i="13"/>
  <c r="E227" i="13"/>
  <c r="D227" i="13"/>
  <c r="C227" i="13"/>
  <c r="B227" i="13"/>
  <c r="A227" i="13"/>
  <c r="I226" i="13"/>
  <c r="H226" i="13"/>
  <c r="G226" i="13"/>
  <c r="F226" i="13"/>
  <c r="E226" i="13"/>
  <c r="D226" i="13"/>
  <c r="C226" i="13"/>
  <c r="B226" i="13"/>
  <c r="A226" i="13"/>
  <c r="I225" i="13"/>
  <c r="H225" i="13"/>
  <c r="G225" i="13"/>
  <c r="F225" i="13"/>
  <c r="E225" i="13"/>
  <c r="D225" i="13"/>
  <c r="C225" i="13"/>
  <c r="B225" i="13"/>
  <c r="A225" i="13"/>
  <c r="I224" i="13"/>
  <c r="H224" i="13"/>
  <c r="G224" i="13"/>
  <c r="F224" i="13"/>
  <c r="E224" i="13"/>
  <c r="D224" i="13"/>
  <c r="C224" i="13"/>
  <c r="B224" i="13"/>
  <c r="A224" i="13"/>
  <c r="I223" i="13"/>
  <c r="H223" i="13"/>
  <c r="G223" i="13"/>
  <c r="F223" i="13"/>
  <c r="E223" i="13"/>
  <c r="D223" i="13"/>
  <c r="C223" i="13"/>
  <c r="B223" i="13"/>
  <c r="A223" i="13"/>
  <c r="I222" i="13"/>
  <c r="A14" i="16" s="1"/>
  <c r="B14" i="16" s="1"/>
  <c r="H222" i="13"/>
  <c r="G222" i="13"/>
  <c r="F222" i="13"/>
  <c r="D14" i="16" s="1"/>
  <c r="E222" i="13"/>
  <c r="D222" i="13"/>
  <c r="C222" i="13"/>
  <c r="B222" i="13"/>
  <c r="A222" i="13"/>
  <c r="I221" i="13"/>
  <c r="H221" i="13"/>
  <c r="G221" i="13"/>
  <c r="F221" i="13"/>
  <c r="E221" i="13"/>
  <c r="D221" i="13"/>
  <c r="C221" i="13"/>
  <c r="B221" i="13"/>
  <c r="A221" i="13"/>
  <c r="I220" i="13"/>
  <c r="H220" i="13"/>
  <c r="G220" i="13"/>
  <c r="F220" i="13"/>
  <c r="E220" i="13"/>
  <c r="D220" i="13"/>
  <c r="C220" i="13"/>
  <c r="B220" i="13"/>
  <c r="A220" i="13"/>
  <c r="I219" i="13"/>
  <c r="H219" i="13"/>
  <c r="G219" i="13"/>
  <c r="F219" i="13"/>
  <c r="E219" i="13"/>
  <c r="D219" i="13"/>
  <c r="C219" i="13"/>
  <c r="B219" i="13"/>
  <c r="A219" i="13"/>
  <c r="I218" i="13"/>
  <c r="H218" i="13"/>
  <c r="G218" i="13"/>
  <c r="F218" i="13"/>
  <c r="E218" i="13"/>
  <c r="D218" i="13"/>
  <c r="C218" i="13"/>
  <c r="B218" i="13"/>
  <c r="A218" i="13"/>
  <c r="I217" i="13"/>
  <c r="H217" i="13"/>
  <c r="G217" i="13"/>
  <c r="F217" i="13"/>
  <c r="E217" i="13"/>
  <c r="D217" i="13"/>
  <c r="C217" i="13"/>
  <c r="B217" i="13"/>
  <c r="A217" i="13"/>
  <c r="I216" i="13"/>
  <c r="H216" i="13"/>
  <c r="G216" i="13"/>
  <c r="F216" i="13"/>
  <c r="E216" i="13"/>
  <c r="D216" i="13"/>
  <c r="E13" i="16" s="1"/>
  <c r="P3" i="33" s="1"/>
  <c r="C216" i="13"/>
  <c r="B216" i="13"/>
  <c r="A216" i="13"/>
  <c r="I215" i="13"/>
  <c r="H215" i="13"/>
  <c r="G215" i="13"/>
  <c r="F215" i="13"/>
  <c r="E215" i="13"/>
  <c r="D215" i="13"/>
  <c r="C215" i="13"/>
  <c r="B215" i="13"/>
  <c r="A215" i="13"/>
  <c r="I214" i="13"/>
  <c r="H214" i="13"/>
  <c r="G214" i="13"/>
  <c r="F214" i="13"/>
  <c r="E214" i="13"/>
  <c r="D214" i="13"/>
  <c r="C214" i="13"/>
  <c r="B214" i="13"/>
  <c r="A214" i="13"/>
  <c r="I213" i="13"/>
  <c r="H213" i="13"/>
  <c r="G213" i="13"/>
  <c r="F213" i="13"/>
  <c r="E213" i="13"/>
  <c r="D213" i="13"/>
  <c r="C213" i="13"/>
  <c r="B213" i="13"/>
  <c r="A213" i="13"/>
  <c r="I212" i="13"/>
  <c r="H212" i="13"/>
  <c r="G212" i="13"/>
  <c r="F212" i="13"/>
  <c r="E212" i="13"/>
  <c r="D212" i="13"/>
  <c r="C212" i="13"/>
  <c r="B212" i="13"/>
  <c r="A212" i="13"/>
  <c r="I211" i="13"/>
  <c r="H211" i="13"/>
  <c r="G211" i="13"/>
  <c r="F211" i="13"/>
  <c r="E211" i="13"/>
  <c r="D211" i="13"/>
  <c r="C211" i="13"/>
  <c r="B211" i="13"/>
  <c r="A211" i="13"/>
  <c r="I210" i="13"/>
  <c r="H210" i="13"/>
  <c r="G210" i="13"/>
  <c r="F210" i="13"/>
  <c r="E210" i="13"/>
  <c r="D210" i="13"/>
  <c r="C210" i="13"/>
  <c r="B210" i="13"/>
  <c r="A210" i="13"/>
  <c r="I209" i="13"/>
  <c r="H209" i="13"/>
  <c r="G209" i="13"/>
  <c r="F209" i="13"/>
  <c r="E209" i="13"/>
  <c r="D209" i="13"/>
  <c r="C209" i="13"/>
  <c r="B209" i="13"/>
  <c r="A209" i="13"/>
  <c r="I208" i="13"/>
  <c r="A13" i="16" s="1"/>
  <c r="B13" i="16" s="1"/>
  <c r="H208" i="13"/>
  <c r="G208" i="13"/>
  <c r="F208" i="13"/>
  <c r="D13" i="16" s="1"/>
  <c r="P2" i="33" s="1"/>
  <c r="E208" i="13"/>
  <c r="D208" i="13"/>
  <c r="C208" i="13"/>
  <c r="B208" i="13"/>
  <c r="A208" i="13"/>
  <c r="I207" i="13"/>
  <c r="H207" i="13"/>
  <c r="G207" i="13"/>
  <c r="F207" i="13"/>
  <c r="E207" i="13"/>
  <c r="D207" i="13"/>
  <c r="C207" i="13"/>
  <c r="B207" i="13"/>
  <c r="A207" i="13"/>
  <c r="I206" i="13"/>
  <c r="H206" i="13"/>
  <c r="G206" i="13"/>
  <c r="F206" i="13"/>
  <c r="E206" i="13"/>
  <c r="D206" i="13"/>
  <c r="C206" i="13"/>
  <c r="B206" i="13"/>
  <c r="A206" i="13"/>
  <c r="I205" i="13"/>
  <c r="H205" i="13"/>
  <c r="G205" i="13"/>
  <c r="F205" i="13"/>
  <c r="E205" i="13"/>
  <c r="D205" i="13"/>
  <c r="C205" i="13"/>
  <c r="B205" i="13"/>
  <c r="A205" i="13"/>
  <c r="I204" i="13"/>
  <c r="H204" i="13"/>
  <c r="G204" i="13"/>
  <c r="F204" i="13"/>
  <c r="E204" i="13"/>
  <c r="D204" i="13"/>
  <c r="C204" i="13"/>
  <c r="B204" i="13"/>
  <c r="A204" i="13"/>
  <c r="I203" i="13"/>
  <c r="H203" i="13"/>
  <c r="G203" i="13"/>
  <c r="F203" i="13"/>
  <c r="E203" i="13"/>
  <c r="D203" i="13"/>
  <c r="C203" i="13"/>
  <c r="B203" i="13"/>
  <c r="A203" i="13"/>
  <c r="I202" i="13"/>
  <c r="H202" i="13"/>
  <c r="G202" i="13"/>
  <c r="F202" i="13"/>
  <c r="E202" i="13"/>
  <c r="D202" i="13"/>
  <c r="C202" i="13"/>
  <c r="B202" i="13"/>
  <c r="A202" i="13"/>
  <c r="I201" i="13"/>
  <c r="H201" i="13"/>
  <c r="G201" i="13"/>
  <c r="F201" i="13"/>
  <c r="E201" i="13"/>
  <c r="D201" i="13"/>
  <c r="C201" i="13"/>
  <c r="B201" i="13"/>
  <c r="A201" i="13"/>
  <c r="I200" i="13"/>
  <c r="H200" i="13"/>
  <c r="G200" i="13"/>
  <c r="F200" i="13"/>
  <c r="E200" i="13"/>
  <c r="D200" i="13"/>
  <c r="C200" i="13"/>
  <c r="B200" i="13"/>
  <c r="A200" i="13"/>
  <c r="I199" i="13"/>
  <c r="H199" i="13"/>
  <c r="G199" i="13"/>
  <c r="F199" i="13"/>
  <c r="E199" i="13"/>
  <c r="D199" i="13"/>
  <c r="C199" i="13"/>
  <c r="B199" i="13"/>
  <c r="A199" i="13"/>
  <c r="I198" i="13"/>
  <c r="H198" i="13"/>
  <c r="G198" i="13"/>
  <c r="F198" i="13"/>
  <c r="E198" i="13"/>
  <c r="D198" i="13"/>
  <c r="C198" i="13"/>
  <c r="B198" i="13"/>
  <c r="A198" i="13"/>
  <c r="I197" i="13"/>
  <c r="H197" i="13"/>
  <c r="G197" i="13"/>
  <c r="F197" i="13"/>
  <c r="E197" i="13"/>
  <c r="D197" i="13"/>
  <c r="C197" i="13"/>
  <c r="B197" i="13"/>
  <c r="A197" i="13"/>
  <c r="I196" i="13"/>
  <c r="H196" i="13"/>
  <c r="G196" i="13"/>
  <c r="F196" i="13"/>
  <c r="E196" i="13"/>
  <c r="D196" i="13"/>
  <c r="C196" i="13"/>
  <c r="B196" i="13"/>
  <c r="A196" i="13"/>
  <c r="I195" i="13"/>
  <c r="H195" i="13"/>
  <c r="G195" i="13"/>
  <c r="F195" i="13"/>
  <c r="E195" i="13"/>
  <c r="D195" i="13"/>
  <c r="C195" i="13"/>
  <c r="B195" i="13"/>
  <c r="A195" i="13"/>
  <c r="I194" i="13"/>
  <c r="H194" i="13"/>
  <c r="G194" i="13"/>
  <c r="F194" i="13"/>
  <c r="E194" i="13"/>
  <c r="D194" i="13"/>
  <c r="C194" i="13"/>
  <c r="B194" i="13"/>
  <c r="A194" i="13"/>
  <c r="I193" i="13"/>
  <c r="H193" i="13"/>
  <c r="G193" i="13"/>
  <c r="F193" i="13"/>
  <c r="E193" i="13"/>
  <c r="D193" i="13"/>
  <c r="C193" i="13"/>
  <c r="B193" i="13"/>
  <c r="A193" i="13"/>
  <c r="I192" i="13"/>
  <c r="H192" i="13"/>
  <c r="G192" i="13"/>
  <c r="F192" i="13"/>
  <c r="E192" i="13"/>
  <c r="D192" i="13"/>
  <c r="C192" i="13"/>
  <c r="B192" i="13"/>
  <c r="A192" i="13"/>
  <c r="I191" i="13"/>
  <c r="H191" i="13"/>
  <c r="G191" i="13"/>
  <c r="F191" i="13"/>
  <c r="E191" i="13"/>
  <c r="D191" i="13"/>
  <c r="C191" i="13"/>
  <c r="B191" i="13"/>
  <c r="A191" i="13"/>
  <c r="I190" i="13"/>
  <c r="H190" i="13"/>
  <c r="G190" i="13"/>
  <c r="F190" i="13"/>
  <c r="E190" i="13"/>
  <c r="D190" i="13"/>
  <c r="C190" i="13"/>
  <c r="B190" i="13"/>
  <c r="A190" i="13"/>
  <c r="I189" i="13"/>
  <c r="H189" i="13"/>
  <c r="G189" i="13"/>
  <c r="F189" i="13"/>
  <c r="E189" i="13"/>
  <c r="D189" i="13"/>
  <c r="E12" i="16" s="1"/>
  <c r="S3" i="32" s="1"/>
  <c r="C189" i="13"/>
  <c r="B189" i="13"/>
  <c r="A189" i="13"/>
  <c r="I188" i="13"/>
  <c r="H188" i="13"/>
  <c r="G188" i="13"/>
  <c r="F188" i="13"/>
  <c r="E188" i="13"/>
  <c r="D188" i="13"/>
  <c r="C188" i="13"/>
  <c r="B188" i="13"/>
  <c r="A188" i="13"/>
  <c r="I187" i="13"/>
  <c r="H187" i="13"/>
  <c r="G187" i="13"/>
  <c r="F187" i="13"/>
  <c r="E187" i="13"/>
  <c r="D187" i="13"/>
  <c r="C187" i="13"/>
  <c r="B187" i="13"/>
  <c r="A187" i="13"/>
  <c r="I186" i="13"/>
  <c r="H186" i="13"/>
  <c r="G186" i="13"/>
  <c r="F186" i="13"/>
  <c r="E186" i="13"/>
  <c r="D186" i="13"/>
  <c r="C186" i="13"/>
  <c r="B186" i="13"/>
  <c r="A186" i="13"/>
  <c r="I185" i="13"/>
  <c r="H185" i="13"/>
  <c r="G185" i="13"/>
  <c r="F185" i="13"/>
  <c r="E185" i="13"/>
  <c r="D185" i="13"/>
  <c r="C185" i="13"/>
  <c r="B185" i="13"/>
  <c r="A185" i="13"/>
  <c r="I184" i="13"/>
  <c r="H184" i="13"/>
  <c r="G184" i="13"/>
  <c r="F184" i="13"/>
  <c r="E184" i="13"/>
  <c r="D184" i="13"/>
  <c r="C184" i="13"/>
  <c r="B184" i="13"/>
  <c r="A184" i="13"/>
  <c r="I183" i="13"/>
  <c r="H183" i="13"/>
  <c r="G183" i="13"/>
  <c r="F183" i="13"/>
  <c r="E183" i="13"/>
  <c r="D183" i="13"/>
  <c r="C183" i="13"/>
  <c r="B183" i="13"/>
  <c r="A183" i="13"/>
  <c r="I182" i="13"/>
  <c r="H182" i="13"/>
  <c r="G182" i="13"/>
  <c r="F182" i="13"/>
  <c r="E182" i="13"/>
  <c r="D182" i="13"/>
  <c r="C182" i="13"/>
  <c r="B182" i="13"/>
  <c r="A182" i="13"/>
  <c r="I181" i="13"/>
  <c r="H181" i="13"/>
  <c r="G181" i="13"/>
  <c r="F181" i="13"/>
  <c r="E181" i="13"/>
  <c r="D181" i="13"/>
  <c r="C181" i="13"/>
  <c r="B181" i="13"/>
  <c r="A181" i="13"/>
  <c r="I180" i="13"/>
  <c r="H180" i="13"/>
  <c r="G180" i="13"/>
  <c r="F180" i="13"/>
  <c r="E180" i="13"/>
  <c r="D180" i="13"/>
  <c r="C180" i="13"/>
  <c r="B180" i="13"/>
  <c r="A180" i="13"/>
  <c r="I179" i="13"/>
  <c r="H179" i="13"/>
  <c r="G179" i="13"/>
  <c r="F179" i="13"/>
  <c r="E179" i="13"/>
  <c r="D179" i="13"/>
  <c r="C179" i="13"/>
  <c r="B179" i="13"/>
  <c r="A179" i="13"/>
  <c r="I178" i="13"/>
  <c r="A12" i="16" s="1"/>
  <c r="B12" i="16" s="1"/>
  <c r="H178" i="13"/>
  <c r="G178" i="13"/>
  <c r="F178" i="13"/>
  <c r="D12" i="16" s="1"/>
  <c r="S2" i="32" s="1"/>
  <c r="E178" i="13"/>
  <c r="D178" i="13"/>
  <c r="C178" i="13"/>
  <c r="B178" i="13"/>
  <c r="A178" i="13"/>
  <c r="I177" i="13"/>
  <c r="H177" i="13"/>
  <c r="G177" i="13"/>
  <c r="F177" i="13"/>
  <c r="E177" i="13"/>
  <c r="D177" i="13"/>
  <c r="C177" i="13"/>
  <c r="B177" i="13"/>
  <c r="A177" i="13"/>
  <c r="I176" i="13"/>
  <c r="H176" i="13"/>
  <c r="G176" i="13"/>
  <c r="F176" i="13"/>
  <c r="E176" i="13"/>
  <c r="D176" i="13"/>
  <c r="C176" i="13"/>
  <c r="B176" i="13"/>
  <c r="A176" i="13"/>
  <c r="I175" i="13"/>
  <c r="H175" i="13"/>
  <c r="G175" i="13"/>
  <c r="F175" i="13"/>
  <c r="E175" i="13"/>
  <c r="D175" i="13"/>
  <c r="C175" i="13"/>
  <c r="B175" i="13"/>
  <c r="A175" i="13"/>
  <c r="I174" i="13"/>
  <c r="H174" i="13"/>
  <c r="G174" i="13"/>
  <c r="F174" i="13"/>
  <c r="E174" i="13"/>
  <c r="D174" i="13"/>
  <c r="C174" i="13"/>
  <c r="B174" i="13"/>
  <c r="A174" i="13"/>
  <c r="I173" i="13"/>
  <c r="H173" i="13"/>
  <c r="G173" i="13"/>
  <c r="F173" i="13"/>
  <c r="E173" i="13"/>
  <c r="D173" i="13"/>
  <c r="C173" i="13"/>
  <c r="B173" i="13"/>
  <c r="A173" i="13"/>
  <c r="I172" i="13"/>
  <c r="H172" i="13"/>
  <c r="G172" i="13"/>
  <c r="F172" i="13"/>
  <c r="E172" i="13"/>
  <c r="D172" i="13"/>
  <c r="C172" i="13"/>
  <c r="B172" i="13"/>
  <c r="A172" i="13"/>
  <c r="I171" i="13"/>
  <c r="H171" i="13"/>
  <c r="G171" i="13"/>
  <c r="F171" i="13"/>
  <c r="E171" i="13"/>
  <c r="D171" i="13"/>
  <c r="C171" i="13"/>
  <c r="B171" i="13"/>
  <c r="A171" i="13"/>
  <c r="I170" i="13"/>
  <c r="H170" i="13"/>
  <c r="G170" i="13"/>
  <c r="F170" i="13"/>
  <c r="E170" i="13"/>
  <c r="D170" i="13"/>
  <c r="E11" i="16" s="1"/>
  <c r="S3" i="31" s="1"/>
  <c r="C170" i="13"/>
  <c r="B170" i="13"/>
  <c r="A170" i="13"/>
  <c r="I169" i="13"/>
  <c r="H169" i="13"/>
  <c r="G169" i="13"/>
  <c r="F169" i="13"/>
  <c r="E169" i="13"/>
  <c r="D169" i="13"/>
  <c r="C169" i="13"/>
  <c r="B169" i="13"/>
  <c r="A169" i="13"/>
  <c r="I168" i="13"/>
  <c r="H168" i="13"/>
  <c r="G168" i="13"/>
  <c r="F168" i="13"/>
  <c r="E168" i="13"/>
  <c r="D168" i="13"/>
  <c r="C168" i="13"/>
  <c r="B168" i="13"/>
  <c r="A168" i="13"/>
  <c r="I167" i="13"/>
  <c r="H167" i="13"/>
  <c r="G167" i="13"/>
  <c r="F167" i="13"/>
  <c r="E167" i="13"/>
  <c r="D167" i="13"/>
  <c r="C167" i="13"/>
  <c r="B167" i="13"/>
  <c r="A167" i="13"/>
  <c r="I166" i="13"/>
  <c r="H166" i="13"/>
  <c r="G166" i="13"/>
  <c r="F166" i="13"/>
  <c r="E166" i="13"/>
  <c r="D166" i="13"/>
  <c r="C166" i="13"/>
  <c r="B166" i="13"/>
  <c r="A166" i="13"/>
  <c r="I165" i="13"/>
  <c r="H165" i="13"/>
  <c r="G165" i="13"/>
  <c r="F165" i="13"/>
  <c r="E165" i="13"/>
  <c r="D165" i="13"/>
  <c r="C165" i="13"/>
  <c r="B165" i="13"/>
  <c r="A165" i="13"/>
  <c r="I164" i="13"/>
  <c r="H164" i="13"/>
  <c r="G164" i="13"/>
  <c r="F164" i="13"/>
  <c r="E164" i="13"/>
  <c r="D164" i="13"/>
  <c r="C164" i="13"/>
  <c r="B164" i="13"/>
  <c r="A164" i="13"/>
  <c r="I163" i="13"/>
  <c r="H163" i="13"/>
  <c r="G163" i="13"/>
  <c r="F163" i="13"/>
  <c r="E163" i="13"/>
  <c r="D163" i="13"/>
  <c r="C163" i="13"/>
  <c r="B163" i="13"/>
  <c r="A163" i="13"/>
  <c r="I162" i="13"/>
  <c r="H162" i="13"/>
  <c r="G162" i="13"/>
  <c r="F162" i="13"/>
  <c r="E162" i="13"/>
  <c r="D162" i="13"/>
  <c r="C162" i="13"/>
  <c r="B162" i="13"/>
  <c r="A162" i="13"/>
  <c r="I161" i="13"/>
  <c r="H161" i="13"/>
  <c r="G161" i="13"/>
  <c r="F161" i="13"/>
  <c r="E161" i="13"/>
  <c r="D161" i="13"/>
  <c r="C161" i="13"/>
  <c r="B161" i="13"/>
  <c r="A161" i="13"/>
  <c r="I160" i="13"/>
  <c r="A11" i="16" s="1"/>
  <c r="B11" i="16" s="1"/>
  <c r="H160" i="13"/>
  <c r="G160" i="13"/>
  <c r="F160" i="13"/>
  <c r="D11" i="16" s="1"/>
  <c r="S2" i="31" s="1"/>
  <c r="E160" i="13"/>
  <c r="D160" i="13"/>
  <c r="C160" i="13"/>
  <c r="B160" i="13"/>
  <c r="A160" i="13"/>
  <c r="I159" i="13"/>
  <c r="H159" i="13"/>
  <c r="G159" i="13"/>
  <c r="F159" i="13"/>
  <c r="E159" i="13"/>
  <c r="D159" i="13"/>
  <c r="C159" i="13"/>
  <c r="B159" i="13"/>
  <c r="A159" i="13"/>
  <c r="I158" i="13"/>
  <c r="H158" i="13"/>
  <c r="G158" i="13"/>
  <c r="F158" i="13"/>
  <c r="E158" i="13"/>
  <c r="D158" i="13"/>
  <c r="C158" i="13"/>
  <c r="B158" i="13"/>
  <c r="A158" i="13"/>
  <c r="I157" i="13"/>
  <c r="H157" i="13"/>
  <c r="G157" i="13"/>
  <c r="F157" i="13"/>
  <c r="E157" i="13"/>
  <c r="D157" i="13"/>
  <c r="C157" i="13"/>
  <c r="B157" i="13"/>
  <c r="A157" i="13"/>
  <c r="I156" i="13"/>
  <c r="H156" i="13"/>
  <c r="G156" i="13"/>
  <c r="F156" i="13"/>
  <c r="E156" i="13"/>
  <c r="D156" i="13"/>
  <c r="C156" i="13"/>
  <c r="B156" i="13"/>
  <c r="A156" i="13"/>
  <c r="I155" i="13"/>
  <c r="H155" i="13"/>
  <c r="G155" i="13"/>
  <c r="F155" i="13"/>
  <c r="E155" i="13"/>
  <c r="D155" i="13"/>
  <c r="C155" i="13"/>
  <c r="B155" i="13"/>
  <c r="A155" i="13"/>
  <c r="I154" i="13"/>
  <c r="H154" i="13"/>
  <c r="G154" i="13"/>
  <c r="F154" i="13"/>
  <c r="E154" i="13"/>
  <c r="D154" i="13"/>
  <c r="E10" i="16" s="1"/>
  <c r="P3" i="29" s="1"/>
  <c r="C154" i="13"/>
  <c r="B154" i="13"/>
  <c r="A154" i="13"/>
  <c r="I153" i="13"/>
  <c r="H153" i="13"/>
  <c r="G153" i="13"/>
  <c r="F153" i="13"/>
  <c r="E153" i="13"/>
  <c r="D153" i="13"/>
  <c r="C153" i="13"/>
  <c r="B153" i="13"/>
  <c r="A153" i="13"/>
  <c r="I152" i="13"/>
  <c r="H152" i="13"/>
  <c r="G152" i="13"/>
  <c r="F152" i="13"/>
  <c r="E152" i="13"/>
  <c r="D152" i="13"/>
  <c r="C152" i="13"/>
  <c r="B152" i="13"/>
  <c r="A152" i="13"/>
  <c r="I151" i="13"/>
  <c r="H151" i="13"/>
  <c r="G151" i="13"/>
  <c r="F151" i="13"/>
  <c r="E151" i="13"/>
  <c r="D151" i="13"/>
  <c r="C151" i="13"/>
  <c r="B151" i="13"/>
  <c r="A151" i="13"/>
  <c r="I150" i="13"/>
  <c r="H150" i="13"/>
  <c r="G150" i="13"/>
  <c r="F150" i="13"/>
  <c r="E150" i="13"/>
  <c r="D150" i="13"/>
  <c r="C150" i="13"/>
  <c r="B150" i="13"/>
  <c r="A150" i="13"/>
  <c r="I149" i="13"/>
  <c r="H149" i="13"/>
  <c r="G149" i="13"/>
  <c r="F149" i="13"/>
  <c r="E149" i="13"/>
  <c r="D149" i="13"/>
  <c r="C149" i="13"/>
  <c r="B149" i="13"/>
  <c r="A149" i="13"/>
  <c r="I148" i="13"/>
  <c r="H148" i="13"/>
  <c r="G148" i="13"/>
  <c r="F148" i="13"/>
  <c r="E148" i="13"/>
  <c r="D148" i="13"/>
  <c r="C148" i="13"/>
  <c r="B148" i="13"/>
  <c r="A148" i="13"/>
  <c r="I147" i="13"/>
  <c r="H147" i="13"/>
  <c r="G147" i="13"/>
  <c r="F147" i="13"/>
  <c r="E147" i="13"/>
  <c r="D147" i="13"/>
  <c r="C147" i="13"/>
  <c r="B147" i="13"/>
  <c r="A147" i="13"/>
  <c r="I146" i="13"/>
  <c r="H146" i="13"/>
  <c r="G146" i="13"/>
  <c r="F146" i="13"/>
  <c r="D10" i="16" s="1"/>
  <c r="P2" i="29" s="1"/>
  <c r="E146" i="13"/>
  <c r="D146" i="13"/>
  <c r="C146" i="13"/>
  <c r="B146" i="13"/>
  <c r="A146" i="13"/>
  <c r="I145" i="13"/>
  <c r="A10" i="16" s="1"/>
  <c r="B10" i="16" s="1"/>
  <c r="H145" i="13"/>
  <c r="G145" i="13"/>
  <c r="F145" i="13"/>
  <c r="E145" i="13"/>
  <c r="D145" i="13"/>
  <c r="C145" i="13"/>
  <c r="B145" i="13"/>
  <c r="A145" i="13"/>
  <c r="I144" i="13"/>
  <c r="H144" i="13"/>
  <c r="G144" i="13"/>
  <c r="F144" i="13"/>
  <c r="E144" i="13"/>
  <c r="D144" i="13"/>
  <c r="C144" i="13"/>
  <c r="B144" i="13"/>
  <c r="A144" i="13"/>
  <c r="I143" i="13"/>
  <c r="H143" i="13"/>
  <c r="G143" i="13"/>
  <c r="F143" i="13"/>
  <c r="E143" i="13"/>
  <c r="D143" i="13"/>
  <c r="C143" i="13"/>
  <c r="B143" i="13"/>
  <c r="A143" i="13"/>
  <c r="I142" i="13"/>
  <c r="H142" i="13"/>
  <c r="G142" i="13"/>
  <c r="F142" i="13"/>
  <c r="E142" i="13"/>
  <c r="D142" i="13"/>
  <c r="C142" i="13"/>
  <c r="B142" i="13"/>
  <c r="A142" i="13"/>
  <c r="I141" i="13"/>
  <c r="H141" i="13"/>
  <c r="G141" i="13"/>
  <c r="F141" i="13"/>
  <c r="E141" i="13"/>
  <c r="D141" i="13"/>
  <c r="C141" i="13"/>
  <c r="B141" i="13"/>
  <c r="A141" i="13"/>
  <c r="I140" i="13"/>
  <c r="H140" i="13"/>
  <c r="G140" i="13"/>
  <c r="F140" i="13"/>
  <c r="E140" i="13"/>
  <c r="D140" i="13"/>
  <c r="C140" i="13"/>
  <c r="B140" i="13"/>
  <c r="A140" i="13"/>
  <c r="I139" i="13"/>
  <c r="H139" i="13"/>
  <c r="G139" i="13"/>
  <c r="F139" i="13"/>
  <c r="E139" i="13"/>
  <c r="D139" i="13"/>
  <c r="C139" i="13"/>
  <c r="B139" i="13"/>
  <c r="A139" i="13"/>
  <c r="I138" i="13"/>
  <c r="H138" i="13"/>
  <c r="G138" i="13"/>
  <c r="F138" i="13"/>
  <c r="E138" i="13"/>
  <c r="D138" i="13"/>
  <c r="C138" i="13"/>
  <c r="B138" i="13"/>
  <c r="A138" i="13"/>
  <c r="I137" i="13"/>
  <c r="H137" i="13"/>
  <c r="E9" i="16" s="1"/>
  <c r="S3" i="28" s="1"/>
  <c r="G137" i="13"/>
  <c r="F137" i="13"/>
  <c r="E137" i="13"/>
  <c r="D137" i="13"/>
  <c r="C137" i="13"/>
  <c r="B137" i="13"/>
  <c r="A137" i="13"/>
  <c r="I136" i="13"/>
  <c r="H136" i="13"/>
  <c r="G136" i="13"/>
  <c r="F136" i="13"/>
  <c r="E136" i="13"/>
  <c r="D136" i="13"/>
  <c r="C136" i="13"/>
  <c r="B136" i="13"/>
  <c r="A136" i="13"/>
  <c r="I135" i="13"/>
  <c r="H135" i="13"/>
  <c r="G135" i="13"/>
  <c r="F135" i="13"/>
  <c r="E135" i="13"/>
  <c r="D135" i="13"/>
  <c r="C135" i="13"/>
  <c r="B135" i="13"/>
  <c r="A135" i="13"/>
  <c r="I134" i="13"/>
  <c r="H134" i="13"/>
  <c r="G134" i="13"/>
  <c r="F134" i="13"/>
  <c r="E134" i="13"/>
  <c r="D134" i="13"/>
  <c r="C134" i="13"/>
  <c r="B134" i="13"/>
  <c r="A134" i="13"/>
  <c r="I133" i="13"/>
  <c r="H133" i="13"/>
  <c r="G133" i="13"/>
  <c r="F133" i="13"/>
  <c r="E133" i="13"/>
  <c r="D133" i="13"/>
  <c r="C133" i="13"/>
  <c r="B133" i="13"/>
  <c r="A133" i="13"/>
  <c r="I132" i="13"/>
  <c r="H132" i="13"/>
  <c r="G132" i="13"/>
  <c r="F132" i="13"/>
  <c r="E132" i="13"/>
  <c r="D132" i="13"/>
  <c r="C132" i="13"/>
  <c r="B132" i="13"/>
  <c r="A132" i="13"/>
  <c r="I131" i="13"/>
  <c r="H131" i="13"/>
  <c r="G131" i="13"/>
  <c r="F131" i="13"/>
  <c r="E131" i="13"/>
  <c r="D131" i="13"/>
  <c r="C131" i="13"/>
  <c r="B131" i="13"/>
  <c r="A131" i="13"/>
  <c r="I130" i="13"/>
  <c r="H130" i="13"/>
  <c r="G130" i="13"/>
  <c r="F130" i="13"/>
  <c r="E130" i="13"/>
  <c r="D130" i="13"/>
  <c r="C130" i="13"/>
  <c r="B130" i="13"/>
  <c r="A130" i="13"/>
  <c r="I129" i="13"/>
  <c r="H129" i="13"/>
  <c r="G129" i="13"/>
  <c r="F129" i="13"/>
  <c r="E129" i="13"/>
  <c r="D129" i="13"/>
  <c r="C129" i="13"/>
  <c r="B129" i="13"/>
  <c r="A129" i="13"/>
  <c r="I128" i="13"/>
  <c r="H128" i="13"/>
  <c r="G128" i="13"/>
  <c r="F128" i="13"/>
  <c r="E128" i="13"/>
  <c r="D128" i="13"/>
  <c r="C128" i="13"/>
  <c r="B128" i="13"/>
  <c r="A128" i="13"/>
  <c r="I127" i="13"/>
  <c r="A9" i="16" s="1"/>
  <c r="B9" i="16" s="1"/>
  <c r="H127" i="13"/>
  <c r="G127" i="13"/>
  <c r="F127" i="13"/>
  <c r="D9" i="16" s="1"/>
  <c r="E127" i="13"/>
  <c r="D127" i="13"/>
  <c r="C127" i="13"/>
  <c r="B127" i="13"/>
  <c r="A127" i="13"/>
  <c r="I126" i="13"/>
  <c r="H126" i="13"/>
  <c r="G126" i="13"/>
  <c r="F126" i="13"/>
  <c r="E126" i="13"/>
  <c r="D126" i="13"/>
  <c r="C126" i="13"/>
  <c r="B126" i="13"/>
  <c r="A126" i="13"/>
  <c r="I125" i="13"/>
  <c r="H125" i="13"/>
  <c r="G125" i="13"/>
  <c r="F125" i="13"/>
  <c r="E125" i="13"/>
  <c r="D125" i="13"/>
  <c r="C125" i="13"/>
  <c r="B125" i="13"/>
  <c r="A125" i="13"/>
  <c r="I124" i="13"/>
  <c r="H124" i="13"/>
  <c r="G124" i="13"/>
  <c r="F124" i="13"/>
  <c r="E124" i="13"/>
  <c r="D124" i="13"/>
  <c r="C124" i="13"/>
  <c r="B124" i="13"/>
  <c r="A124" i="13"/>
  <c r="I123" i="13"/>
  <c r="H123" i="13"/>
  <c r="G123" i="13"/>
  <c r="F123" i="13"/>
  <c r="E123" i="13"/>
  <c r="D123" i="13"/>
  <c r="C123" i="13"/>
  <c r="B123" i="13"/>
  <c r="A123" i="13"/>
  <c r="I122" i="13"/>
  <c r="H122" i="13"/>
  <c r="G122" i="13"/>
  <c r="F122" i="13"/>
  <c r="E122" i="13"/>
  <c r="D122" i="13"/>
  <c r="C122" i="13"/>
  <c r="B122" i="13"/>
  <c r="A122" i="13"/>
  <c r="I121" i="13"/>
  <c r="H121" i="13"/>
  <c r="G121" i="13"/>
  <c r="F121" i="13"/>
  <c r="E121" i="13"/>
  <c r="E8" i="16" s="1"/>
  <c r="P3" i="27" s="1"/>
  <c r="D121" i="13"/>
  <c r="C121" i="13"/>
  <c r="B121" i="13"/>
  <c r="A121" i="13"/>
  <c r="I120" i="13"/>
  <c r="H120" i="13"/>
  <c r="G120" i="13"/>
  <c r="F120" i="13"/>
  <c r="E120" i="13"/>
  <c r="D120" i="13"/>
  <c r="C120" i="13"/>
  <c r="B120" i="13"/>
  <c r="A120" i="13"/>
  <c r="I119" i="13"/>
  <c r="H119" i="13"/>
  <c r="G119" i="13"/>
  <c r="F119" i="13"/>
  <c r="E119" i="13"/>
  <c r="D119" i="13"/>
  <c r="C119" i="13"/>
  <c r="B119" i="13"/>
  <c r="A119" i="13"/>
  <c r="I118" i="13"/>
  <c r="H118" i="13"/>
  <c r="G118" i="13"/>
  <c r="F118" i="13"/>
  <c r="E118" i="13"/>
  <c r="D118" i="13"/>
  <c r="C118" i="13"/>
  <c r="B118" i="13"/>
  <c r="A118" i="13"/>
  <c r="I117" i="13"/>
  <c r="H117" i="13"/>
  <c r="G117" i="13"/>
  <c r="F117" i="13"/>
  <c r="E117" i="13"/>
  <c r="D117" i="13"/>
  <c r="C117" i="13"/>
  <c r="B117" i="13"/>
  <c r="A117" i="13"/>
  <c r="I116" i="13"/>
  <c r="H116" i="13"/>
  <c r="G116" i="13"/>
  <c r="F116" i="13"/>
  <c r="E116" i="13"/>
  <c r="D116" i="13"/>
  <c r="C116" i="13"/>
  <c r="B116" i="13"/>
  <c r="A116" i="13"/>
  <c r="I115" i="13"/>
  <c r="H115" i="13"/>
  <c r="G115" i="13"/>
  <c r="F115" i="13"/>
  <c r="E115" i="13"/>
  <c r="D115" i="13"/>
  <c r="C115" i="13"/>
  <c r="B115" i="13"/>
  <c r="A115" i="13"/>
  <c r="I114" i="13"/>
  <c r="H114" i="13"/>
  <c r="G114" i="13"/>
  <c r="F114" i="13"/>
  <c r="E114" i="13"/>
  <c r="D114" i="13"/>
  <c r="C114" i="13"/>
  <c r="B114" i="13"/>
  <c r="A114" i="13"/>
  <c r="I113" i="13"/>
  <c r="H113" i="13"/>
  <c r="G113" i="13"/>
  <c r="F113" i="13"/>
  <c r="E113" i="13"/>
  <c r="D113" i="13"/>
  <c r="C113" i="13"/>
  <c r="B113" i="13"/>
  <c r="A113" i="13"/>
  <c r="I112" i="13"/>
  <c r="H112" i="13"/>
  <c r="G112" i="13"/>
  <c r="F112" i="13"/>
  <c r="E112" i="13"/>
  <c r="D112" i="13"/>
  <c r="C112" i="13"/>
  <c r="B112" i="13"/>
  <c r="A112" i="13"/>
  <c r="I111" i="13"/>
  <c r="A8" i="16" s="1"/>
  <c r="B8" i="16" s="1"/>
  <c r="H111" i="13"/>
  <c r="G111" i="13"/>
  <c r="F111" i="13"/>
  <c r="D8" i="16" s="1"/>
  <c r="P2" i="27" s="1"/>
  <c r="E111" i="13"/>
  <c r="D111" i="13"/>
  <c r="C111" i="13"/>
  <c r="B111" i="13"/>
  <c r="A111" i="13"/>
  <c r="I110" i="13"/>
  <c r="H110" i="13"/>
  <c r="G110" i="13"/>
  <c r="F110" i="13"/>
  <c r="E110" i="13"/>
  <c r="D110" i="13"/>
  <c r="C110" i="13"/>
  <c r="B110" i="13"/>
  <c r="A110" i="13"/>
  <c r="I109" i="13"/>
  <c r="H109" i="13"/>
  <c r="G109" i="13"/>
  <c r="F109" i="13"/>
  <c r="E109" i="13"/>
  <c r="D109" i="13"/>
  <c r="C109" i="13"/>
  <c r="B109" i="13"/>
  <c r="A109" i="13"/>
  <c r="I108" i="13"/>
  <c r="H108" i="13"/>
  <c r="G108" i="13"/>
  <c r="F108" i="13"/>
  <c r="E108" i="13"/>
  <c r="D108" i="13"/>
  <c r="C108" i="13"/>
  <c r="B108" i="13"/>
  <c r="A108" i="13"/>
  <c r="I107" i="13"/>
  <c r="H107" i="13"/>
  <c r="G107" i="13"/>
  <c r="F107" i="13"/>
  <c r="E107" i="13"/>
  <c r="D107" i="13"/>
  <c r="C107" i="13"/>
  <c r="B107" i="13"/>
  <c r="A107" i="13"/>
  <c r="I106" i="13"/>
  <c r="H106" i="13"/>
  <c r="G106" i="13"/>
  <c r="F106" i="13"/>
  <c r="E106" i="13"/>
  <c r="D106" i="13"/>
  <c r="C106" i="13"/>
  <c r="B106" i="13"/>
  <c r="A106" i="13"/>
  <c r="I105" i="13"/>
  <c r="H105" i="13"/>
  <c r="G105" i="13"/>
  <c r="F105" i="13"/>
  <c r="E105" i="13"/>
  <c r="D105" i="13"/>
  <c r="C105" i="13"/>
  <c r="B105" i="13"/>
  <c r="A105" i="13"/>
  <c r="I104" i="13"/>
  <c r="H104" i="13"/>
  <c r="G104" i="13"/>
  <c r="F104" i="13"/>
  <c r="E104" i="13"/>
  <c r="D104" i="13"/>
  <c r="E7" i="16" s="1"/>
  <c r="S3" i="26" s="1"/>
  <c r="C104" i="13"/>
  <c r="B104" i="13"/>
  <c r="A104" i="13"/>
  <c r="I103" i="13"/>
  <c r="H103" i="13"/>
  <c r="G103" i="13"/>
  <c r="F103" i="13"/>
  <c r="E103" i="13"/>
  <c r="D103" i="13"/>
  <c r="C103" i="13"/>
  <c r="B103" i="13"/>
  <c r="A103" i="13"/>
  <c r="I102" i="13"/>
  <c r="H102" i="13"/>
  <c r="G102" i="13"/>
  <c r="F102" i="13"/>
  <c r="E102" i="13"/>
  <c r="D102" i="13"/>
  <c r="C102" i="13"/>
  <c r="B102" i="13"/>
  <c r="A102" i="13"/>
  <c r="I101" i="13"/>
  <c r="H101" i="13"/>
  <c r="G101" i="13"/>
  <c r="F101" i="13"/>
  <c r="E101" i="13"/>
  <c r="D101" i="13"/>
  <c r="C101" i="13"/>
  <c r="B101" i="13"/>
  <c r="A101" i="13"/>
  <c r="I100" i="13"/>
  <c r="H100" i="13"/>
  <c r="G100" i="13"/>
  <c r="F100" i="13"/>
  <c r="E100" i="13"/>
  <c r="D100" i="13"/>
  <c r="C100" i="13"/>
  <c r="B100" i="13"/>
  <c r="A100" i="13"/>
  <c r="I99" i="13"/>
  <c r="H99" i="13"/>
  <c r="G99" i="13"/>
  <c r="F99" i="13"/>
  <c r="E99" i="13"/>
  <c r="D99" i="13"/>
  <c r="C99" i="13"/>
  <c r="B99" i="13"/>
  <c r="A99" i="13"/>
  <c r="I98" i="13"/>
  <c r="H98" i="13"/>
  <c r="G98" i="13"/>
  <c r="F98" i="13"/>
  <c r="E98" i="13"/>
  <c r="D98" i="13"/>
  <c r="C98" i="13"/>
  <c r="B98" i="13"/>
  <c r="A98" i="13"/>
  <c r="I97" i="13"/>
  <c r="H97" i="13"/>
  <c r="G97" i="13"/>
  <c r="F97" i="13"/>
  <c r="E97" i="13"/>
  <c r="D97" i="13"/>
  <c r="C97" i="13"/>
  <c r="B97" i="13"/>
  <c r="A97" i="13"/>
  <c r="I96" i="13"/>
  <c r="H96" i="13"/>
  <c r="G96" i="13"/>
  <c r="F96" i="13"/>
  <c r="E96" i="13"/>
  <c r="D96" i="13"/>
  <c r="C96" i="13"/>
  <c r="B96" i="13"/>
  <c r="A96" i="13"/>
  <c r="I95" i="13"/>
  <c r="H95" i="13"/>
  <c r="G95" i="13"/>
  <c r="F95" i="13"/>
  <c r="E95" i="13"/>
  <c r="D95" i="13"/>
  <c r="C95" i="13"/>
  <c r="B95" i="13"/>
  <c r="A95" i="13"/>
  <c r="I94" i="13"/>
  <c r="A7" i="16" s="1"/>
  <c r="B7" i="16" s="1"/>
  <c r="H94" i="13"/>
  <c r="G94" i="13"/>
  <c r="F94" i="13"/>
  <c r="D7" i="16" s="1"/>
  <c r="S2" i="26" s="1"/>
  <c r="E94" i="13"/>
  <c r="D94" i="13"/>
  <c r="C94" i="13"/>
  <c r="B94" i="13"/>
  <c r="A94" i="13"/>
  <c r="I93" i="13"/>
  <c r="H93" i="13"/>
  <c r="G93" i="13"/>
  <c r="F93" i="13"/>
  <c r="E93" i="13"/>
  <c r="D93" i="13"/>
  <c r="C93" i="13"/>
  <c r="B93" i="13"/>
  <c r="A93" i="13"/>
  <c r="I92" i="13"/>
  <c r="H92" i="13"/>
  <c r="G92" i="13"/>
  <c r="F92" i="13"/>
  <c r="E92" i="13"/>
  <c r="D92" i="13"/>
  <c r="C92" i="13"/>
  <c r="B92" i="13"/>
  <c r="A92" i="13"/>
  <c r="I91" i="13"/>
  <c r="H91" i="13"/>
  <c r="G91" i="13"/>
  <c r="F91" i="13"/>
  <c r="E91" i="13"/>
  <c r="D91" i="13"/>
  <c r="C91" i="13"/>
  <c r="B91" i="13"/>
  <c r="A91" i="13"/>
  <c r="I90" i="13"/>
  <c r="H90" i="13"/>
  <c r="G90" i="13"/>
  <c r="F90" i="13"/>
  <c r="E90" i="13"/>
  <c r="D90" i="13"/>
  <c r="C90" i="13"/>
  <c r="B90" i="13"/>
  <c r="A90" i="13"/>
  <c r="I89" i="13"/>
  <c r="H89" i="13"/>
  <c r="G89" i="13"/>
  <c r="F89" i="13"/>
  <c r="E89" i="13"/>
  <c r="D89" i="13"/>
  <c r="C89" i="13"/>
  <c r="B89" i="13"/>
  <c r="A89" i="13"/>
  <c r="I88" i="13"/>
  <c r="H88" i="13"/>
  <c r="G88" i="13"/>
  <c r="F88" i="13"/>
  <c r="E88" i="13"/>
  <c r="D88" i="13"/>
  <c r="C88" i="13"/>
  <c r="B88" i="13"/>
  <c r="A88" i="13"/>
  <c r="I87" i="13"/>
  <c r="H87" i="13"/>
  <c r="G87" i="13"/>
  <c r="F87" i="13"/>
  <c r="E87" i="13"/>
  <c r="D87" i="13"/>
  <c r="C87" i="13"/>
  <c r="B87" i="13"/>
  <c r="A87" i="13"/>
  <c r="I86" i="13"/>
  <c r="H86" i="13"/>
  <c r="G86" i="13"/>
  <c r="F86" i="13"/>
  <c r="E86" i="13"/>
  <c r="D86" i="13"/>
  <c r="E6" i="16" s="1"/>
  <c r="S3" i="25" s="1"/>
  <c r="C86" i="13"/>
  <c r="B86" i="13"/>
  <c r="A86" i="13"/>
  <c r="I85" i="13"/>
  <c r="H85" i="13"/>
  <c r="G85" i="13"/>
  <c r="F85" i="13"/>
  <c r="E85" i="13"/>
  <c r="D85" i="13"/>
  <c r="C85" i="13"/>
  <c r="B85" i="13"/>
  <c r="A85" i="13"/>
  <c r="I84" i="13"/>
  <c r="H84" i="13"/>
  <c r="G84" i="13"/>
  <c r="F84" i="13"/>
  <c r="E84" i="13"/>
  <c r="D84" i="13"/>
  <c r="C84" i="13"/>
  <c r="B84" i="13"/>
  <c r="A84" i="13"/>
  <c r="I83" i="13"/>
  <c r="H83" i="13"/>
  <c r="G83" i="13"/>
  <c r="F83" i="13"/>
  <c r="E83" i="13"/>
  <c r="D83" i="13"/>
  <c r="C83" i="13"/>
  <c r="B83" i="13"/>
  <c r="A83" i="13"/>
  <c r="I82" i="13"/>
  <c r="H82" i="13"/>
  <c r="G82" i="13"/>
  <c r="F82" i="13"/>
  <c r="E82" i="13"/>
  <c r="D82" i="13"/>
  <c r="C82" i="13"/>
  <c r="B82" i="13"/>
  <c r="A82" i="13"/>
  <c r="I81" i="13"/>
  <c r="H81" i="13"/>
  <c r="G81" i="13"/>
  <c r="F81" i="13"/>
  <c r="E81" i="13"/>
  <c r="D81" i="13"/>
  <c r="C81" i="13"/>
  <c r="B81" i="13"/>
  <c r="A81" i="13"/>
  <c r="I80" i="13"/>
  <c r="H80" i="13"/>
  <c r="G80" i="13"/>
  <c r="F80" i="13"/>
  <c r="E80" i="13"/>
  <c r="D80" i="13"/>
  <c r="C80" i="13"/>
  <c r="B80" i="13"/>
  <c r="A80" i="13"/>
  <c r="I79" i="13"/>
  <c r="H79" i="13"/>
  <c r="G79" i="13"/>
  <c r="F79" i="13"/>
  <c r="E79" i="13"/>
  <c r="D79" i="13"/>
  <c r="C79" i="13"/>
  <c r="B79" i="13"/>
  <c r="A79" i="13"/>
  <c r="I78" i="13"/>
  <c r="H78" i="13"/>
  <c r="G78" i="13"/>
  <c r="F78" i="13"/>
  <c r="E78" i="13"/>
  <c r="D78" i="13"/>
  <c r="C78" i="13"/>
  <c r="B78" i="13"/>
  <c r="A78" i="13"/>
  <c r="I77" i="13"/>
  <c r="A6" i="16" s="1"/>
  <c r="B6" i="16" s="1"/>
  <c r="H77" i="13"/>
  <c r="G77" i="13"/>
  <c r="F77" i="13"/>
  <c r="D6" i="16" s="1"/>
  <c r="S2" i="25" s="1"/>
  <c r="E77" i="13"/>
  <c r="D77" i="13"/>
  <c r="C77" i="13"/>
  <c r="B77" i="13"/>
  <c r="A77" i="13"/>
  <c r="I76" i="13"/>
  <c r="H76" i="13"/>
  <c r="G76" i="13"/>
  <c r="F76" i="13"/>
  <c r="E76" i="13"/>
  <c r="D76" i="13"/>
  <c r="C76" i="13"/>
  <c r="B76" i="13"/>
  <c r="A76" i="13"/>
  <c r="I75" i="13"/>
  <c r="H75" i="13"/>
  <c r="G75" i="13"/>
  <c r="F75" i="13"/>
  <c r="E75" i="13"/>
  <c r="D75" i="13"/>
  <c r="C75" i="13"/>
  <c r="B75" i="13"/>
  <c r="A75" i="13"/>
  <c r="I74" i="13"/>
  <c r="H74" i="13"/>
  <c r="G74" i="13"/>
  <c r="F74" i="13"/>
  <c r="E74" i="13"/>
  <c r="D74" i="13"/>
  <c r="C74" i="13"/>
  <c r="B74" i="13"/>
  <c r="A74" i="13"/>
  <c r="I73" i="13"/>
  <c r="H73" i="13"/>
  <c r="G73" i="13"/>
  <c r="F73" i="13"/>
  <c r="E73" i="13"/>
  <c r="D73" i="13"/>
  <c r="C73" i="13"/>
  <c r="B73" i="13"/>
  <c r="A73" i="13"/>
  <c r="I72" i="13"/>
  <c r="H72" i="13"/>
  <c r="G72" i="13"/>
  <c r="F72" i="13"/>
  <c r="E72" i="13"/>
  <c r="D72" i="13"/>
  <c r="C72" i="13"/>
  <c r="B72" i="13"/>
  <c r="A72" i="13"/>
  <c r="I71" i="13"/>
  <c r="H71" i="13"/>
  <c r="G71" i="13"/>
  <c r="F71" i="13"/>
  <c r="E71" i="13"/>
  <c r="D71" i="13"/>
  <c r="E5" i="16" s="1"/>
  <c r="Q3" i="24" s="1"/>
  <c r="C71" i="13"/>
  <c r="B71" i="13"/>
  <c r="A71" i="13"/>
  <c r="I70" i="13"/>
  <c r="H70" i="13"/>
  <c r="G70" i="13"/>
  <c r="F70" i="13"/>
  <c r="E70" i="13"/>
  <c r="D70" i="13"/>
  <c r="C70" i="13"/>
  <c r="B70" i="13"/>
  <c r="A70" i="13"/>
  <c r="I69" i="13"/>
  <c r="H69" i="13"/>
  <c r="G69" i="13"/>
  <c r="F69" i="13"/>
  <c r="E69" i="13"/>
  <c r="D69" i="13"/>
  <c r="C69" i="13"/>
  <c r="B69" i="13"/>
  <c r="A69" i="13"/>
  <c r="I68" i="13"/>
  <c r="H68" i="13"/>
  <c r="G68" i="13"/>
  <c r="F68" i="13"/>
  <c r="E68" i="13"/>
  <c r="D68" i="13"/>
  <c r="C68" i="13"/>
  <c r="B68" i="13"/>
  <c r="A68" i="13"/>
  <c r="I67" i="13"/>
  <c r="H67" i="13"/>
  <c r="G67" i="13"/>
  <c r="F67" i="13"/>
  <c r="E67" i="13"/>
  <c r="D67" i="13"/>
  <c r="C67" i="13"/>
  <c r="B67" i="13"/>
  <c r="A67" i="13"/>
  <c r="I66" i="13"/>
  <c r="H66" i="13"/>
  <c r="G66" i="13"/>
  <c r="F66" i="13"/>
  <c r="E66" i="13"/>
  <c r="D66" i="13"/>
  <c r="C66" i="13"/>
  <c r="B66" i="13"/>
  <c r="A66" i="13"/>
  <c r="I65" i="13"/>
  <c r="H65" i="13"/>
  <c r="G65" i="13"/>
  <c r="F65" i="13"/>
  <c r="E65" i="13"/>
  <c r="D65" i="13"/>
  <c r="C65" i="13"/>
  <c r="B65" i="13"/>
  <c r="A65" i="13"/>
  <c r="I64" i="13"/>
  <c r="H64" i="13"/>
  <c r="G64" i="13"/>
  <c r="F64" i="13"/>
  <c r="E64" i="13"/>
  <c r="D64" i="13"/>
  <c r="C64" i="13"/>
  <c r="B64" i="13"/>
  <c r="A64" i="13"/>
  <c r="I63" i="13"/>
  <c r="H63" i="13"/>
  <c r="G63" i="13"/>
  <c r="F63" i="13"/>
  <c r="D5" i="16" s="1"/>
  <c r="Q2" i="24" s="1"/>
  <c r="E63" i="13"/>
  <c r="D63" i="13"/>
  <c r="C63" i="13"/>
  <c r="B63" i="13"/>
  <c r="A63" i="13"/>
  <c r="I62" i="13"/>
  <c r="A5" i="16" s="1"/>
  <c r="B5" i="16" s="1"/>
  <c r="H62" i="13"/>
  <c r="G62" i="13"/>
  <c r="F62" i="13"/>
  <c r="E62" i="13"/>
  <c r="D62" i="13"/>
  <c r="C62" i="13"/>
  <c r="B62" i="13"/>
  <c r="A62" i="13"/>
  <c r="I61" i="13"/>
  <c r="H61" i="13"/>
  <c r="G61" i="13"/>
  <c r="F61" i="13"/>
  <c r="E61" i="13"/>
  <c r="D61" i="13"/>
  <c r="C61" i="13"/>
  <c r="B61" i="13"/>
  <c r="A61" i="13"/>
  <c r="I60" i="13"/>
  <c r="H60" i="13"/>
  <c r="G60" i="13"/>
  <c r="F60" i="13"/>
  <c r="E60" i="13"/>
  <c r="D60" i="13"/>
  <c r="C60" i="13"/>
  <c r="B60" i="13"/>
  <c r="A60" i="13"/>
  <c r="I59" i="13"/>
  <c r="H59" i="13"/>
  <c r="G59" i="13"/>
  <c r="F59" i="13"/>
  <c r="E59" i="13"/>
  <c r="D59" i="13"/>
  <c r="C59" i="13"/>
  <c r="B59" i="13"/>
  <c r="A59" i="13"/>
  <c r="I58" i="13"/>
  <c r="H58" i="13"/>
  <c r="G58" i="13"/>
  <c r="F58" i="13"/>
  <c r="E58" i="13"/>
  <c r="D58" i="13"/>
  <c r="C58" i="13"/>
  <c r="B58" i="13"/>
  <c r="A58" i="13"/>
  <c r="I57" i="13"/>
  <c r="H57" i="13"/>
  <c r="G57" i="13"/>
  <c r="F57" i="13"/>
  <c r="E57" i="13"/>
  <c r="D57" i="13"/>
  <c r="C57" i="13"/>
  <c r="B57" i="13"/>
  <c r="A57" i="13"/>
  <c r="I56" i="13"/>
  <c r="H56" i="13"/>
  <c r="G56" i="13"/>
  <c r="F56" i="13"/>
  <c r="E56" i="13"/>
  <c r="D56" i="13"/>
  <c r="C56" i="13"/>
  <c r="B56" i="13"/>
  <c r="A56" i="13"/>
  <c r="I55" i="13"/>
  <c r="H55" i="13"/>
  <c r="G55" i="13"/>
  <c r="F55" i="13"/>
  <c r="E55" i="13"/>
  <c r="D55" i="13"/>
  <c r="C55" i="13"/>
  <c r="B55" i="13"/>
  <c r="A55" i="13"/>
  <c r="I54" i="13"/>
  <c r="H54" i="13"/>
  <c r="G54" i="13"/>
  <c r="F54" i="13"/>
  <c r="E54" i="13"/>
  <c r="D54" i="13"/>
  <c r="E4" i="16" s="1"/>
  <c r="P3" i="23" s="1"/>
  <c r="C54" i="13"/>
  <c r="B54" i="13"/>
  <c r="A54" i="13"/>
  <c r="I53" i="13"/>
  <c r="H53" i="13"/>
  <c r="G53" i="13"/>
  <c r="F53" i="13"/>
  <c r="E53" i="13"/>
  <c r="D53" i="13"/>
  <c r="C53" i="13"/>
  <c r="B53" i="13"/>
  <c r="A53" i="13"/>
  <c r="I52" i="13"/>
  <c r="H52" i="13"/>
  <c r="G52" i="13"/>
  <c r="F52" i="13"/>
  <c r="E52" i="13"/>
  <c r="D52" i="13"/>
  <c r="C52" i="13"/>
  <c r="B52" i="13"/>
  <c r="A52" i="13"/>
  <c r="I51" i="13"/>
  <c r="H51" i="13"/>
  <c r="G51" i="13"/>
  <c r="F51" i="13"/>
  <c r="E51" i="13"/>
  <c r="D51" i="13"/>
  <c r="C51" i="13"/>
  <c r="B51" i="13"/>
  <c r="A51" i="13"/>
  <c r="I50" i="13"/>
  <c r="H50" i="13"/>
  <c r="G50" i="13"/>
  <c r="F50" i="13"/>
  <c r="E50" i="13"/>
  <c r="D50" i="13"/>
  <c r="C50" i="13"/>
  <c r="B50" i="13"/>
  <c r="A50" i="13"/>
  <c r="I49" i="13"/>
  <c r="H49" i="13"/>
  <c r="G49" i="13"/>
  <c r="F49" i="13"/>
  <c r="E49" i="13"/>
  <c r="D49" i="13"/>
  <c r="C49" i="13"/>
  <c r="B49" i="13"/>
  <c r="A49" i="13"/>
  <c r="I48" i="13"/>
  <c r="H48" i="13"/>
  <c r="G48" i="13"/>
  <c r="F48" i="13"/>
  <c r="E48" i="13"/>
  <c r="D48" i="13"/>
  <c r="C48" i="13"/>
  <c r="B48" i="13"/>
  <c r="A48" i="13"/>
  <c r="I47" i="13"/>
  <c r="H47" i="13"/>
  <c r="G47" i="13"/>
  <c r="F47" i="13"/>
  <c r="E47" i="13"/>
  <c r="D47" i="13"/>
  <c r="C47" i="13"/>
  <c r="B47" i="13"/>
  <c r="A47" i="13"/>
  <c r="I46" i="13"/>
  <c r="H46" i="13"/>
  <c r="G46" i="13"/>
  <c r="F46" i="13"/>
  <c r="E46" i="13"/>
  <c r="D46" i="13"/>
  <c r="C46" i="13"/>
  <c r="B46" i="13"/>
  <c r="A46" i="13"/>
  <c r="I45" i="13"/>
  <c r="A4" i="16" s="1"/>
  <c r="B4" i="16" s="1"/>
  <c r="H45" i="13"/>
  <c r="G45" i="13"/>
  <c r="F45" i="13"/>
  <c r="D4" i="16" s="1"/>
  <c r="P2" i="23" s="1"/>
  <c r="E45" i="13"/>
  <c r="D45" i="13"/>
  <c r="C45" i="13"/>
  <c r="B45" i="13"/>
  <c r="A45" i="13"/>
  <c r="I44" i="13"/>
  <c r="H44" i="13"/>
  <c r="G44" i="13"/>
  <c r="F44" i="13"/>
  <c r="E44" i="13"/>
  <c r="D44" i="13"/>
  <c r="C44" i="13"/>
  <c r="B44" i="13"/>
  <c r="A44" i="13"/>
  <c r="I43" i="13"/>
  <c r="H43" i="13"/>
  <c r="G43" i="13"/>
  <c r="F43" i="13"/>
  <c r="E43" i="13"/>
  <c r="D43" i="13"/>
  <c r="C43" i="13"/>
  <c r="B43" i="13"/>
  <c r="A43" i="13"/>
  <c r="I42" i="13"/>
  <c r="H42" i="13"/>
  <c r="G42" i="13"/>
  <c r="F42" i="13"/>
  <c r="E42" i="13"/>
  <c r="D42" i="13"/>
  <c r="C42" i="13"/>
  <c r="B42" i="13"/>
  <c r="A42" i="13"/>
  <c r="I41" i="13"/>
  <c r="H41" i="13"/>
  <c r="G41" i="13"/>
  <c r="F41" i="13"/>
  <c r="E41" i="13"/>
  <c r="D41" i="13"/>
  <c r="C41" i="13"/>
  <c r="B41" i="13"/>
  <c r="A41" i="13"/>
  <c r="I40" i="13"/>
  <c r="H40" i="13"/>
  <c r="G40" i="13"/>
  <c r="F40" i="13"/>
  <c r="E40" i="13"/>
  <c r="D40" i="13"/>
  <c r="C40" i="13"/>
  <c r="B40" i="13"/>
  <c r="A40" i="13"/>
  <c r="I39" i="13"/>
  <c r="H39" i="13"/>
  <c r="G39" i="13"/>
  <c r="F39" i="13"/>
  <c r="E39" i="13"/>
  <c r="D39" i="13"/>
  <c r="C39" i="13"/>
  <c r="B39" i="13"/>
  <c r="A39" i="13"/>
  <c r="I38" i="13"/>
  <c r="H38" i="13"/>
  <c r="G38" i="13"/>
  <c r="F38" i="13"/>
  <c r="E38" i="13"/>
  <c r="D38" i="13"/>
  <c r="C38" i="13"/>
  <c r="B38" i="13"/>
  <c r="A38" i="13"/>
  <c r="I37" i="13"/>
  <c r="H37" i="13"/>
  <c r="G37" i="13"/>
  <c r="F37" i="13"/>
  <c r="E37" i="13"/>
  <c r="D37" i="13"/>
  <c r="E3" i="16" s="1"/>
  <c r="P3" i="22" s="1"/>
  <c r="C37" i="13"/>
  <c r="B37" i="13"/>
  <c r="A37" i="13"/>
  <c r="I36" i="13"/>
  <c r="H36" i="13"/>
  <c r="G36" i="13"/>
  <c r="F36" i="13"/>
  <c r="E36" i="13"/>
  <c r="D36" i="13"/>
  <c r="C36" i="13"/>
  <c r="B36" i="13"/>
  <c r="A36" i="13"/>
  <c r="I35" i="13"/>
  <c r="H35" i="13"/>
  <c r="G35" i="13"/>
  <c r="F35" i="13"/>
  <c r="E35" i="13"/>
  <c r="D35" i="13"/>
  <c r="C35" i="13"/>
  <c r="B35" i="13"/>
  <c r="A35" i="13"/>
  <c r="I34" i="13"/>
  <c r="H34" i="13"/>
  <c r="G34" i="13"/>
  <c r="F34" i="13"/>
  <c r="E34" i="13"/>
  <c r="D34" i="13"/>
  <c r="C34" i="13"/>
  <c r="B34" i="13"/>
  <c r="A34" i="13"/>
  <c r="I33" i="13"/>
  <c r="H33" i="13"/>
  <c r="G33" i="13"/>
  <c r="F33" i="13"/>
  <c r="E33" i="13"/>
  <c r="D33" i="13"/>
  <c r="C33" i="13"/>
  <c r="B33" i="13"/>
  <c r="A33" i="13"/>
  <c r="I32" i="13"/>
  <c r="H32" i="13"/>
  <c r="G32" i="13"/>
  <c r="F32" i="13"/>
  <c r="E32" i="13"/>
  <c r="D32" i="13"/>
  <c r="C32" i="13"/>
  <c r="B32" i="13"/>
  <c r="A32" i="13"/>
  <c r="I31" i="13"/>
  <c r="H31" i="13"/>
  <c r="G31" i="13"/>
  <c r="F31" i="13"/>
  <c r="E31" i="13"/>
  <c r="D31" i="13"/>
  <c r="C31" i="13"/>
  <c r="B31" i="13"/>
  <c r="A31" i="13"/>
  <c r="I30" i="13"/>
  <c r="H30" i="13"/>
  <c r="G30" i="13"/>
  <c r="F30" i="13"/>
  <c r="E30" i="13"/>
  <c r="D30" i="13"/>
  <c r="C30" i="13"/>
  <c r="B30" i="13"/>
  <c r="A30" i="13"/>
  <c r="I29" i="13"/>
  <c r="H29" i="13"/>
  <c r="G29" i="13"/>
  <c r="F29" i="13"/>
  <c r="E29" i="13"/>
  <c r="D29" i="13"/>
  <c r="C29" i="13"/>
  <c r="B29" i="13"/>
  <c r="A29" i="13"/>
  <c r="I28" i="13"/>
  <c r="A3" i="16" s="1"/>
  <c r="B3" i="16" s="1"/>
  <c r="H28" i="13"/>
  <c r="G28" i="13"/>
  <c r="F28" i="13"/>
  <c r="D3" i="16" s="1"/>
  <c r="P2" i="22" s="1"/>
  <c r="E28" i="13"/>
  <c r="D28" i="13"/>
  <c r="C28" i="13"/>
  <c r="B28" i="13"/>
  <c r="A28" i="13"/>
  <c r="I27" i="13"/>
  <c r="H27" i="13"/>
  <c r="G27" i="13"/>
  <c r="F27" i="13"/>
  <c r="E27" i="13"/>
  <c r="D27" i="13"/>
  <c r="C27" i="13"/>
  <c r="B27" i="13"/>
  <c r="A27" i="13"/>
  <c r="I26" i="13"/>
  <c r="H26" i="13"/>
  <c r="G26" i="13"/>
  <c r="F26" i="13"/>
  <c r="E26" i="13"/>
  <c r="D26" i="13"/>
  <c r="C26" i="13"/>
  <c r="B26" i="13"/>
  <c r="A26" i="13"/>
  <c r="I25" i="13"/>
  <c r="H25" i="13"/>
  <c r="G25" i="13"/>
  <c r="F25" i="13"/>
  <c r="E25" i="13"/>
  <c r="D25" i="13"/>
  <c r="C25" i="13"/>
  <c r="B25" i="13"/>
  <c r="A25" i="13"/>
  <c r="I24" i="13"/>
  <c r="H24" i="13"/>
  <c r="G24" i="13"/>
  <c r="F24" i="13"/>
  <c r="E24" i="13"/>
  <c r="D24" i="13"/>
  <c r="C24" i="13"/>
  <c r="B24" i="13"/>
  <c r="A24" i="13"/>
  <c r="I23" i="13"/>
  <c r="H23" i="13"/>
  <c r="G23" i="13"/>
  <c r="F23" i="13"/>
  <c r="E23" i="13"/>
  <c r="D23" i="13"/>
  <c r="C23" i="13"/>
  <c r="B23" i="13"/>
  <c r="A23" i="13"/>
  <c r="I22" i="13"/>
  <c r="H22" i="13"/>
  <c r="G22" i="13"/>
  <c r="F22" i="13"/>
  <c r="E22" i="13"/>
  <c r="D22" i="13"/>
  <c r="C22" i="13"/>
  <c r="B22" i="13"/>
  <c r="A22" i="13"/>
  <c r="I21" i="13"/>
  <c r="H21" i="13"/>
  <c r="G21" i="13"/>
  <c r="F21" i="13"/>
  <c r="E21" i="13"/>
  <c r="D21" i="13"/>
  <c r="C21" i="13"/>
  <c r="B21" i="13"/>
  <c r="A21" i="13"/>
  <c r="I20" i="13"/>
  <c r="H20" i="13"/>
  <c r="G20" i="13"/>
  <c r="F20" i="13"/>
  <c r="E20" i="13"/>
  <c r="D20" i="13"/>
  <c r="C20" i="13"/>
  <c r="B20" i="13"/>
  <c r="A20" i="13"/>
  <c r="I19" i="13"/>
  <c r="H19" i="13"/>
  <c r="G19" i="13"/>
  <c r="F19" i="13"/>
  <c r="E19" i="13"/>
  <c r="D19" i="13"/>
  <c r="C19" i="13"/>
  <c r="B19" i="13"/>
  <c r="A19" i="13"/>
  <c r="I18" i="13"/>
  <c r="H18" i="13"/>
  <c r="G18" i="13"/>
  <c r="F18" i="13"/>
  <c r="E18" i="13"/>
  <c r="D18" i="13"/>
  <c r="C18" i="13"/>
  <c r="B18" i="13"/>
  <c r="A18" i="13"/>
  <c r="I17" i="13"/>
  <c r="H17" i="13"/>
  <c r="G17" i="13"/>
  <c r="F17" i="13"/>
  <c r="E17" i="13"/>
  <c r="D17" i="13"/>
  <c r="C17" i="13"/>
  <c r="B17" i="13"/>
  <c r="A17" i="13"/>
  <c r="I16" i="13"/>
  <c r="H16" i="13"/>
  <c r="G16" i="13"/>
  <c r="F16" i="13"/>
  <c r="E16" i="13"/>
  <c r="D16" i="13"/>
  <c r="C16" i="13"/>
  <c r="B16" i="13"/>
  <c r="A16" i="13"/>
  <c r="I15" i="13"/>
  <c r="H15" i="13"/>
  <c r="G15" i="13"/>
  <c r="F15" i="13"/>
  <c r="E15" i="13"/>
  <c r="D15" i="13"/>
  <c r="C15" i="13"/>
  <c r="B15" i="13"/>
  <c r="A15" i="13"/>
  <c r="I14" i="13"/>
  <c r="H14" i="13"/>
  <c r="G14" i="13"/>
  <c r="F14" i="13"/>
  <c r="E14" i="13"/>
  <c r="D14" i="13"/>
  <c r="C14" i="13"/>
  <c r="B14" i="13"/>
  <c r="A14" i="13"/>
  <c r="I13" i="13"/>
  <c r="H13" i="13"/>
  <c r="G13" i="13"/>
  <c r="F13" i="13"/>
  <c r="E13" i="13"/>
  <c r="D13" i="13"/>
  <c r="C13" i="13"/>
  <c r="B13" i="13"/>
  <c r="A13" i="13"/>
  <c r="I12" i="13"/>
  <c r="H12" i="13"/>
  <c r="G12" i="13"/>
  <c r="F12" i="13"/>
  <c r="E12" i="13"/>
  <c r="D12" i="13"/>
  <c r="E2" i="16" s="1"/>
  <c r="C12" i="13"/>
  <c r="B12" i="13"/>
  <c r="A12" i="13"/>
  <c r="I11" i="13"/>
  <c r="H11" i="13"/>
  <c r="G11" i="13"/>
  <c r="F11" i="13"/>
  <c r="E11" i="13"/>
  <c r="D11" i="13"/>
  <c r="C11" i="13"/>
  <c r="B11" i="13"/>
  <c r="A11" i="13"/>
  <c r="I10" i="13"/>
  <c r="H10" i="13"/>
  <c r="G10" i="13"/>
  <c r="F10" i="13"/>
  <c r="E10" i="13"/>
  <c r="D10" i="13"/>
  <c r="C10" i="13"/>
  <c r="B10" i="13"/>
  <c r="A10" i="13"/>
  <c r="I9" i="13"/>
  <c r="H9" i="13"/>
  <c r="G9" i="13"/>
  <c r="F9" i="13"/>
  <c r="E9" i="13"/>
  <c r="D9" i="13"/>
  <c r="C9" i="13"/>
  <c r="B9" i="13"/>
  <c r="A9" i="13"/>
  <c r="I8" i="13"/>
  <c r="H8" i="13"/>
  <c r="G8" i="13"/>
  <c r="F8" i="13"/>
  <c r="E8" i="13"/>
  <c r="D8" i="13"/>
  <c r="C8" i="13"/>
  <c r="B8" i="13"/>
  <c r="A8" i="13"/>
  <c r="I7" i="13"/>
  <c r="H7" i="13"/>
  <c r="G7" i="13"/>
  <c r="F7" i="13"/>
  <c r="E7" i="13"/>
  <c r="D7" i="13"/>
  <c r="C7" i="13"/>
  <c r="B7" i="13"/>
  <c r="A7" i="13"/>
  <c r="I6" i="13"/>
  <c r="H6" i="13"/>
  <c r="G6" i="13"/>
  <c r="F6" i="13"/>
  <c r="E6" i="13"/>
  <c r="D6" i="13"/>
  <c r="C6" i="13"/>
  <c r="B6" i="13"/>
  <c r="A6" i="13"/>
  <c r="I5" i="13"/>
  <c r="H5" i="13"/>
  <c r="G5" i="13"/>
  <c r="F5" i="13"/>
  <c r="E5" i="13"/>
  <c r="D5" i="13"/>
  <c r="C5" i="13"/>
  <c r="B5" i="13"/>
  <c r="A5" i="13"/>
  <c r="I4" i="13"/>
  <c r="H4" i="13"/>
  <c r="G4" i="13"/>
  <c r="F4" i="13"/>
  <c r="E4" i="13"/>
  <c r="D4" i="13"/>
  <c r="C4" i="13"/>
  <c r="B4" i="13"/>
  <c r="A4" i="13"/>
  <c r="I3" i="13"/>
  <c r="A2" i="16" s="1"/>
  <c r="B2" i="16" s="1"/>
  <c r="H3" i="13"/>
  <c r="G3" i="13"/>
  <c r="F3" i="13"/>
  <c r="D2" i="16" s="1"/>
  <c r="E3" i="13"/>
  <c r="D3" i="13"/>
  <c r="C3" i="13"/>
  <c r="B3" i="13"/>
  <c r="A3" i="13"/>
  <c r="I2" i="13"/>
  <c r="H2" i="13"/>
  <c r="G2" i="13"/>
  <c r="F2" i="13"/>
  <c r="E2" i="13"/>
  <c r="D2" i="13"/>
  <c r="C2" i="13"/>
  <c r="B2" i="13"/>
  <c r="A2" i="13"/>
  <c r="H1" i="13"/>
  <c r="G1" i="13"/>
  <c r="F1" i="13"/>
  <c r="E1" i="13"/>
  <c r="D1" i="13"/>
  <c r="C1" i="13"/>
  <c r="B1" i="13"/>
  <c r="A1" i="13"/>
  <c r="C394" i="12"/>
  <c r="C401" i="13" s="1"/>
  <c r="E23" i="16" s="1"/>
  <c r="Q3" i="43" s="1"/>
  <c r="C393" i="12"/>
  <c r="M59" i="9"/>
  <c r="I59" i="9"/>
  <c r="E59" i="9"/>
  <c r="A59" i="9"/>
  <c r="J339" i="65"/>
  <c r="H339" i="65"/>
  <c r="A339" i="65"/>
  <c r="J338" i="65"/>
  <c r="H338" i="65"/>
  <c r="J337" i="65"/>
  <c r="H337" i="65"/>
  <c r="J336" i="65"/>
  <c r="H336" i="65"/>
  <c r="J335" i="65"/>
  <c r="H335" i="65"/>
  <c r="J334" i="65"/>
  <c r="H334" i="65"/>
  <c r="J333" i="65"/>
  <c r="H333" i="65"/>
  <c r="J332" i="65"/>
  <c r="H332" i="65"/>
  <c r="J331" i="65"/>
  <c r="H331" i="65"/>
  <c r="J330" i="65"/>
  <c r="H330" i="65"/>
  <c r="J329" i="65"/>
  <c r="H329" i="65"/>
  <c r="J328" i="65"/>
  <c r="H328" i="65"/>
  <c r="J327" i="65"/>
  <c r="H327" i="65"/>
  <c r="J326" i="65"/>
  <c r="H326" i="65"/>
  <c r="J325" i="65"/>
  <c r="H325" i="65"/>
  <c r="J324" i="65"/>
  <c r="H324" i="65"/>
  <c r="J323" i="65"/>
  <c r="H323" i="65"/>
  <c r="J322" i="65"/>
  <c r="H322" i="65"/>
  <c r="J321" i="65"/>
  <c r="H321" i="65"/>
  <c r="J320" i="65"/>
  <c r="H320" i="65"/>
  <c r="J319" i="65"/>
  <c r="H319" i="65"/>
  <c r="J318" i="65"/>
  <c r="H318" i="65"/>
  <c r="D318" i="65"/>
  <c r="I318" i="65" s="1"/>
  <c r="B318" i="65"/>
  <c r="G318" i="65" s="1"/>
  <c r="A318" i="65"/>
  <c r="F318" i="65" s="1"/>
  <c r="AB313" i="65"/>
  <c r="M313" i="65"/>
  <c r="A313" i="65"/>
  <c r="A360" i="65" s="1"/>
  <c r="F339" i="65" s="1"/>
  <c r="AJ312" i="65"/>
  <c r="AF311" i="65"/>
  <c r="AB311" i="65"/>
  <c r="V311" i="65"/>
  <c r="AC310" i="65"/>
  <c r="AI309" i="65"/>
  <c r="AH309" i="65"/>
  <c r="AK308" i="65"/>
  <c r="W308" i="65"/>
  <c r="AC307" i="65"/>
  <c r="AB307" i="65"/>
  <c r="U307" i="65"/>
  <c r="P307" i="65"/>
  <c r="AB306" i="65"/>
  <c r="S306" i="65"/>
  <c r="N306" i="65"/>
  <c r="M306" i="65"/>
  <c r="A306" i="65"/>
  <c r="A353" i="65" s="1"/>
  <c r="F332" i="65" s="1"/>
  <c r="AE305" i="65"/>
  <c r="R305" i="65"/>
  <c r="Q305" i="65"/>
  <c r="AB304" i="65"/>
  <c r="V304" i="65"/>
  <c r="P304" i="65"/>
  <c r="O304" i="65"/>
  <c r="AE302" i="65"/>
  <c r="R302" i="65"/>
  <c r="AD301" i="65"/>
  <c r="W301" i="65"/>
  <c r="V301" i="65"/>
  <c r="AL300" i="65"/>
  <c r="AF299" i="65"/>
  <c r="M299" i="65"/>
  <c r="AE298" i="65"/>
  <c r="Q298" i="65"/>
  <c r="AL297" i="65"/>
  <c r="AJ297" i="65"/>
  <c r="AI297" i="65"/>
  <c r="U297" i="65"/>
  <c r="AL296" i="65"/>
  <c r="AH296" i="65"/>
  <c r="S296" i="65"/>
  <c r="N296" i="65"/>
  <c r="M296" i="65"/>
  <c r="A296" i="65"/>
  <c r="A343" i="65" s="1"/>
  <c r="F322" i="65" s="1"/>
  <c r="W295" i="65"/>
  <c r="V295" i="65"/>
  <c r="R295" i="65"/>
  <c r="Q295" i="65"/>
  <c r="A295" i="65"/>
  <c r="A342" i="65" s="1"/>
  <c r="F321" i="65" s="1"/>
  <c r="AJ294" i="65"/>
  <c r="P294" i="65"/>
  <c r="T293" i="65"/>
  <c r="S293" i="65"/>
  <c r="N293" i="65"/>
  <c r="AB292" i="65"/>
  <c r="AE291" i="65"/>
  <c r="U290" i="65"/>
  <c r="T290" i="65"/>
  <c r="W289" i="65"/>
  <c r="AJ288" i="65"/>
  <c r="AB288" i="65"/>
  <c r="AJ287" i="65"/>
  <c r="AB287" i="65"/>
  <c r="W287" i="65"/>
  <c r="O287" i="65"/>
  <c r="M287" i="65"/>
  <c r="A286" i="65"/>
  <c r="A333" i="65" s="1"/>
  <c r="AL285" i="65"/>
  <c r="AJ285" i="65"/>
  <c r="AH285" i="65"/>
  <c r="AE285" i="65"/>
  <c r="Q285" i="65"/>
  <c r="AJ284" i="65"/>
  <c r="AD284" i="65"/>
  <c r="P284" i="65"/>
  <c r="O284" i="65"/>
  <c r="T283" i="65"/>
  <c r="N283" i="65"/>
  <c r="M283" i="65"/>
  <c r="A283" i="65"/>
  <c r="A330" i="65" s="1"/>
  <c r="AL282" i="65"/>
  <c r="A282" i="65"/>
  <c r="A329" i="65" s="1"/>
  <c r="W281" i="65"/>
  <c r="V281" i="65"/>
  <c r="Q281" i="65"/>
  <c r="P281" i="65"/>
  <c r="N280" i="65"/>
  <c r="AB278" i="65"/>
  <c r="W278" i="65"/>
  <c r="Q278" i="65"/>
  <c r="AB277" i="65"/>
  <c r="U277" i="65"/>
  <c r="AJ276" i="65"/>
  <c r="AH276" i="65"/>
  <c r="AG276" i="65"/>
  <c r="A276" i="65"/>
  <c r="A323" i="65" s="1"/>
  <c r="AL275" i="65"/>
  <c r="AE275" i="65"/>
  <c r="W275" i="65"/>
  <c r="AJ274" i="65"/>
  <c r="AK273" i="65"/>
  <c r="AJ273" i="65"/>
  <c r="AH273" i="65"/>
  <c r="A273" i="65"/>
  <c r="A320" i="65" s="1"/>
  <c r="R272" i="65"/>
  <c r="A272" i="65"/>
  <c r="A319" i="65" s="1"/>
  <c r="AH265" i="65"/>
  <c r="W312" i="65" s="1"/>
  <c r="A265" i="65"/>
  <c r="A312" i="65" s="1"/>
  <c r="A359" i="65" s="1"/>
  <c r="F338" i="65" s="1"/>
  <c r="AH264" i="65"/>
  <c r="W311" i="65" s="1"/>
  <c r="AC264" i="65"/>
  <c r="L264" i="65"/>
  <c r="Q311" i="65" s="1"/>
  <c r="I264" i="65"/>
  <c r="P311" i="65" s="1"/>
  <c r="E264" i="65"/>
  <c r="O311" i="65" s="1"/>
  <c r="AA263" i="65"/>
  <c r="U310" i="65" s="1"/>
  <c r="E263" i="65"/>
  <c r="O310" i="65" s="1"/>
  <c r="B263" i="65"/>
  <c r="AH262" i="65"/>
  <c r="W309" i="65" s="1"/>
  <c r="AA262" i="65"/>
  <c r="U309" i="65" s="1"/>
  <c r="V262" i="65"/>
  <c r="T309" i="65" s="1"/>
  <c r="S262" i="65"/>
  <c r="S309" i="65" s="1"/>
  <c r="N262" i="65"/>
  <c r="R309" i="65" s="1"/>
  <c r="A262" i="65"/>
  <c r="A309" i="65" s="1"/>
  <c r="A356" i="65" s="1"/>
  <c r="F335" i="65" s="1"/>
  <c r="AH261" i="65"/>
  <c r="L260" i="65"/>
  <c r="Q307" i="65" s="1"/>
  <c r="I260" i="65"/>
  <c r="E260" i="65"/>
  <c r="O307" i="65" s="1"/>
  <c r="AH259" i="65"/>
  <c r="W306" i="65" s="1"/>
  <c r="AA259" i="65"/>
  <c r="U306" i="65" s="1"/>
  <c r="B259" i="65"/>
  <c r="N258" i="65"/>
  <c r="L258" i="65"/>
  <c r="A258" i="65"/>
  <c r="A305" i="65" s="1"/>
  <c r="A352" i="65" s="1"/>
  <c r="F331" i="65" s="1"/>
  <c r="AH257" i="65"/>
  <c r="W304" i="65" s="1"/>
  <c r="AC257" i="65"/>
  <c r="AA257" i="65"/>
  <c r="U304" i="65" s="1"/>
  <c r="V256" i="65"/>
  <c r="T303" i="65" s="1"/>
  <c r="L256" i="65"/>
  <c r="Q303" i="65" s="1"/>
  <c r="I256" i="65"/>
  <c r="P303" i="65" s="1"/>
  <c r="E256" i="65"/>
  <c r="O303" i="65" s="1"/>
  <c r="B256" i="65"/>
  <c r="N303" i="65" s="1"/>
  <c r="A256" i="65"/>
  <c r="A303" i="65" s="1"/>
  <c r="A350" i="65" s="1"/>
  <c r="F329" i="65" s="1"/>
  <c r="AH255" i="65"/>
  <c r="W302" i="65" s="1"/>
  <c r="AH254" i="65"/>
  <c r="AC254" i="65"/>
  <c r="L254" i="65"/>
  <c r="Q301" i="65" s="1"/>
  <c r="I254" i="65"/>
  <c r="P301" i="65" s="1"/>
  <c r="AA253" i="65"/>
  <c r="U300" i="65" s="1"/>
  <c r="V253" i="65"/>
  <c r="T300" i="65" s="1"/>
  <c r="S253" i="65"/>
  <c r="S300" i="65" s="1"/>
  <c r="L253" i="65"/>
  <c r="Q300" i="65" s="1"/>
  <c r="B253" i="65"/>
  <c r="N300" i="65" s="1"/>
  <c r="S252" i="65"/>
  <c r="S299" i="65" s="1"/>
  <c r="A252" i="65"/>
  <c r="A299" i="65" s="1"/>
  <c r="A346" i="65" s="1"/>
  <c r="F325" i="65" s="1"/>
  <c r="AH251" i="65"/>
  <c r="W298" i="65" s="1"/>
  <c r="N251" i="65"/>
  <c r="R298" i="65" s="1"/>
  <c r="L251" i="65"/>
  <c r="I250" i="65"/>
  <c r="P297" i="65" s="1"/>
  <c r="E250" i="65"/>
  <c r="O297" i="65" s="1"/>
  <c r="AH249" i="65"/>
  <c r="W296" i="65" s="1"/>
  <c r="AA249" i="65"/>
  <c r="U296" i="65" s="1"/>
  <c r="V249" i="65"/>
  <c r="T296" i="65" s="1"/>
  <c r="S249" i="65"/>
  <c r="N248" i="65"/>
  <c r="L248" i="65"/>
  <c r="A248" i="65"/>
  <c r="AH247" i="65"/>
  <c r="W294" i="65" s="1"/>
  <c r="AC247" i="65"/>
  <c r="V294" i="65" s="1"/>
  <c r="AA247" i="65"/>
  <c r="U294" i="65" s="1"/>
  <c r="L246" i="65"/>
  <c r="Q293" i="65" s="1"/>
  <c r="I246" i="65"/>
  <c r="P293" i="65" s="1"/>
  <c r="E246" i="65"/>
  <c r="O293" i="65" s="1"/>
  <c r="B246" i="65"/>
  <c r="A246" i="65"/>
  <c r="A293" i="65" s="1"/>
  <c r="A340" i="65" s="1"/>
  <c r="F319" i="65" s="1"/>
  <c r="AH245" i="65"/>
  <c r="W292" i="65" s="1"/>
  <c r="A245" i="65"/>
  <c r="A292" i="65" s="1"/>
  <c r="L244" i="65"/>
  <c r="Q291" i="65" s="1"/>
  <c r="I244" i="65"/>
  <c r="P291" i="65" s="1"/>
  <c r="AA243" i="65"/>
  <c r="V243" i="65"/>
  <c r="L243" i="65"/>
  <c r="Q290" i="65" s="1"/>
  <c r="I243" i="65"/>
  <c r="P290" i="65" s="1"/>
  <c r="E243" i="65"/>
  <c r="O290" i="65" s="1"/>
  <c r="B243" i="65"/>
  <c r="A243" i="65"/>
  <c r="A290" i="65" s="1"/>
  <c r="A337" i="65" s="1"/>
  <c r="S242" i="65"/>
  <c r="S289" i="65" s="1"/>
  <c r="A242" i="65"/>
  <c r="A289" i="65" s="1"/>
  <c r="A336" i="65" s="1"/>
  <c r="AH241" i="65"/>
  <c r="W288" i="65" s="1"/>
  <c r="L241" i="65"/>
  <c r="Q288" i="65" s="1"/>
  <c r="E240" i="65"/>
  <c r="A240" i="65"/>
  <c r="A287" i="65" s="1"/>
  <c r="A334" i="65" s="1"/>
  <c r="AH239" i="65"/>
  <c r="W286" i="65" s="1"/>
  <c r="AA239" i="65"/>
  <c r="U286" i="65" s="1"/>
  <c r="V239" i="65"/>
  <c r="T286" i="65" s="1"/>
  <c r="S239" i="65"/>
  <c r="S286" i="65" s="1"/>
  <c r="B239" i="65"/>
  <c r="N286" i="65" s="1"/>
  <c r="L238" i="65"/>
  <c r="AA237" i="65"/>
  <c r="U284" i="65" s="1"/>
  <c r="AA236" i="65"/>
  <c r="U283" i="65" s="1"/>
  <c r="B236" i="65"/>
  <c r="A236" i="65"/>
  <c r="AH235" i="65"/>
  <c r="W282" i="65" s="1"/>
  <c r="A235" i="65"/>
  <c r="AH234" i="65"/>
  <c r="AC234" i="65"/>
  <c r="AA233" i="65"/>
  <c r="U280" i="65" s="1"/>
  <c r="V233" i="65"/>
  <c r="T280" i="65" s="1"/>
  <c r="L233" i="65"/>
  <c r="Q280" i="65" s="1"/>
  <c r="I233" i="65"/>
  <c r="P280" i="65" s="1"/>
  <c r="E233" i="65"/>
  <c r="O280" i="65" s="1"/>
  <c r="B233" i="65"/>
  <c r="AH231" i="65"/>
  <c r="N231" i="65"/>
  <c r="R278" i="65" s="1"/>
  <c r="L231" i="65"/>
  <c r="AH230" i="65"/>
  <c r="W277" i="65" s="1"/>
  <c r="AH229" i="65"/>
  <c r="W276" i="65" s="1"/>
  <c r="V229" i="65"/>
  <c r="T276" i="65" s="1"/>
  <c r="S229" i="65"/>
  <c r="S276" i="65" s="1"/>
  <c r="B229" i="65"/>
  <c r="N276" i="65" s="1"/>
  <c r="L228" i="65"/>
  <c r="Q275" i="65" s="1"/>
  <c r="AA227" i="65"/>
  <c r="U274" i="65" s="1"/>
  <c r="N227" i="65"/>
  <c r="R274" i="65" s="1"/>
  <c r="B227" i="65"/>
  <c r="N274" i="65" s="1"/>
  <c r="B226" i="65"/>
  <c r="N273" i="65" s="1"/>
  <c r="A226" i="65"/>
  <c r="AH225" i="65"/>
  <c r="N225" i="65"/>
  <c r="A225" i="65"/>
  <c r="AH224" i="65"/>
  <c r="W271" i="65" s="1"/>
  <c r="AG224" i="65"/>
  <c r="AC224" i="65"/>
  <c r="V271" i="65" s="1"/>
  <c r="AB224" i="65"/>
  <c r="Y224" i="65"/>
  <c r="X224" i="65"/>
  <c r="N224" i="65"/>
  <c r="R271" i="65" s="1"/>
  <c r="M224" i="65"/>
  <c r="L224" i="65"/>
  <c r="Q271" i="65" s="1"/>
  <c r="K224" i="65"/>
  <c r="J224" i="65"/>
  <c r="H224" i="65"/>
  <c r="AH222" i="65"/>
  <c r="AG222" i="65"/>
  <c r="AF222" i="65"/>
  <c r="AE222" i="65"/>
  <c r="AD222" i="65"/>
  <c r="AC222" i="65"/>
  <c r="AC265" i="65" s="1"/>
  <c r="V312" i="65" s="1"/>
  <c r="AB222" i="65"/>
  <c r="AA222" i="65"/>
  <c r="Z222" i="65"/>
  <c r="Y222" i="65"/>
  <c r="X222" i="65"/>
  <c r="W222" i="65"/>
  <c r="V222" i="65"/>
  <c r="U222" i="65"/>
  <c r="T222" i="65"/>
  <c r="S222" i="65"/>
  <c r="R222" i="65"/>
  <c r="Q222" i="65"/>
  <c r="N265" i="65" s="1"/>
  <c r="R312" i="65" s="1"/>
  <c r="P222" i="65"/>
  <c r="O222" i="65"/>
  <c r="N222" i="65"/>
  <c r="M222" i="65"/>
  <c r="L222" i="65"/>
  <c r="K222" i="65"/>
  <c r="J222" i="65"/>
  <c r="I222" i="65"/>
  <c r="I265" i="65" s="1"/>
  <c r="P312" i="65" s="1"/>
  <c r="H222" i="65"/>
  <c r="G222" i="65"/>
  <c r="F222" i="65"/>
  <c r="E222" i="65"/>
  <c r="D222" i="65"/>
  <c r="C222" i="65"/>
  <c r="B222" i="65"/>
  <c r="A222" i="65"/>
  <c r="AH221" i="65"/>
  <c r="AG221" i="65"/>
  <c r="AF221" i="65"/>
  <c r="AE221" i="65"/>
  <c r="AD221" i="65"/>
  <c r="AC221" i="65"/>
  <c r="AB221" i="65"/>
  <c r="AA221" i="65"/>
  <c r="AA264" i="65" s="1"/>
  <c r="U311" i="65" s="1"/>
  <c r="Z221" i="65"/>
  <c r="Y221" i="65"/>
  <c r="X221" i="65"/>
  <c r="W221" i="65"/>
  <c r="V221" i="65"/>
  <c r="V264" i="65" s="1"/>
  <c r="T311" i="65" s="1"/>
  <c r="U221" i="65"/>
  <c r="T221" i="65"/>
  <c r="S221" i="65"/>
  <c r="S264" i="65" s="1"/>
  <c r="S311" i="65" s="1"/>
  <c r="R221" i="65"/>
  <c r="Q221" i="65"/>
  <c r="P221" i="65"/>
  <c r="O221" i="65"/>
  <c r="N264" i="65" s="1"/>
  <c r="R311" i="65" s="1"/>
  <c r="N221" i="65"/>
  <c r="M221" i="65"/>
  <c r="L221" i="65"/>
  <c r="K221" i="65"/>
  <c r="J221" i="65"/>
  <c r="I221" i="65"/>
  <c r="H221" i="65"/>
  <c r="G221" i="65"/>
  <c r="F221" i="65"/>
  <c r="E221" i="65"/>
  <c r="D221" i="65"/>
  <c r="C221" i="65"/>
  <c r="B221" i="65"/>
  <c r="B264" i="65" s="1"/>
  <c r="A221" i="65"/>
  <c r="A264" i="65" s="1"/>
  <c r="A311" i="65" s="1"/>
  <c r="A358" i="65" s="1"/>
  <c r="F337" i="65" s="1"/>
  <c r="AH220" i="65"/>
  <c r="AH263" i="65" s="1"/>
  <c r="W310" i="65" s="1"/>
  <c r="AG220" i="65"/>
  <c r="AF220" i="65"/>
  <c r="AE220" i="65"/>
  <c r="AD220" i="65"/>
  <c r="AC220" i="65"/>
  <c r="AB220" i="65"/>
  <c r="AA220" i="65"/>
  <c r="Z220" i="65"/>
  <c r="Y220" i="65"/>
  <c r="V263" i="65" s="1"/>
  <c r="T310" i="65" s="1"/>
  <c r="X220" i="65"/>
  <c r="W220" i="65"/>
  <c r="V220" i="65"/>
  <c r="U220" i="65"/>
  <c r="T220" i="65"/>
  <c r="S220" i="65"/>
  <c r="S263" i="65" s="1"/>
  <c r="S310" i="65" s="1"/>
  <c r="R220" i="65"/>
  <c r="Q220" i="65"/>
  <c r="P220" i="65"/>
  <c r="O220" i="65"/>
  <c r="N220" i="65"/>
  <c r="M220" i="65"/>
  <c r="L220" i="65"/>
  <c r="K220" i="65"/>
  <c r="J220" i="65"/>
  <c r="I220" i="65"/>
  <c r="H220" i="65"/>
  <c r="G220" i="65"/>
  <c r="F220" i="65"/>
  <c r="E220" i="65"/>
  <c r="D220" i="65"/>
  <c r="C220" i="65"/>
  <c r="B220" i="65"/>
  <c r="A220" i="65"/>
  <c r="A263" i="65" s="1"/>
  <c r="A310" i="65" s="1"/>
  <c r="A357" i="65" s="1"/>
  <c r="F336" i="65" s="1"/>
  <c r="AH219" i="65"/>
  <c r="AG219" i="65"/>
  <c r="AF219" i="65"/>
  <c r="AE219" i="65"/>
  <c r="AD219" i="65"/>
  <c r="AC219" i="65"/>
  <c r="AB219" i="65"/>
  <c r="AA219" i="65"/>
  <c r="Z219" i="65"/>
  <c r="Y219" i="65"/>
  <c r="X219" i="65"/>
  <c r="W219" i="65"/>
  <c r="V219" i="65"/>
  <c r="U219" i="65"/>
  <c r="T219" i="65"/>
  <c r="S219" i="65"/>
  <c r="R219" i="65"/>
  <c r="Q219" i="65"/>
  <c r="P219" i="65"/>
  <c r="O219" i="65"/>
  <c r="N219" i="65"/>
  <c r="M219" i="65"/>
  <c r="L219" i="65"/>
  <c r="K219" i="65"/>
  <c r="J219" i="65"/>
  <c r="I219" i="65"/>
  <c r="H219" i="65"/>
  <c r="G219" i="65"/>
  <c r="F219" i="65"/>
  <c r="E219" i="65"/>
  <c r="D219" i="65"/>
  <c r="C219" i="65"/>
  <c r="B219" i="65"/>
  <c r="A219" i="65"/>
  <c r="AH218" i="65"/>
  <c r="AG218" i="65"/>
  <c r="AF218" i="65"/>
  <c r="AE218" i="65"/>
  <c r="AD218" i="65"/>
  <c r="AC218" i="65"/>
  <c r="AC261" i="65" s="1"/>
  <c r="V308" i="65" s="1"/>
  <c r="AB218" i="65"/>
  <c r="AA218" i="65"/>
  <c r="AA261" i="65" s="1"/>
  <c r="U308" i="65" s="1"/>
  <c r="Z218" i="65"/>
  <c r="Y218" i="65"/>
  <c r="X218" i="65"/>
  <c r="W218" i="65"/>
  <c r="V218" i="65"/>
  <c r="U218" i="65"/>
  <c r="T218" i="65"/>
  <c r="S218" i="65"/>
  <c r="R218" i="65"/>
  <c r="Q218" i="65"/>
  <c r="P218" i="65"/>
  <c r="O218" i="65"/>
  <c r="N218" i="65"/>
  <c r="M218" i="65"/>
  <c r="L261" i="65" s="1"/>
  <c r="Q308" i="65" s="1"/>
  <c r="L218" i="65"/>
  <c r="K218" i="65"/>
  <c r="J218" i="65"/>
  <c r="I218" i="65"/>
  <c r="I261" i="65" s="1"/>
  <c r="P308" i="65" s="1"/>
  <c r="H218" i="65"/>
  <c r="G218" i="65"/>
  <c r="F218" i="65"/>
  <c r="E218" i="65"/>
  <c r="E261" i="65" s="1"/>
  <c r="O308" i="65" s="1"/>
  <c r="D218" i="65"/>
  <c r="C218" i="65"/>
  <c r="B218" i="65"/>
  <c r="A218" i="65"/>
  <c r="A261" i="65" s="1"/>
  <c r="A308" i="65" s="1"/>
  <c r="A355" i="65" s="1"/>
  <c r="F334" i="65" s="1"/>
  <c r="AH217" i="65"/>
  <c r="AH260" i="65" s="1"/>
  <c r="W307" i="65" s="1"/>
  <c r="AG217" i="65"/>
  <c r="AF217" i="65"/>
  <c r="AE217" i="65"/>
  <c r="AD217" i="65"/>
  <c r="AC217" i="65"/>
  <c r="AB217" i="65"/>
  <c r="AA217" i="65"/>
  <c r="AA260" i="65" s="1"/>
  <c r="Z217" i="65"/>
  <c r="Y217" i="65"/>
  <c r="X217" i="65"/>
  <c r="W217" i="65"/>
  <c r="V217" i="65"/>
  <c r="U217" i="65"/>
  <c r="T217" i="65"/>
  <c r="S217" i="65"/>
  <c r="S260" i="65" s="1"/>
  <c r="S307" i="65" s="1"/>
  <c r="R217" i="65"/>
  <c r="Q217" i="65"/>
  <c r="P217" i="65"/>
  <c r="O217" i="65"/>
  <c r="N217" i="65"/>
  <c r="M217" i="65"/>
  <c r="L217" i="65"/>
  <c r="K217" i="65"/>
  <c r="J217" i="65"/>
  <c r="I217" i="65"/>
  <c r="H217" i="65"/>
  <c r="G217" i="65"/>
  <c r="F217" i="65"/>
  <c r="E217" i="65"/>
  <c r="D217" i="65"/>
  <c r="C217" i="65"/>
  <c r="B217" i="65"/>
  <c r="B260" i="65" s="1"/>
  <c r="A217" i="65"/>
  <c r="A260" i="65" s="1"/>
  <c r="A307" i="65" s="1"/>
  <c r="A354" i="65" s="1"/>
  <c r="F333" i="65" s="1"/>
  <c r="AH216" i="65"/>
  <c r="AG216" i="65"/>
  <c r="AF216" i="65"/>
  <c r="AC259" i="65" s="1"/>
  <c r="V306" i="65" s="1"/>
  <c r="AE216" i="65"/>
  <c r="AD216" i="65"/>
  <c r="AC216" i="65"/>
  <c r="AB216" i="65"/>
  <c r="AA216" i="65"/>
  <c r="Z216" i="65"/>
  <c r="Y216" i="65"/>
  <c r="X216" i="65"/>
  <c r="W216" i="65"/>
  <c r="V216" i="65"/>
  <c r="U216" i="65"/>
  <c r="S259" i="65" s="1"/>
  <c r="T216" i="65"/>
  <c r="S216" i="65"/>
  <c r="R216" i="65"/>
  <c r="Q216" i="65"/>
  <c r="P216" i="65"/>
  <c r="O216" i="65"/>
  <c r="N216" i="65"/>
  <c r="M216" i="65"/>
  <c r="L216" i="65"/>
  <c r="L259" i="65" s="1"/>
  <c r="Q306" i="65" s="1"/>
  <c r="K216" i="65"/>
  <c r="J216" i="65"/>
  <c r="I216" i="65"/>
  <c r="H216" i="65"/>
  <c r="G216" i="65"/>
  <c r="F216" i="65"/>
  <c r="E216" i="65"/>
  <c r="D216" i="65"/>
  <c r="C216" i="65"/>
  <c r="B216" i="65"/>
  <c r="A216" i="65"/>
  <c r="A259" i="65" s="1"/>
  <c r="AH215" i="65"/>
  <c r="AH258" i="65" s="1"/>
  <c r="W305" i="65" s="1"/>
  <c r="AG215" i="65"/>
  <c r="AF215" i="65"/>
  <c r="AE215" i="65"/>
  <c r="AD215" i="65"/>
  <c r="AC215" i="65"/>
  <c r="AC258" i="65" s="1"/>
  <c r="V305" i="65" s="1"/>
  <c r="AB215" i="65"/>
  <c r="AA215" i="65"/>
  <c r="AA258" i="65" s="1"/>
  <c r="U305" i="65" s="1"/>
  <c r="Z215" i="65"/>
  <c r="Y215" i="65"/>
  <c r="X215" i="65"/>
  <c r="W215" i="65"/>
  <c r="V215" i="65"/>
  <c r="V258" i="65" s="1"/>
  <c r="T305" i="65" s="1"/>
  <c r="U215" i="65"/>
  <c r="T215" i="65"/>
  <c r="S258" i="65" s="1"/>
  <c r="S305" i="65" s="1"/>
  <c r="S215" i="65"/>
  <c r="R215" i="65"/>
  <c r="Q215" i="65"/>
  <c r="P215" i="65"/>
  <c r="O215" i="65"/>
  <c r="N215" i="65"/>
  <c r="M215" i="65"/>
  <c r="L215" i="65"/>
  <c r="K215" i="65"/>
  <c r="J215" i="65"/>
  <c r="I215" i="65"/>
  <c r="I258" i="65" s="1"/>
  <c r="P305" i="65" s="1"/>
  <c r="H215" i="65"/>
  <c r="G215" i="65"/>
  <c r="F215" i="65"/>
  <c r="E215" i="65"/>
  <c r="E258" i="65" s="1"/>
  <c r="O305" i="65" s="1"/>
  <c r="D215" i="65"/>
  <c r="C215" i="65"/>
  <c r="B215" i="65"/>
  <c r="B258" i="65" s="1"/>
  <c r="A215" i="65"/>
  <c r="AH214" i="65"/>
  <c r="AG214" i="65"/>
  <c r="AF214" i="65"/>
  <c r="AE214" i="65"/>
  <c r="AD214" i="65"/>
  <c r="AC214" i="65"/>
  <c r="AB214" i="65"/>
  <c r="AA214" i="65"/>
  <c r="Z214" i="65"/>
  <c r="Y214" i="65"/>
  <c r="X214" i="65"/>
  <c r="W214" i="65"/>
  <c r="V214" i="65"/>
  <c r="U214" i="65"/>
  <c r="T214" i="65"/>
  <c r="S214" i="65"/>
  <c r="R214" i="65"/>
  <c r="Q214" i="65"/>
  <c r="P214" i="65"/>
  <c r="O214" i="65"/>
  <c r="N214" i="65"/>
  <c r="M214" i="65"/>
  <c r="L214" i="65"/>
  <c r="K214" i="65"/>
  <c r="J214" i="65"/>
  <c r="I214" i="65"/>
  <c r="I257" i="65" s="1"/>
  <c r="H214" i="65"/>
  <c r="G214" i="65"/>
  <c r="F214" i="65"/>
  <c r="E214" i="65"/>
  <c r="E257" i="65" s="1"/>
  <c r="D214" i="65"/>
  <c r="C214" i="65"/>
  <c r="B214" i="65"/>
  <c r="A214" i="65"/>
  <c r="A257" i="65" s="1"/>
  <c r="A304" i="65" s="1"/>
  <c r="A351" i="65" s="1"/>
  <c r="F330" i="65" s="1"/>
  <c r="AH213" i="65"/>
  <c r="AH256" i="65" s="1"/>
  <c r="W303" i="65" s="1"/>
  <c r="AG213" i="65"/>
  <c r="AF213" i="65"/>
  <c r="AE213" i="65"/>
  <c r="AD213" i="65"/>
  <c r="AC213" i="65"/>
  <c r="AB213" i="65"/>
  <c r="AA256" i="65" s="1"/>
  <c r="U303" i="65" s="1"/>
  <c r="AA213" i="65"/>
  <c r="Z213" i="65"/>
  <c r="Y213" i="65"/>
  <c r="X213" i="65"/>
  <c r="W213" i="65"/>
  <c r="V213" i="65"/>
  <c r="U213" i="65"/>
  <c r="T213" i="65"/>
  <c r="S213" i="65"/>
  <c r="S256" i="65" s="1"/>
  <c r="S303" i="65" s="1"/>
  <c r="R213" i="65"/>
  <c r="Q213" i="65"/>
  <c r="P213" i="65"/>
  <c r="O213" i="65"/>
  <c r="N213" i="65"/>
  <c r="N256" i="65" s="1"/>
  <c r="R303" i="65" s="1"/>
  <c r="M213" i="65"/>
  <c r="L213" i="65"/>
  <c r="K213" i="65"/>
  <c r="J213" i="65"/>
  <c r="I213" i="65"/>
  <c r="H213" i="65"/>
  <c r="G213" i="65"/>
  <c r="F213" i="65"/>
  <c r="E213" i="65"/>
  <c r="D213" i="65"/>
  <c r="C213" i="65"/>
  <c r="B213" i="65"/>
  <c r="A213" i="65"/>
  <c r="AH212" i="65"/>
  <c r="AG212" i="65"/>
  <c r="AF212" i="65"/>
  <c r="AE212" i="65"/>
  <c r="AD212" i="65"/>
  <c r="AC212" i="65"/>
  <c r="AC255" i="65" s="1"/>
  <c r="V302" i="65" s="1"/>
  <c r="AB212" i="65"/>
  <c r="AA212" i="65"/>
  <c r="Z212" i="65"/>
  <c r="Y212" i="65"/>
  <c r="X212" i="65"/>
  <c r="W212" i="65"/>
  <c r="V212" i="65"/>
  <c r="U212" i="65"/>
  <c r="T212" i="65"/>
  <c r="S212" i="65"/>
  <c r="R212" i="65"/>
  <c r="Q212" i="65"/>
  <c r="N255" i="65" s="1"/>
  <c r="P212" i="65"/>
  <c r="O212" i="65"/>
  <c r="N212" i="65"/>
  <c r="M212" i="65"/>
  <c r="L212" i="65"/>
  <c r="L255" i="65" s="1"/>
  <c r="Q302" i="65" s="1"/>
  <c r="K212" i="65"/>
  <c r="J212" i="65"/>
  <c r="I212" i="65"/>
  <c r="I255" i="65" s="1"/>
  <c r="P302" i="65" s="1"/>
  <c r="H212" i="65"/>
  <c r="G212" i="65"/>
  <c r="F212" i="65"/>
  <c r="E212" i="65"/>
  <c r="D212" i="65"/>
  <c r="C212" i="65"/>
  <c r="B212" i="65"/>
  <c r="A212" i="65"/>
  <c r="A255" i="65" s="1"/>
  <c r="A302" i="65" s="1"/>
  <c r="A349" i="65" s="1"/>
  <c r="F328" i="65" s="1"/>
  <c r="AH211" i="65"/>
  <c r="AG211" i="65"/>
  <c r="AF211" i="65"/>
  <c r="AE211" i="65"/>
  <c r="AD211" i="65"/>
  <c r="AC211" i="65"/>
  <c r="AB211" i="65"/>
  <c r="AA211" i="65"/>
  <c r="AA254" i="65" s="1"/>
  <c r="U301" i="65" s="1"/>
  <c r="Z211" i="65"/>
  <c r="Y211" i="65"/>
  <c r="X211" i="65"/>
  <c r="W211" i="65"/>
  <c r="V211" i="65"/>
  <c r="V254" i="65" s="1"/>
  <c r="T301" i="65" s="1"/>
  <c r="U211" i="65"/>
  <c r="T211" i="65"/>
  <c r="S211" i="65"/>
  <c r="S254" i="65" s="1"/>
  <c r="S301" i="65" s="1"/>
  <c r="R211" i="65"/>
  <c r="Q211" i="65"/>
  <c r="P211" i="65"/>
  <c r="O211" i="65"/>
  <c r="N211" i="65"/>
  <c r="M211" i="65"/>
  <c r="L211" i="65"/>
  <c r="K211" i="65"/>
  <c r="J211" i="65"/>
  <c r="I211" i="65"/>
  <c r="H211" i="65"/>
  <c r="G211" i="65"/>
  <c r="F211" i="65"/>
  <c r="E211" i="65"/>
  <c r="E254" i="65" s="1"/>
  <c r="O301" i="65" s="1"/>
  <c r="D211" i="65"/>
  <c r="C211" i="65"/>
  <c r="B211" i="65"/>
  <c r="B254" i="65" s="1"/>
  <c r="A211" i="65"/>
  <c r="A254" i="65" s="1"/>
  <c r="A301" i="65" s="1"/>
  <c r="A348" i="65" s="1"/>
  <c r="F327" i="65" s="1"/>
  <c r="AH210" i="65"/>
  <c r="AH253" i="65" s="1"/>
  <c r="W300" i="65" s="1"/>
  <c r="AG210" i="65"/>
  <c r="AF210" i="65"/>
  <c r="AE210" i="65"/>
  <c r="AD210" i="65"/>
  <c r="AC210" i="65"/>
  <c r="AB210" i="65"/>
  <c r="AA210" i="65"/>
  <c r="Z210" i="65"/>
  <c r="Y210" i="65"/>
  <c r="X210" i="65"/>
  <c r="W210" i="65"/>
  <c r="V210" i="65"/>
  <c r="U210" i="65"/>
  <c r="T210" i="65"/>
  <c r="S210" i="65"/>
  <c r="R210" i="65"/>
  <c r="Q210" i="65"/>
  <c r="P210" i="65"/>
  <c r="N253" i="65" s="1"/>
  <c r="R300" i="65" s="1"/>
  <c r="O210" i="65"/>
  <c r="N210" i="65"/>
  <c r="M210" i="65"/>
  <c r="L210" i="65"/>
  <c r="K210" i="65"/>
  <c r="J210" i="65"/>
  <c r="I210" i="65"/>
  <c r="H210" i="65"/>
  <c r="G210" i="65"/>
  <c r="F210" i="65"/>
  <c r="E210" i="65"/>
  <c r="E253" i="65" s="1"/>
  <c r="O300" i="65" s="1"/>
  <c r="D210" i="65"/>
  <c r="C210" i="65"/>
  <c r="B210" i="65"/>
  <c r="A210" i="65"/>
  <c r="A253" i="65" s="1"/>
  <c r="A300" i="65" s="1"/>
  <c r="A347" i="65" s="1"/>
  <c r="F326" i="65" s="1"/>
  <c r="AH209" i="65"/>
  <c r="AH252" i="65" s="1"/>
  <c r="W299" i="65" s="1"/>
  <c r="AG209" i="65"/>
  <c r="AF209" i="65"/>
  <c r="AE209" i="65"/>
  <c r="AD209" i="65"/>
  <c r="AC209" i="65"/>
  <c r="AB209" i="65"/>
  <c r="AA209" i="65"/>
  <c r="AA252" i="65" s="1"/>
  <c r="U299" i="65" s="1"/>
  <c r="Z209" i="65"/>
  <c r="V252" i="65" s="1"/>
  <c r="T299" i="65" s="1"/>
  <c r="Y209" i="65"/>
  <c r="X209" i="65"/>
  <c r="W209" i="65"/>
  <c r="V209" i="65"/>
  <c r="U209" i="65"/>
  <c r="T209" i="65"/>
  <c r="S209" i="65"/>
  <c r="R209" i="65"/>
  <c r="Q209" i="65"/>
  <c r="P209" i="65"/>
  <c r="O209" i="65"/>
  <c r="N209" i="65"/>
  <c r="M209" i="65"/>
  <c r="L209" i="65"/>
  <c r="K209" i="65"/>
  <c r="J209" i="65"/>
  <c r="I209" i="65"/>
  <c r="H209" i="65"/>
  <c r="G209" i="65"/>
  <c r="F209" i="65"/>
  <c r="E209" i="65"/>
  <c r="D209" i="65"/>
  <c r="C209" i="65"/>
  <c r="B209" i="65"/>
  <c r="A209" i="65"/>
  <c r="AH208" i="65"/>
  <c r="AG208" i="65"/>
  <c r="AF208" i="65"/>
  <c r="AE208" i="65"/>
  <c r="AD208" i="65"/>
  <c r="AC208" i="65"/>
  <c r="AC251" i="65" s="1"/>
  <c r="V298" i="65" s="1"/>
  <c r="AB208" i="65"/>
  <c r="AA208" i="65"/>
  <c r="AA251" i="65" s="1"/>
  <c r="U298" i="65" s="1"/>
  <c r="Z208" i="65"/>
  <c r="Y208" i="65"/>
  <c r="X208" i="65"/>
  <c r="W208" i="65"/>
  <c r="V208" i="65"/>
  <c r="V251" i="65" s="1"/>
  <c r="T298" i="65" s="1"/>
  <c r="U208" i="65"/>
  <c r="T208" i="65"/>
  <c r="S208" i="65"/>
  <c r="S251" i="65" s="1"/>
  <c r="S298" i="65" s="1"/>
  <c r="R208" i="65"/>
  <c r="Q208" i="65"/>
  <c r="P208" i="65"/>
  <c r="O208" i="65"/>
  <c r="N208" i="65"/>
  <c r="M208" i="65"/>
  <c r="L208" i="65"/>
  <c r="K208" i="65"/>
  <c r="J208" i="65"/>
  <c r="I208" i="65"/>
  <c r="I251" i="65" s="1"/>
  <c r="P298" i="65" s="1"/>
  <c r="H208" i="65"/>
  <c r="G208" i="65"/>
  <c r="F208" i="65"/>
  <c r="E208" i="65"/>
  <c r="E251" i="65" s="1"/>
  <c r="O298" i="65" s="1"/>
  <c r="D208" i="65"/>
  <c r="C208" i="65"/>
  <c r="B208" i="65"/>
  <c r="A208" i="65"/>
  <c r="A251" i="65" s="1"/>
  <c r="A298" i="65" s="1"/>
  <c r="A345" i="65" s="1"/>
  <c r="F324" i="65" s="1"/>
  <c r="AH207" i="65"/>
  <c r="AH250" i="65" s="1"/>
  <c r="W297" i="65" s="1"/>
  <c r="AG207" i="65"/>
  <c r="AF207" i="65"/>
  <c r="AE207" i="65"/>
  <c r="AD207" i="65"/>
  <c r="AC207" i="65"/>
  <c r="AB207" i="65"/>
  <c r="AA207" i="65"/>
  <c r="AA250" i="65" s="1"/>
  <c r="Z207" i="65"/>
  <c r="Y207" i="65"/>
  <c r="X207" i="65"/>
  <c r="W207" i="65"/>
  <c r="V207" i="65"/>
  <c r="U207" i="65"/>
  <c r="T207" i="65"/>
  <c r="S207" i="65"/>
  <c r="S250" i="65" s="1"/>
  <c r="S297" i="65" s="1"/>
  <c r="R207" i="65"/>
  <c r="Q207" i="65"/>
  <c r="P207" i="65"/>
  <c r="O207" i="65"/>
  <c r="N207" i="65"/>
  <c r="M207" i="65"/>
  <c r="L207" i="65"/>
  <c r="L250" i="65" s="1"/>
  <c r="Q297" i="65" s="1"/>
  <c r="K207" i="65"/>
  <c r="J207" i="65"/>
  <c r="I207" i="65"/>
  <c r="H207" i="65"/>
  <c r="G207" i="65"/>
  <c r="F207" i="65"/>
  <c r="E207" i="65"/>
  <c r="D207" i="65"/>
  <c r="C207" i="65"/>
  <c r="B207" i="65"/>
  <c r="A207" i="65"/>
  <c r="A250" i="65" s="1"/>
  <c r="A297" i="65" s="1"/>
  <c r="A344" i="65" s="1"/>
  <c r="F323" i="65" s="1"/>
  <c r="AH206" i="65"/>
  <c r="AG206" i="65"/>
  <c r="AF206" i="65"/>
  <c r="AE206" i="65"/>
  <c r="AC249" i="65" s="1"/>
  <c r="V296" i="65" s="1"/>
  <c r="AD206" i="65"/>
  <c r="AC206" i="65"/>
  <c r="AB206" i="65"/>
  <c r="AA206" i="65"/>
  <c r="Z206" i="65"/>
  <c r="Y206" i="65"/>
  <c r="X206" i="65"/>
  <c r="W206" i="65"/>
  <c r="V206" i="65"/>
  <c r="U206" i="65"/>
  <c r="T206" i="65"/>
  <c r="S206" i="65"/>
  <c r="R206" i="65"/>
  <c r="Q206" i="65"/>
  <c r="P206" i="65"/>
  <c r="O206" i="65"/>
  <c r="N249" i="65" s="1"/>
  <c r="R296" i="65" s="1"/>
  <c r="N206" i="65"/>
  <c r="M206" i="65"/>
  <c r="L206" i="65"/>
  <c r="L249" i="65" s="1"/>
  <c r="Q296" i="65" s="1"/>
  <c r="K206" i="65"/>
  <c r="J206" i="65"/>
  <c r="I206" i="65"/>
  <c r="H206" i="65"/>
  <c r="G206" i="65"/>
  <c r="F206" i="65"/>
  <c r="E206" i="65"/>
  <c r="D206" i="65"/>
  <c r="C206" i="65"/>
  <c r="B206" i="65"/>
  <c r="B249" i="65" s="1"/>
  <c r="A206" i="65"/>
  <c r="A249" i="65" s="1"/>
  <c r="AH205" i="65"/>
  <c r="AH248" i="65" s="1"/>
  <c r="AG205" i="65"/>
  <c r="AF205" i="65"/>
  <c r="AE205" i="65"/>
  <c r="AD205" i="65"/>
  <c r="AC205" i="65"/>
  <c r="AC248" i="65" s="1"/>
  <c r="AB205" i="65"/>
  <c r="AA205" i="65"/>
  <c r="AA248" i="65" s="1"/>
  <c r="U295" i="65" s="1"/>
  <c r="Z205" i="65"/>
  <c r="Y205" i="65"/>
  <c r="X205" i="65"/>
  <c r="W205" i="65"/>
  <c r="V205" i="65"/>
  <c r="U205" i="65"/>
  <c r="T205" i="65"/>
  <c r="S205" i="65"/>
  <c r="R205" i="65"/>
  <c r="Q205" i="65"/>
  <c r="P205" i="65"/>
  <c r="O205" i="65"/>
  <c r="N205" i="65"/>
  <c r="M205" i="65"/>
  <c r="L205" i="65"/>
  <c r="K205" i="65"/>
  <c r="J205" i="65"/>
  <c r="I205" i="65"/>
  <c r="I248" i="65" s="1"/>
  <c r="P295" i="65" s="1"/>
  <c r="H205" i="65"/>
  <c r="G205" i="65"/>
  <c r="F205" i="65"/>
  <c r="E205" i="65"/>
  <c r="E248" i="65" s="1"/>
  <c r="O295" i="65" s="1"/>
  <c r="D205" i="65"/>
  <c r="C205" i="65"/>
  <c r="B205" i="65"/>
  <c r="A205" i="65"/>
  <c r="AH204" i="65"/>
  <c r="AG204" i="65"/>
  <c r="AF204" i="65"/>
  <c r="AE204" i="65"/>
  <c r="AD204" i="65"/>
  <c r="AC204" i="65"/>
  <c r="AB204" i="65"/>
  <c r="AA204" i="65"/>
  <c r="Z204" i="65"/>
  <c r="Y204" i="65"/>
  <c r="X204" i="65"/>
  <c r="W204" i="65"/>
  <c r="V204" i="65"/>
  <c r="V247" i="65" s="1"/>
  <c r="T294" i="65" s="1"/>
  <c r="U204" i="65"/>
  <c r="T204" i="65"/>
  <c r="S204" i="65"/>
  <c r="S247" i="65" s="1"/>
  <c r="S294" i="65" s="1"/>
  <c r="R204" i="65"/>
  <c r="Q204" i="65"/>
  <c r="P204" i="65"/>
  <c r="O204" i="65"/>
  <c r="N204" i="65"/>
  <c r="N247" i="65" s="1"/>
  <c r="R294" i="65" s="1"/>
  <c r="M204" i="65"/>
  <c r="L204" i="65"/>
  <c r="K204" i="65"/>
  <c r="J204" i="65"/>
  <c r="I204" i="65"/>
  <c r="I247" i="65" s="1"/>
  <c r="H204" i="65"/>
  <c r="G204" i="65"/>
  <c r="F204" i="65"/>
  <c r="E204" i="65"/>
  <c r="E247" i="65" s="1"/>
  <c r="O294" i="65" s="1"/>
  <c r="D204" i="65"/>
  <c r="C204" i="65"/>
  <c r="B204" i="65"/>
  <c r="A204" i="65"/>
  <c r="A247" i="65" s="1"/>
  <c r="A294" i="65" s="1"/>
  <c r="A341" i="65" s="1"/>
  <c r="F320" i="65" s="1"/>
  <c r="AH203" i="65"/>
  <c r="AH246" i="65" s="1"/>
  <c r="W293" i="65" s="1"/>
  <c r="AG203" i="65"/>
  <c r="AF203" i="65"/>
  <c r="AE203" i="65"/>
  <c r="AD203" i="65"/>
  <c r="AC203" i="65"/>
  <c r="AB203" i="65"/>
  <c r="AA203" i="65"/>
  <c r="Z203" i="65"/>
  <c r="Y203" i="65"/>
  <c r="X203" i="65"/>
  <c r="W203" i="65"/>
  <c r="V246" i="65" s="1"/>
  <c r="V203" i="65"/>
  <c r="U203" i="65"/>
  <c r="T203" i="65"/>
  <c r="S203" i="65"/>
  <c r="S246" i="65" s="1"/>
  <c r="R203" i="65"/>
  <c r="Q203" i="65"/>
  <c r="P203" i="65"/>
  <c r="O203" i="65"/>
  <c r="N203" i="65"/>
  <c r="N246" i="65" s="1"/>
  <c r="R293" i="65" s="1"/>
  <c r="M203" i="65"/>
  <c r="L203" i="65"/>
  <c r="K203" i="65"/>
  <c r="J203" i="65"/>
  <c r="I203" i="65"/>
  <c r="H203" i="65"/>
  <c r="G203" i="65"/>
  <c r="F203" i="65"/>
  <c r="E203" i="65"/>
  <c r="D203" i="65"/>
  <c r="C203" i="65"/>
  <c r="B203" i="65"/>
  <c r="A203" i="65"/>
  <c r="AH202" i="65"/>
  <c r="AG202" i="65"/>
  <c r="AF202" i="65"/>
  <c r="AE202" i="65"/>
  <c r="AD202" i="65"/>
  <c r="AC202" i="65"/>
  <c r="AC245" i="65" s="1"/>
  <c r="V292" i="65" s="1"/>
  <c r="AB202" i="65"/>
  <c r="AA202" i="65"/>
  <c r="Z202" i="65"/>
  <c r="Y202" i="65"/>
  <c r="X202" i="65"/>
  <c r="W202" i="65"/>
  <c r="V202" i="65"/>
  <c r="U202" i="65"/>
  <c r="T202" i="65"/>
  <c r="S202" i="65"/>
  <c r="R202" i="65"/>
  <c r="Q202" i="65"/>
  <c r="P202" i="65"/>
  <c r="O202" i="65"/>
  <c r="N202" i="65"/>
  <c r="M202" i="65"/>
  <c r="L202" i="65"/>
  <c r="L245" i="65" s="1"/>
  <c r="Q292" i="65" s="1"/>
  <c r="K202" i="65"/>
  <c r="J202" i="65"/>
  <c r="I202" i="65"/>
  <c r="I245" i="65" s="1"/>
  <c r="P292" i="65" s="1"/>
  <c r="H202" i="65"/>
  <c r="G202" i="65"/>
  <c r="F202" i="65"/>
  <c r="E202" i="65"/>
  <c r="E245" i="65" s="1"/>
  <c r="O292" i="65" s="1"/>
  <c r="D202" i="65"/>
  <c r="C202" i="65"/>
  <c r="B202" i="65"/>
  <c r="B245" i="65" s="1"/>
  <c r="A202" i="65"/>
  <c r="AH201" i="65"/>
  <c r="AH244" i="65" s="1"/>
  <c r="W291" i="65" s="1"/>
  <c r="AG201" i="65"/>
  <c r="AF201" i="65"/>
  <c r="AE201" i="65"/>
  <c r="AC244" i="65" s="1"/>
  <c r="V291" i="65" s="1"/>
  <c r="AD201" i="65"/>
  <c r="AC201" i="65"/>
  <c r="AB201" i="65"/>
  <c r="AA201" i="65"/>
  <c r="AA244" i="65" s="1"/>
  <c r="U291" i="65" s="1"/>
  <c r="Z201" i="65"/>
  <c r="Y201" i="65"/>
  <c r="X201" i="65"/>
  <c r="W201" i="65"/>
  <c r="V201" i="65"/>
  <c r="V244" i="65" s="1"/>
  <c r="T291" i="65" s="1"/>
  <c r="U201" i="65"/>
  <c r="T201" i="65"/>
  <c r="S201" i="65"/>
  <c r="R201" i="65"/>
  <c r="Q201" i="65"/>
  <c r="P201" i="65"/>
  <c r="O201" i="65"/>
  <c r="N201" i="65"/>
  <c r="M201" i="65"/>
  <c r="L201" i="65"/>
  <c r="K201" i="65"/>
  <c r="J201" i="65"/>
  <c r="I201" i="65"/>
  <c r="H201" i="65"/>
  <c r="G201" i="65"/>
  <c r="F201" i="65"/>
  <c r="E201" i="65"/>
  <c r="E244" i="65" s="1"/>
  <c r="O291" i="65" s="1"/>
  <c r="D201" i="65"/>
  <c r="C201" i="65"/>
  <c r="B201" i="65"/>
  <c r="B244" i="65" s="1"/>
  <c r="N291" i="65" s="1"/>
  <c r="A201" i="65"/>
  <c r="A244" i="65" s="1"/>
  <c r="A291" i="65" s="1"/>
  <c r="A338" i="65" s="1"/>
  <c r="AH200" i="65"/>
  <c r="AH243" i="65" s="1"/>
  <c r="W290" i="65" s="1"/>
  <c r="AG200" i="65"/>
  <c r="AF200" i="65"/>
  <c r="AE200" i="65"/>
  <c r="AD200" i="65"/>
  <c r="AC200" i="65"/>
  <c r="AB200" i="65"/>
  <c r="AA200" i="65"/>
  <c r="Z200" i="65"/>
  <c r="Y200" i="65"/>
  <c r="X200" i="65"/>
  <c r="W200" i="65"/>
  <c r="V200" i="65"/>
  <c r="U200" i="65"/>
  <c r="T200" i="65"/>
  <c r="S200" i="65"/>
  <c r="S243" i="65" s="1"/>
  <c r="S290" i="65" s="1"/>
  <c r="R200" i="65"/>
  <c r="Q200" i="65"/>
  <c r="P200" i="65"/>
  <c r="O200" i="65"/>
  <c r="N243" i="65" s="1"/>
  <c r="R290" i="65" s="1"/>
  <c r="N200" i="65"/>
  <c r="M200" i="65"/>
  <c r="L200" i="65"/>
  <c r="K200" i="65"/>
  <c r="J200" i="65"/>
  <c r="I200" i="65"/>
  <c r="H200" i="65"/>
  <c r="G200" i="65"/>
  <c r="F200" i="65"/>
  <c r="E200" i="65"/>
  <c r="D200" i="65"/>
  <c r="C200" i="65"/>
  <c r="B200" i="65"/>
  <c r="A200" i="65"/>
  <c r="AH199" i="65"/>
  <c r="AH242" i="65" s="1"/>
  <c r="AG199" i="65"/>
  <c r="AF199" i="65"/>
  <c r="AE199" i="65"/>
  <c r="AD199" i="65"/>
  <c r="AC199" i="65"/>
  <c r="AB199" i="65"/>
  <c r="AA199" i="65"/>
  <c r="Z199" i="65"/>
  <c r="Y199" i="65"/>
  <c r="X199" i="65"/>
  <c r="W199" i="65"/>
  <c r="V199" i="65"/>
  <c r="U199" i="65"/>
  <c r="T199" i="65"/>
  <c r="S199" i="65"/>
  <c r="R199" i="65"/>
  <c r="Q199" i="65"/>
  <c r="P199" i="65"/>
  <c r="O199" i="65"/>
  <c r="N199" i="65"/>
  <c r="M199" i="65"/>
  <c r="L199" i="65"/>
  <c r="K199" i="65"/>
  <c r="J199" i="65"/>
  <c r="I199" i="65"/>
  <c r="H199" i="65"/>
  <c r="G199" i="65"/>
  <c r="F199" i="65"/>
  <c r="E199" i="65"/>
  <c r="D199" i="65"/>
  <c r="C199" i="65"/>
  <c r="B199" i="65"/>
  <c r="A199" i="65"/>
  <c r="AH198" i="65"/>
  <c r="AG198" i="65"/>
  <c r="AF198" i="65"/>
  <c r="AE198" i="65"/>
  <c r="AD198" i="65"/>
  <c r="AC198" i="65"/>
  <c r="AC241" i="65" s="1"/>
  <c r="V288" i="65" s="1"/>
  <c r="AB198" i="65"/>
  <c r="AA198" i="65"/>
  <c r="AA241" i="65" s="1"/>
  <c r="U288" i="65" s="1"/>
  <c r="Z198" i="65"/>
  <c r="Y198" i="65"/>
  <c r="X198" i="65"/>
  <c r="W198" i="65"/>
  <c r="V198" i="65"/>
  <c r="V241" i="65" s="1"/>
  <c r="T288" i="65" s="1"/>
  <c r="U198" i="65"/>
  <c r="T198" i="65"/>
  <c r="S241" i="65" s="1"/>
  <c r="S288" i="65" s="1"/>
  <c r="S198" i="65"/>
  <c r="R198" i="65"/>
  <c r="N241" i="65" s="1"/>
  <c r="R288" i="65" s="1"/>
  <c r="Q198" i="65"/>
  <c r="P198" i="65"/>
  <c r="O198" i="65"/>
  <c r="N198" i="65"/>
  <c r="M198" i="65"/>
  <c r="L198" i="65"/>
  <c r="K198" i="65"/>
  <c r="J198" i="65"/>
  <c r="I198" i="65"/>
  <c r="I241" i="65" s="1"/>
  <c r="P288" i="65" s="1"/>
  <c r="H198" i="65"/>
  <c r="G198" i="65"/>
  <c r="F198" i="65"/>
  <c r="E198" i="65"/>
  <c r="E241" i="65" s="1"/>
  <c r="O288" i="65" s="1"/>
  <c r="D198" i="65"/>
  <c r="C198" i="65"/>
  <c r="B198" i="65"/>
  <c r="B241" i="65" s="1"/>
  <c r="A198" i="65"/>
  <c r="A241" i="65" s="1"/>
  <c r="A288" i="65" s="1"/>
  <c r="A335" i="65" s="1"/>
  <c r="AH197" i="65"/>
  <c r="AH240" i="65" s="1"/>
  <c r="AG197" i="65"/>
  <c r="AF197" i="65"/>
  <c r="AE197" i="65"/>
  <c r="AD197" i="65"/>
  <c r="AC197" i="65"/>
  <c r="AB197" i="65"/>
  <c r="AA197" i="65"/>
  <c r="AA240" i="65" s="1"/>
  <c r="U287" i="65" s="1"/>
  <c r="Z197" i="65"/>
  <c r="Y197" i="65"/>
  <c r="X197" i="65"/>
  <c r="W197" i="65"/>
  <c r="V197" i="65"/>
  <c r="U197" i="65"/>
  <c r="T197" i="65"/>
  <c r="S197" i="65"/>
  <c r="S240" i="65" s="1"/>
  <c r="S287" i="65" s="1"/>
  <c r="R197" i="65"/>
  <c r="Q197" i="65"/>
  <c r="P197" i="65"/>
  <c r="O197" i="65"/>
  <c r="N197" i="65"/>
  <c r="M197" i="65"/>
  <c r="L197" i="65"/>
  <c r="L240" i="65" s="1"/>
  <c r="Q287" i="65" s="1"/>
  <c r="K197" i="65"/>
  <c r="J197" i="65"/>
  <c r="I197" i="65"/>
  <c r="H197" i="65"/>
  <c r="G197" i="65"/>
  <c r="F197" i="65"/>
  <c r="E197" i="65"/>
  <c r="D197" i="65"/>
  <c r="C197" i="65"/>
  <c r="B197" i="65"/>
  <c r="A197" i="65"/>
  <c r="AH196" i="65"/>
  <c r="AG196" i="65"/>
  <c r="AF196" i="65"/>
  <c r="AE196" i="65"/>
  <c r="AD196" i="65"/>
  <c r="AC196" i="65"/>
  <c r="AB196" i="65"/>
  <c r="AA196" i="65"/>
  <c r="Z196" i="65"/>
  <c r="Y196" i="65"/>
  <c r="X196" i="65"/>
  <c r="W196" i="65"/>
  <c r="V196" i="65"/>
  <c r="U196" i="65"/>
  <c r="T196" i="65"/>
  <c r="S196" i="65"/>
  <c r="R196" i="65"/>
  <c r="Q196" i="65"/>
  <c r="P196" i="65"/>
  <c r="O196" i="65"/>
  <c r="N239" i="65" s="1"/>
  <c r="R286" i="65" s="1"/>
  <c r="N196" i="65"/>
  <c r="M196" i="65"/>
  <c r="L196" i="65"/>
  <c r="L239" i="65" s="1"/>
  <c r="Q286" i="65" s="1"/>
  <c r="K196" i="65"/>
  <c r="J196" i="65"/>
  <c r="I196" i="65"/>
  <c r="I239" i="65" s="1"/>
  <c r="P286" i="65" s="1"/>
  <c r="H196" i="65"/>
  <c r="G196" i="65"/>
  <c r="F196" i="65"/>
  <c r="E196" i="65"/>
  <c r="E239" i="65" s="1"/>
  <c r="D196" i="65"/>
  <c r="C196" i="65"/>
  <c r="B196" i="65"/>
  <c r="A196" i="65"/>
  <c r="A239" i="65" s="1"/>
  <c r="AH195" i="65"/>
  <c r="AH238" i="65" s="1"/>
  <c r="W285" i="65" s="1"/>
  <c r="AG195" i="65"/>
  <c r="AF195" i="65"/>
  <c r="AE195" i="65"/>
  <c r="AD195" i="65"/>
  <c r="AC195" i="65"/>
  <c r="AC238" i="65" s="1"/>
  <c r="V285" i="65" s="1"/>
  <c r="AB195" i="65"/>
  <c r="AA195" i="65"/>
  <c r="AA238" i="65" s="1"/>
  <c r="U285" i="65" s="1"/>
  <c r="Z195" i="65"/>
  <c r="Y195" i="65"/>
  <c r="X195" i="65"/>
  <c r="W195" i="65"/>
  <c r="V195" i="65"/>
  <c r="U195" i="65"/>
  <c r="T195" i="65"/>
  <c r="S195" i="65"/>
  <c r="R195" i="65"/>
  <c r="Q195" i="65"/>
  <c r="P195" i="65"/>
  <c r="O195" i="65"/>
  <c r="N195" i="65"/>
  <c r="N238" i="65" s="1"/>
  <c r="R285" i="65" s="1"/>
  <c r="M195" i="65"/>
  <c r="L195" i="65"/>
  <c r="K195" i="65"/>
  <c r="J195" i="65"/>
  <c r="I195" i="65"/>
  <c r="I238" i="65" s="1"/>
  <c r="P285" i="65" s="1"/>
  <c r="H195" i="65"/>
  <c r="G195" i="65"/>
  <c r="F195" i="65"/>
  <c r="E195" i="65"/>
  <c r="D195" i="65"/>
  <c r="C195" i="65"/>
  <c r="B195" i="65"/>
  <c r="A195" i="65"/>
  <c r="A238" i="65" s="1"/>
  <c r="A285" i="65" s="1"/>
  <c r="A332" i="65" s="1"/>
  <c r="AH194" i="65"/>
  <c r="AH237" i="65" s="1"/>
  <c r="W284" i="65" s="1"/>
  <c r="AG194" i="65"/>
  <c r="AC237" i="65" s="1"/>
  <c r="V284" i="65" s="1"/>
  <c r="AF194" i="65"/>
  <c r="AE194" i="65"/>
  <c r="AD194" i="65"/>
  <c r="AC194" i="65"/>
  <c r="AB194" i="65"/>
  <c r="AA194" i="65"/>
  <c r="Z194" i="65"/>
  <c r="Y194" i="65"/>
  <c r="X194" i="65"/>
  <c r="W194" i="65"/>
  <c r="V194" i="65"/>
  <c r="V237" i="65" s="1"/>
  <c r="T284" i="65" s="1"/>
  <c r="U194" i="65"/>
  <c r="T194" i="65"/>
  <c r="S194" i="65"/>
  <c r="S237" i="65" s="1"/>
  <c r="S284" i="65" s="1"/>
  <c r="R194" i="65"/>
  <c r="Q194" i="65"/>
  <c r="P194" i="65"/>
  <c r="O194" i="65"/>
  <c r="N194" i="65"/>
  <c r="N237" i="65" s="1"/>
  <c r="R284" i="65" s="1"/>
  <c r="M194" i="65"/>
  <c r="L194" i="65"/>
  <c r="K194" i="65"/>
  <c r="J194" i="65"/>
  <c r="I194" i="65"/>
  <c r="I237" i="65" s="1"/>
  <c r="H194" i="65"/>
  <c r="G194" i="65"/>
  <c r="F194" i="65"/>
  <c r="E194" i="65"/>
  <c r="E237" i="65" s="1"/>
  <c r="D194" i="65"/>
  <c r="C194" i="65"/>
  <c r="B194" i="65"/>
  <c r="A194" i="65"/>
  <c r="A237" i="65" s="1"/>
  <c r="A284" i="65" s="1"/>
  <c r="A331" i="65" s="1"/>
  <c r="AH193" i="65"/>
  <c r="AH236" i="65" s="1"/>
  <c r="W283" i="65" s="1"/>
  <c r="AG193" i="65"/>
  <c r="AF193" i="65"/>
  <c r="AE193" i="65"/>
  <c r="AC236" i="65" s="1"/>
  <c r="V283" i="65" s="1"/>
  <c r="AD193" i="65"/>
  <c r="AC193" i="65"/>
  <c r="AB193" i="65"/>
  <c r="AA193" i="65"/>
  <c r="Z193" i="65"/>
  <c r="Y193" i="65"/>
  <c r="X193" i="65"/>
  <c r="W193" i="65"/>
  <c r="V193" i="65"/>
  <c r="V236" i="65" s="1"/>
  <c r="U193" i="65"/>
  <c r="T193" i="65"/>
  <c r="S193" i="65"/>
  <c r="S236" i="65" s="1"/>
  <c r="S283" i="65" s="1"/>
  <c r="R193" i="65"/>
  <c r="Q193" i="65"/>
  <c r="P193" i="65"/>
  <c r="O193" i="65"/>
  <c r="N193" i="65"/>
  <c r="N236" i="65" s="1"/>
  <c r="R283" i="65" s="1"/>
  <c r="M193" i="65"/>
  <c r="L193" i="65"/>
  <c r="K193" i="65"/>
  <c r="J193" i="65"/>
  <c r="I193" i="65"/>
  <c r="H193" i="65"/>
  <c r="G193" i="65"/>
  <c r="F193" i="65"/>
  <c r="E193" i="65"/>
  <c r="D193" i="65"/>
  <c r="C193" i="65"/>
  <c r="B193" i="65"/>
  <c r="A193" i="65"/>
  <c r="AH192" i="65"/>
  <c r="AG192" i="65"/>
  <c r="AF192" i="65"/>
  <c r="AE192" i="65"/>
  <c r="AD192" i="65"/>
  <c r="AC192" i="65"/>
  <c r="AC235" i="65" s="1"/>
  <c r="V282" i="65" s="1"/>
  <c r="AB192" i="65"/>
  <c r="AA192" i="65"/>
  <c r="Z192" i="65"/>
  <c r="Y192" i="65"/>
  <c r="X192" i="65"/>
  <c r="W192" i="65"/>
  <c r="V192" i="65"/>
  <c r="U192" i="65"/>
  <c r="T192" i="65"/>
  <c r="S192" i="65"/>
  <c r="R192" i="65"/>
  <c r="Q192" i="65"/>
  <c r="P192" i="65"/>
  <c r="O192" i="65"/>
  <c r="N192" i="65"/>
  <c r="M192" i="65"/>
  <c r="L192" i="65"/>
  <c r="L235" i="65" s="1"/>
  <c r="Q282" i="65" s="1"/>
  <c r="K192" i="65"/>
  <c r="J192" i="65"/>
  <c r="I192" i="65"/>
  <c r="I235" i="65" s="1"/>
  <c r="P282" i="65" s="1"/>
  <c r="H192" i="65"/>
  <c r="G192" i="65"/>
  <c r="F192" i="65"/>
  <c r="E192" i="65"/>
  <c r="E235" i="65" s="1"/>
  <c r="O282" i="65" s="1"/>
  <c r="D192" i="65"/>
  <c r="C192" i="65"/>
  <c r="B192" i="65"/>
  <c r="B235" i="65" s="1"/>
  <c r="A192" i="65"/>
  <c r="AH191" i="65"/>
  <c r="AG191" i="65"/>
  <c r="AF191" i="65"/>
  <c r="AE191" i="65"/>
  <c r="AD191" i="65"/>
  <c r="AC191" i="65"/>
  <c r="AB191" i="65"/>
  <c r="AA191" i="65"/>
  <c r="AA234" i="65" s="1"/>
  <c r="U281" i="65" s="1"/>
  <c r="Z191" i="65"/>
  <c r="Y191" i="65"/>
  <c r="X191" i="65"/>
  <c r="W191" i="65"/>
  <c r="V191" i="65"/>
  <c r="V234" i="65" s="1"/>
  <c r="T281" i="65" s="1"/>
  <c r="U191" i="65"/>
  <c r="T191" i="65"/>
  <c r="S191" i="65"/>
  <c r="R191" i="65"/>
  <c r="Q191" i="65"/>
  <c r="P191" i="65"/>
  <c r="O191" i="65"/>
  <c r="N191" i="65"/>
  <c r="M191" i="65"/>
  <c r="L191" i="65"/>
  <c r="L234" i="65" s="1"/>
  <c r="K191" i="65"/>
  <c r="J191" i="65"/>
  <c r="I234" i="65" s="1"/>
  <c r="I191" i="65"/>
  <c r="H191" i="65"/>
  <c r="G191" i="65"/>
  <c r="F191" i="65"/>
  <c r="E191" i="65"/>
  <c r="E234" i="65" s="1"/>
  <c r="O281" i="65" s="1"/>
  <c r="D191" i="65"/>
  <c r="C191" i="65"/>
  <c r="B191" i="65"/>
  <c r="B234" i="65" s="1"/>
  <c r="N281" i="65" s="1"/>
  <c r="A191" i="65"/>
  <c r="A234" i="65" s="1"/>
  <c r="A281" i="65" s="1"/>
  <c r="A328" i="65" s="1"/>
  <c r="AH190" i="65"/>
  <c r="AH233" i="65" s="1"/>
  <c r="W280" i="65" s="1"/>
  <c r="AG190" i="65"/>
  <c r="AC233" i="65" s="1"/>
  <c r="V280" i="65" s="1"/>
  <c r="AF190" i="65"/>
  <c r="AE190" i="65"/>
  <c r="AD190" i="65"/>
  <c r="AC190" i="65"/>
  <c r="AB190" i="65"/>
  <c r="AA190" i="65"/>
  <c r="Z190" i="65"/>
  <c r="Y190" i="65"/>
  <c r="X190" i="65"/>
  <c r="W190" i="65"/>
  <c r="V190" i="65"/>
  <c r="U190" i="65"/>
  <c r="T190" i="65"/>
  <c r="S190" i="65"/>
  <c r="S233" i="65" s="1"/>
  <c r="S280" i="65" s="1"/>
  <c r="R190" i="65"/>
  <c r="Q190" i="65"/>
  <c r="P190" i="65"/>
  <c r="N233" i="65" s="1"/>
  <c r="R280" i="65" s="1"/>
  <c r="O190" i="65"/>
  <c r="N190" i="65"/>
  <c r="M190" i="65"/>
  <c r="L190" i="65"/>
  <c r="K190" i="65"/>
  <c r="J190" i="65"/>
  <c r="I190" i="65"/>
  <c r="H190" i="65"/>
  <c r="G190" i="65"/>
  <c r="F190" i="65"/>
  <c r="E190" i="65"/>
  <c r="D190" i="65"/>
  <c r="C190" i="65"/>
  <c r="B190" i="65"/>
  <c r="A190" i="65"/>
  <c r="A233" i="65" s="1"/>
  <c r="A280" i="65" s="1"/>
  <c r="A327" i="65" s="1"/>
  <c r="AH189" i="65"/>
  <c r="AH232" i="65" s="1"/>
  <c r="W279" i="65" s="1"/>
  <c r="AG189" i="65"/>
  <c r="AF189" i="65"/>
  <c r="AE189" i="65"/>
  <c r="AD189" i="65"/>
  <c r="AC189" i="65"/>
  <c r="AC232" i="65" s="1"/>
  <c r="V279" i="65" s="1"/>
  <c r="AB189" i="65"/>
  <c r="AA189" i="65"/>
  <c r="Z189" i="65"/>
  <c r="Y189" i="65"/>
  <c r="X189" i="65"/>
  <c r="W189" i="65"/>
  <c r="V189" i="65"/>
  <c r="U189" i="65"/>
  <c r="T189" i="65"/>
  <c r="S189" i="65"/>
  <c r="S232" i="65" s="1"/>
  <c r="S279" i="65" s="1"/>
  <c r="R189" i="65"/>
  <c r="Q189" i="65"/>
  <c r="P189" i="65"/>
  <c r="O189" i="65"/>
  <c r="N189" i="65"/>
  <c r="M189" i="65"/>
  <c r="L189" i="65"/>
  <c r="K189" i="65"/>
  <c r="J189" i="65"/>
  <c r="I189" i="65"/>
  <c r="H189" i="65"/>
  <c r="G189" i="65"/>
  <c r="F189" i="65"/>
  <c r="E189" i="65"/>
  <c r="D189" i="65"/>
  <c r="C189" i="65"/>
  <c r="B189" i="65"/>
  <c r="A189" i="65"/>
  <c r="A232" i="65" s="1"/>
  <c r="A279" i="65" s="1"/>
  <c r="A326" i="65" s="1"/>
  <c r="AH188" i="65"/>
  <c r="AG188" i="65"/>
  <c r="AF188" i="65"/>
  <c r="AE188" i="65"/>
  <c r="AD188" i="65"/>
  <c r="AC188" i="65"/>
  <c r="AC231" i="65" s="1"/>
  <c r="V278" i="65" s="1"/>
  <c r="AB188" i="65"/>
  <c r="AA188" i="65"/>
  <c r="AA231" i="65" s="1"/>
  <c r="U278" i="65" s="1"/>
  <c r="Z188" i="65"/>
  <c r="Y188" i="65"/>
  <c r="X188" i="65"/>
  <c r="W188" i="65"/>
  <c r="V188" i="65"/>
  <c r="U188" i="65"/>
  <c r="T188" i="65"/>
  <c r="S188" i="65"/>
  <c r="S231" i="65" s="1"/>
  <c r="S278" i="65" s="1"/>
  <c r="R188" i="65"/>
  <c r="Q188" i="65"/>
  <c r="P188" i="65"/>
  <c r="O188" i="65"/>
  <c r="N188" i="65"/>
  <c r="M188" i="65"/>
  <c r="L188" i="65"/>
  <c r="K188" i="65"/>
  <c r="J188" i="65"/>
  <c r="I188" i="65"/>
  <c r="I231" i="65" s="1"/>
  <c r="P278" i="65" s="1"/>
  <c r="H188" i="65"/>
  <c r="G188" i="65"/>
  <c r="F188" i="65"/>
  <c r="E188" i="65"/>
  <c r="E231" i="65" s="1"/>
  <c r="O278" i="65" s="1"/>
  <c r="D188" i="65"/>
  <c r="C188" i="65"/>
  <c r="B188" i="65"/>
  <c r="B231" i="65" s="1"/>
  <c r="A188" i="65"/>
  <c r="A231" i="65" s="1"/>
  <c r="A278" i="65" s="1"/>
  <c r="A325" i="65" s="1"/>
  <c r="AH187" i="65"/>
  <c r="AG187" i="65"/>
  <c r="AF187" i="65"/>
  <c r="AE187" i="65"/>
  <c r="AD187" i="65"/>
  <c r="AC187" i="65"/>
  <c r="AB187" i="65"/>
  <c r="AA187" i="65"/>
  <c r="AA230" i="65" s="1"/>
  <c r="Z187" i="65"/>
  <c r="Y187" i="65"/>
  <c r="X187" i="65"/>
  <c r="W187" i="65"/>
  <c r="V187" i="65"/>
  <c r="U187" i="65"/>
  <c r="T187" i="65"/>
  <c r="S187" i="65"/>
  <c r="S230" i="65" s="1"/>
  <c r="S277" i="65" s="1"/>
  <c r="R187" i="65"/>
  <c r="Q187" i="65"/>
  <c r="P187" i="65"/>
  <c r="O187" i="65"/>
  <c r="N187" i="65"/>
  <c r="M187" i="65"/>
  <c r="L187" i="65"/>
  <c r="L230" i="65" s="1"/>
  <c r="Q277" i="65" s="1"/>
  <c r="K187" i="65"/>
  <c r="J187" i="65"/>
  <c r="I187" i="65"/>
  <c r="H187" i="65"/>
  <c r="G187" i="65"/>
  <c r="F187" i="65"/>
  <c r="E230" i="65" s="1"/>
  <c r="O277" i="65" s="1"/>
  <c r="E187" i="65"/>
  <c r="D187" i="65"/>
  <c r="C187" i="65"/>
  <c r="B187" i="65"/>
  <c r="A187" i="65"/>
  <c r="A230" i="65" s="1"/>
  <c r="A277" i="65" s="1"/>
  <c r="A324" i="65" s="1"/>
  <c r="AH186" i="65"/>
  <c r="AG186" i="65"/>
  <c r="AF186" i="65"/>
  <c r="AE186" i="65"/>
  <c r="AD186" i="65"/>
  <c r="AC186" i="65"/>
  <c r="AC229" i="65" s="1"/>
  <c r="V276" i="65" s="1"/>
  <c r="AB186" i="65"/>
  <c r="AA186" i="65"/>
  <c r="Z186" i="65"/>
  <c r="Y186" i="65"/>
  <c r="X186" i="65"/>
  <c r="W186" i="65"/>
  <c r="V186" i="65"/>
  <c r="U186" i="65"/>
  <c r="T186" i="65"/>
  <c r="S186" i="65"/>
  <c r="R186" i="65"/>
  <c r="Q186" i="65"/>
  <c r="P186" i="65"/>
  <c r="O186" i="65"/>
  <c r="N229" i="65" s="1"/>
  <c r="R276" i="65" s="1"/>
  <c r="N186" i="65"/>
  <c r="M186" i="65"/>
  <c r="L186" i="65"/>
  <c r="L229" i="65" s="1"/>
  <c r="Q276" i="65" s="1"/>
  <c r="K186" i="65"/>
  <c r="J186" i="65"/>
  <c r="I186" i="65"/>
  <c r="I229" i="65" s="1"/>
  <c r="P276" i="65" s="1"/>
  <c r="H186" i="65"/>
  <c r="G186" i="65"/>
  <c r="F186" i="65"/>
  <c r="E186" i="65"/>
  <c r="E229" i="65" s="1"/>
  <c r="D186" i="65"/>
  <c r="C186" i="65"/>
  <c r="B186" i="65"/>
  <c r="A186" i="65"/>
  <c r="A229" i="65" s="1"/>
  <c r="AH185" i="65"/>
  <c r="AH228" i="65" s="1"/>
  <c r="AG185" i="65"/>
  <c r="AF185" i="65"/>
  <c r="AE185" i="65"/>
  <c r="AD185" i="65"/>
  <c r="AC185" i="65"/>
  <c r="AC228" i="65" s="1"/>
  <c r="V275" i="65" s="1"/>
  <c r="AB185" i="65"/>
  <c r="AA185" i="65"/>
  <c r="AA228" i="65" s="1"/>
  <c r="U275" i="65" s="1"/>
  <c r="Z185" i="65"/>
  <c r="Y185" i="65"/>
  <c r="X185" i="65"/>
  <c r="W185" i="65"/>
  <c r="V185" i="65"/>
  <c r="U185" i="65"/>
  <c r="T185" i="65"/>
  <c r="S185" i="65"/>
  <c r="R185" i="65"/>
  <c r="Q185" i="65"/>
  <c r="P185" i="65"/>
  <c r="O185" i="65"/>
  <c r="N185" i="65"/>
  <c r="N228" i="65" s="1"/>
  <c r="R275" i="65" s="1"/>
  <c r="M185" i="65"/>
  <c r="L185" i="65"/>
  <c r="K185" i="65"/>
  <c r="J185" i="65"/>
  <c r="I185" i="65"/>
  <c r="I228" i="65" s="1"/>
  <c r="P275" i="65" s="1"/>
  <c r="H185" i="65"/>
  <c r="G185" i="65"/>
  <c r="F185" i="65"/>
  <c r="E185" i="65"/>
  <c r="D185" i="65"/>
  <c r="C185" i="65"/>
  <c r="B185" i="65"/>
  <c r="A185" i="65"/>
  <c r="A228" i="65" s="1"/>
  <c r="A275" i="65" s="1"/>
  <c r="A322" i="65" s="1"/>
  <c r="AH184" i="65"/>
  <c r="AH227" i="65" s="1"/>
  <c r="W274" i="65" s="1"/>
  <c r="AG184" i="65"/>
  <c r="AC227" i="65" s="1"/>
  <c r="V274" i="65" s="1"/>
  <c r="AF184" i="65"/>
  <c r="AE184" i="65"/>
  <c r="AD184" i="65"/>
  <c r="AC184" i="65"/>
  <c r="AB184" i="65"/>
  <c r="AA184" i="65"/>
  <c r="Z184" i="65"/>
  <c r="Y184" i="65"/>
  <c r="X184" i="65"/>
  <c r="W184" i="65"/>
  <c r="V184" i="65"/>
  <c r="V227" i="65" s="1"/>
  <c r="T274" i="65" s="1"/>
  <c r="U184" i="65"/>
  <c r="T184" i="65"/>
  <c r="S184" i="65"/>
  <c r="S227" i="65" s="1"/>
  <c r="S274" i="65" s="1"/>
  <c r="R184" i="65"/>
  <c r="Q184" i="65"/>
  <c r="P184" i="65"/>
  <c r="O184" i="65"/>
  <c r="N184" i="65"/>
  <c r="M184" i="65"/>
  <c r="L184" i="65"/>
  <c r="K184" i="65"/>
  <c r="J184" i="65"/>
  <c r="I184" i="65"/>
  <c r="H184" i="65"/>
  <c r="G184" i="65"/>
  <c r="F184" i="65"/>
  <c r="E184" i="65"/>
  <c r="E227" i="65" s="1"/>
  <c r="O274" i="65" s="1"/>
  <c r="D184" i="65"/>
  <c r="C184" i="65"/>
  <c r="B184" i="65"/>
  <c r="A184" i="65"/>
  <c r="A227" i="65" s="1"/>
  <c r="A274" i="65" s="1"/>
  <c r="A321" i="65" s="1"/>
  <c r="AH183" i="65"/>
  <c r="AH226" i="65" s="1"/>
  <c r="W273" i="65" s="1"/>
  <c r="AG183" i="65"/>
  <c r="AF183" i="65"/>
  <c r="AE183" i="65"/>
  <c r="AD183" i="65"/>
  <c r="AC183" i="65"/>
  <c r="AC226" i="65" s="1"/>
  <c r="V273" i="65" s="1"/>
  <c r="AB183" i="65"/>
  <c r="AA183" i="65"/>
  <c r="Z183" i="65"/>
  <c r="Y183" i="65"/>
  <c r="X183" i="65"/>
  <c r="W183" i="65"/>
  <c r="V183" i="65"/>
  <c r="V226" i="65" s="1"/>
  <c r="T273" i="65" s="1"/>
  <c r="U183" i="65"/>
  <c r="T183" i="65"/>
  <c r="S183" i="65"/>
  <c r="S226" i="65" s="1"/>
  <c r="S273" i="65" s="1"/>
  <c r="R183" i="65"/>
  <c r="Q183" i="65"/>
  <c r="P183" i="65"/>
  <c r="O183" i="65"/>
  <c r="N183" i="65"/>
  <c r="N226" i="65" s="1"/>
  <c r="R273" i="65" s="1"/>
  <c r="M183" i="65"/>
  <c r="L183" i="65"/>
  <c r="K183" i="65"/>
  <c r="J183" i="65"/>
  <c r="I183" i="65"/>
  <c r="H183" i="65"/>
  <c r="G183" i="65"/>
  <c r="F183" i="65"/>
  <c r="E183" i="65"/>
  <c r="D183" i="65"/>
  <c r="C183" i="65"/>
  <c r="B183" i="65"/>
  <c r="A183" i="65"/>
  <c r="AH182" i="65"/>
  <c r="AG182" i="65"/>
  <c r="AF182" i="65"/>
  <c r="AE182" i="65"/>
  <c r="AD182" i="65"/>
  <c r="AC182" i="65"/>
  <c r="AC225" i="65" s="1"/>
  <c r="AB182" i="65"/>
  <c r="AA182" i="65"/>
  <c r="Z182" i="65"/>
  <c r="Y182" i="65"/>
  <c r="X182" i="65"/>
  <c r="W182" i="65"/>
  <c r="V182" i="65"/>
  <c r="U182" i="65"/>
  <c r="T182" i="65"/>
  <c r="S182" i="65"/>
  <c r="R182" i="65"/>
  <c r="Q182" i="65"/>
  <c r="P182" i="65"/>
  <c r="O182" i="65"/>
  <c r="N182" i="65"/>
  <c r="M182" i="65"/>
  <c r="L182" i="65"/>
  <c r="L225" i="65" s="1"/>
  <c r="K182" i="65"/>
  <c r="J182" i="65"/>
  <c r="I182" i="65"/>
  <c r="I225" i="65" s="1"/>
  <c r="H182" i="65"/>
  <c r="G182" i="65"/>
  <c r="F182" i="65"/>
  <c r="E182" i="65"/>
  <c r="E225" i="65" s="1"/>
  <c r="D182" i="65"/>
  <c r="C182" i="65"/>
  <c r="B182" i="65"/>
  <c r="B225" i="65" s="1"/>
  <c r="A182" i="65"/>
  <c r="AH181" i="65"/>
  <c r="AG181" i="65"/>
  <c r="AF181" i="65"/>
  <c r="AF224" i="65" s="1"/>
  <c r="AE181" i="65"/>
  <c r="AE224" i="65" s="1"/>
  <c r="AD181" i="65"/>
  <c r="AD224" i="65" s="1"/>
  <c r="AC181" i="65"/>
  <c r="AB181" i="65"/>
  <c r="AA181" i="65"/>
  <c r="AA224" i="65" s="1"/>
  <c r="U271" i="65" s="1"/>
  <c r="Z181" i="65"/>
  <c r="Z224" i="65" s="1"/>
  <c r="Y181" i="65"/>
  <c r="X181" i="65"/>
  <c r="W181" i="65"/>
  <c r="W224" i="65" s="1"/>
  <c r="V181" i="65"/>
  <c r="V224" i="65" s="1"/>
  <c r="T271" i="65" s="1"/>
  <c r="U181" i="65"/>
  <c r="U224" i="65" s="1"/>
  <c r="T181" i="65"/>
  <c r="T224" i="65" s="1"/>
  <c r="S181" i="65"/>
  <c r="S224" i="65" s="1"/>
  <c r="S271" i="65" s="1"/>
  <c r="R181" i="65"/>
  <c r="R224" i="65" s="1"/>
  <c r="Q181" i="65"/>
  <c r="Q224" i="65" s="1"/>
  <c r="P181" i="65"/>
  <c r="P224" i="65" s="1"/>
  <c r="O181" i="65"/>
  <c r="O224" i="65" s="1"/>
  <c r="N181" i="65"/>
  <c r="M181" i="65"/>
  <c r="L181" i="65"/>
  <c r="K181" i="65"/>
  <c r="J181" i="65"/>
  <c r="I181" i="65"/>
  <c r="I224" i="65" s="1"/>
  <c r="P271" i="65" s="1"/>
  <c r="H181" i="65"/>
  <c r="G181" i="65"/>
  <c r="G224" i="65" s="1"/>
  <c r="F181" i="65"/>
  <c r="F224" i="65" s="1"/>
  <c r="E181" i="65"/>
  <c r="E224" i="65" s="1"/>
  <c r="O271" i="65" s="1"/>
  <c r="D181" i="65"/>
  <c r="D224" i="65" s="1"/>
  <c r="C181" i="65"/>
  <c r="C224" i="65" s="1"/>
  <c r="B181" i="65"/>
  <c r="B224" i="65" s="1"/>
  <c r="N271" i="65" s="1"/>
  <c r="L129" i="65"/>
  <c r="AF312" i="65" s="1"/>
  <c r="E129" i="65"/>
  <c r="AD312" i="65" s="1"/>
  <c r="A129" i="65"/>
  <c r="M312" i="65" s="1"/>
  <c r="AA128" i="65"/>
  <c r="AJ311" i="65" s="1"/>
  <c r="V128" i="65"/>
  <c r="AI311" i="65" s="1"/>
  <c r="AH127" i="65"/>
  <c r="AL310" i="65" s="1"/>
  <c r="AC127" i="65"/>
  <c r="AK310" i="65" s="1"/>
  <c r="V127" i="65"/>
  <c r="AI310" i="65" s="1"/>
  <c r="S127" i="65"/>
  <c r="AH310" i="65" s="1"/>
  <c r="L127" i="65"/>
  <c r="AF310" i="65" s="1"/>
  <c r="B127" i="65"/>
  <c r="A127" i="65"/>
  <c r="M310" i="65" s="1"/>
  <c r="AH126" i="65"/>
  <c r="AL309" i="65" s="1"/>
  <c r="A126" i="65"/>
  <c r="AH125" i="65"/>
  <c r="AL308" i="65" s="1"/>
  <c r="AC125" i="65"/>
  <c r="AA125" i="65"/>
  <c r="AJ308" i="65" s="1"/>
  <c r="V125" i="65"/>
  <c r="AI308" i="65" s="1"/>
  <c r="S125" i="65"/>
  <c r="AH308" i="65" s="1"/>
  <c r="L125" i="65"/>
  <c r="AF308" i="65" s="1"/>
  <c r="I125" i="65"/>
  <c r="AE308" i="65" s="1"/>
  <c r="B124" i="65"/>
  <c r="A124" i="65"/>
  <c r="M307" i="65" s="1"/>
  <c r="AH123" i="65"/>
  <c r="AL306" i="65" s="1"/>
  <c r="AA123" i="65"/>
  <c r="AJ306" i="65" s="1"/>
  <c r="S123" i="65"/>
  <c r="AH306" i="65" s="1"/>
  <c r="N123" i="65"/>
  <c r="AG306" i="65" s="1"/>
  <c r="L123" i="65"/>
  <c r="AF306" i="65" s="1"/>
  <c r="A123" i="65"/>
  <c r="V122" i="65"/>
  <c r="AI305" i="65" s="1"/>
  <c r="S122" i="65"/>
  <c r="AH305" i="65" s="1"/>
  <c r="L122" i="65"/>
  <c r="AF305" i="65" s="1"/>
  <c r="I122" i="65"/>
  <c r="AA121" i="65"/>
  <c r="AJ304" i="65" s="1"/>
  <c r="V121" i="65"/>
  <c r="AI304" i="65" s="1"/>
  <c r="S120" i="65"/>
  <c r="AH303" i="65" s="1"/>
  <c r="N120" i="65"/>
  <c r="AG303" i="65" s="1"/>
  <c r="L120" i="65"/>
  <c r="AF303" i="65" s="1"/>
  <c r="I120" i="65"/>
  <c r="AE303" i="65" s="1"/>
  <c r="B120" i="65"/>
  <c r="AC303" i="65" s="1"/>
  <c r="A120" i="65"/>
  <c r="M303" i="65" s="1"/>
  <c r="AH119" i="65"/>
  <c r="AL302" i="65" s="1"/>
  <c r="AA118" i="65"/>
  <c r="AJ301" i="65" s="1"/>
  <c r="V118" i="65"/>
  <c r="AI301" i="65" s="1"/>
  <c r="I118" i="65"/>
  <c r="AE301" i="65" s="1"/>
  <c r="E118" i="65"/>
  <c r="A118" i="65"/>
  <c r="M301" i="65" s="1"/>
  <c r="L117" i="65"/>
  <c r="AF300" i="65" s="1"/>
  <c r="I117" i="65"/>
  <c r="AE300" i="65" s="1"/>
  <c r="B117" i="65"/>
  <c r="AC300" i="65" s="1"/>
  <c r="A117" i="65"/>
  <c r="M300" i="65" s="1"/>
  <c r="AH116" i="65"/>
  <c r="AL299" i="65" s="1"/>
  <c r="L116" i="65"/>
  <c r="AA115" i="65"/>
  <c r="AJ298" i="65" s="1"/>
  <c r="S115" i="65"/>
  <c r="AH298" i="65" s="1"/>
  <c r="L115" i="65"/>
  <c r="AF298" i="65" s="1"/>
  <c r="I115" i="65"/>
  <c r="E115" i="65"/>
  <c r="AD298" i="65" s="1"/>
  <c r="B115" i="65"/>
  <c r="A115" i="65"/>
  <c r="M298" i="65" s="1"/>
  <c r="AH114" i="65"/>
  <c r="AA114" i="65"/>
  <c r="V114" i="65"/>
  <c r="AH113" i="65"/>
  <c r="S113" i="65"/>
  <c r="N113" i="65"/>
  <c r="AG296" i="65" s="1"/>
  <c r="L113" i="65"/>
  <c r="AF296" i="65" s="1"/>
  <c r="E113" i="65"/>
  <c r="AD296" i="65" s="1"/>
  <c r="A113" i="65"/>
  <c r="AB296" i="65" s="1"/>
  <c r="AH112" i="65"/>
  <c r="AL295" i="65" s="1"/>
  <c r="AC112" i="65"/>
  <c r="AK295" i="65" s="1"/>
  <c r="B112" i="65"/>
  <c r="AC295" i="65" s="1"/>
  <c r="A112" i="65"/>
  <c r="AH111" i="65"/>
  <c r="AL294" i="65" s="1"/>
  <c r="AA111" i="65"/>
  <c r="V111" i="65"/>
  <c r="AI294" i="65" s="1"/>
  <c r="E111" i="65"/>
  <c r="AD294" i="65" s="1"/>
  <c r="B111" i="65"/>
  <c r="AC294" i="65" s="1"/>
  <c r="L110" i="65"/>
  <c r="AF293" i="65" s="1"/>
  <c r="I110" i="65"/>
  <c r="AE293" i="65" s="1"/>
  <c r="A110" i="65"/>
  <c r="AB293" i="65" s="1"/>
  <c r="AH109" i="65"/>
  <c r="AL292" i="65" s="1"/>
  <c r="AA109" i="65"/>
  <c r="AJ292" i="65" s="1"/>
  <c r="V109" i="65"/>
  <c r="AI292" i="65" s="1"/>
  <c r="N109" i="65"/>
  <c r="AG292" i="65" s="1"/>
  <c r="L109" i="65"/>
  <c r="AF292" i="65" s="1"/>
  <c r="AA108" i="65"/>
  <c r="AJ291" i="65" s="1"/>
  <c r="I108" i="65"/>
  <c r="E108" i="65"/>
  <c r="AD291" i="65" s="1"/>
  <c r="A108" i="65"/>
  <c r="M291" i="65" s="1"/>
  <c r="AH107" i="65"/>
  <c r="AL290" i="65" s="1"/>
  <c r="S107" i="65"/>
  <c r="AH290" i="65" s="1"/>
  <c r="AH106" i="65"/>
  <c r="AL289" i="65" s="1"/>
  <c r="AC106" i="65"/>
  <c r="AK289" i="65" s="1"/>
  <c r="AA106" i="65"/>
  <c r="AJ289" i="65" s="1"/>
  <c r="S106" i="65"/>
  <c r="AH289" i="65" s="1"/>
  <c r="L106" i="65"/>
  <c r="AF289" i="65" s="1"/>
  <c r="B105" i="65"/>
  <c r="AC288" i="65" s="1"/>
  <c r="A105" i="65"/>
  <c r="M288" i="65" s="1"/>
  <c r="AH104" i="65"/>
  <c r="AL287" i="65" s="1"/>
  <c r="AA104" i="65"/>
  <c r="S104" i="65"/>
  <c r="AH287" i="65" s="1"/>
  <c r="N104" i="65"/>
  <c r="AG287" i="65" s="1"/>
  <c r="L104" i="65"/>
  <c r="AF287" i="65" s="1"/>
  <c r="E104" i="65"/>
  <c r="AD287" i="65" s="1"/>
  <c r="B104" i="65"/>
  <c r="AC287" i="65" s="1"/>
  <c r="A104" i="65"/>
  <c r="AH102" i="65"/>
  <c r="AA102" i="65"/>
  <c r="S102" i="65"/>
  <c r="L102" i="65"/>
  <c r="AF285" i="65" s="1"/>
  <c r="I102" i="65"/>
  <c r="V101" i="65"/>
  <c r="AI284" i="65" s="1"/>
  <c r="S101" i="65"/>
  <c r="AH284" i="65" s="1"/>
  <c r="L101" i="65"/>
  <c r="AF284" i="65" s="1"/>
  <c r="I101" i="65"/>
  <c r="AE284" i="65" s="1"/>
  <c r="E101" i="65"/>
  <c r="B101" i="65"/>
  <c r="S100" i="65"/>
  <c r="AH283" i="65" s="1"/>
  <c r="AH99" i="65"/>
  <c r="AA99" i="65"/>
  <c r="AJ282" i="65" s="1"/>
  <c r="L99" i="65"/>
  <c r="AF282" i="65" s="1"/>
  <c r="E99" i="65"/>
  <c r="AD282" i="65" s="1"/>
  <c r="B99" i="65"/>
  <c r="A99" i="65"/>
  <c r="AB282" i="65" s="1"/>
  <c r="AC98" i="65"/>
  <c r="AK281" i="65" s="1"/>
  <c r="S97" i="65"/>
  <c r="AH280" i="65" s="1"/>
  <c r="L97" i="65"/>
  <c r="AF280" i="65" s="1"/>
  <c r="A97" i="65"/>
  <c r="M280" i="65" s="1"/>
  <c r="AH96" i="65"/>
  <c r="AL279" i="65" s="1"/>
  <c r="I96" i="65"/>
  <c r="AE279" i="65" s="1"/>
  <c r="E96" i="65"/>
  <c r="AD279" i="65" s="1"/>
  <c r="B96" i="65"/>
  <c r="A96" i="65"/>
  <c r="AH95" i="65"/>
  <c r="AL278" i="65" s="1"/>
  <c r="AC95" i="65"/>
  <c r="AK278" i="65" s="1"/>
  <c r="AA95" i="65"/>
  <c r="AJ278" i="65" s="1"/>
  <c r="I95" i="65"/>
  <c r="AE278" i="65" s="1"/>
  <c r="N94" i="65"/>
  <c r="AG277" i="65" s="1"/>
  <c r="B94" i="65"/>
  <c r="AC277" i="65" s="1"/>
  <c r="A94" i="65"/>
  <c r="M277" i="65" s="1"/>
  <c r="AH93" i="65"/>
  <c r="AL276" i="65" s="1"/>
  <c r="AC93" i="65"/>
  <c r="AK276" i="65" s="1"/>
  <c r="AA93" i="65"/>
  <c r="S93" i="65"/>
  <c r="AH92" i="65"/>
  <c r="AC92" i="65"/>
  <c r="AK275" i="65" s="1"/>
  <c r="L92" i="65"/>
  <c r="AF275" i="65" s="1"/>
  <c r="I92" i="65"/>
  <c r="E92" i="65"/>
  <c r="AD275" i="65" s="1"/>
  <c r="A92" i="65"/>
  <c r="M275" i="65" s="1"/>
  <c r="AH91" i="65"/>
  <c r="AL274" i="65" s="1"/>
  <c r="A91" i="65"/>
  <c r="AB274" i="65" s="1"/>
  <c r="AH90" i="65"/>
  <c r="AL273" i="65" s="1"/>
  <c r="AC90" i="65"/>
  <c r="AA90" i="65"/>
  <c r="S90" i="65"/>
  <c r="A90" i="65"/>
  <c r="AH89" i="65"/>
  <c r="AL272" i="65" s="1"/>
  <c r="I89" i="65"/>
  <c r="B89" i="65"/>
  <c r="AG88" i="65"/>
  <c r="AF88" i="65"/>
  <c r="AE88" i="65"/>
  <c r="AD88" i="65"/>
  <c r="AC88" i="65"/>
  <c r="AK271" i="65" s="1"/>
  <c r="AB88" i="65"/>
  <c r="AA88" i="65"/>
  <c r="AJ271" i="65" s="1"/>
  <c r="Z88" i="65"/>
  <c r="Q88" i="65"/>
  <c r="J88" i="65"/>
  <c r="H88" i="65"/>
  <c r="G88" i="65"/>
  <c r="F88" i="65"/>
  <c r="E88" i="65"/>
  <c r="AD271" i="65" s="1"/>
  <c r="AH86" i="65"/>
  <c r="AH129" i="65" s="1"/>
  <c r="AL312" i="65" s="1"/>
  <c r="AG86" i="65"/>
  <c r="AF86" i="65"/>
  <c r="AE86" i="65"/>
  <c r="AD86" i="65"/>
  <c r="AC86" i="65"/>
  <c r="AC129" i="65" s="1"/>
  <c r="AK312" i="65" s="1"/>
  <c r="AB86" i="65"/>
  <c r="AA86" i="65"/>
  <c r="AA129" i="65" s="1"/>
  <c r="Z86" i="65"/>
  <c r="Y86" i="65"/>
  <c r="X86" i="65"/>
  <c r="W86" i="65"/>
  <c r="V86" i="65"/>
  <c r="V129" i="65" s="1"/>
  <c r="AI312" i="65" s="1"/>
  <c r="U86" i="65"/>
  <c r="T86" i="65"/>
  <c r="S86" i="65"/>
  <c r="S129" i="65" s="1"/>
  <c r="AH312" i="65" s="1"/>
  <c r="R86" i="65"/>
  <c r="N129" i="65" s="1"/>
  <c r="AG312" i="65" s="1"/>
  <c r="Q86" i="65"/>
  <c r="P86" i="65"/>
  <c r="O86" i="65"/>
  <c r="N86" i="65"/>
  <c r="M86" i="65"/>
  <c r="L86" i="65"/>
  <c r="K86" i="65"/>
  <c r="J86" i="65"/>
  <c r="I86" i="65"/>
  <c r="I129" i="65" s="1"/>
  <c r="AE312" i="65" s="1"/>
  <c r="H86" i="65"/>
  <c r="G86" i="65"/>
  <c r="F86" i="65"/>
  <c r="E86" i="65"/>
  <c r="D86" i="65"/>
  <c r="C86" i="65"/>
  <c r="B86" i="65"/>
  <c r="B129" i="65" s="1"/>
  <c r="A86" i="65"/>
  <c r="AH85" i="65"/>
  <c r="AH128" i="65" s="1"/>
  <c r="AL311" i="65" s="1"/>
  <c r="AG85" i="65"/>
  <c r="AF85" i="65"/>
  <c r="AC128" i="65" s="1"/>
  <c r="AK311" i="65" s="1"/>
  <c r="AE85" i="65"/>
  <c r="AD85" i="65"/>
  <c r="AC85" i="65"/>
  <c r="AB85" i="65"/>
  <c r="AA85" i="65"/>
  <c r="Z85" i="65"/>
  <c r="Y85" i="65"/>
  <c r="X85" i="65"/>
  <c r="W85" i="65"/>
  <c r="V85" i="65"/>
  <c r="U85" i="65"/>
  <c r="T85" i="65"/>
  <c r="S85" i="65"/>
  <c r="R85" i="65"/>
  <c r="Q85" i="65"/>
  <c r="P85" i="65"/>
  <c r="O85" i="65"/>
  <c r="N85" i="65"/>
  <c r="N128" i="65" s="1"/>
  <c r="AG311" i="65" s="1"/>
  <c r="M85" i="65"/>
  <c r="L85" i="65"/>
  <c r="L128" i="65" s="1"/>
  <c r="K85" i="65"/>
  <c r="J85" i="65"/>
  <c r="I85" i="65"/>
  <c r="I128" i="65" s="1"/>
  <c r="AE311" i="65" s="1"/>
  <c r="H85" i="65"/>
  <c r="G85" i="65"/>
  <c r="F85" i="65"/>
  <c r="E85" i="65"/>
  <c r="E128" i="65" s="1"/>
  <c r="AD311" i="65" s="1"/>
  <c r="D85" i="65"/>
  <c r="C85" i="65"/>
  <c r="B85" i="65"/>
  <c r="A85" i="65"/>
  <c r="A128" i="65" s="1"/>
  <c r="M311" i="65" s="1"/>
  <c r="AH84" i="65"/>
  <c r="AG84" i="65"/>
  <c r="AF84" i="65"/>
  <c r="AE84" i="65"/>
  <c r="AD84" i="65"/>
  <c r="AC84" i="65"/>
  <c r="AB84" i="65"/>
  <c r="AA127" i="65" s="1"/>
  <c r="AJ310" i="65" s="1"/>
  <c r="AA84" i="65"/>
  <c r="Z84" i="65"/>
  <c r="Y84" i="65"/>
  <c r="X84" i="65"/>
  <c r="W84" i="65"/>
  <c r="V84" i="65"/>
  <c r="U84" i="65"/>
  <c r="T84" i="65"/>
  <c r="S84" i="65"/>
  <c r="R84" i="65"/>
  <c r="Q84" i="65"/>
  <c r="P84" i="65"/>
  <c r="O84" i="65"/>
  <c r="N127" i="65" s="1"/>
  <c r="AG310" i="65" s="1"/>
  <c r="N84" i="65"/>
  <c r="M84" i="65"/>
  <c r="L84" i="65"/>
  <c r="K84" i="65"/>
  <c r="J84" i="65"/>
  <c r="I84" i="65"/>
  <c r="I127" i="65" s="1"/>
  <c r="AE310" i="65" s="1"/>
  <c r="H84" i="65"/>
  <c r="G84" i="65"/>
  <c r="F84" i="65"/>
  <c r="E127" i="65" s="1"/>
  <c r="AD310" i="65" s="1"/>
  <c r="E84" i="65"/>
  <c r="D84" i="65"/>
  <c r="C84" i="65"/>
  <c r="B84" i="65"/>
  <c r="A84" i="65"/>
  <c r="AH83" i="65"/>
  <c r="AG83" i="65"/>
  <c r="AF83" i="65"/>
  <c r="AE83" i="65"/>
  <c r="AD83" i="65"/>
  <c r="AC83" i="65"/>
  <c r="AB83" i="65"/>
  <c r="AA83" i="65"/>
  <c r="Z83" i="65"/>
  <c r="Y83" i="65"/>
  <c r="X83" i="65"/>
  <c r="W83" i="65"/>
  <c r="V83" i="65"/>
  <c r="V126" i="65" s="1"/>
  <c r="U83" i="65"/>
  <c r="T83" i="65"/>
  <c r="S126" i="65" s="1"/>
  <c r="S83" i="65"/>
  <c r="R83" i="65"/>
  <c r="Q83" i="65"/>
  <c r="P83" i="65"/>
  <c r="O83" i="65"/>
  <c r="N83" i="65"/>
  <c r="M83" i="65"/>
  <c r="L83" i="65"/>
  <c r="L126" i="65" s="1"/>
  <c r="AF309" i="65" s="1"/>
  <c r="K83" i="65"/>
  <c r="J83" i="65"/>
  <c r="I83" i="65"/>
  <c r="H83" i="65"/>
  <c r="G83" i="65"/>
  <c r="F83" i="65"/>
  <c r="E83" i="65"/>
  <c r="D83" i="65"/>
  <c r="C83" i="65"/>
  <c r="B83" i="65"/>
  <c r="B126" i="65" s="1"/>
  <c r="A83" i="65"/>
  <c r="AH82" i="65"/>
  <c r="AG82" i="65"/>
  <c r="AF82" i="65"/>
  <c r="AE82" i="65"/>
  <c r="AD82" i="65"/>
  <c r="AC82" i="65"/>
  <c r="AB82" i="65"/>
  <c r="AA82" i="65"/>
  <c r="Z82" i="65"/>
  <c r="Y82" i="65"/>
  <c r="X82" i="65"/>
  <c r="W82" i="65"/>
  <c r="V82" i="65"/>
  <c r="U82" i="65"/>
  <c r="T82" i="65"/>
  <c r="S82" i="65"/>
  <c r="R82" i="65"/>
  <c r="Q82" i="65"/>
  <c r="P82" i="65"/>
  <c r="N125" i="65" s="1"/>
  <c r="AG308" i="65" s="1"/>
  <c r="O82" i="65"/>
  <c r="N82" i="65"/>
  <c r="M82" i="65"/>
  <c r="L82" i="65"/>
  <c r="K82" i="65"/>
  <c r="J82" i="65"/>
  <c r="I82" i="65"/>
  <c r="H82" i="65"/>
  <c r="G82" i="65"/>
  <c r="F82" i="65"/>
  <c r="E82" i="65"/>
  <c r="E125" i="65" s="1"/>
  <c r="AD308" i="65" s="1"/>
  <c r="D82" i="65"/>
  <c r="C82" i="65"/>
  <c r="B125" i="65" s="1"/>
  <c r="B82" i="65"/>
  <c r="A82" i="65"/>
  <c r="A125" i="65" s="1"/>
  <c r="M308" i="65" s="1"/>
  <c r="AH81" i="65"/>
  <c r="AH124" i="65" s="1"/>
  <c r="AL307" i="65" s="1"/>
  <c r="AG81" i="65"/>
  <c r="AF81" i="65"/>
  <c r="AE81" i="65"/>
  <c r="AD81" i="65"/>
  <c r="AC81" i="65"/>
  <c r="AB81" i="65"/>
  <c r="AA124" i="65" s="1"/>
  <c r="AJ307" i="65" s="1"/>
  <c r="AA81" i="65"/>
  <c r="Z81" i="65"/>
  <c r="Y81" i="65"/>
  <c r="X81" i="65"/>
  <c r="W81" i="65"/>
  <c r="V81" i="65"/>
  <c r="V124" i="65" s="1"/>
  <c r="AI307" i="65" s="1"/>
  <c r="U81" i="65"/>
  <c r="T81" i="65"/>
  <c r="S81" i="65"/>
  <c r="S124" i="65" s="1"/>
  <c r="AH307" i="65" s="1"/>
  <c r="R81" i="65"/>
  <c r="Q81" i="65"/>
  <c r="P81" i="65"/>
  <c r="O81" i="65"/>
  <c r="N81" i="65"/>
  <c r="M81" i="65"/>
  <c r="L81" i="65"/>
  <c r="L124" i="65" s="1"/>
  <c r="AF307" i="65" s="1"/>
  <c r="K81" i="65"/>
  <c r="J81" i="65"/>
  <c r="I81" i="65"/>
  <c r="I124" i="65" s="1"/>
  <c r="AE307" i="65" s="1"/>
  <c r="H81" i="65"/>
  <c r="E124" i="65" s="1"/>
  <c r="AD307" i="65" s="1"/>
  <c r="G81" i="65"/>
  <c r="F81" i="65"/>
  <c r="E81" i="65"/>
  <c r="D81" i="65"/>
  <c r="C81" i="65"/>
  <c r="B81" i="65"/>
  <c r="A81" i="65"/>
  <c r="AH80" i="65"/>
  <c r="AG80" i="65"/>
  <c r="AF80" i="65"/>
  <c r="AE80" i="65"/>
  <c r="AC123" i="65" s="1"/>
  <c r="AK306" i="65" s="1"/>
  <c r="AD80" i="65"/>
  <c r="AC80" i="65"/>
  <c r="AB80" i="65"/>
  <c r="AA80" i="65"/>
  <c r="Z80" i="65"/>
  <c r="Y80" i="65"/>
  <c r="X80" i="65"/>
  <c r="W80" i="65"/>
  <c r="V80" i="65"/>
  <c r="V123" i="65" s="1"/>
  <c r="AI306" i="65" s="1"/>
  <c r="U80" i="65"/>
  <c r="T80" i="65"/>
  <c r="S80" i="65"/>
  <c r="R80" i="65"/>
  <c r="Q80" i="65"/>
  <c r="P80" i="65"/>
  <c r="O80" i="65"/>
  <c r="N80" i="65"/>
  <c r="M80" i="65"/>
  <c r="L80" i="65"/>
  <c r="K80" i="65"/>
  <c r="J80" i="65"/>
  <c r="I80" i="65"/>
  <c r="H80" i="65"/>
  <c r="G80" i="65"/>
  <c r="F80" i="65"/>
  <c r="E80" i="65"/>
  <c r="D80" i="65"/>
  <c r="C80" i="65"/>
  <c r="B80" i="65"/>
  <c r="A80" i="65"/>
  <c r="AH79" i="65"/>
  <c r="AH122" i="65" s="1"/>
  <c r="AL305" i="65" s="1"/>
  <c r="AG79" i="65"/>
  <c r="AF79" i="65"/>
  <c r="AE79" i="65"/>
  <c r="AD79" i="65"/>
  <c r="AC79" i="65"/>
  <c r="AC122" i="65" s="1"/>
  <c r="AK305" i="65" s="1"/>
  <c r="AB79" i="65"/>
  <c r="AA79" i="65"/>
  <c r="AA122" i="65" s="1"/>
  <c r="AJ305" i="65" s="1"/>
  <c r="Z79" i="65"/>
  <c r="Y79" i="65"/>
  <c r="X79" i="65"/>
  <c r="W79" i="65"/>
  <c r="V79" i="65"/>
  <c r="U79" i="65"/>
  <c r="T79" i="65"/>
  <c r="S79" i="65"/>
  <c r="R79" i="65"/>
  <c r="N122" i="65" s="1"/>
  <c r="AG305" i="65" s="1"/>
  <c r="Q79" i="65"/>
  <c r="P79" i="65"/>
  <c r="O79" i="65"/>
  <c r="N79" i="65"/>
  <c r="M79" i="65"/>
  <c r="L79" i="65"/>
  <c r="K79" i="65"/>
  <c r="J79" i="65"/>
  <c r="I79" i="65"/>
  <c r="H79" i="65"/>
  <c r="G79" i="65"/>
  <c r="F79" i="65"/>
  <c r="E79" i="65"/>
  <c r="E122" i="65" s="1"/>
  <c r="AD305" i="65" s="1"/>
  <c r="D79" i="65"/>
  <c r="B122" i="65" s="1"/>
  <c r="C79" i="65"/>
  <c r="B79" i="65"/>
  <c r="A79" i="65"/>
  <c r="A122" i="65" s="1"/>
  <c r="AH78" i="65"/>
  <c r="AH121" i="65" s="1"/>
  <c r="AL304" i="65" s="1"/>
  <c r="AG78" i="65"/>
  <c r="AF78" i="65"/>
  <c r="AE78" i="65"/>
  <c r="AD78" i="65"/>
  <c r="AC121" i="65" s="1"/>
  <c r="AK304" i="65" s="1"/>
  <c r="AC78" i="65"/>
  <c r="AB78" i="65"/>
  <c r="AA78" i="65"/>
  <c r="Z78" i="65"/>
  <c r="Y78" i="65"/>
  <c r="X78" i="65"/>
  <c r="W78" i="65"/>
  <c r="V78" i="65"/>
  <c r="U78" i="65"/>
  <c r="T78" i="65"/>
  <c r="S78" i="65"/>
  <c r="R78" i="65"/>
  <c r="Q78" i="65"/>
  <c r="P78" i="65"/>
  <c r="O78" i="65"/>
  <c r="N78" i="65"/>
  <c r="N121" i="65" s="1"/>
  <c r="AG304" i="65" s="1"/>
  <c r="M78" i="65"/>
  <c r="L78" i="65"/>
  <c r="L121" i="65" s="1"/>
  <c r="AF304" i="65" s="1"/>
  <c r="K78" i="65"/>
  <c r="J78" i="65"/>
  <c r="I121" i="65" s="1"/>
  <c r="AE304" i="65" s="1"/>
  <c r="I78" i="65"/>
  <c r="H78" i="65"/>
  <c r="G78" i="65"/>
  <c r="F78" i="65"/>
  <c r="E78" i="65"/>
  <c r="E121" i="65" s="1"/>
  <c r="AD304" i="65" s="1"/>
  <c r="D78" i="65"/>
  <c r="C78" i="65"/>
  <c r="B78" i="65"/>
  <c r="B121" i="65" s="1"/>
  <c r="A78" i="65"/>
  <c r="A121" i="65" s="1"/>
  <c r="M304" i="65" s="1"/>
  <c r="AH77" i="65"/>
  <c r="AH120" i="65" s="1"/>
  <c r="AL303" i="65" s="1"/>
  <c r="AG77" i="65"/>
  <c r="AC120" i="65" s="1"/>
  <c r="AK303" i="65" s="1"/>
  <c r="AF77" i="65"/>
  <c r="AE77" i="65"/>
  <c r="AD77" i="65"/>
  <c r="AC77" i="65"/>
  <c r="AB77" i="65"/>
  <c r="AA77" i="65"/>
  <c r="AA120" i="65" s="1"/>
  <c r="AJ303" i="65" s="1"/>
  <c r="Z77" i="65"/>
  <c r="V120" i="65" s="1"/>
  <c r="AI303" i="65" s="1"/>
  <c r="Y77" i="65"/>
  <c r="X77" i="65"/>
  <c r="W77" i="65"/>
  <c r="V77" i="65"/>
  <c r="U77" i="65"/>
  <c r="T77" i="65"/>
  <c r="S77" i="65"/>
  <c r="R77" i="65"/>
  <c r="Q77" i="65"/>
  <c r="P77" i="65"/>
  <c r="O77" i="65"/>
  <c r="N77" i="65"/>
  <c r="M77" i="65"/>
  <c r="L77" i="65"/>
  <c r="K77" i="65"/>
  <c r="J77" i="65"/>
  <c r="I77" i="65"/>
  <c r="H77" i="65"/>
  <c r="G77" i="65"/>
  <c r="F77" i="65"/>
  <c r="E120" i="65" s="1"/>
  <c r="AD303" i="65" s="1"/>
  <c r="E77" i="65"/>
  <c r="D77" i="65"/>
  <c r="C77" i="65"/>
  <c r="B77" i="65"/>
  <c r="A77" i="65"/>
  <c r="AH76" i="65"/>
  <c r="AG76" i="65"/>
  <c r="AF76" i="65"/>
  <c r="AE76" i="65"/>
  <c r="AD76" i="65"/>
  <c r="AC76" i="65"/>
  <c r="AC119" i="65" s="1"/>
  <c r="AK302" i="65" s="1"/>
  <c r="AB76" i="65"/>
  <c r="AA76" i="65"/>
  <c r="AA119" i="65" s="1"/>
  <c r="AJ302" i="65" s="1"/>
  <c r="Z76" i="65"/>
  <c r="Y76" i="65"/>
  <c r="X76" i="65"/>
  <c r="W76" i="65"/>
  <c r="V76" i="65"/>
  <c r="V119" i="65" s="1"/>
  <c r="AI302" i="65" s="1"/>
  <c r="U76" i="65"/>
  <c r="T76" i="65"/>
  <c r="S76" i="65"/>
  <c r="R76" i="65"/>
  <c r="Q76" i="65"/>
  <c r="P76" i="65"/>
  <c r="O76" i="65"/>
  <c r="N76" i="65"/>
  <c r="N119" i="65" s="1"/>
  <c r="AG302" i="65" s="1"/>
  <c r="M76" i="65"/>
  <c r="L76" i="65"/>
  <c r="L119" i="65" s="1"/>
  <c r="AF302" i="65" s="1"/>
  <c r="K76" i="65"/>
  <c r="J76" i="65"/>
  <c r="I76" i="65"/>
  <c r="I119" i="65" s="1"/>
  <c r="H76" i="65"/>
  <c r="G76" i="65"/>
  <c r="F76" i="65"/>
  <c r="E76" i="65"/>
  <c r="D76" i="65"/>
  <c r="C76" i="65"/>
  <c r="B76" i="65"/>
  <c r="B119" i="65" s="1"/>
  <c r="A76" i="65"/>
  <c r="A119" i="65" s="1"/>
  <c r="AH75" i="65"/>
  <c r="AH118" i="65" s="1"/>
  <c r="AL301" i="65" s="1"/>
  <c r="AG75" i="65"/>
  <c r="AF75" i="65"/>
  <c r="AC118" i="65" s="1"/>
  <c r="AK301" i="65" s="1"/>
  <c r="AE75" i="65"/>
  <c r="AD75" i="65"/>
  <c r="AC75" i="65"/>
  <c r="AB75" i="65"/>
  <c r="AA75" i="65"/>
  <c r="Z75" i="65"/>
  <c r="Y75" i="65"/>
  <c r="X75" i="65"/>
  <c r="W75" i="65"/>
  <c r="V75" i="65"/>
  <c r="U75" i="65"/>
  <c r="S118" i="65" s="1"/>
  <c r="AH301" i="65" s="1"/>
  <c r="T75" i="65"/>
  <c r="S75" i="65"/>
  <c r="R75" i="65"/>
  <c r="Q75" i="65"/>
  <c r="P75" i="65"/>
  <c r="O75" i="65"/>
  <c r="N75" i="65"/>
  <c r="N118" i="65" s="1"/>
  <c r="AG301" i="65" s="1"/>
  <c r="M75" i="65"/>
  <c r="L75" i="65"/>
  <c r="L118" i="65" s="1"/>
  <c r="AF301" i="65" s="1"/>
  <c r="K75" i="65"/>
  <c r="J75" i="65"/>
  <c r="I75" i="65"/>
  <c r="H75" i="65"/>
  <c r="G75" i="65"/>
  <c r="F75" i="65"/>
  <c r="E75" i="65"/>
  <c r="D75" i="65"/>
  <c r="C75" i="65"/>
  <c r="B75" i="65"/>
  <c r="A75" i="65"/>
  <c r="AH74" i="65"/>
  <c r="AH117" i="65" s="1"/>
  <c r="AG74" i="65"/>
  <c r="AF74" i="65"/>
  <c r="AE74" i="65"/>
  <c r="AD74" i="65"/>
  <c r="AC74" i="65"/>
  <c r="AB74" i="65"/>
  <c r="AA74" i="65"/>
  <c r="Z74" i="65"/>
  <c r="Y74" i="65"/>
  <c r="X74" i="65"/>
  <c r="W74" i="65"/>
  <c r="V74" i="65"/>
  <c r="V117" i="65" s="1"/>
  <c r="AI300" i="65" s="1"/>
  <c r="U74" i="65"/>
  <c r="T74" i="65"/>
  <c r="S74" i="65"/>
  <c r="S117" i="65" s="1"/>
  <c r="AH300" i="65" s="1"/>
  <c r="R74" i="65"/>
  <c r="Q74" i="65"/>
  <c r="P74" i="65"/>
  <c r="O74" i="65"/>
  <c r="N74" i="65"/>
  <c r="M74" i="65"/>
  <c r="L74" i="65"/>
  <c r="K74" i="65"/>
  <c r="J74" i="65"/>
  <c r="I74" i="65"/>
  <c r="H74" i="65"/>
  <c r="E117" i="65" s="1"/>
  <c r="AD300" i="65" s="1"/>
  <c r="G74" i="65"/>
  <c r="F74" i="65"/>
  <c r="E74" i="65"/>
  <c r="D74" i="65"/>
  <c r="C74" i="65"/>
  <c r="B74" i="65"/>
  <c r="A74" i="65"/>
  <c r="AH73" i="65"/>
  <c r="AG73" i="65"/>
  <c r="AF73" i="65"/>
  <c r="AE73" i="65"/>
  <c r="AD73" i="65"/>
  <c r="AC73" i="65"/>
  <c r="AC116" i="65" s="1"/>
  <c r="AK299" i="65" s="1"/>
  <c r="AB73" i="65"/>
  <c r="AA73" i="65"/>
  <c r="AA116" i="65" s="1"/>
  <c r="AJ299" i="65" s="1"/>
  <c r="Z73" i="65"/>
  <c r="Y73" i="65"/>
  <c r="X73" i="65"/>
  <c r="W73" i="65"/>
  <c r="V73" i="65"/>
  <c r="V116" i="65" s="1"/>
  <c r="AI299" i="65" s="1"/>
  <c r="U73" i="65"/>
  <c r="T73" i="65"/>
  <c r="S116" i="65" s="1"/>
  <c r="AH299" i="65" s="1"/>
  <c r="S73" i="65"/>
  <c r="R73" i="65"/>
  <c r="Q73" i="65"/>
  <c r="P73" i="65"/>
  <c r="O73" i="65"/>
  <c r="N73" i="65"/>
  <c r="M73" i="65"/>
  <c r="L73" i="65"/>
  <c r="K73" i="65"/>
  <c r="J73" i="65"/>
  <c r="I73" i="65"/>
  <c r="I116" i="65" s="1"/>
  <c r="AE299" i="65" s="1"/>
  <c r="H73" i="65"/>
  <c r="G73" i="65"/>
  <c r="F73" i="65"/>
  <c r="E73" i="65"/>
  <c r="D73" i="65"/>
  <c r="C73" i="65"/>
  <c r="B73" i="65"/>
  <c r="B116" i="65" s="1"/>
  <c r="AC299" i="65" s="1"/>
  <c r="A73" i="65"/>
  <c r="A116" i="65" s="1"/>
  <c r="AB299" i="65" s="1"/>
  <c r="AH72" i="65"/>
  <c r="AH115" i="65" s="1"/>
  <c r="AL298" i="65" s="1"/>
  <c r="AG72" i="65"/>
  <c r="AF72" i="65"/>
  <c r="AE72" i="65"/>
  <c r="AD72" i="65"/>
  <c r="AC72" i="65"/>
  <c r="AC115" i="65" s="1"/>
  <c r="AK298" i="65" s="1"/>
  <c r="AB72" i="65"/>
  <c r="AA72" i="65"/>
  <c r="Z72" i="65"/>
  <c r="Y72" i="65"/>
  <c r="X72" i="65"/>
  <c r="W72" i="65"/>
  <c r="V115" i="65" s="1"/>
  <c r="AI298" i="65" s="1"/>
  <c r="V72" i="65"/>
  <c r="U72" i="65"/>
  <c r="T72" i="65"/>
  <c r="S72" i="65"/>
  <c r="R72" i="65"/>
  <c r="Q72" i="65"/>
  <c r="P72" i="65"/>
  <c r="O72" i="65"/>
  <c r="N72" i="65"/>
  <c r="N115" i="65" s="1"/>
  <c r="AG298" i="65" s="1"/>
  <c r="M72" i="65"/>
  <c r="L72" i="65"/>
  <c r="K72" i="65"/>
  <c r="J72" i="65"/>
  <c r="I72" i="65"/>
  <c r="H72" i="65"/>
  <c r="G72" i="65"/>
  <c r="F72" i="65"/>
  <c r="E72" i="65"/>
  <c r="D72" i="65"/>
  <c r="C72" i="65"/>
  <c r="B72" i="65"/>
  <c r="A72" i="65"/>
  <c r="AH71" i="65"/>
  <c r="AG71" i="65"/>
  <c r="AF71" i="65"/>
  <c r="AE71" i="65"/>
  <c r="AD71" i="65"/>
  <c r="AC71" i="65"/>
  <c r="AB71" i="65"/>
  <c r="AA71" i="65"/>
  <c r="Z71" i="65"/>
  <c r="Y71" i="65"/>
  <c r="X71" i="65"/>
  <c r="W71" i="65"/>
  <c r="V71" i="65"/>
  <c r="U71" i="65"/>
  <c r="T71" i="65"/>
  <c r="S71" i="65"/>
  <c r="S114" i="65" s="1"/>
  <c r="AH297" i="65" s="1"/>
  <c r="R71" i="65"/>
  <c r="Q71" i="65"/>
  <c r="P71" i="65"/>
  <c r="O71" i="65"/>
  <c r="N71" i="65"/>
  <c r="M71" i="65"/>
  <c r="L71" i="65"/>
  <c r="L114" i="65" s="1"/>
  <c r="AF297" i="65" s="1"/>
  <c r="K71" i="65"/>
  <c r="J71" i="65"/>
  <c r="I71" i="65"/>
  <c r="H71" i="65"/>
  <c r="G71" i="65"/>
  <c r="F71" i="65"/>
  <c r="E71" i="65"/>
  <c r="D71" i="65"/>
  <c r="C71" i="65"/>
  <c r="B71" i="65"/>
  <c r="B114" i="65" s="1"/>
  <c r="AC297" i="65" s="1"/>
  <c r="A71" i="65"/>
  <c r="A114" i="65" s="1"/>
  <c r="AH70" i="65"/>
  <c r="AG70" i="65"/>
  <c r="AF70" i="65"/>
  <c r="AE70" i="65"/>
  <c r="AD70" i="65"/>
  <c r="AC70" i="65"/>
  <c r="AC113" i="65" s="1"/>
  <c r="AK296" i="65" s="1"/>
  <c r="AB70" i="65"/>
  <c r="AA70" i="65"/>
  <c r="AA113" i="65" s="1"/>
  <c r="AJ296" i="65" s="1"/>
  <c r="Z70" i="65"/>
  <c r="Y70" i="65"/>
  <c r="X70" i="65"/>
  <c r="W70" i="65"/>
  <c r="V70" i="65"/>
  <c r="V113" i="65" s="1"/>
  <c r="AI296" i="65" s="1"/>
  <c r="U70" i="65"/>
  <c r="T70" i="65"/>
  <c r="S70" i="65"/>
  <c r="R70" i="65"/>
  <c r="Q70" i="65"/>
  <c r="P70" i="65"/>
  <c r="O70" i="65"/>
  <c r="N70" i="65"/>
  <c r="M70" i="65"/>
  <c r="L70" i="65"/>
  <c r="K70" i="65"/>
  <c r="I113" i="65" s="1"/>
  <c r="AE296" i="65" s="1"/>
  <c r="J70" i="65"/>
  <c r="I70" i="65"/>
  <c r="H70" i="65"/>
  <c r="G70" i="65"/>
  <c r="F70" i="65"/>
  <c r="E70" i="65"/>
  <c r="D70" i="65"/>
  <c r="C70" i="65"/>
  <c r="B70" i="65"/>
  <c r="A70" i="65"/>
  <c r="AH69" i="65"/>
  <c r="AG69" i="65"/>
  <c r="AF69" i="65"/>
  <c r="AE69" i="65"/>
  <c r="AD69" i="65"/>
  <c r="AC69" i="65"/>
  <c r="AB69" i="65"/>
  <c r="AA69" i="65"/>
  <c r="AA112" i="65" s="1"/>
  <c r="AJ295" i="65" s="1"/>
  <c r="Z69" i="65"/>
  <c r="Y69" i="65"/>
  <c r="X69" i="65"/>
  <c r="W69" i="65"/>
  <c r="V69" i="65"/>
  <c r="U69" i="65"/>
  <c r="T69" i="65"/>
  <c r="S69" i="65"/>
  <c r="R69" i="65"/>
  <c r="Q69" i="65"/>
  <c r="P69" i="65"/>
  <c r="O69" i="65"/>
  <c r="N69" i="65"/>
  <c r="M69" i="65"/>
  <c r="L69" i="65"/>
  <c r="L112" i="65" s="1"/>
  <c r="AF295" i="65" s="1"/>
  <c r="K69" i="65"/>
  <c r="J69" i="65"/>
  <c r="I69" i="65"/>
  <c r="I112" i="65" s="1"/>
  <c r="AE295" i="65" s="1"/>
  <c r="H69" i="65"/>
  <c r="G69" i="65"/>
  <c r="F69" i="65"/>
  <c r="E69" i="65"/>
  <c r="D69" i="65"/>
  <c r="C69" i="65"/>
  <c r="B69" i="65"/>
  <c r="A69" i="65"/>
  <c r="AH68" i="65"/>
  <c r="AG68" i="65"/>
  <c r="AF68" i="65"/>
  <c r="AC111" i="65" s="1"/>
  <c r="AK294" i="65" s="1"/>
  <c r="AE68" i="65"/>
  <c r="AD68" i="65"/>
  <c r="AC68" i="65"/>
  <c r="AB68" i="65"/>
  <c r="AA68" i="65"/>
  <c r="Z68" i="65"/>
  <c r="Y68" i="65"/>
  <c r="X68" i="65"/>
  <c r="W68" i="65"/>
  <c r="V68" i="65"/>
  <c r="U68" i="65"/>
  <c r="T68" i="65"/>
  <c r="S68" i="65"/>
  <c r="S111" i="65" s="1"/>
  <c r="AH294" i="65" s="1"/>
  <c r="R68" i="65"/>
  <c r="Q68" i="65"/>
  <c r="P68" i="65"/>
  <c r="O68" i="65"/>
  <c r="N68" i="65"/>
  <c r="N111" i="65" s="1"/>
  <c r="AG294" i="65" s="1"/>
  <c r="M68" i="65"/>
  <c r="L68" i="65"/>
  <c r="L111" i="65" s="1"/>
  <c r="AF294" i="65" s="1"/>
  <c r="K68" i="65"/>
  <c r="J68" i="65"/>
  <c r="I111" i="65" s="1"/>
  <c r="I68" i="65"/>
  <c r="H68" i="65"/>
  <c r="G68" i="65"/>
  <c r="F68" i="65"/>
  <c r="E68" i="65"/>
  <c r="D68" i="65"/>
  <c r="C68" i="65"/>
  <c r="B68" i="65"/>
  <c r="A68" i="65"/>
  <c r="A111" i="65" s="1"/>
  <c r="AH67" i="65"/>
  <c r="AH110" i="65" s="1"/>
  <c r="AL293" i="65" s="1"/>
  <c r="AG67" i="65"/>
  <c r="AF67" i="65"/>
  <c r="AE67" i="65"/>
  <c r="AD67" i="65"/>
  <c r="AC67" i="65"/>
  <c r="AB67" i="65"/>
  <c r="AA67" i="65"/>
  <c r="Z67" i="65"/>
  <c r="Y67" i="65"/>
  <c r="X67" i="65"/>
  <c r="W67" i="65"/>
  <c r="V67" i="65"/>
  <c r="U67" i="65"/>
  <c r="T67" i="65"/>
  <c r="S67" i="65"/>
  <c r="S110" i="65" s="1"/>
  <c r="AH293" i="65" s="1"/>
  <c r="R67" i="65"/>
  <c r="Q67" i="65"/>
  <c r="P67" i="65"/>
  <c r="O67" i="65"/>
  <c r="N67" i="65"/>
  <c r="M67" i="65"/>
  <c r="L67" i="65"/>
  <c r="K67" i="65"/>
  <c r="J67" i="65"/>
  <c r="I67" i="65"/>
  <c r="H67" i="65"/>
  <c r="G67" i="65"/>
  <c r="F67" i="65"/>
  <c r="E110" i="65" s="1"/>
  <c r="AD293" i="65" s="1"/>
  <c r="E67" i="65"/>
  <c r="D67" i="65"/>
  <c r="C67" i="65"/>
  <c r="B110" i="65" s="1"/>
  <c r="B67" i="65"/>
  <c r="A67" i="65"/>
  <c r="AH66" i="65"/>
  <c r="AG66" i="65"/>
  <c r="AF66" i="65"/>
  <c r="AE66" i="65"/>
  <c r="AD66" i="65"/>
  <c r="AC66" i="65"/>
  <c r="AC109" i="65" s="1"/>
  <c r="AK292" i="65" s="1"/>
  <c r="AB66" i="65"/>
  <c r="AA66" i="65"/>
  <c r="Z66" i="65"/>
  <c r="Y66" i="65"/>
  <c r="X66" i="65"/>
  <c r="W66" i="65"/>
  <c r="V66" i="65"/>
  <c r="U66" i="65"/>
  <c r="T66" i="65"/>
  <c r="S109" i="65" s="1"/>
  <c r="AH292" i="65" s="1"/>
  <c r="S66" i="65"/>
  <c r="R66" i="65"/>
  <c r="Q66" i="65"/>
  <c r="P66" i="65"/>
  <c r="O66" i="65"/>
  <c r="N66" i="65"/>
  <c r="M66" i="65"/>
  <c r="L66" i="65"/>
  <c r="K66" i="65"/>
  <c r="J66" i="65"/>
  <c r="I66" i="65"/>
  <c r="I109" i="65" s="1"/>
  <c r="AE292" i="65" s="1"/>
  <c r="H66" i="65"/>
  <c r="G66" i="65"/>
  <c r="F66" i="65"/>
  <c r="E66" i="65"/>
  <c r="D66" i="65"/>
  <c r="C66" i="65"/>
  <c r="B66" i="65"/>
  <c r="B109" i="65" s="1"/>
  <c r="A66" i="65"/>
  <c r="A109" i="65" s="1"/>
  <c r="M292" i="65" s="1"/>
  <c r="AH65" i="65"/>
  <c r="AH108" i="65" s="1"/>
  <c r="AL291" i="65" s="1"/>
  <c r="AG65" i="65"/>
  <c r="AF65" i="65"/>
  <c r="AE65" i="65"/>
  <c r="AD65" i="65"/>
  <c r="AC65" i="65"/>
  <c r="AB65" i="65"/>
  <c r="AA65" i="65"/>
  <c r="Z65" i="65"/>
  <c r="Y65" i="65"/>
  <c r="X65" i="65"/>
  <c r="W65" i="65"/>
  <c r="V65" i="65"/>
  <c r="V108" i="65" s="1"/>
  <c r="AI291" i="65" s="1"/>
  <c r="U65" i="65"/>
  <c r="T65" i="65"/>
  <c r="S65" i="65"/>
  <c r="S108" i="65" s="1"/>
  <c r="AH291" i="65" s="1"/>
  <c r="R65" i="65"/>
  <c r="Q65" i="65"/>
  <c r="P65" i="65"/>
  <c r="O65" i="65"/>
  <c r="N65" i="65"/>
  <c r="N108" i="65" s="1"/>
  <c r="AG291" i="65" s="1"/>
  <c r="M65" i="65"/>
  <c r="L65" i="65"/>
  <c r="L108" i="65" s="1"/>
  <c r="AF291" i="65" s="1"/>
  <c r="K65" i="65"/>
  <c r="J65" i="65"/>
  <c r="I65" i="65"/>
  <c r="H65" i="65"/>
  <c r="G65" i="65"/>
  <c r="F65" i="65"/>
  <c r="E65" i="65"/>
  <c r="D65" i="65"/>
  <c r="C65" i="65"/>
  <c r="B65" i="65"/>
  <c r="A65" i="65"/>
  <c r="AH64" i="65"/>
  <c r="AG64" i="65"/>
  <c r="AF64" i="65"/>
  <c r="AE64" i="65"/>
  <c r="AD64" i="65"/>
  <c r="AC64" i="65"/>
  <c r="AC107" i="65" s="1"/>
  <c r="AK290" i="65" s="1"/>
  <c r="AB64" i="65"/>
  <c r="AA107" i="65" s="1"/>
  <c r="AJ290" i="65" s="1"/>
  <c r="AA64" i="65"/>
  <c r="Z64" i="65"/>
  <c r="Y64" i="65"/>
  <c r="X64" i="65"/>
  <c r="W64" i="65"/>
  <c r="V107" i="65" s="1"/>
  <c r="AI290" i="65" s="1"/>
  <c r="V64" i="65"/>
  <c r="U64" i="65"/>
  <c r="T64" i="65"/>
  <c r="S64" i="65"/>
  <c r="R64" i="65"/>
  <c r="Q64" i="65"/>
  <c r="P64" i="65"/>
  <c r="O64" i="65"/>
  <c r="N64" i="65"/>
  <c r="M64" i="65"/>
  <c r="L64" i="65"/>
  <c r="K64" i="65"/>
  <c r="J64" i="65"/>
  <c r="I64" i="65"/>
  <c r="H64" i="65"/>
  <c r="G64" i="65"/>
  <c r="F64" i="65"/>
  <c r="E64" i="65"/>
  <c r="D64" i="65"/>
  <c r="C64" i="65"/>
  <c r="B64" i="65"/>
  <c r="B107" i="65" s="1"/>
  <c r="AC290" i="65" s="1"/>
  <c r="A64" i="65"/>
  <c r="A107" i="65" s="1"/>
  <c r="M290" i="65" s="1"/>
  <c r="AH63" i="65"/>
  <c r="AG63" i="65"/>
  <c r="AF63" i="65"/>
  <c r="AE63" i="65"/>
  <c r="AD63" i="65"/>
  <c r="AC63" i="65"/>
  <c r="AB63" i="65"/>
  <c r="AA63" i="65"/>
  <c r="Z63" i="65"/>
  <c r="Y63" i="65"/>
  <c r="X63" i="65"/>
  <c r="W63" i="65"/>
  <c r="V63" i="65"/>
  <c r="V106" i="65" s="1"/>
  <c r="AI289" i="65" s="1"/>
  <c r="U63" i="65"/>
  <c r="T63" i="65"/>
  <c r="S63" i="65"/>
  <c r="R63" i="65"/>
  <c r="Q63" i="65"/>
  <c r="P63" i="65"/>
  <c r="O63" i="65"/>
  <c r="N63" i="65"/>
  <c r="M63" i="65"/>
  <c r="L63" i="65"/>
  <c r="K63" i="65"/>
  <c r="J63" i="65"/>
  <c r="I63" i="65"/>
  <c r="I106" i="65" s="1"/>
  <c r="AE289" i="65" s="1"/>
  <c r="H63" i="65"/>
  <c r="E106" i="65" s="1"/>
  <c r="AD289" i="65" s="1"/>
  <c r="G63" i="65"/>
  <c r="F63" i="65"/>
  <c r="E63" i="65"/>
  <c r="D63" i="65"/>
  <c r="C63" i="65"/>
  <c r="B63" i="65"/>
  <c r="B106" i="65" s="1"/>
  <c r="A63" i="65"/>
  <c r="A106" i="65" s="1"/>
  <c r="AH62" i="65"/>
  <c r="AH105" i="65" s="1"/>
  <c r="AL288" i="65" s="1"/>
  <c r="AG62" i="65"/>
  <c r="AF62" i="65"/>
  <c r="AE62" i="65"/>
  <c r="AC105" i="65" s="1"/>
  <c r="AK288" i="65" s="1"/>
  <c r="AD62" i="65"/>
  <c r="AC62" i="65"/>
  <c r="AB62" i="65"/>
  <c r="AA62" i="65"/>
  <c r="AA105" i="65" s="1"/>
  <c r="Z62" i="65"/>
  <c r="Y62" i="65"/>
  <c r="X62" i="65"/>
  <c r="W62" i="65"/>
  <c r="V62" i="65"/>
  <c r="U62" i="65"/>
  <c r="T62" i="65"/>
  <c r="S62" i="65"/>
  <c r="R62" i="65"/>
  <c r="Q62" i="65"/>
  <c r="P62" i="65"/>
  <c r="O62" i="65"/>
  <c r="N62" i="65"/>
  <c r="M62" i="65"/>
  <c r="L62" i="65"/>
  <c r="L105" i="65" s="1"/>
  <c r="AF288" i="65" s="1"/>
  <c r="K62" i="65"/>
  <c r="J62" i="65"/>
  <c r="I62" i="65"/>
  <c r="I105" i="65" s="1"/>
  <c r="AE288" i="65" s="1"/>
  <c r="H62" i="65"/>
  <c r="G62" i="65"/>
  <c r="F62" i="65"/>
  <c r="E62" i="65"/>
  <c r="E105" i="65" s="1"/>
  <c r="AD288" i="65" s="1"/>
  <c r="D62" i="65"/>
  <c r="C62" i="65"/>
  <c r="B62" i="65"/>
  <c r="A62" i="65"/>
  <c r="AH61" i="65"/>
  <c r="AG61" i="65"/>
  <c r="AF61" i="65"/>
  <c r="AE61" i="65"/>
  <c r="AD61" i="65"/>
  <c r="AC61" i="65"/>
  <c r="AB61" i="65"/>
  <c r="AA61" i="65"/>
  <c r="Z61" i="65"/>
  <c r="Y61" i="65"/>
  <c r="V104" i="65" s="1"/>
  <c r="AI287" i="65" s="1"/>
  <c r="X61" i="65"/>
  <c r="W61" i="65"/>
  <c r="V61" i="65"/>
  <c r="U61" i="65"/>
  <c r="T61" i="65"/>
  <c r="S61" i="65"/>
  <c r="R61" i="65"/>
  <c r="Q61" i="65"/>
  <c r="P61" i="65"/>
  <c r="O61" i="65"/>
  <c r="N61" i="65"/>
  <c r="M61" i="65"/>
  <c r="L61" i="65"/>
  <c r="K61" i="65"/>
  <c r="J61" i="65"/>
  <c r="I104" i="65" s="1"/>
  <c r="AE287" i="65" s="1"/>
  <c r="I61" i="65"/>
  <c r="H61" i="65"/>
  <c r="G61" i="65"/>
  <c r="F61" i="65"/>
  <c r="E61" i="65"/>
  <c r="D61" i="65"/>
  <c r="C61" i="65"/>
  <c r="B61" i="65"/>
  <c r="A61" i="65"/>
  <c r="AH60" i="65"/>
  <c r="AH103" i="65" s="1"/>
  <c r="AL286" i="65" s="1"/>
  <c r="AG60" i="65"/>
  <c r="AF60" i="65"/>
  <c r="AE60" i="65"/>
  <c r="AD60" i="65"/>
  <c r="AC60" i="65"/>
  <c r="AB60" i="65"/>
  <c r="AA60" i="65"/>
  <c r="Z60" i="65"/>
  <c r="Y60" i="65"/>
  <c r="X60" i="65"/>
  <c r="W60" i="65"/>
  <c r="V60" i="65"/>
  <c r="U60" i="65"/>
  <c r="T60" i="65"/>
  <c r="S60" i="65"/>
  <c r="S103" i="65" s="1"/>
  <c r="AH286" i="65" s="1"/>
  <c r="R60" i="65"/>
  <c r="Q60" i="65"/>
  <c r="P60" i="65"/>
  <c r="O60" i="65"/>
  <c r="N60" i="65"/>
  <c r="N103" i="65" s="1"/>
  <c r="AG286" i="65" s="1"/>
  <c r="M60" i="65"/>
  <c r="L103" i="65" s="1"/>
  <c r="AF286" i="65" s="1"/>
  <c r="L60" i="65"/>
  <c r="K60" i="65"/>
  <c r="J60" i="65"/>
  <c r="I103" i="65" s="1"/>
  <c r="AE286" i="65" s="1"/>
  <c r="I60" i="65"/>
  <c r="H60" i="65"/>
  <c r="G60" i="65"/>
  <c r="F60" i="65"/>
  <c r="E60" i="65"/>
  <c r="E103" i="65" s="1"/>
  <c r="AD286" i="65" s="1"/>
  <c r="D60" i="65"/>
  <c r="C60" i="65"/>
  <c r="B60" i="65"/>
  <c r="A60" i="65"/>
  <c r="A103" i="65" s="1"/>
  <c r="AH59" i="65"/>
  <c r="AG59" i="65"/>
  <c r="AC102" i="65" s="1"/>
  <c r="AK285" i="65" s="1"/>
  <c r="AF59" i="65"/>
  <c r="AE59" i="65"/>
  <c r="AD59" i="65"/>
  <c r="AC59" i="65"/>
  <c r="AB59" i="65"/>
  <c r="AA59" i="65"/>
  <c r="Z59" i="65"/>
  <c r="Y59" i="65"/>
  <c r="X59" i="65"/>
  <c r="V102" i="65" s="1"/>
  <c r="AI285" i="65" s="1"/>
  <c r="W59" i="65"/>
  <c r="V59" i="65"/>
  <c r="U59" i="65"/>
  <c r="T59" i="65"/>
  <c r="S59" i="65"/>
  <c r="R59" i="65"/>
  <c r="Q59" i="65"/>
  <c r="P59" i="65"/>
  <c r="O59" i="65"/>
  <c r="N102" i="65" s="1"/>
  <c r="AG285" i="65" s="1"/>
  <c r="N59" i="65"/>
  <c r="M59" i="65"/>
  <c r="L59" i="65"/>
  <c r="K59" i="65"/>
  <c r="J59" i="65"/>
  <c r="I59" i="65"/>
  <c r="H59" i="65"/>
  <c r="G59" i="65"/>
  <c r="F59" i="65"/>
  <c r="E59" i="65"/>
  <c r="D59" i="65"/>
  <c r="C59" i="65"/>
  <c r="B59" i="65"/>
  <c r="A59" i="65"/>
  <c r="A102" i="65" s="1"/>
  <c r="AH58" i="65"/>
  <c r="AH101" i="65" s="1"/>
  <c r="AL284" i="65" s="1"/>
  <c r="AG58" i="65"/>
  <c r="AF58" i="65"/>
  <c r="AE58" i="65"/>
  <c r="AD58" i="65"/>
  <c r="AC58" i="65"/>
  <c r="AB58" i="65"/>
  <c r="AA58" i="65"/>
  <c r="AA101" i="65" s="1"/>
  <c r="Z58" i="65"/>
  <c r="Y58" i="65"/>
  <c r="X58" i="65"/>
  <c r="W58" i="65"/>
  <c r="V58" i="65"/>
  <c r="U58" i="65"/>
  <c r="T58" i="65"/>
  <c r="S58" i="65"/>
  <c r="R58" i="65"/>
  <c r="Q58" i="65"/>
  <c r="P58" i="65"/>
  <c r="O58" i="65"/>
  <c r="N58" i="65"/>
  <c r="N101" i="65" s="1"/>
  <c r="AG284" i="65" s="1"/>
  <c r="M58" i="65"/>
  <c r="L58" i="65"/>
  <c r="K58" i="65"/>
  <c r="J58" i="65"/>
  <c r="I58" i="65"/>
  <c r="H58" i="65"/>
  <c r="G58" i="65"/>
  <c r="F58" i="65"/>
  <c r="E58" i="65"/>
  <c r="D58" i="65"/>
  <c r="C58" i="65"/>
  <c r="B58" i="65"/>
  <c r="A58" i="65"/>
  <c r="A101" i="65" s="1"/>
  <c r="AH57" i="65"/>
  <c r="AH100" i="65" s="1"/>
  <c r="AL283" i="65" s="1"/>
  <c r="AG57" i="65"/>
  <c r="AF57" i="65"/>
  <c r="AE57" i="65"/>
  <c r="AD57" i="65"/>
  <c r="AC57" i="65"/>
  <c r="AC100" i="65" s="1"/>
  <c r="AK283" i="65" s="1"/>
  <c r="AB57" i="65"/>
  <c r="AA57" i="65"/>
  <c r="AA100" i="65" s="1"/>
  <c r="AJ283" i="65" s="1"/>
  <c r="Z57" i="65"/>
  <c r="Y57" i="65"/>
  <c r="X57" i="65"/>
  <c r="W57" i="65"/>
  <c r="V100" i="65" s="1"/>
  <c r="AI283" i="65" s="1"/>
  <c r="V57" i="65"/>
  <c r="U57" i="65"/>
  <c r="T57" i="65"/>
  <c r="S57" i="65"/>
  <c r="R57" i="65"/>
  <c r="Q57" i="65"/>
  <c r="P57" i="65"/>
  <c r="O57" i="65"/>
  <c r="N57" i="65"/>
  <c r="M57" i="65"/>
  <c r="L57" i="65"/>
  <c r="K57" i="65"/>
  <c r="J57" i="65"/>
  <c r="I57" i="65"/>
  <c r="H57" i="65"/>
  <c r="G57" i="65"/>
  <c r="F57" i="65"/>
  <c r="E57" i="65"/>
  <c r="D57" i="65"/>
  <c r="C57" i="65"/>
  <c r="B57" i="65"/>
  <c r="B100" i="65" s="1"/>
  <c r="AC283" i="65" s="1"/>
  <c r="A57" i="65"/>
  <c r="A100" i="65" s="1"/>
  <c r="AB283" i="65" s="1"/>
  <c r="AH56" i="65"/>
  <c r="AG56" i="65"/>
  <c r="AF56" i="65"/>
  <c r="AE56" i="65"/>
  <c r="AD56" i="65"/>
  <c r="AC56" i="65"/>
  <c r="AC99" i="65" s="1"/>
  <c r="AK282" i="65" s="1"/>
  <c r="AB56" i="65"/>
  <c r="AA56" i="65"/>
  <c r="Z56" i="65"/>
  <c r="Y56" i="65"/>
  <c r="X56" i="65"/>
  <c r="W56" i="65"/>
  <c r="V56" i="65"/>
  <c r="V99" i="65" s="1"/>
  <c r="AI282" i="65" s="1"/>
  <c r="U56" i="65"/>
  <c r="T56" i="65"/>
  <c r="S99" i="65" s="1"/>
  <c r="AH282" i="65" s="1"/>
  <c r="S56" i="65"/>
  <c r="R56" i="65"/>
  <c r="Q56" i="65"/>
  <c r="P56" i="65"/>
  <c r="O56" i="65"/>
  <c r="N99" i="65" s="1"/>
  <c r="AG282" i="65" s="1"/>
  <c r="N56" i="65"/>
  <c r="M56" i="65"/>
  <c r="L56" i="65"/>
  <c r="K56" i="65"/>
  <c r="J56" i="65"/>
  <c r="I56" i="65"/>
  <c r="I99" i="65" s="1"/>
  <c r="AE282" i="65" s="1"/>
  <c r="H56" i="65"/>
  <c r="G56" i="65"/>
  <c r="F56" i="65"/>
  <c r="E56" i="65"/>
  <c r="D56" i="65"/>
  <c r="C56" i="65"/>
  <c r="B56" i="65"/>
  <c r="A56" i="65"/>
  <c r="AH55" i="65"/>
  <c r="AH98" i="65" s="1"/>
  <c r="AL281" i="65" s="1"/>
  <c r="AG55" i="65"/>
  <c r="AF55" i="65"/>
  <c r="AE55" i="65"/>
  <c r="AD55" i="65"/>
  <c r="AC55" i="65"/>
  <c r="AB55" i="65"/>
  <c r="AA55" i="65"/>
  <c r="AA98" i="65" s="1"/>
  <c r="AJ281" i="65" s="1"/>
  <c r="Z55" i="65"/>
  <c r="Y55" i="65"/>
  <c r="X55" i="65"/>
  <c r="W55" i="65"/>
  <c r="V55" i="65"/>
  <c r="U55" i="65"/>
  <c r="T55" i="65"/>
  <c r="S55" i="65"/>
  <c r="R55" i="65"/>
  <c r="Q55" i="65"/>
  <c r="P55" i="65"/>
  <c r="O55" i="65"/>
  <c r="N55" i="65"/>
  <c r="N98" i="65" s="1"/>
  <c r="AG281" i="65" s="1"/>
  <c r="M55" i="65"/>
  <c r="L55" i="65"/>
  <c r="L98" i="65" s="1"/>
  <c r="AF281" i="65" s="1"/>
  <c r="K55" i="65"/>
  <c r="J55" i="65"/>
  <c r="I55" i="65"/>
  <c r="I98" i="65" s="1"/>
  <c r="AE281" i="65" s="1"/>
  <c r="H55" i="65"/>
  <c r="G55" i="65"/>
  <c r="F55" i="65"/>
  <c r="E55" i="65"/>
  <c r="E98" i="65" s="1"/>
  <c r="AD281" i="65" s="1"/>
  <c r="D55" i="65"/>
  <c r="C55" i="65"/>
  <c r="B55" i="65"/>
  <c r="A55" i="65"/>
  <c r="A98" i="65" s="1"/>
  <c r="AH54" i="65"/>
  <c r="AH97" i="65" s="1"/>
  <c r="AL280" i="65" s="1"/>
  <c r="AG54" i="65"/>
  <c r="AF54" i="65"/>
  <c r="AE54" i="65"/>
  <c r="AD54" i="65"/>
  <c r="AC54" i="65"/>
  <c r="AC97" i="65" s="1"/>
  <c r="AK280" i="65" s="1"/>
  <c r="AB54" i="65"/>
  <c r="AA54" i="65"/>
  <c r="AA97" i="65" s="1"/>
  <c r="AJ280" i="65" s="1"/>
  <c r="Z54" i="65"/>
  <c r="Y54" i="65"/>
  <c r="X54" i="65"/>
  <c r="W54" i="65"/>
  <c r="V97" i="65" s="1"/>
  <c r="AI280" i="65" s="1"/>
  <c r="V54" i="65"/>
  <c r="U54" i="65"/>
  <c r="T54" i="65"/>
  <c r="S54" i="65"/>
  <c r="R54" i="65"/>
  <c r="Q54" i="65"/>
  <c r="P54" i="65"/>
  <c r="O54" i="65"/>
  <c r="N97" i="65" s="1"/>
  <c r="AG280" i="65" s="1"/>
  <c r="N54" i="65"/>
  <c r="M54" i="65"/>
  <c r="L54" i="65"/>
  <c r="K54" i="65"/>
  <c r="J54" i="65"/>
  <c r="I54" i="65"/>
  <c r="I97" i="65" s="1"/>
  <c r="AE280" i="65" s="1"/>
  <c r="H54" i="65"/>
  <c r="G54" i="65"/>
  <c r="F54" i="65"/>
  <c r="E97" i="65" s="1"/>
  <c r="AD280" i="65" s="1"/>
  <c r="E54" i="65"/>
  <c r="D54" i="65"/>
  <c r="C54" i="65"/>
  <c r="B97" i="65" s="1"/>
  <c r="B54" i="65"/>
  <c r="A54" i="65"/>
  <c r="AH53" i="65"/>
  <c r="AG53" i="65"/>
  <c r="AF53" i="65"/>
  <c r="AE53" i="65"/>
  <c r="AD53" i="65"/>
  <c r="AC53" i="65"/>
  <c r="AB53" i="65"/>
  <c r="AA53" i="65"/>
  <c r="Z53" i="65"/>
  <c r="Y53" i="65"/>
  <c r="X53" i="65"/>
  <c r="W53" i="65"/>
  <c r="V53" i="65"/>
  <c r="V96" i="65" s="1"/>
  <c r="AI279" i="65" s="1"/>
  <c r="U53" i="65"/>
  <c r="T53" i="65"/>
  <c r="S53" i="65"/>
  <c r="R53" i="65"/>
  <c r="Q53" i="65"/>
  <c r="P53" i="65"/>
  <c r="O53" i="65"/>
  <c r="N53" i="65"/>
  <c r="M53" i="65"/>
  <c r="L53" i="65"/>
  <c r="L96" i="65" s="1"/>
  <c r="AF279" i="65" s="1"/>
  <c r="K53" i="65"/>
  <c r="J53" i="65"/>
  <c r="I53" i="65"/>
  <c r="H53" i="65"/>
  <c r="G53" i="65"/>
  <c r="F53" i="65"/>
  <c r="E53" i="65"/>
  <c r="D53" i="65"/>
  <c r="C53" i="65"/>
  <c r="B53" i="65"/>
  <c r="A53" i="65"/>
  <c r="AH52" i="65"/>
  <c r="AG52" i="65"/>
  <c r="AF52" i="65"/>
  <c r="AE52" i="65"/>
  <c r="AD52" i="65"/>
  <c r="AC52" i="65"/>
  <c r="AB52" i="65"/>
  <c r="AA52" i="65"/>
  <c r="Z52" i="65"/>
  <c r="Y52" i="65"/>
  <c r="X52" i="65"/>
  <c r="W52" i="65"/>
  <c r="V52" i="65"/>
  <c r="V95" i="65" s="1"/>
  <c r="AI278" i="65" s="1"/>
  <c r="U52" i="65"/>
  <c r="T52" i="65"/>
  <c r="S52" i="65"/>
  <c r="S95" i="65" s="1"/>
  <c r="AH278" i="65" s="1"/>
  <c r="R52" i="65"/>
  <c r="Q52" i="65"/>
  <c r="P52" i="65"/>
  <c r="O52" i="65"/>
  <c r="N52" i="65"/>
  <c r="N95" i="65" s="1"/>
  <c r="AG278" i="65" s="1"/>
  <c r="M52" i="65"/>
  <c r="L95" i="65" s="1"/>
  <c r="AF278" i="65" s="1"/>
  <c r="L52" i="65"/>
  <c r="K52" i="65"/>
  <c r="J52" i="65"/>
  <c r="I52" i="65"/>
  <c r="H52" i="65"/>
  <c r="G52" i="65"/>
  <c r="F52" i="65"/>
  <c r="E52" i="65"/>
  <c r="E95" i="65" s="1"/>
  <c r="AD278" i="65" s="1"/>
  <c r="D52" i="65"/>
  <c r="C52" i="65"/>
  <c r="B52" i="65"/>
  <c r="A52" i="65"/>
  <c r="A95" i="65" s="1"/>
  <c r="M278" i="65" s="1"/>
  <c r="AH51" i="65"/>
  <c r="AH94" i="65" s="1"/>
  <c r="AL277" i="65" s="1"/>
  <c r="AG51" i="65"/>
  <c r="AF51" i="65"/>
  <c r="AE51" i="65"/>
  <c r="AD51" i="65"/>
  <c r="AC51" i="65"/>
  <c r="AB51" i="65"/>
  <c r="AA51" i="65"/>
  <c r="Z51" i="65"/>
  <c r="Y51" i="65"/>
  <c r="X51" i="65"/>
  <c r="W51" i="65"/>
  <c r="V94" i="65" s="1"/>
  <c r="AI277" i="65" s="1"/>
  <c r="V51" i="65"/>
  <c r="U51" i="65"/>
  <c r="T51" i="65"/>
  <c r="S51" i="65"/>
  <c r="S94" i="65" s="1"/>
  <c r="AH277" i="65" s="1"/>
  <c r="R51" i="65"/>
  <c r="Q51" i="65"/>
  <c r="P51" i="65"/>
  <c r="O51" i="65"/>
  <c r="N51" i="65"/>
  <c r="M51" i="65"/>
  <c r="L51" i="65"/>
  <c r="L94" i="65" s="1"/>
  <c r="AF277" i="65" s="1"/>
  <c r="K51" i="65"/>
  <c r="J51" i="65"/>
  <c r="I94" i="65" s="1"/>
  <c r="AE277" i="65" s="1"/>
  <c r="I51" i="65"/>
  <c r="H51" i="65"/>
  <c r="G51" i="65"/>
  <c r="F51" i="65"/>
  <c r="E51" i="65"/>
  <c r="E94" i="65" s="1"/>
  <c r="AD277" i="65" s="1"/>
  <c r="D51" i="65"/>
  <c r="C51" i="65"/>
  <c r="B51" i="65"/>
  <c r="A51" i="65"/>
  <c r="AH50" i="65"/>
  <c r="AG50" i="65"/>
  <c r="AF50" i="65"/>
  <c r="AE50" i="65"/>
  <c r="AD50" i="65"/>
  <c r="AC50" i="65"/>
  <c r="AB50" i="65"/>
  <c r="AA50" i="65"/>
  <c r="Z50" i="65"/>
  <c r="Y50" i="65"/>
  <c r="X50" i="65"/>
  <c r="V93" i="65" s="1"/>
  <c r="AI276" i="65" s="1"/>
  <c r="W50" i="65"/>
  <c r="V50" i="65"/>
  <c r="U50" i="65"/>
  <c r="T50" i="65"/>
  <c r="S50" i="65"/>
  <c r="R50" i="65"/>
  <c r="Q50" i="65"/>
  <c r="P50" i="65"/>
  <c r="O50" i="65"/>
  <c r="N50" i="65"/>
  <c r="N93" i="65" s="1"/>
  <c r="M50" i="65"/>
  <c r="L50" i="65"/>
  <c r="K50" i="65"/>
  <c r="J50" i="65"/>
  <c r="I50" i="65"/>
  <c r="H50" i="65"/>
  <c r="G50" i="65"/>
  <c r="F50" i="65"/>
  <c r="E50" i="65"/>
  <c r="D50" i="65"/>
  <c r="C50" i="65"/>
  <c r="B50" i="65"/>
  <c r="A50" i="65"/>
  <c r="A93" i="65" s="1"/>
  <c r="AH49" i="65"/>
  <c r="AG49" i="65"/>
  <c r="AF49" i="65"/>
  <c r="AE49" i="65"/>
  <c r="AD49" i="65"/>
  <c r="AC49" i="65"/>
  <c r="AB49" i="65"/>
  <c r="AA49" i="65"/>
  <c r="AA92" i="65" s="1"/>
  <c r="AJ275" i="65" s="1"/>
  <c r="Z49" i="65"/>
  <c r="Y49" i="65"/>
  <c r="X49" i="65"/>
  <c r="W49" i="65"/>
  <c r="V49" i="65"/>
  <c r="V92" i="65" s="1"/>
  <c r="AI275" i="65" s="1"/>
  <c r="U49" i="65"/>
  <c r="T49" i="65"/>
  <c r="S49" i="65"/>
  <c r="S92" i="65" s="1"/>
  <c r="AH275" i="65" s="1"/>
  <c r="R49" i="65"/>
  <c r="Q49" i="65"/>
  <c r="P49" i="65"/>
  <c r="O49" i="65"/>
  <c r="N92" i="65" s="1"/>
  <c r="AG275" i="65" s="1"/>
  <c r="N49" i="65"/>
  <c r="M49" i="65"/>
  <c r="L49" i="65"/>
  <c r="K49" i="65"/>
  <c r="J49" i="65"/>
  <c r="I49" i="65"/>
  <c r="H49" i="65"/>
  <c r="G49" i="65"/>
  <c r="F49" i="65"/>
  <c r="E49" i="65"/>
  <c r="D49" i="65"/>
  <c r="B92" i="65" s="1"/>
  <c r="C49" i="65"/>
  <c r="B49" i="65"/>
  <c r="A49" i="65"/>
  <c r="AH48" i="65"/>
  <c r="AG48" i="65"/>
  <c r="AF48" i="65"/>
  <c r="AE48" i="65"/>
  <c r="AD48" i="65"/>
  <c r="AC91" i="65" s="1"/>
  <c r="AK274" i="65" s="1"/>
  <c r="AC48" i="65"/>
  <c r="AB48" i="65"/>
  <c r="AA48" i="65"/>
  <c r="AA91" i="65" s="1"/>
  <c r="Z48" i="65"/>
  <c r="Y48" i="65"/>
  <c r="X48" i="65"/>
  <c r="W48" i="65"/>
  <c r="V48" i="65"/>
  <c r="V91" i="65" s="1"/>
  <c r="AI274" i="65" s="1"/>
  <c r="U48" i="65"/>
  <c r="T48" i="65"/>
  <c r="S48" i="65"/>
  <c r="R48" i="65"/>
  <c r="Q48" i="65"/>
  <c r="P48" i="65"/>
  <c r="O48" i="65"/>
  <c r="N48" i="65"/>
  <c r="N91" i="65" s="1"/>
  <c r="AG274" i="65" s="1"/>
  <c r="M48" i="65"/>
  <c r="L48" i="65"/>
  <c r="L91" i="65" s="1"/>
  <c r="AF274" i="65" s="1"/>
  <c r="K48" i="65"/>
  <c r="J48" i="65"/>
  <c r="I48" i="65"/>
  <c r="H48" i="65"/>
  <c r="G48" i="65"/>
  <c r="F48" i="65"/>
  <c r="E48" i="65"/>
  <c r="E91" i="65" s="1"/>
  <c r="AD274" i="65" s="1"/>
  <c r="D48" i="65"/>
  <c r="C48" i="65"/>
  <c r="B48" i="65"/>
  <c r="B91" i="65" s="1"/>
  <c r="A48" i="65"/>
  <c r="AH47" i="65"/>
  <c r="AG47" i="65"/>
  <c r="AF47" i="65"/>
  <c r="AE47" i="65"/>
  <c r="AD47" i="65"/>
  <c r="AC47" i="65"/>
  <c r="AB47" i="65"/>
  <c r="AA47" i="65"/>
  <c r="Z47" i="65"/>
  <c r="V90" i="65" s="1"/>
  <c r="AI273" i="65" s="1"/>
  <c r="Y47" i="65"/>
  <c r="X47" i="65"/>
  <c r="W47" i="65"/>
  <c r="V47" i="65"/>
  <c r="U47" i="65"/>
  <c r="T47" i="65"/>
  <c r="S47" i="65"/>
  <c r="R47" i="65"/>
  <c r="Q47" i="65"/>
  <c r="P47" i="65"/>
  <c r="O47" i="65"/>
  <c r="N90" i="65" s="1"/>
  <c r="AG273" i="65" s="1"/>
  <c r="N47" i="65"/>
  <c r="M47" i="65"/>
  <c r="L47" i="65"/>
  <c r="L90" i="65" s="1"/>
  <c r="AF273" i="65" s="1"/>
  <c r="K47" i="65"/>
  <c r="J47" i="65"/>
  <c r="I47" i="65"/>
  <c r="I90" i="65" s="1"/>
  <c r="AE273" i="65" s="1"/>
  <c r="H47" i="65"/>
  <c r="G47" i="65"/>
  <c r="F47" i="65"/>
  <c r="E47" i="65"/>
  <c r="E90" i="65" s="1"/>
  <c r="AD273" i="65" s="1"/>
  <c r="D47" i="65"/>
  <c r="C47" i="65"/>
  <c r="B90" i="65" s="1"/>
  <c r="B47" i="65"/>
  <c r="A47" i="65"/>
  <c r="AH46" i="65"/>
  <c r="AG46" i="65"/>
  <c r="AF46" i="65"/>
  <c r="AE46" i="65"/>
  <c r="AD46" i="65"/>
  <c r="AC46" i="65"/>
  <c r="AC89" i="65" s="1"/>
  <c r="AK272" i="65" s="1"/>
  <c r="AB46" i="65"/>
  <c r="AA46" i="65"/>
  <c r="AA89" i="65" s="1"/>
  <c r="AJ272" i="65" s="1"/>
  <c r="Z46" i="65"/>
  <c r="Y46" i="65"/>
  <c r="X46" i="65"/>
  <c r="W46" i="65"/>
  <c r="V46" i="65"/>
  <c r="V89" i="65" s="1"/>
  <c r="AI272" i="65" s="1"/>
  <c r="U46" i="65"/>
  <c r="T46" i="65"/>
  <c r="S46" i="65"/>
  <c r="R46" i="65"/>
  <c r="Q46" i="65"/>
  <c r="P46" i="65"/>
  <c r="O46" i="65"/>
  <c r="N46" i="65"/>
  <c r="N89" i="65" s="1"/>
  <c r="M46" i="65"/>
  <c r="L89" i="65" s="1"/>
  <c r="AF272" i="65" s="1"/>
  <c r="L46" i="65"/>
  <c r="K46" i="65"/>
  <c r="J46" i="65"/>
  <c r="I46" i="65"/>
  <c r="H46" i="65"/>
  <c r="G46" i="65"/>
  <c r="F46" i="65"/>
  <c r="E89" i="65" s="1"/>
  <c r="E46" i="65"/>
  <c r="D46" i="65"/>
  <c r="C46" i="65"/>
  <c r="B46" i="65"/>
  <c r="A46" i="65"/>
  <c r="A89" i="65" s="1"/>
  <c r="AH45" i="65"/>
  <c r="AH88" i="65" s="1"/>
  <c r="AL271" i="65" s="1"/>
  <c r="AG45" i="65"/>
  <c r="AF45" i="65"/>
  <c r="AE45" i="65"/>
  <c r="AD45" i="65"/>
  <c r="AC45" i="65"/>
  <c r="AB45" i="65"/>
  <c r="AA45" i="65"/>
  <c r="Z45" i="65"/>
  <c r="Y45" i="65"/>
  <c r="Y88" i="65" s="1"/>
  <c r="X45" i="65"/>
  <c r="X88" i="65" s="1"/>
  <c r="W45" i="65"/>
  <c r="W88" i="65" s="1"/>
  <c r="V45" i="65"/>
  <c r="V88" i="65" s="1"/>
  <c r="AI271" i="65" s="1"/>
  <c r="U45" i="65"/>
  <c r="U88" i="65" s="1"/>
  <c r="T45" i="65"/>
  <c r="T88" i="65" s="1"/>
  <c r="S45" i="65"/>
  <c r="S88" i="65" s="1"/>
  <c r="AH271" i="65" s="1"/>
  <c r="R45" i="65"/>
  <c r="R88" i="65" s="1"/>
  <c r="Q45" i="65"/>
  <c r="P45" i="65"/>
  <c r="P88" i="65" s="1"/>
  <c r="O45" i="65"/>
  <c r="O88" i="65" s="1"/>
  <c r="N45" i="65"/>
  <c r="N88" i="65" s="1"/>
  <c r="AG271" i="65" s="1"/>
  <c r="M45" i="65"/>
  <c r="M88" i="65" s="1"/>
  <c r="L45" i="65"/>
  <c r="L88" i="65" s="1"/>
  <c r="AF271" i="65" s="1"/>
  <c r="K45" i="65"/>
  <c r="K88" i="65" s="1"/>
  <c r="J45" i="65"/>
  <c r="I45" i="65"/>
  <c r="I88" i="65" s="1"/>
  <c r="AE271" i="65" s="1"/>
  <c r="H45" i="65"/>
  <c r="G45" i="65"/>
  <c r="F45" i="65"/>
  <c r="E45" i="65"/>
  <c r="D45" i="65"/>
  <c r="D88" i="65" s="1"/>
  <c r="C45" i="65"/>
  <c r="C88" i="65" s="1"/>
  <c r="B45" i="65"/>
  <c r="B88" i="65" s="1"/>
  <c r="AC271" i="65" s="1"/>
  <c r="B339" i="64"/>
  <c r="A339" i="64"/>
  <c r="AQ334" i="64"/>
  <c r="AP334" i="64"/>
  <c r="AO334" i="64"/>
  <c r="AN334" i="64"/>
  <c r="AM334" i="64"/>
  <c r="AL334" i="64"/>
  <c r="AK334" i="64"/>
  <c r="AJ334" i="64"/>
  <c r="AI334" i="64"/>
  <c r="AH334" i="64"/>
  <c r="AG334" i="64"/>
  <c r="AF334" i="64"/>
  <c r="AE334" i="64"/>
  <c r="AD334" i="64"/>
  <c r="AC334" i="64"/>
  <c r="AB334" i="64"/>
  <c r="AA334" i="64"/>
  <c r="Z334" i="64"/>
  <c r="Y334" i="64"/>
  <c r="X334" i="64"/>
  <c r="W334" i="64"/>
  <c r="V334" i="64"/>
  <c r="U334" i="64"/>
  <c r="T334" i="64"/>
  <c r="S334" i="64"/>
  <c r="R334" i="64"/>
  <c r="Q334" i="64"/>
  <c r="P334" i="64"/>
  <c r="O334" i="64"/>
  <c r="N334" i="64"/>
  <c r="M334" i="64"/>
  <c r="L334" i="64"/>
  <c r="K334" i="64"/>
  <c r="J334" i="64"/>
  <c r="I334" i="64"/>
  <c r="H334" i="64"/>
  <c r="G334" i="64"/>
  <c r="F334" i="64"/>
  <c r="E334" i="64"/>
  <c r="D334" i="64"/>
  <c r="C334" i="64"/>
  <c r="B334" i="64"/>
  <c r="AQ333" i="64"/>
  <c r="AP333" i="64"/>
  <c r="AO333" i="64"/>
  <c r="AN333" i="64"/>
  <c r="AM333" i="64"/>
  <c r="AL333" i="64"/>
  <c r="AK333" i="64"/>
  <c r="AJ333" i="64"/>
  <c r="AI333" i="64"/>
  <c r="AH333" i="64"/>
  <c r="AG333" i="64"/>
  <c r="AF333" i="64"/>
  <c r="AE333" i="64"/>
  <c r="AD333" i="64"/>
  <c r="AC333" i="64"/>
  <c r="AB333" i="64"/>
  <c r="AA333" i="64"/>
  <c r="Z333" i="64"/>
  <c r="Y333" i="64"/>
  <c r="X333" i="64"/>
  <c r="W333" i="64"/>
  <c r="V333" i="64"/>
  <c r="U333" i="64"/>
  <c r="T333" i="64"/>
  <c r="S333" i="64"/>
  <c r="R333" i="64"/>
  <c r="Q333" i="64"/>
  <c r="P333" i="64"/>
  <c r="O333" i="64"/>
  <c r="N333" i="64"/>
  <c r="M333" i="64"/>
  <c r="L333" i="64"/>
  <c r="K333" i="64"/>
  <c r="J333" i="64"/>
  <c r="I333" i="64"/>
  <c r="H333" i="64"/>
  <c r="G333" i="64"/>
  <c r="F333" i="64"/>
  <c r="E333" i="64"/>
  <c r="D333" i="64"/>
  <c r="C333" i="64"/>
  <c r="AQ332" i="64"/>
  <c r="AP332" i="64"/>
  <c r="AO332" i="64"/>
  <c r="AN332" i="64"/>
  <c r="AM332" i="64"/>
  <c r="AL332" i="64"/>
  <c r="AK332" i="64"/>
  <c r="AJ332" i="64"/>
  <c r="AI332" i="64"/>
  <c r="AH332" i="64"/>
  <c r="AG332" i="64"/>
  <c r="AF332" i="64"/>
  <c r="AE332" i="64"/>
  <c r="AE328" i="64" s="1"/>
  <c r="AD332" i="64"/>
  <c r="AD328" i="64" s="1"/>
  <c r="AC332" i="64"/>
  <c r="AB332" i="64"/>
  <c r="AA332" i="64"/>
  <c r="Z332" i="64"/>
  <c r="Y332" i="64"/>
  <c r="X332" i="64"/>
  <c r="W332" i="64"/>
  <c r="V332" i="64"/>
  <c r="U332" i="64"/>
  <c r="T332" i="64"/>
  <c r="S332" i="64"/>
  <c r="R332" i="64"/>
  <c r="Q332" i="64"/>
  <c r="P332" i="64"/>
  <c r="O332" i="64"/>
  <c r="N332" i="64"/>
  <c r="M332" i="64"/>
  <c r="L332" i="64"/>
  <c r="K332" i="64"/>
  <c r="J332" i="64"/>
  <c r="I332" i="64"/>
  <c r="H332" i="64"/>
  <c r="G332" i="64"/>
  <c r="F332" i="64"/>
  <c r="E332" i="64"/>
  <c r="D332" i="64"/>
  <c r="C332" i="64"/>
  <c r="AQ331" i="64"/>
  <c r="AP331" i="64"/>
  <c r="AO331" i="64"/>
  <c r="AN331" i="64"/>
  <c r="AM331" i="64"/>
  <c r="AL331" i="64"/>
  <c r="AK331" i="64"/>
  <c r="AJ331" i="64"/>
  <c r="AI331" i="64"/>
  <c r="AH331" i="64"/>
  <c r="AG331" i="64"/>
  <c r="AF331" i="64"/>
  <c r="AE331" i="64"/>
  <c r="AD331" i="64"/>
  <c r="AC331" i="64"/>
  <c r="AB331" i="64"/>
  <c r="AA331" i="64"/>
  <c r="Z331" i="64"/>
  <c r="Y331" i="64"/>
  <c r="X331" i="64"/>
  <c r="W331" i="64"/>
  <c r="V331" i="64"/>
  <c r="U331" i="64"/>
  <c r="T331" i="64"/>
  <c r="S331" i="64"/>
  <c r="S328" i="64" s="1"/>
  <c r="R331" i="64"/>
  <c r="Q331" i="64"/>
  <c r="P331" i="64"/>
  <c r="O331" i="64"/>
  <c r="N331" i="64"/>
  <c r="M331" i="64"/>
  <c r="L331" i="64"/>
  <c r="K331" i="64"/>
  <c r="J331" i="64"/>
  <c r="I331" i="64"/>
  <c r="H331" i="64"/>
  <c r="G331" i="64"/>
  <c r="F331" i="64"/>
  <c r="E331" i="64"/>
  <c r="D331" i="64"/>
  <c r="C331" i="64"/>
  <c r="AQ330" i="64"/>
  <c r="AP330" i="64"/>
  <c r="AO330" i="64"/>
  <c r="AO328" i="64" s="1"/>
  <c r="AN330" i="64"/>
  <c r="AM330" i="64"/>
  <c r="AL330" i="64"/>
  <c r="AK330" i="64"/>
  <c r="AJ330" i="64"/>
  <c r="AI330" i="64"/>
  <c r="AH330" i="64"/>
  <c r="AG330" i="64"/>
  <c r="AF330" i="64"/>
  <c r="AE330" i="64"/>
  <c r="AD330" i="64"/>
  <c r="AC330" i="64"/>
  <c r="AB330" i="64"/>
  <c r="AA330" i="64"/>
  <c r="Z330" i="64"/>
  <c r="Y330" i="64"/>
  <c r="X330" i="64"/>
  <c r="W330" i="64"/>
  <c r="V330" i="64"/>
  <c r="U330" i="64"/>
  <c r="U328" i="64" s="1"/>
  <c r="T330" i="64"/>
  <c r="S330" i="64"/>
  <c r="R330" i="64"/>
  <c r="Q330" i="64"/>
  <c r="P330" i="64"/>
  <c r="O330" i="64"/>
  <c r="N330" i="64"/>
  <c r="M330" i="64"/>
  <c r="M328" i="64" s="1"/>
  <c r="L330" i="64"/>
  <c r="K330" i="64"/>
  <c r="J330" i="64"/>
  <c r="I330" i="64"/>
  <c r="H330" i="64"/>
  <c r="G330" i="64"/>
  <c r="F330" i="64"/>
  <c r="E330" i="64"/>
  <c r="D330" i="64"/>
  <c r="C330" i="64"/>
  <c r="AQ329" i="64"/>
  <c r="AQ328" i="64" s="1"/>
  <c r="AP329" i="64"/>
  <c r="AO329" i="64"/>
  <c r="AN329" i="64"/>
  <c r="AM329" i="64"/>
  <c r="AL329" i="64"/>
  <c r="AK329" i="64"/>
  <c r="AJ329" i="64"/>
  <c r="AI329" i="64"/>
  <c r="AH329" i="64"/>
  <c r="AG329" i="64"/>
  <c r="AF329" i="64"/>
  <c r="AE329" i="64"/>
  <c r="AD329" i="64"/>
  <c r="AC329" i="64"/>
  <c r="AC328" i="64" s="1"/>
  <c r="AB329" i="64"/>
  <c r="AB328" i="64" s="1"/>
  <c r="AA329" i="64"/>
  <c r="AA328" i="64" s="1"/>
  <c r="Z329" i="64"/>
  <c r="Y329" i="64"/>
  <c r="Y328" i="64" s="1"/>
  <c r="X329" i="64"/>
  <c r="W329" i="64"/>
  <c r="W328" i="64" s="1"/>
  <c r="V329" i="64"/>
  <c r="U329" i="64"/>
  <c r="T329" i="64"/>
  <c r="S329" i="64"/>
  <c r="R329" i="64"/>
  <c r="Q329" i="64"/>
  <c r="Q328" i="64" s="1"/>
  <c r="P329" i="64"/>
  <c r="P328" i="64" s="1"/>
  <c r="O329" i="64"/>
  <c r="O328" i="64" s="1"/>
  <c r="N329" i="64"/>
  <c r="M329" i="64"/>
  <c r="L329" i="64"/>
  <c r="K329" i="64"/>
  <c r="J329" i="64"/>
  <c r="I329" i="64"/>
  <c r="H329" i="64"/>
  <c r="G329" i="64"/>
  <c r="G328" i="64" s="1"/>
  <c r="F329" i="64"/>
  <c r="E329" i="64"/>
  <c r="E328" i="64" s="1"/>
  <c r="D329" i="64"/>
  <c r="C329" i="64"/>
  <c r="C328" i="64" s="1"/>
  <c r="AM328" i="64"/>
  <c r="AL328" i="64"/>
  <c r="AK328" i="64"/>
  <c r="AJ328" i="64"/>
  <c r="AI328" i="64"/>
  <c r="AH328" i="64"/>
  <c r="AG328" i="64"/>
  <c r="AF328" i="64"/>
  <c r="R328" i="64"/>
  <c r="N328" i="64"/>
  <c r="L328" i="64"/>
  <c r="K328" i="64"/>
  <c r="J328" i="64"/>
  <c r="I328" i="64"/>
  <c r="H328" i="64"/>
  <c r="B328" i="64"/>
  <c r="AQ327" i="64"/>
  <c r="AP327" i="64"/>
  <c r="AO327" i="64"/>
  <c r="AN327" i="64"/>
  <c r="AM327" i="64"/>
  <c r="AL327" i="64"/>
  <c r="AL325" i="64" s="1"/>
  <c r="AK327" i="64"/>
  <c r="AK325" i="64" s="1"/>
  <c r="AJ327" i="64"/>
  <c r="AI327" i="64"/>
  <c r="AH327" i="64"/>
  <c r="AG327" i="64"/>
  <c r="AF327" i="64"/>
  <c r="AE327" i="64"/>
  <c r="AD327" i="64"/>
  <c r="AD325" i="64" s="1"/>
  <c r="AC327" i="64"/>
  <c r="AB327" i="64"/>
  <c r="AA327" i="64"/>
  <c r="AA325" i="64" s="1"/>
  <c r="Z327" i="64"/>
  <c r="Y327" i="64"/>
  <c r="X327" i="64"/>
  <c r="W327" i="64"/>
  <c r="V327" i="64"/>
  <c r="U327" i="64"/>
  <c r="T327" i="64"/>
  <c r="S327" i="64"/>
  <c r="R327" i="64"/>
  <c r="Q327" i="64"/>
  <c r="P327" i="64"/>
  <c r="O327" i="64"/>
  <c r="N327" i="64"/>
  <c r="M327" i="64"/>
  <c r="L327" i="64"/>
  <c r="K327" i="64"/>
  <c r="J327" i="64"/>
  <c r="J325" i="64" s="1"/>
  <c r="I327" i="64"/>
  <c r="H327" i="64"/>
  <c r="G327" i="64"/>
  <c r="G325" i="64" s="1"/>
  <c r="F327" i="64"/>
  <c r="E327" i="64"/>
  <c r="D327" i="64"/>
  <c r="C327" i="64"/>
  <c r="AQ326" i="64"/>
  <c r="AP326" i="64"/>
  <c r="AO326" i="64"/>
  <c r="AN326" i="64"/>
  <c r="AN325" i="64" s="1"/>
  <c r="AM326" i="64"/>
  <c r="AM325" i="64" s="1"/>
  <c r="AL326" i="64"/>
  <c r="AK326" i="64"/>
  <c r="AJ326" i="64"/>
  <c r="AI326" i="64"/>
  <c r="AH326" i="64"/>
  <c r="AG326" i="64"/>
  <c r="AF326" i="64"/>
  <c r="AF325" i="64" s="1"/>
  <c r="AE326" i="64"/>
  <c r="AE325" i="64" s="1"/>
  <c r="AD326" i="64"/>
  <c r="AC326" i="64"/>
  <c r="AB326" i="64"/>
  <c r="AB325" i="64" s="1"/>
  <c r="AA326" i="64"/>
  <c r="Z326" i="64"/>
  <c r="Y326" i="64"/>
  <c r="X326" i="64"/>
  <c r="W326" i="64"/>
  <c r="V326" i="64"/>
  <c r="U326" i="64"/>
  <c r="U325" i="64" s="1"/>
  <c r="T326" i="64"/>
  <c r="T325" i="64" s="1"/>
  <c r="S326" i="64"/>
  <c r="S325" i="64" s="1"/>
  <c r="R326" i="64"/>
  <c r="Q326" i="64"/>
  <c r="Q325" i="64" s="1"/>
  <c r="P326" i="64"/>
  <c r="O326" i="64"/>
  <c r="O325" i="64" s="1"/>
  <c r="N326" i="64"/>
  <c r="M326" i="64"/>
  <c r="M325" i="64" s="1"/>
  <c r="L326" i="64"/>
  <c r="L325" i="64" s="1"/>
  <c r="K326" i="64"/>
  <c r="K325" i="64" s="1"/>
  <c r="J326" i="64"/>
  <c r="I326" i="64"/>
  <c r="H326" i="64"/>
  <c r="H325" i="64" s="1"/>
  <c r="G326" i="64"/>
  <c r="F326" i="64"/>
  <c r="E326" i="64"/>
  <c r="D326" i="64"/>
  <c r="C326" i="64"/>
  <c r="AQ325" i="64"/>
  <c r="AP325" i="64"/>
  <c r="AO325" i="64"/>
  <c r="AJ325" i="64"/>
  <c r="AI325" i="64"/>
  <c r="AH325" i="64"/>
  <c r="AG325" i="64"/>
  <c r="Z325" i="64"/>
  <c r="Y325" i="64"/>
  <c r="X325" i="64"/>
  <c r="W325" i="64"/>
  <c r="V325" i="64"/>
  <c r="R325" i="64"/>
  <c r="P325" i="64"/>
  <c r="N325" i="64"/>
  <c r="F325" i="64"/>
  <c r="E325" i="64"/>
  <c r="D325" i="64"/>
  <c r="C325" i="64"/>
  <c r="B325" i="64"/>
  <c r="AQ324" i="64"/>
  <c r="AP324" i="64"/>
  <c r="AO324" i="64"/>
  <c r="AN324" i="64"/>
  <c r="AM324" i="64"/>
  <c r="AL324" i="64"/>
  <c r="AK324" i="64"/>
  <c r="AJ324" i="64"/>
  <c r="AI324" i="64"/>
  <c r="AH324" i="64"/>
  <c r="AG324" i="64"/>
  <c r="AF324" i="64"/>
  <c r="AE324" i="64"/>
  <c r="AD324" i="64"/>
  <c r="AC324" i="64"/>
  <c r="AB324" i="64"/>
  <c r="AA324" i="64"/>
  <c r="Z324" i="64"/>
  <c r="Y324" i="64"/>
  <c r="X324" i="64"/>
  <c r="W324" i="64"/>
  <c r="V324" i="64"/>
  <c r="U324" i="64"/>
  <c r="T324" i="64"/>
  <c r="S324" i="64"/>
  <c r="R324" i="64"/>
  <c r="Q324" i="64"/>
  <c r="P324" i="64"/>
  <c r="O324" i="64"/>
  <c r="N324" i="64"/>
  <c r="M324" i="64"/>
  <c r="L324" i="64"/>
  <c r="K324" i="64"/>
  <c r="J324" i="64"/>
  <c r="I324" i="64"/>
  <c r="H324" i="64"/>
  <c r="G324" i="64"/>
  <c r="F324" i="64"/>
  <c r="E324" i="64"/>
  <c r="D324" i="64"/>
  <c r="C324" i="64"/>
  <c r="B324" i="64"/>
  <c r="AQ323" i="64"/>
  <c r="AP323" i="64"/>
  <c r="AO323" i="64"/>
  <c r="AN323" i="64"/>
  <c r="AM323" i="64"/>
  <c r="AL323" i="64"/>
  <c r="AK323" i="64"/>
  <c r="AJ323" i="64"/>
  <c r="AI323" i="64"/>
  <c r="AH323" i="64"/>
  <c r="AG323" i="64"/>
  <c r="AF323" i="64"/>
  <c r="AE323" i="64"/>
  <c r="AD323" i="64"/>
  <c r="AC323" i="64"/>
  <c r="AB323" i="64"/>
  <c r="AA323" i="64"/>
  <c r="AA319" i="64" s="1"/>
  <c r="Z323" i="64"/>
  <c r="Y323" i="64"/>
  <c r="Y319" i="64" s="1"/>
  <c r="X323" i="64"/>
  <c r="W323" i="64"/>
  <c r="V323" i="64"/>
  <c r="U323" i="64"/>
  <c r="T323" i="64"/>
  <c r="S323" i="64"/>
  <c r="R323" i="64"/>
  <c r="Q323" i="64"/>
  <c r="P323" i="64"/>
  <c r="O323" i="64"/>
  <c r="N323" i="64"/>
  <c r="M323" i="64"/>
  <c r="L323" i="64"/>
  <c r="K323" i="64"/>
  <c r="J323" i="64"/>
  <c r="I323" i="64"/>
  <c r="H323" i="64"/>
  <c r="G323" i="64"/>
  <c r="G319" i="64" s="1"/>
  <c r="F323" i="64"/>
  <c r="E323" i="64"/>
  <c r="D323" i="64"/>
  <c r="C323" i="64"/>
  <c r="B323" i="64"/>
  <c r="AQ322" i="64"/>
  <c r="AP322" i="64"/>
  <c r="AO322" i="64"/>
  <c r="AN322" i="64"/>
  <c r="AM322" i="64"/>
  <c r="AL322" i="64"/>
  <c r="AK322" i="64"/>
  <c r="AK319" i="64" s="1"/>
  <c r="AJ322" i="64"/>
  <c r="AI322" i="64"/>
  <c r="AH322" i="64"/>
  <c r="AG322" i="64"/>
  <c r="AF322" i="64"/>
  <c r="AE322" i="64"/>
  <c r="AD322" i="64"/>
  <c r="AD319" i="64" s="1"/>
  <c r="AC322" i="64"/>
  <c r="AC319" i="64" s="1"/>
  <c r="AB322" i="64"/>
  <c r="AB319" i="64" s="1"/>
  <c r="AA322" i="64"/>
  <c r="Z322" i="64"/>
  <c r="Y322" i="64"/>
  <c r="X322" i="64"/>
  <c r="W322" i="64"/>
  <c r="V322" i="64"/>
  <c r="U322" i="64"/>
  <c r="T322" i="64"/>
  <c r="S322" i="64"/>
  <c r="R322" i="64"/>
  <c r="Q322" i="64"/>
  <c r="Q319" i="64" s="1"/>
  <c r="P322" i="64"/>
  <c r="O322" i="64"/>
  <c r="N322" i="64"/>
  <c r="M322" i="64"/>
  <c r="L322" i="64"/>
  <c r="K322" i="64"/>
  <c r="J322" i="64"/>
  <c r="I322" i="64"/>
  <c r="H322" i="64"/>
  <c r="G322" i="64"/>
  <c r="F322" i="64"/>
  <c r="E322" i="64"/>
  <c r="D322" i="64"/>
  <c r="C322" i="64"/>
  <c r="AQ321" i="64"/>
  <c r="AP321" i="64"/>
  <c r="AO321" i="64"/>
  <c r="AN321" i="64"/>
  <c r="AM321" i="64"/>
  <c r="AM319" i="64" s="1"/>
  <c r="AL321" i="64"/>
  <c r="AK321" i="64"/>
  <c r="AJ321" i="64"/>
  <c r="AI321" i="64"/>
  <c r="AH321" i="64"/>
  <c r="AG321" i="64"/>
  <c r="AF321" i="64"/>
  <c r="AF319" i="64" s="1"/>
  <c r="AE321" i="64"/>
  <c r="AD321" i="64"/>
  <c r="AC321" i="64"/>
  <c r="AB321" i="64"/>
  <c r="AA321" i="64"/>
  <c r="Z321" i="64"/>
  <c r="Z319" i="64" s="1"/>
  <c r="Y321" i="64"/>
  <c r="X321" i="64"/>
  <c r="W321" i="64"/>
  <c r="V321" i="64"/>
  <c r="U321" i="64"/>
  <c r="T321" i="64"/>
  <c r="S321" i="64"/>
  <c r="S319" i="64" s="1"/>
  <c r="R321" i="64"/>
  <c r="Q321" i="64"/>
  <c r="P321" i="64"/>
  <c r="O321" i="64"/>
  <c r="N321" i="64"/>
  <c r="M321" i="64"/>
  <c r="L321" i="64"/>
  <c r="K321" i="64"/>
  <c r="J321" i="64"/>
  <c r="I321" i="64"/>
  <c r="I319" i="64" s="1"/>
  <c r="H321" i="64"/>
  <c r="G321" i="64"/>
  <c r="F321" i="64"/>
  <c r="E321" i="64"/>
  <c r="D321" i="64"/>
  <c r="C321" i="64"/>
  <c r="AQ320" i="64"/>
  <c r="AQ319" i="64" s="1"/>
  <c r="AP320" i="64"/>
  <c r="AO320" i="64"/>
  <c r="AO319" i="64" s="1"/>
  <c r="AN320" i="64"/>
  <c r="AM320" i="64"/>
  <c r="AL320" i="64"/>
  <c r="AK320" i="64"/>
  <c r="AJ320" i="64"/>
  <c r="AI320" i="64"/>
  <c r="AI319" i="64" s="1"/>
  <c r="AH320" i="64"/>
  <c r="AH319" i="64" s="1"/>
  <c r="AG320" i="64"/>
  <c r="AG319" i="64" s="1"/>
  <c r="AF320" i="64"/>
  <c r="AE320" i="64"/>
  <c r="AD320" i="64"/>
  <c r="AC320" i="64"/>
  <c r="AB320" i="64"/>
  <c r="AA320" i="64"/>
  <c r="Z320" i="64"/>
  <c r="Y320" i="64"/>
  <c r="X320" i="64"/>
  <c r="W320" i="64"/>
  <c r="W319" i="64" s="1"/>
  <c r="V320" i="64"/>
  <c r="U320" i="64"/>
  <c r="U319" i="64" s="1"/>
  <c r="T320" i="64"/>
  <c r="S320" i="64"/>
  <c r="R320" i="64"/>
  <c r="Q320" i="64"/>
  <c r="P320" i="64"/>
  <c r="P319" i="64" s="1"/>
  <c r="O320" i="64"/>
  <c r="O319" i="64" s="1"/>
  <c r="N320" i="64"/>
  <c r="N319" i="64" s="1"/>
  <c r="M320" i="64"/>
  <c r="M319" i="64" s="1"/>
  <c r="L320" i="64"/>
  <c r="L319" i="64" s="1"/>
  <c r="K320" i="64"/>
  <c r="K319" i="64" s="1"/>
  <c r="J320" i="64"/>
  <c r="J319" i="64" s="1"/>
  <c r="I320" i="64"/>
  <c r="H320" i="64"/>
  <c r="H319" i="64" s="1"/>
  <c r="G320" i="64"/>
  <c r="F320" i="64"/>
  <c r="E320" i="64"/>
  <c r="D320" i="64"/>
  <c r="C320" i="64"/>
  <c r="AL319" i="64"/>
  <c r="AJ319" i="64"/>
  <c r="AE319" i="64"/>
  <c r="R319" i="64"/>
  <c r="F319" i="64"/>
  <c r="E319" i="64"/>
  <c r="C319" i="64"/>
  <c r="B319" i="64"/>
  <c r="AQ318" i="64"/>
  <c r="AP318" i="64"/>
  <c r="AO318" i="64"/>
  <c r="AN318" i="64"/>
  <c r="AM318" i="64"/>
  <c r="AL318" i="64"/>
  <c r="AK318" i="64"/>
  <c r="AJ318" i="64"/>
  <c r="AI318" i="64"/>
  <c r="AH318" i="64"/>
  <c r="AH315" i="64" s="1"/>
  <c r="AG318" i="64"/>
  <c r="AF318" i="64"/>
  <c r="AE318" i="64"/>
  <c r="AD318" i="64"/>
  <c r="AC318" i="64"/>
  <c r="AB318" i="64"/>
  <c r="AA318" i="64"/>
  <c r="Z318" i="64"/>
  <c r="Y318" i="64"/>
  <c r="X318" i="64"/>
  <c r="W318" i="64"/>
  <c r="V318" i="64"/>
  <c r="U318" i="64"/>
  <c r="T318" i="64"/>
  <c r="S318" i="64"/>
  <c r="R318" i="64"/>
  <c r="Q318" i="64"/>
  <c r="P318" i="64"/>
  <c r="O318" i="64"/>
  <c r="N318" i="64"/>
  <c r="M318" i="64"/>
  <c r="L318" i="64"/>
  <c r="K318" i="64"/>
  <c r="J318" i="64"/>
  <c r="I318" i="64"/>
  <c r="H318" i="64"/>
  <c r="G318" i="64"/>
  <c r="F318" i="64"/>
  <c r="E318" i="64"/>
  <c r="E315" i="64" s="1"/>
  <c r="D318" i="64"/>
  <c r="C318" i="64"/>
  <c r="AQ317" i="64"/>
  <c r="AP317" i="64"/>
  <c r="AO317" i="64"/>
  <c r="AN317" i="64"/>
  <c r="AM317" i="64"/>
  <c r="AL317" i="64"/>
  <c r="AK317" i="64"/>
  <c r="AJ317" i="64"/>
  <c r="AJ315" i="64" s="1"/>
  <c r="AI317" i="64"/>
  <c r="AI315" i="64" s="1"/>
  <c r="AH317" i="64"/>
  <c r="AG317" i="64"/>
  <c r="AF317" i="64"/>
  <c r="AE317" i="64"/>
  <c r="AD317" i="64"/>
  <c r="AC317" i="64"/>
  <c r="AB317" i="64"/>
  <c r="AA317" i="64"/>
  <c r="Z317" i="64"/>
  <c r="Y317" i="64"/>
  <c r="X317" i="64"/>
  <c r="W317" i="64"/>
  <c r="V317" i="64"/>
  <c r="V315" i="64" s="1"/>
  <c r="U317" i="64"/>
  <c r="T317" i="64"/>
  <c r="S317" i="64"/>
  <c r="R317" i="64"/>
  <c r="Q317" i="64"/>
  <c r="P317" i="64"/>
  <c r="O317" i="64"/>
  <c r="N317" i="64"/>
  <c r="M317" i="64"/>
  <c r="L317" i="64"/>
  <c r="K317" i="64"/>
  <c r="J317" i="64"/>
  <c r="I317" i="64"/>
  <c r="H317" i="64"/>
  <c r="G317" i="64"/>
  <c r="F317" i="64"/>
  <c r="E317" i="64"/>
  <c r="D317" i="64"/>
  <c r="C317" i="64"/>
  <c r="AQ316" i="64"/>
  <c r="AQ315" i="64" s="1"/>
  <c r="AP316" i="64"/>
  <c r="AP315" i="64" s="1"/>
  <c r="AO316" i="64"/>
  <c r="AN316" i="64"/>
  <c r="AM316" i="64"/>
  <c r="AL316" i="64"/>
  <c r="AL315" i="64" s="1"/>
  <c r="AK316" i="64"/>
  <c r="AK315" i="64" s="1"/>
  <c r="AJ316" i="64"/>
  <c r="AI316" i="64"/>
  <c r="AH316" i="64"/>
  <c r="AG316" i="64"/>
  <c r="AF316" i="64"/>
  <c r="AE316" i="64"/>
  <c r="AD316" i="64"/>
  <c r="AC316" i="64"/>
  <c r="AC315" i="64" s="1"/>
  <c r="AB316" i="64"/>
  <c r="AA316" i="64"/>
  <c r="Z316" i="64"/>
  <c r="Y316" i="64"/>
  <c r="X316" i="64"/>
  <c r="W316" i="64"/>
  <c r="V316" i="64"/>
  <c r="U316" i="64"/>
  <c r="T316" i="64"/>
  <c r="S316" i="64"/>
  <c r="S315" i="64" s="1"/>
  <c r="R316" i="64"/>
  <c r="R315" i="64" s="1"/>
  <c r="Q316" i="64"/>
  <c r="Q315" i="64" s="1"/>
  <c r="P316" i="64"/>
  <c r="O316" i="64"/>
  <c r="O315" i="64" s="1"/>
  <c r="N316" i="64"/>
  <c r="M316" i="64"/>
  <c r="M315" i="64" s="1"/>
  <c r="L316" i="64"/>
  <c r="K316" i="64"/>
  <c r="K315" i="64" s="1"/>
  <c r="J316" i="64"/>
  <c r="I316" i="64"/>
  <c r="I315" i="64" s="1"/>
  <c r="H316" i="64"/>
  <c r="G316" i="64"/>
  <c r="F316" i="64"/>
  <c r="E316" i="64"/>
  <c r="D316" i="64"/>
  <c r="D315" i="64" s="1"/>
  <c r="C316" i="64"/>
  <c r="AO315" i="64"/>
  <c r="AN315" i="64"/>
  <c r="AM315" i="64"/>
  <c r="AG315" i="64"/>
  <c r="AE315" i="64"/>
  <c r="Z315" i="64"/>
  <c r="Y315" i="64"/>
  <c r="X315" i="64"/>
  <c r="W315" i="64"/>
  <c r="U315" i="64"/>
  <c r="T315" i="64"/>
  <c r="P315" i="64"/>
  <c r="N315" i="64"/>
  <c r="F315" i="64"/>
  <c r="C315" i="64"/>
  <c r="B315" i="64"/>
  <c r="AQ314" i="64"/>
  <c r="AP314" i="64"/>
  <c r="AO314" i="64"/>
  <c r="AN314" i="64"/>
  <c r="AM314" i="64"/>
  <c r="AL314" i="64"/>
  <c r="AL309" i="64" s="1"/>
  <c r="AK314" i="64"/>
  <c r="AJ314" i="64"/>
  <c r="AI314" i="64"/>
  <c r="AH314" i="64"/>
  <c r="AG314" i="64"/>
  <c r="AF314" i="64"/>
  <c r="AE314" i="64"/>
  <c r="AD314" i="64"/>
  <c r="AC314" i="64"/>
  <c r="AB314" i="64"/>
  <c r="AA314" i="64"/>
  <c r="Z314" i="64"/>
  <c r="Y314" i="64"/>
  <c r="X314" i="64"/>
  <c r="W314" i="64"/>
  <c r="V314" i="64"/>
  <c r="U314" i="64"/>
  <c r="T314" i="64"/>
  <c r="S314" i="64"/>
  <c r="R314" i="64"/>
  <c r="R309" i="64" s="1"/>
  <c r="Q314" i="64"/>
  <c r="P314" i="64"/>
  <c r="O314" i="64"/>
  <c r="N314" i="64"/>
  <c r="M314" i="64"/>
  <c r="L314" i="64"/>
  <c r="K314" i="64"/>
  <c r="J314" i="64"/>
  <c r="I314" i="64"/>
  <c r="H314" i="64"/>
  <c r="G314" i="64"/>
  <c r="F314" i="64"/>
  <c r="E314" i="64"/>
  <c r="D314" i="64"/>
  <c r="C314" i="64"/>
  <c r="AQ313" i="64"/>
  <c r="AP313" i="64"/>
  <c r="AO313" i="64"/>
  <c r="AN313" i="64"/>
  <c r="AM313" i="64"/>
  <c r="AL313" i="64"/>
  <c r="AK313" i="64"/>
  <c r="AJ313" i="64"/>
  <c r="AI313" i="64"/>
  <c r="AH313" i="64"/>
  <c r="AG313" i="64"/>
  <c r="AF313" i="64"/>
  <c r="AE313" i="64"/>
  <c r="AD313" i="64"/>
  <c r="AC313" i="64"/>
  <c r="AB313" i="64"/>
  <c r="AA313" i="64"/>
  <c r="Z313" i="64"/>
  <c r="Y313" i="64"/>
  <c r="X313" i="64"/>
  <c r="W313" i="64"/>
  <c r="V313" i="64"/>
  <c r="U313" i="64"/>
  <c r="T313" i="64"/>
  <c r="S313" i="64"/>
  <c r="R313" i="64"/>
  <c r="Q313" i="64"/>
  <c r="P313" i="64"/>
  <c r="O313" i="64"/>
  <c r="N313" i="64"/>
  <c r="M313" i="64"/>
  <c r="L313" i="64"/>
  <c r="K313" i="64"/>
  <c r="J313" i="64"/>
  <c r="I313" i="64"/>
  <c r="H313" i="64"/>
  <c r="G313" i="64"/>
  <c r="F313" i="64"/>
  <c r="E313" i="64"/>
  <c r="D313" i="64"/>
  <c r="C313" i="64"/>
  <c r="C309" i="64" s="1"/>
  <c r="AQ312" i="64"/>
  <c r="AP312" i="64"/>
  <c r="AP309" i="64" s="1"/>
  <c r="AO312" i="64"/>
  <c r="AN312" i="64"/>
  <c r="AM312" i="64"/>
  <c r="AL312" i="64"/>
  <c r="AK312" i="64"/>
  <c r="AJ312" i="64"/>
  <c r="AI312" i="64"/>
  <c r="AH312" i="64"/>
  <c r="AG312" i="64"/>
  <c r="AF312" i="64"/>
  <c r="AE312" i="64"/>
  <c r="AD312" i="64"/>
  <c r="AC312" i="64"/>
  <c r="AB312" i="64"/>
  <c r="AA312" i="64"/>
  <c r="Z312" i="64"/>
  <c r="Y312" i="64"/>
  <c r="X312" i="64"/>
  <c r="W312" i="64"/>
  <c r="V312" i="64"/>
  <c r="U312" i="64"/>
  <c r="T312" i="64"/>
  <c r="S312" i="64"/>
  <c r="R312" i="64"/>
  <c r="Q312" i="64"/>
  <c r="P312" i="64"/>
  <c r="O312" i="64"/>
  <c r="N312" i="64"/>
  <c r="M312" i="64"/>
  <c r="L312" i="64"/>
  <c r="K312" i="64"/>
  <c r="J312" i="64"/>
  <c r="I312" i="64"/>
  <c r="H312" i="64"/>
  <c r="H309" i="64" s="1"/>
  <c r="G312" i="64"/>
  <c r="G309" i="64" s="1"/>
  <c r="F312" i="64"/>
  <c r="F309" i="64" s="1"/>
  <c r="E312" i="64"/>
  <c r="E309" i="64" s="1"/>
  <c r="D312" i="64"/>
  <c r="C312" i="64"/>
  <c r="AQ311" i="64"/>
  <c r="AP311" i="64"/>
  <c r="AO311" i="64"/>
  <c r="AN311" i="64"/>
  <c r="AM311" i="64"/>
  <c r="AL311" i="64"/>
  <c r="AK311" i="64"/>
  <c r="AJ311" i="64"/>
  <c r="AI311" i="64"/>
  <c r="AH311" i="64"/>
  <c r="AG311" i="64"/>
  <c r="AF311" i="64"/>
  <c r="AE311" i="64"/>
  <c r="AD311" i="64"/>
  <c r="AD309" i="64" s="1"/>
  <c r="AC311" i="64"/>
  <c r="AC309" i="64" s="1"/>
  <c r="AB311" i="64"/>
  <c r="AB309" i="64" s="1"/>
  <c r="AA311" i="64"/>
  <c r="AA309" i="64" s="1"/>
  <c r="Z311" i="64"/>
  <c r="Z309" i="64" s="1"/>
  <c r="Y311" i="64"/>
  <c r="Y309" i="64" s="1"/>
  <c r="X311" i="64"/>
  <c r="W311" i="64"/>
  <c r="W309" i="64" s="1"/>
  <c r="V311" i="64"/>
  <c r="V309" i="64" s="1"/>
  <c r="U311" i="64"/>
  <c r="T311" i="64"/>
  <c r="S311" i="64"/>
  <c r="R311" i="64"/>
  <c r="Q311" i="64"/>
  <c r="P311" i="64"/>
  <c r="O311" i="64"/>
  <c r="N311" i="64"/>
  <c r="M311" i="64"/>
  <c r="L311" i="64"/>
  <c r="K311" i="64"/>
  <c r="J311" i="64"/>
  <c r="I311" i="64"/>
  <c r="H311" i="64"/>
  <c r="G311" i="64"/>
  <c r="F311" i="64"/>
  <c r="E311" i="64"/>
  <c r="D311" i="64"/>
  <c r="C311" i="64"/>
  <c r="AQ310" i="64"/>
  <c r="AQ309" i="64" s="1"/>
  <c r="AP310" i="64"/>
  <c r="AO310" i="64"/>
  <c r="AO309" i="64" s="1"/>
  <c r="AN310" i="64"/>
  <c r="AM310" i="64"/>
  <c r="AL310" i="64"/>
  <c r="AK310" i="64"/>
  <c r="AJ310" i="64"/>
  <c r="AI310" i="64"/>
  <c r="AH310" i="64"/>
  <c r="AG310" i="64"/>
  <c r="AF310" i="64"/>
  <c r="AE310" i="64"/>
  <c r="AD310" i="64"/>
  <c r="AC310" i="64"/>
  <c r="AB310" i="64"/>
  <c r="AA310" i="64"/>
  <c r="Z310" i="64"/>
  <c r="Y310" i="64"/>
  <c r="X310" i="64"/>
  <c r="W310" i="64"/>
  <c r="V310" i="64"/>
  <c r="U310" i="64"/>
  <c r="U309" i="64" s="1"/>
  <c r="T310" i="64"/>
  <c r="S310" i="64"/>
  <c r="S309" i="64" s="1"/>
  <c r="R310" i="64"/>
  <c r="Q310" i="64"/>
  <c r="P310" i="64"/>
  <c r="P309" i="64" s="1"/>
  <c r="O310" i="64"/>
  <c r="O309" i="64" s="1"/>
  <c r="N310" i="64"/>
  <c r="N309" i="64" s="1"/>
  <c r="M310" i="64"/>
  <c r="M309" i="64" s="1"/>
  <c r="L310" i="64"/>
  <c r="L309" i="64" s="1"/>
  <c r="K310" i="64"/>
  <c r="K309" i="64" s="1"/>
  <c r="J310" i="64"/>
  <c r="I310" i="64"/>
  <c r="H310" i="64"/>
  <c r="G310" i="64"/>
  <c r="F310" i="64"/>
  <c r="E310" i="64"/>
  <c r="D310" i="64"/>
  <c r="C310" i="64"/>
  <c r="AM309" i="64"/>
  <c r="AK309" i="64"/>
  <c r="AJ309" i="64"/>
  <c r="AI309" i="64"/>
  <c r="AH309" i="64"/>
  <c r="AG309" i="64"/>
  <c r="AF309" i="64"/>
  <c r="AE309" i="64"/>
  <c r="Q309" i="64"/>
  <c r="J309" i="64"/>
  <c r="I309" i="64"/>
  <c r="B309" i="64"/>
  <c r="AQ308" i="64"/>
  <c r="AP308" i="64"/>
  <c r="AO308" i="64"/>
  <c r="AN308" i="64"/>
  <c r="AM308" i="64"/>
  <c r="AL308" i="64"/>
  <c r="AL306" i="64" s="1"/>
  <c r="AK308" i="64"/>
  <c r="AJ308" i="64"/>
  <c r="AJ306" i="64" s="1"/>
  <c r="AI308" i="64"/>
  <c r="AH308" i="64"/>
  <c r="AG308" i="64"/>
  <c r="AF308" i="64"/>
  <c r="AE308" i="64"/>
  <c r="AD308" i="64"/>
  <c r="AC308" i="64"/>
  <c r="AC306" i="64" s="1"/>
  <c r="AB308" i="64"/>
  <c r="AB306" i="64" s="1"/>
  <c r="AA308" i="64"/>
  <c r="AA306" i="64" s="1"/>
  <c r="Z308" i="64"/>
  <c r="Y308" i="64"/>
  <c r="Y306" i="64" s="1"/>
  <c r="X308" i="64"/>
  <c r="X306" i="64" s="1"/>
  <c r="W308" i="64"/>
  <c r="W306" i="64" s="1"/>
  <c r="V308" i="64"/>
  <c r="U308" i="64"/>
  <c r="T308" i="64"/>
  <c r="T306" i="64" s="1"/>
  <c r="S308" i="64"/>
  <c r="R308" i="64"/>
  <c r="R306" i="64" s="1"/>
  <c r="Q308" i="64"/>
  <c r="P308" i="64"/>
  <c r="P306" i="64" s="1"/>
  <c r="O308" i="64"/>
  <c r="N308" i="64"/>
  <c r="N306" i="64" s="1"/>
  <c r="M308" i="64"/>
  <c r="L308" i="64"/>
  <c r="K308" i="64"/>
  <c r="K306" i="64" s="1"/>
  <c r="J308" i="64"/>
  <c r="I308" i="64"/>
  <c r="H308" i="64"/>
  <c r="G308" i="64"/>
  <c r="F308" i="64"/>
  <c r="E308" i="64"/>
  <c r="E306" i="64" s="1"/>
  <c r="D308" i="64"/>
  <c r="C308" i="64"/>
  <c r="AQ307" i="64"/>
  <c r="AP307" i="64"/>
  <c r="AO307" i="64"/>
  <c r="AN307" i="64"/>
  <c r="AN306" i="64" s="1"/>
  <c r="AM307" i="64"/>
  <c r="AM306" i="64" s="1"/>
  <c r="AL307" i="64"/>
  <c r="AK307" i="64"/>
  <c r="AJ307" i="64"/>
  <c r="AI307" i="64"/>
  <c r="AH307" i="64"/>
  <c r="AG307" i="64"/>
  <c r="AF307" i="64"/>
  <c r="AF306" i="64" s="1"/>
  <c r="AE307" i="64"/>
  <c r="AE306" i="64" s="1"/>
  <c r="AD307" i="64"/>
  <c r="AC307" i="64"/>
  <c r="AB307" i="64"/>
  <c r="AA307" i="64"/>
  <c r="Z307" i="64"/>
  <c r="Z306" i="64" s="1"/>
  <c r="Y307" i="64"/>
  <c r="X307" i="64"/>
  <c r="W307" i="64"/>
  <c r="V307" i="64"/>
  <c r="U307" i="64"/>
  <c r="T307" i="64"/>
  <c r="S307" i="64"/>
  <c r="R307" i="64"/>
  <c r="Q307" i="64"/>
  <c r="P307" i="64"/>
  <c r="O307" i="64"/>
  <c r="N307" i="64"/>
  <c r="M307" i="64"/>
  <c r="M306" i="64" s="1"/>
  <c r="L307" i="64"/>
  <c r="K307" i="64"/>
  <c r="J307" i="64"/>
  <c r="I307" i="64"/>
  <c r="H307" i="64"/>
  <c r="G307" i="64"/>
  <c r="F307" i="64"/>
  <c r="F306" i="64" s="1"/>
  <c r="E307" i="64"/>
  <c r="D307" i="64"/>
  <c r="C307" i="64"/>
  <c r="AQ306" i="64"/>
  <c r="AP306" i="64"/>
  <c r="AO306" i="64"/>
  <c r="AK306" i="64"/>
  <c r="AI306" i="64"/>
  <c r="AH306" i="64"/>
  <c r="AG306" i="64"/>
  <c r="V306" i="64"/>
  <c r="U306" i="64"/>
  <c r="S306" i="64"/>
  <c r="Q306" i="64"/>
  <c r="O306" i="64"/>
  <c r="L306" i="64"/>
  <c r="I306" i="64"/>
  <c r="H306" i="64"/>
  <c r="G306" i="64"/>
  <c r="D306" i="64"/>
  <c r="C306" i="64"/>
  <c r="B306" i="64"/>
  <c r="AQ305" i="64"/>
  <c r="AP305" i="64"/>
  <c r="AO305" i="64"/>
  <c r="AN305" i="64"/>
  <c r="AM305" i="64"/>
  <c r="AL305" i="64"/>
  <c r="AK305" i="64"/>
  <c r="AJ305" i="64"/>
  <c r="AI305" i="64"/>
  <c r="AH305" i="64"/>
  <c r="AG305" i="64"/>
  <c r="AF305" i="64"/>
  <c r="AE305" i="64"/>
  <c r="AD305" i="64"/>
  <c r="AD302" i="64" s="1"/>
  <c r="AC305" i="64"/>
  <c r="AB305" i="64"/>
  <c r="AA305" i="64"/>
  <c r="Z305" i="64"/>
  <c r="Y305" i="64"/>
  <c r="X305" i="64"/>
  <c r="W305" i="64"/>
  <c r="V305" i="64"/>
  <c r="U305" i="64"/>
  <c r="T305" i="64"/>
  <c r="T302" i="64" s="1"/>
  <c r="S305" i="64"/>
  <c r="S302" i="64" s="1"/>
  <c r="R305" i="64"/>
  <c r="Q305" i="64"/>
  <c r="P305" i="64"/>
  <c r="O305" i="64"/>
  <c r="N305" i="64"/>
  <c r="M305" i="64"/>
  <c r="L305" i="64"/>
  <c r="K305" i="64"/>
  <c r="K302" i="64" s="1"/>
  <c r="J305" i="64"/>
  <c r="J302" i="64" s="1"/>
  <c r="I305" i="64"/>
  <c r="I302" i="64" s="1"/>
  <c r="H305" i="64"/>
  <c r="G305" i="64"/>
  <c r="G302" i="64" s="1"/>
  <c r="F305" i="64"/>
  <c r="F302" i="64" s="1"/>
  <c r="E305" i="64"/>
  <c r="D305" i="64"/>
  <c r="C305" i="64"/>
  <c r="AQ304" i="64"/>
  <c r="AP304" i="64"/>
  <c r="AP302" i="64" s="1"/>
  <c r="AO304" i="64"/>
  <c r="AO302" i="64" s="1"/>
  <c r="AN304" i="64"/>
  <c r="AM304" i="64"/>
  <c r="AL304" i="64"/>
  <c r="AK304" i="64"/>
  <c r="AJ304" i="64"/>
  <c r="AI304" i="64"/>
  <c r="AH304" i="64"/>
  <c r="AG304" i="64"/>
  <c r="AG302" i="64" s="1"/>
  <c r="AF304" i="64"/>
  <c r="AF302" i="64" s="1"/>
  <c r="AE304" i="64"/>
  <c r="AE302" i="64" s="1"/>
  <c r="AD304" i="64"/>
  <c r="AC304" i="64"/>
  <c r="AC302" i="64" s="1"/>
  <c r="AB304" i="64"/>
  <c r="AB302" i="64" s="1"/>
  <c r="AA304" i="64"/>
  <c r="AA302" i="64" s="1"/>
  <c r="Z304" i="64"/>
  <c r="Z302" i="64" s="1"/>
  <c r="Y304" i="64"/>
  <c r="X304" i="64"/>
  <c r="W304" i="64"/>
  <c r="V304" i="64"/>
  <c r="V302" i="64" s="1"/>
  <c r="U304" i="64"/>
  <c r="U302" i="64" s="1"/>
  <c r="T304" i="64"/>
  <c r="S304" i="64"/>
  <c r="R304" i="64"/>
  <c r="Q304" i="64"/>
  <c r="P304" i="64"/>
  <c r="O304" i="64"/>
  <c r="N304" i="64"/>
  <c r="M304" i="64"/>
  <c r="L304" i="64"/>
  <c r="K304" i="64"/>
  <c r="J304" i="64"/>
  <c r="I304" i="64"/>
  <c r="H304" i="64"/>
  <c r="G304" i="64"/>
  <c r="F304" i="64"/>
  <c r="E304" i="64"/>
  <c r="D304" i="64"/>
  <c r="C304" i="64"/>
  <c r="AQ303" i="64"/>
  <c r="AQ302" i="64" s="1"/>
  <c r="AP303" i="64"/>
  <c r="AO303" i="64"/>
  <c r="AN303" i="64"/>
  <c r="AM303" i="64"/>
  <c r="AL303" i="64"/>
  <c r="AL302" i="64" s="1"/>
  <c r="AK303" i="64"/>
  <c r="AJ303" i="64"/>
  <c r="AI303" i="64"/>
  <c r="AI302" i="64" s="1"/>
  <c r="AH303" i="64"/>
  <c r="AH302" i="64" s="1"/>
  <c r="AG303" i="64"/>
  <c r="AF303" i="64"/>
  <c r="AE303" i="64"/>
  <c r="AD303" i="64"/>
  <c r="AC303" i="64"/>
  <c r="AB303" i="64"/>
  <c r="AA303" i="64"/>
  <c r="Z303" i="64"/>
  <c r="Y303" i="64"/>
  <c r="X303" i="64"/>
  <c r="W303" i="64"/>
  <c r="V303" i="64"/>
  <c r="U303" i="64"/>
  <c r="T303" i="64"/>
  <c r="S303" i="64"/>
  <c r="R303" i="64"/>
  <c r="R302" i="64" s="1"/>
  <c r="Q303" i="64"/>
  <c r="Q302" i="64" s="1"/>
  <c r="P303" i="64"/>
  <c r="O303" i="64"/>
  <c r="N303" i="64"/>
  <c r="N302" i="64" s="1"/>
  <c r="M303" i="64"/>
  <c r="L303" i="64"/>
  <c r="K303" i="64"/>
  <c r="J303" i="64"/>
  <c r="I303" i="64"/>
  <c r="H303" i="64"/>
  <c r="G303" i="64"/>
  <c r="F303" i="64"/>
  <c r="E303" i="64"/>
  <c r="E302" i="64" s="1"/>
  <c r="D303" i="64"/>
  <c r="D302" i="64" s="1"/>
  <c r="C303" i="64"/>
  <c r="C302" i="64" s="1"/>
  <c r="AN302" i="64"/>
  <c r="AM302" i="64"/>
  <c r="AK302" i="64"/>
  <c r="AJ302" i="64"/>
  <c r="Y302" i="64"/>
  <c r="X302" i="64"/>
  <c r="W302" i="64"/>
  <c r="P302" i="64"/>
  <c r="O302" i="64"/>
  <c r="M302" i="64"/>
  <c r="L302" i="64"/>
  <c r="H302" i="64"/>
  <c r="B302" i="64"/>
  <c r="AQ301" i="64"/>
  <c r="AP301" i="64"/>
  <c r="AO301" i="64"/>
  <c r="AN301" i="64"/>
  <c r="AM301" i="64"/>
  <c r="AL301" i="64"/>
  <c r="AK301" i="64"/>
  <c r="AJ301" i="64"/>
  <c r="AI301" i="64"/>
  <c r="AH301" i="64"/>
  <c r="AG301" i="64"/>
  <c r="AF301" i="64"/>
  <c r="AE301" i="64"/>
  <c r="AD301" i="64"/>
  <c r="AC301" i="64"/>
  <c r="AB301" i="64"/>
  <c r="AA301" i="64"/>
  <c r="Z301" i="64"/>
  <c r="Y301" i="64"/>
  <c r="X301" i="64"/>
  <c r="W301" i="64"/>
  <c r="W297" i="64" s="1"/>
  <c r="V301" i="64"/>
  <c r="U301" i="64"/>
  <c r="T301" i="64"/>
  <c r="S301" i="64"/>
  <c r="R301" i="64"/>
  <c r="Q301" i="64"/>
  <c r="P301" i="64"/>
  <c r="O301" i="64"/>
  <c r="N301" i="64"/>
  <c r="M301" i="64"/>
  <c r="L301" i="64"/>
  <c r="K301" i="64"/>
  <c r="J301" i="64"/>
  <c r="I301" i="64"/>
  <c r="H301" i="64"/>
  <c r="G301" i="64"/>
  <c r="F301" i="64"/>
  <c r="E301" i="64"/>
  <c r="D301" i="64"/>
  <c r="C301" i="64"/>
  <c r="C297" i="64" s="1"/>
  <c r="AQ300" i="64"/>
  <c r="AP300" i="64"/>
  <c r="AO300" i="64"/>
  <c r="AN300" i="64"/>
  <c r="AM300" i="64"/>
  <c r="AL300" i="64"/>
  <c r="AK300" i="64"/>
  <c r="AJ300" i="64"/>
  <c r="AI300" i="64"/>
  <c r="AH300" i="64"/>
  <c r="AG300" i="64"/>
  <c r="AF300" i="64"/>
  <c r="AE300" i="64"/>
  <c r="AD300" i="64"/>
  <c r="AC300" i="64"/>
  <c r="AB300" i="64"/>
  <c r="AA300" i="64"/>
  <c r="Z300" i="64"/>
  <c r="Y300" i="64"/>
  <c r="Y297" i="64" s="1"/>
  <c r="X300" i="64"/>
  <c r="W300" i="64"/>
  <c r="V300" i="64"/>
  <c r="U300" i="64"/>
  <c r="T300" i="64"/>
  <c r="S300" i="64"/>
  <c r="R300" i="64"/>
  <c r="Q300" i="64"/>
  <c r="P300" i="64"/>
  <c r="P297" i="64" s="1"/>
  <c r="O300" i="64"/>
  <c r="N300" i="64"/>
  <c r="N297" i="64" s="1"/>
  <c r="M300" i="64"/>
  <c r="L300" i="64"/>
  <c r="K300" i="64"/>
  <c r="J300" i="64"/>
  <c r="I300" i="64"/>
  <c r="H300" i="64"/>
  <c r="G300" i="64"/>
  <c r="G297" i="64" s="1"/>
  <c r="F300" i="64"/>
  <c r="E300" i="64"/>
  <c r="D300" i="64"/>
  <c r="C300" i="64"/>
  <c r="AQ299" i="64"/>
  <c r="AP299" i="64"/>
  <c r="AO299" i="64"/>
  <c r="AN299" i="64"/>
  <c r="AM299" i="64"/>
  <c r="AL299" i="64"/>
  <c r="AL297" i="64" s="1"/>
  <c r="AK299" i="64"/>
  <c r="AJ299" i="64"/>
  <c r="AJ297" i="64" s="1"/>
  <c r="AI299" i="64"/>
  <c r="AH299" i="64"/>
  <c r="AG299" i="64"/>
  <c r="AF299" i="64"/>
  <c r="AE299" i="64"/>
  <c r="AD299" i="64"/>
  <c r="AC299" i="64"/>
  <c r="AB299" i="64"/>
  <c r="AA299" i="64"/>
  <c r="AA297" i="64" s="1"/>
  <c r="Z299" i="64"/>
  <c r="Z297" i="64" s="1"/>
  <c r="Y299" i="64"/>
  <c r="X299" i="64"/>
  <c r="W299" i="64"/>
  <c r="V299" i="64"/>
  <c r="V297" i="64" s="1"/>
  <c r="U299" i="64"/>
  <c r="T299" i="64"/>
  <c r="S299" i="64"/>
  <c r="S297" i="64" s="1"/>
  <c r="R299" i="64"/>
  <c r="R297" i="64" s="1"/>
  <c r="Q299" i="64"/>
  <c r="P299" i="64"/>
  <c r="O299" i="64"/>
  <c r="N299" i="64"/>
  <c r="M299" i="64"/>
  <c r="M297" i="64" s="1"/>
  <c r="L299" i="64"/>
  <c r="L297" i="64" s="1"/>
  <c r="K299" i="64"/>
  <c r="K297" i="64" s="1"/>
  <c r="J299" i="64"/>
  <c r="I299" i="64"/>
  <c r="H299" i="64"/>
  <c r="G299" i="64"/>
  <c r="F299" i="64"/>
  <c r="E299" i="64"/>
  <c r="D299" i="64"/>
  <c r="C299" i="64"/>
  <c r="B299" i="64"/>
  <c r="AQ298" i="64"/>
  <c r="AP298" i="64"/>
  <c r="AO298" i="64"/>
  <c r="AO297" i="64" s="1"/>
  <c r="AN298" i="64"/>
  <c r="AN297" i="64" s="1"/>
  <c r="AM298" i="64"/>
  <c r="AM297" i="64" s="1"/>
  <c r="AL298" i="64"/>
  <c r="AK298" i="64"/>
  <c r="AK297" i="64" s="1"/>
  <c r="AJ298" i="64"/>
  <c r="AI298" i="64"/>
  <c r="AI297" i="64" s="1"/>
  <c r="AH298" i="64"/>
  <c r="AH297" i="64" s="1"/>
  <c r="AG298" i="64"/>
  <c r="AG297" i="64" s="1"/>
  <c r="AF298" i="64"/>
  <c r="AF297" i="64" s="1"/>
  <c r="AE298" i="64"/>
  <c r="AD298" i="64"/>
  <c r="AD297" i="64" s="1"/>
  <c r="AC298" i="64"/>
  <c r="AB298" i="64"/>
  <c r="AB297" i="64" s="1"/>
  <c r="AA298" i="64"/>
  <c r="Z298" i="64"/>
  <c r="Y298" i="64"/>
  <c r="X298" i="64"/>
  <c r="X297" i="64" s="1"/>
  <c r="W298" i="64"/>
  <c r="V298" i="64"/>
  <c r="U298" i="64"/>
  <c r="U297" i="64" s="1"/>
  <c r="T298" i="64"/>
  <c r="S298" i="64"/>
  <c r="R298" i="64"/>
  <c r="Q298" i="64"/>
  <c r="Q297" i="64" s="1"/>
  <c r="P298" i="64"/>
  <c r="O298" i="64"/>
  <c r="O297" i="64" s="1"/>
  <c r="N298" i="64"/>
  <c r="M298" i="64"/>
  <c r="L298" i="64"/>
  <c r="K298" i="64"/>
  <c r="J298" i="64"/>
  <c r="J297" i="64" s="1"/>
  <c r="I298" i="64"/>
  <c r="H298" i="64"/>
  <c r="H297" i="64" s="1"/>
  <c r="G298" i="64"/>
  <c r="F298" i="64"/>
  <c r="E298" i="64"/>
  <c r="E297" i="64" s="1"/>
  <c r="D298" i="64"/>
  <c r="D297" i="64" s="1"/>
  <c r="C298" i="64"/>
  <c r="AQ297" i="64"/>
  <c r="AP297" i="64"/>
  <c r="AE297" i="64"/>
  <c r="AC297" i="64"/>
  <c r="T297" i="64"/>
  <c r="I297" i="64"/>
  <c r="F297" i="64"/>
  <c r="B297" i="64"/>
  <c r="AQ296" i="64"/>
  <c r="AP296" i="64"/>
  <c r="AO296" i="64"/>
  <c r="AN296" i="64"/>
  <c r="AM296" i="64"/>
  <c r="AL296" i="64"/>
  <c r="AK296" i="64"/>
  <c r="AJ296" i="64"/>
  <c r="AI296" i="64"/>
  <c r="AH296" i="64"/>
  <c r="AH293" i="64" s="1"/>
  <c r="AG296" i="64"/>
  <c r="AF296" i="64"/>
  <c r="AE296" i="64"/>
  <c r="AD296" i="64"/>
  <c r="AC296" i="64"/>
  <c r="AB296" i="64"/>
  <c r="AB293" i="64" s="1"/>
  <c r="AA296" i="64"/>
  <c r="AA293" i="64" s="1"/>
  <c r="Z296" i="64"/>
  <c r="Y296" i="64"/>
  <c r="X296" i="64"/>
  <c r="W296" i="64"/>
  <c r="V296" i="64"/>
  <c r="U296" i="64"/>
  <c r="T296" i="64"/>
  <c r="S296" i="64"/>
  <c r="R296" i="64"/>
  <c r="Q296" i="64"/>
  <c r="P296" i="64"/>
  <c r="O296" i="64"/>
  <c r="N296" i="64"/>
  <c r="M296" i="64"/>
  <c r="L296" i="64"/>
  <c r="K296" i="64"/>
  <c r="J296" i="64"/>
  <c r="I296" i="64"/>
  <c r="H296" i="64"/>
  <c r="G296" i="64"/>
  <c r="F296" i="64"/>
  <c r="E296" i="64"/>
  <c r="D296" i="64"/>
  <c r="C296" i="64"/>
  <c r="AQ295" i="64"/>
  <c r="AP295" i="64"/>
  <c r="AO295" i="64"/>
  <c r="AN295" i="64"/>
  <c r="AM295" i="64"/>
  <c r="AL295" i="64"/>
  <c r="AK295" i="64"/>
  <c r="AJ295" i="64"/>
  <c r="AI295" i="64"/>
  <c r="AH295" i="64"/>
  <c r="AG295" i="64"/>
  <c r="AF295" i="64"/>
  <c r="AE295" i="64"/>
  <c r="AD295" i="64"/>
  <c r="AD293" i="64" s="1"/>
  <c r="AC295" i="64"/>
  <c r="AC293" i="64" s="1"/>
  <c r="AB295" i="64"/>
  <c r="AA295" i="64"/>
  <c r="Z295" i="64"/>
  <c r="Y295" i="64"/>
  <c r="X295" i="64"/>
  <c r="W295" i="64"/>
  <c r="V295" i="64"/>
  <c r="V293" i="64" s="1"/>
  <c r="U295" i="64"/>
  <c r="U293" i="64" s="1"/>
  <c r="T295" i="64"/>
  <c r="T293" i="64" s="1"/>
  <c r="S295" i="64"/>
  <c r="S293" i="64" s="1"/>
  <c r="R295" i="64"/>
  <c r="R293" i="64" s="1"/>
  <c r="Q295" i="64"/>
  <c r="Q293" i="64" s="1"/>
  <c r="P295" i="64"/>
  <c r="O295" i="64"/>
  <c r="O293" i="64" s="1"/>
  <c r="N295" i="64"/>
  <c r="N293" i="64" s="1"/>
  <c r="M295" i="64"/>
  <c r="L295" i="64"/>
  <c r="K295" i="64"/>
  <c r="J295" i="64"/>
  <c r="I295" i="64"/>
  <c r="H295" i="64"/>
  <c r="G295" i="64"/>
  <c r="F295" i="64"/>
  <c r="E295" i="64"/>
  <c r="D295" i="64"/>
  <c r="C295" i="64"/>
  <c r="AQ294" i="64"/>
  <c r="AQ293" i="64" s="1"/>
  <c r="AP294" i="64"/>
  <c r="AP293" i="64" s="1"/>
  <c r="AO294" i="64"/>
  <c r="AO293" i="64" s="1"/>
  <c r="AN294" i="64"/>
  <c r="AN293" i="64" s="1"/>
  <c r="AM294" i="64"/>
  <c r="AM293" i="64" s="1"/>
  <c r="AL294" i="64"/>
  <c r="AL293" i="64" s="1"/>
  <c r="AK294" i="64"/>
  <c r="AK293" i="64" s="1"/>
  <c r="AJ294" i="64"/>
  <c r="AI294" i="64"/>
  <c r="AI293" i="64" s="1"/>
  <c r="AH294" i="64"/>
  <c r="AG294" i="64"/>
  <c r="AG293" i="64" s="1"/>
  <c r="AF294" i="64"/>
  <c r="AF293" i="64" s="1"/>
  <c r="AE294" i="64"/>
  <c r="AD294" i="64"/>
  <c r="AC294" i="64"/>
  <c r="AB294" i="64"/>
  <c r="AA294" i="64"/>
  <c r="Z294" i="64"/>
  <c r="Y294" i="64"/>
  <c r="X294" i="64"/>
  <c r="W294" i="64"/>
  <c r="V294" i="64"/>
  <c r="U294" i="64"/>
  <c r="T294" i="64"/>
  <c r="S294" i="64"/>
  <c r="R294" i="64"/>
  <c r="Q294" i="64"/>
  <c r="P294" i="64"/>
  <c r="O294" i="64"/>
  <c r="N294" i="64"/>
  <c r="M294" i="64"/>
  <c r="M293" i="64" s="1"/>
  <c r="L294" i="64"/>
  <c r="L293" i="64" s="1"/>
  <c r="K294" i="64"/>
  <c r="K293" i="64" s="1"/>
  <c r="J294" i="64"/>
  <c r="I294" i="64"/>
  <c r="H294" i="64"/>
  <c r="H293" i="64" s="1"/>
  <c r="G294" i="64"/>
  <c r="G293" i="64" s="1"/>
  <c r="F294" i="64"/>
  <c r="F293" i="64" s="1"/>
  <c r="E294" i="64"/>
  <c r="E293" i="64" s="1"/>
  <c r="D294" i="64"/>
  <c r="D293" i="64" s="1"/>
  <c r="C294" i="64"/>
  <c r="C293" i="64" s="1"/>
  <c r="AE293" i="64"/>
  <c r="Z293" i="64"/>
  <c r="Y293" i="64"/>
  <c r="X293" i="64"/>
  <c r="W293" i="64"/>
  <c r="J293" i="64"/>
  <c r="I293" i="64"/>
  <c r="B293" i="64"/>
  <c r="AQ292" i="64"/>
  <c r="AP292" i="64"/>
  <c r="AO292" i="64"/>
  <c r="AN292" i="64"/>
  <c r="AM292" i="64"/>
  <c r="AL292" i="64"/>
  <c r="AK292" i="64"/>
  <c r="AJ292" i="64"/>
  <c r="AI292" i="64"/>
  <c r="AH292" i="64"/>
  <c r="AG292" i="64"/>
  <c r="AF292" i="64"/>
  <c r="AE292" i="64"/>
  <c r="AD292" i="64"/>
  <c r="AC292" i="64"/>
  <c r="AB292" i="64"/>
  <c r="AA292" i="64"/>
  <c r="Z292" i="64"/>
  <c r="Y292" i="64"/>
  <c r="X292" i="64"/>
  <c r="W292" i="64"/>
  <c r="V292" i="64"/>
  <c r="U292" i="64"/>
  <c r="T292" i="64"/>
  <c r="S292" i="64"/>
  <c r="R292" i="64"/>
  <c r="Q292" i="64"/>
  <c r="P292" i="64"/>
  <c r="O292" i="64"/>
  <c r="N292" i="64"/>
  <c r="M292" i="64"/>
  <c r="L292" i="64"/>
  <c r="K292" i="64"/>
  <c r="J292" i="64"/>
  <c r="I292" i="64"/>
  <c r="H292" i="64"/>
  <c r="G292" i="64"/>
  <c r="F292" i="64"/>
  <c r="E292" i="64"/>
  <c r="D292" i="64"/>
  <c r="C292" i="64"/>
  <c r="F289" i="64"/>
  <c r="B289" i="64"/>
  <c r="F288" i="64"/>
  <c r="B288" i="64"/>
  <c r="I287" i="64"/>
  <c r="H287" i="64"/>
  <c r="G287" i="64"/>
  <c r="F287" i="64"/>
  <c r="F286" i="64"/>
  <c r="B286" i="64"/>
  <c r="B333" i="64" s="1"/>
  <c r="F285" i="64"/>
  <c r="B285" i="64"/>
  <c r="B332" i="64" s="1"/>
  <c r="F284" i="64"/>
  <c r="B284" i="64"/>
  <c r="B331" i="64" s="1"/>
  <c r="F283" i="64"/>
  <c r="B283" i="64"/>
  <c r="B330" i="64" s="1"/>
  <c r="F282" i="64"/>
  <c r="B282" i="64"/>
  <c r="B329" i="64" s="1"/>
  <c r="I281" i="64"/>
  <c r="H281" i="64"/>
  <c r="G281" i="64"/>
  <c r="F281" i="64"/>
  <c r="F280" i="64"/>
  <c r="B280" i="64"/>
  <c r="B327" i="64" s="1"/>
  <c r="F279" i="64"/>
  <c r="B279" i="64"/>
  <c r="B326" i="64" s="1"/>
  <c r="I278" i="64"/>
  <c r="H278" i="64"/>
  <c r="G278" i="64"/>
  <c r="F278" i="64"/>
  <c r="F277" i="64"/>
  <c r="B277" i="64"/>
  <c r="F276" i="64"/>
  <c r="B276" i="64"/>
  <c r="F275" i="64"/>
  <c r="B275" i="64"/>
  <c r="F274" i="64"/>
  <c r="B274" i="64"/>
  <c r="F273" i="64"/>
  <c r="B273" i="64"/>
  <c r="I272" i="64"/>
  <c r="H272" i="64"/>
  <c r="G272" i="64"/>
  <c r="F272" i="64"/>
  <c r="F271" i="64"/>
  <c r="B271" i="64"/>
  <c r="F270" i="64"/>
  <c r="B270" i="64"/>
  <c r="F269" i="64"/>
  <c r="B269" i="64"/>
  <c r="F268" i="64"/>
  <c r="B268" i="64"/>
  <c r="F267" i="64"/>
  <c r="B267" i="64"/>
  <c r="I266" i="64"/>
  <c r="H266" i="64"/>
  <c r="G266" i="64"/>
  <c r="F266" i="64"/>
  <c r="F265" i="64"/>
  <c r="B265" i="64"/>
  <c r="F264" i="64"/>
  <c r="B264" i="64"/>
  <c r="I263" i="64"/>
  <c r="H263" i="64"/>
  <c r="G263" i="64"/>
  <c r="F263" i="64"/>
  <c r="F262" i="64"/>
  <c r="B262" i="64"/>
  <c r="F261" i="64"/>
  <c r="B261" i="64"/>
  <c r="F260" i="64"/>
  <c r="B260" i="64"/>
  <c r="B305" i="64" s="1"/>
  <c r="F259" i="64"/>
  <c r="B259" i="64"/>
  <c r="B304" i="64" s="1"/>
  <c r="F258" i="64"/>
  <c r="B258" i="64"/>
  <c r="B303" i="64" s="1"/>
  <c r="I257" i="64"/>
  <c r="H257" i="64"/>
  <c r="G257" i="64"/>
  <c r="F257" i="64"/>
  <c r="F256" i="64"/>
  <c r="B256" i="64"/>
  <c r="B301" i="64" s="1"/>
  <c r="F255" i="64"/>
  <c r="B255" i="64"/>
  <c r="B300" i="64" s="1"/>
  <c r="F254" i="64"/>
  <c r="B254" i="64"/>
  <c r="F253" i="64"/>
  <c r="B253" i="64"/>
  <c r="B298" i="64" s="1"/>
  <c r="I252" i="64"/>
  <c r="H252" i="64"/>
  <c r="G252" i="64"/>
  <c r="F252" i="64"/>
  <c r="F251" i="64"/>
  <c r="I250" i="64"/>
  <c r="H250" i="64"/>
  <c r="G250" i="64"/>
  <c r="F250" i="64"/>
  <c r="F249" i="64"/>
  <c r="F248" i="64"/>
  <c r="F247" i="64"/>
  <c r="F246" i="64"/>
  <c r="I245" i="64"/>
  <c r="H245" i="64"/>
  <c r="G245" i="64"/>
  <c r="F245" i="64"/>
  <c r="F244" i="64"/>
  <c r="B244" i="64"/>
  <c r="F243" i="64"/>
  <c r="B243" i="64"/>
  <c r="I242" i="64"/>
  <c r="H242" i="64"/>
  <c r="G242" i="64"/>
  <c r="F242" i="64"/>
  <c r="F241" i="64"/>
  <c r="B241" i="64"/>
  <c r="F240" i="64"/>
  <c r="B240" i="64"/>
  <c r="F239" i="64"/>
  <c r="B239" i="64"/>
  <c r="F238" i="64"/>
  <c r="B238" i="64"/>
  <c r="F237" i="64"/>
  <c r="B237" i="64"/>
  <c r="I236" i="64"/>
  <c r="H236" i="64"/>
  <c r="G236" i="64"/>
  <c r="F236" i="64"/>
  <c r="F235" i="64"/>
  <c r="B235" i="64"/>
  <c r="F234" i="64"/>
  <c r="B234" i="64"/>
  <c r="I233" i="64"/>
  <c r="H233" i="64"/>
  <c r="G233" i="64"/>
  <c r="F233" i="64"/>
  <c r="F232" i="64"/>
  <c r="B232" i="64"/>
  <c r="B308" i="64" s="1"/>
  <c r="F231" i="64"/>
  <c r="B231" i="64"/>
  <c r="B307" i="64" s="1"/>
  <c r="I230" i="64"/>
  <c r="H230" i="64"/>
  <c r="G230" i="64"/>
  <c r="F230" i="64"/>
  <c r="F229" i="64"/>
  <c r="B229" i="64"/>
  <c r="F228" i="64"/>
  <c r="B228" i="64"/>
  <c r="I227" i="64"/>
  <c r="H227" i="64"/>
  <c r="G227" i="64"/>
  <c r="F227" i="64"/>
  <c r="F226" i="64"/>
  <c r="B226" i="64"/>
  <c r="F225" i="64"/>
  <c r="B225" i="64"/>
  <c r="B314" i="64" s="1"/>
  <c r="F224" i="64"/>
  <c r="B224" i="64"/>
  <c r="B313" i="64" s="1"/>
  <c r="F223" i="64"/>
  <c r="B223" i="64"/>
  <c r="B312" i="64" s="1"/>
  <c r="F222" i="64"/>
  <c r="B222" i="64"/>
  <c r="B311" i="64" s="1"/>
  <c r="F221" i="64"/>
  <c r="B221" i="64"/>
  <c r="B310" i="64" s="1"/>
  <c r="I220" i="64"/>
  <c r="H220" i="64"/>
  <c r="G220" i="64"/>
  <c r="F220" i="64"/>
  <c r="F219" i="64"/>
  <c r="B219" i="64"/>
  <c r="F218" i="64"/>
  <c r="B218" i="64"/>
  <c r="I217" i="64"/>
  <c r="H217" i="64"/>
  <c r="G217" i="64"/>
  <c r="F217" i="64"/>
  <c r="F216" i="64"/>
  <c r="B216" i="64"/>
  <c r="B248" i="64" s="1"/>
  <c r="B296" i="64" s="1"/>
  <c r="F215" i="64"/>
  <c r="B215" i="64"/>
  <c r="B247" i="64" s="1"/>
  <c r="B295" i="64" s="1"/>
  <c r="F214" i="64"/>
  <c r="B214" i="64"/>
  <c r="B246" i="64" s="1"/>
  <c r="B294" i="64" s="1"/>
  <c r="I213" i="64"/>
  <c r="H213" i="64"/>
  <c r="G213" i="64"/>
  <c r="F213" i="64"/>
  <c r="F212" i="64"/>
  <c r="B212" i="64"/>
  <c r="F211" i="64"/>
  <c r="B211" i="64"/>
  <c r="F210" i="64"/>
  <c r="B210" i="64"/>
  <c r="F209" i="64"/>
  <c r="B209" i="64"/>
  <c r="F208" i="64"/>
  <c r="B208" i="64"/>
  <c r="I207" i="64"/>
  <c r="H207" i="64"/>
  <c r="G207" i="64"/>
  <c r="F207" i="64"/>
  <c r="F206" i="64"/>
  <c r="B206" i="64"/>
  <c r="F205" i="64"/>
  <c r="B205" i="64"/>
  <c r="F204" i="64"/>
  <c r="B204" i="64"/>
  <c r="I203" i="64"/>
  <c r="H203" i="64"/>
  <c r="G203" i="64"/>
  <c r="F203" i="64"/>
  <c r="F202" i="64"/>
  <c r="B202" i="64"/>
  <c r="F201" i="64"/>
  <c r="B201" i="64"/>
  <c r="F200" i="64"/>
  <c r="B200" i="64"/>
  <c r="F199" i="64"/>
  <c r="B199" i="64"/>
  <c r="F198" i="64"/>
  <c r="B198" i="64"/>
  <c r="I197" i="64"/>
  <c r="H197" i="64"/>
  <c r="G197" i="64"/>
  <c r="F197" i="64"/>
  <c r="F196" i="64"/>
  <c r="B196" i="64"/>
  <c r="F195" i="64"/>
  <c r="B195" i="64"/>
  <c r="I194" i="64"/>
  <c r="H194" i="64"/>
  <c r="G194" i="64"/>
  <c r="F194" i="64"/>
  <c r="F193" i="64"/>
  <c r="B193" i="64"/>
  <c r="F192" i="64"/>
  <c r="B192" i="64"/>
  <c r="F191" i="64"/>
  <c r="B191" i="64"/>
  <c r="I190" i="64"/>
  <c r="H190" i="64"/>
  <c r="G190" i="64"/>
  <c r="F190" i="64"/>
  <c r="F189" i="64"/>
  <c r="B189" i="64"/>
  <c r="F188" i="64"/>
  <c r="B188" i="64"/>
  <c r="I187" i="64"/>
  <c r="H187" i="64"/>
  <c r="G187" i="64"/>
  <c r="F187" i="64"/>
  <c r="F186" i="64"/>
  <c r="B186" i="64"/>
  <c r="F185" i="64"/>
  <c r="B185" i="64"/>
  <c r="F184" i="64"/>
  <c r="B184" i="64"/>
  <c r="I183" i="64"/>
  <c r="H183" i="64"/>
  <c r="G183" i="64"/>
  <c r="F183" i="64"/>
  <c r="F182" i="64"/>
  <c r="B182" i="64"/>
  <c r="F181" i="64"/>
  <c r="B181" i="64"/>
  <c r="F180" i="64"/>
  <c r="B180" i="64"/>
  <c r="B322" i="64" s="1"/>
  <c r="F179" i="64"/>
  <c r="B179" i="64"/>
  <c r="B321" i="64" s="1"/>
  <c r="F178" i="64"/>
  <c r="B178" i="64"/>
  <c r="B320" i="64" s="1"/>
  <c r="I177" i="64"/>
  <c r="H177" i="64"/>
  <c r="G177" i="64"/>
  <c r="F177" i="64"/>
  <c r="F176" i="64"/>
  <c r="B176" i="64"/>
  <c r="B318" i="64" s="1"/>
  <c r="F175" i="64"/>
  <c r="B175" i="64"/>
  <c r="B317" i="64" s="1"/>
  <c r="F174" i="64"/>
  <c r="B174" i="64"/>
  <c r="B316" i="64" s="1"/>
  <c r="I173" i="64"/>
  <c r="H173" i="64"/>
  <c r="G173" i="64"/>
  <c r="F173" i="64"/>
  <c r="D172" i="64"/>
  <c r="C172" i="64"/>
  <c r="P169" i="64"/>
  <c r="M169" i="64"/>
  <c r="L169" i="64"/>
  <c r="P168" i="64"/>
  <c r="M168" i="64"/>
  <c r="L168" i="64"/>
  <c r="P167" i="64"/>
  <c r="M167" i="64"/>
  <c r="L167" i="64"/>
  <c r="P166" i="64"/>
  <c r="M166" i="64"/>
  <c r="L166" i="64"/>
  <c r="P165" i="64"/>
  <c r="M165" i="64"/>
  <c r="L165" i="64"/>
  <c r="P164" i="64"/>
  <c r="M164" i="64"/>
  <c r="L164" i="64"/>
  <c r="P163" i="64"/>
  <c r="M163" i="64"/>
  <c r="L163" i="64"/>
  <c r="P162" i="64"/>
  <c r="M162" i="64"/>
  <c r="L162" i="64"/>
  <c r="P161" i="64"/>
  <c r="M161" i="64"/>
  <c r="L161" i="64"/>
  <c r="P160" i="64"/>
  <c r="M160" i="64"/>
  <c r="L160" i="64"/>
  <c r="P159" i="64"/>
  <c r="M159" i="64"/>
  <c r="L159" i="64"/>
  <c r="P158" i="64"/>
  <c r="M158" i="64"/>
  <c r="L158" i="64"/>
  <c r="P157" i="64"/>
  <c r="M157" i="64"/>
  <c r="L157" i="64"/>
  <c r="P156" i="64"/>
  <c r="M156" i="64"/>
  <c r="L156" i="64"/>
  <c r="P155" i="64"/>
  <c r="M155" i="64"/>
  <c r="L155" i="64"/>
  <c r="P154" i="64"/>
  <c r="M154" i="64"/>
  <c r="L154" i="64"/>
  <c r="P153" i="64"/>
  <c r="M153" i="64"/>
  <c r="L153" i="64"/>
  <c r="P152" i="64"/>
  <c r="M152" i="64"/>
  <c r="L152" i="64"/>
  <c r="P151" i="64"/>
  <c r="M151" i="64"/>
  <c r="L151" i="64"/>
  <c r="P150" i="64"/>
  <c r="M150" i="64"/>
  <c r="L150" i="64"/>
  <c r="P149" i="64"/>
  <c r="M149" i="64"/>
  <c r="L149" i="64"/>
  <c r="P148" i="64"/>
  <c r="M148" i="64"/>
  <c r="L148" i="64"/>
  <c r="P147" i="64"/>
  <c r="M147" i="64"/>
  <c r="L147" i="64"/>
  <c r="P146" i="64"/>
  <c r="M146" i="64"/>
  <c r="L146" i="64"/>
  <c r="P145" i="64"/>
  <c r="M145" i="64"/>
  <c r="L145" i="64"/>
  <c r="P144" i="64"/>
  <c r="M144" i="64"/>
  <c r="L144" i="64"/>
  <c r="P143" i="64"/>
  <c r="M143" i="64"/>
  <c r="L143" i="64"/>
  <c r="D24" i="5"/>
  <c r="C24" i="5"/>
  <c r="B24" i="5"/>
  <c r="D23" i="5"/>
  <c r="C23" i="5"/>
  <c r="B23" i="5"/>
  <c r="D22" i="5"/>
  <c r="C22" i="5"/>
  <c r="B22" i="5"/>
  <c r="B19" i="2"/>
  <c r="B18" i="2"/>
  <c r="N282" i="65" l="1"/>
  <c r="N292" i="65"/>
  <c r="AD272" i="65"/>
  <c r="AI92" i="65"/>
  <c r="AC275" i="65"/>
  <c r="AI122" i="65"/>
  <c r="AC305" i="65"/>
  <c r="AI258" i="65"/>
  <c r="N305" i="65"/>
  <c r="AB281" i="65"/>
  <c r="M281" i="65"/>
  <c r="AI125" i="65"/>
  <c r="AC308" i="65"/>
  <c r="O272" i="65"/>
  <c r="N278" i="65"/>
  <c r="N288" i="65"/>
  <c r="AI241" i="65"/>
  <c r="AB284" i="65"/>
  <c r="M284" i="65"/>
  <c r="AB294" i="65"/>
  <c r="M294" i="65"/>
  <c r="N272" i="65"/>
  <c r="N301" i="65"/>
  <c r="N311" i="65"/>
  <c r="AI264" i="65"/>
  <c r="P272" i="65"/>
  <c r="V272" i="65"/>
  <c r="Q272" i="65"/>
  <c r="N307" i="65"/>
  <c r="AI97" i="65"/>
  <c r="AC280" i="65"/>
  <c r="AC273" i="65"/>
  <c r="AI90" i="65"/>
  <c r="AB286" i="65"/>
  <c r="M286" i="65"/>
  <c r="AC293" i="65"/>
  <c r="AE294" i="65"/>
  <c r="AI111" i="65"/>
  <c r="AC289" i="65"/>
  <c r="AC309" i="65"/>
  <c r="M272" i="65"/>
  <c r="AB272" i="65"/>
  <c r="AB302" i="65"/>
  <c r="M302" i="65"/>
  <c r="M289" i="65"/>
  <c r="AB289" i="65"/>
  <c r="AC302" i="65"/>
  <c r="AI129" i="65"/>
  <c r="AC312" i="65"/>
  <c r="AB305" i="65"/>
  <c r="M305" i="65"/>
  <c r="O276" i="65"/>
  <c r="O286" i="65"/>
  <c r="D328" i="64"/>
  <c r="AN328" i="64"/>
  <c r="B103" i="65"/>
  <c r="B123" i="65"/>
  <c r="E703" i="13"/>
  <c r="E702" i="13"/>
  <c r="E29" i="56"/>
  <c r="E23" i="56"/>
  <c r="H23" i="56" s="1"/>
  <c r="P23" i="56" s="1"/>
  <c r="E22" i="56"/>
  <c r="H22" i="56" s="1"/>
  <c r="P22" i="56" s="1"/>
  <c r="E19" i="56"/>
  <c r="G19" i="56" s="1"/>
  <c r="E17" i="56"/>
  <c r="F17" i="56" s="1"/>
  <c r="P17" i="56" s="1"/>
  <c r="E16" i="56"/>
  <c r="F16" i="56" s="1"/>
  <c r="P16" i="56" s="1"/>
  <c r="E47" i="56"/>
  <c r="E21" i="56"/>
  <c r="H21" i="56" s="1"/>
  <c r="P21" i="56" s="1"/>
  <c r="E33" i="56"/>
  <c r="E26" i="56"/>
  <c r="E37" i="56"/>
  <c r="E45" i="56"/>
  <c r="E36" i="56"/>
  <c r="E31" i="56"/>
  <c r="E24" i="56"/>
  <c r="E42" i="56"/>
  <c r="E15" i="56"/>
  <c r="F15" i="56" s="1"/>
  <c r="P15" i="56" s="1"/>
  <c r="E40" i="56"/>
  <c r="E20" i="56"/>
  <c r="H20" i="56" s="1"/>
  <c r="E14" i="56"/>
  <c r="F14" i="56" s="1"/>
  <c r="E46" i="56"/>
  <c r="E27" i="56"/>
  <c r="E39" i="56"/>
  <c r="E44" i="56"/>
  <c r="E38" i="56"/>
  <c r="E30" i="56"/>
  <c r="E18" i="56"/>
  <c r="F18" i="56" s="1"/>
  <c r="P18" i="56" s="1"/>
  <c r="E28" i="56"/>
  <c r="E43" i="56"/>
  <c r="E35" i="56"/>
  <c r="E25" i="56"/>
  <c r="E41" i="56"/>
  <c r="E34" i="56"/>
  <c r="E32" i="56"/>
  <c r="J98" i="16"/>
  <c r="I98" i="16"/>
  <c r="N112" i="65"/>
  <c r="AG295" i="65" s="1"/>
  <c r="X328" i="64"/>
  <c r="T328" i="64"/>
  <c r="B93" i="65"/>
  <c r="B130" i="65" s="1"/>
  <c r="AC313" i="65" s="1"/>
  <c r="V103" i="65"/>
  <c r="AI286" i="65" s="1"/>
  <c r="N105" i="65"/>
  <c r="AG288" i="65" s="1"/>
  <c r="B113" i="65"/>
  <c r="AC272" i="65"/>
  <c r="AI89" i="65"/>
  <c r="AI104" i="65"/>
  <c r="AB309" i="65"/>
  <c r="M309" i="65"/>
  <c r="Q2" i="52"/>
  <c r="Q2" i="44"/>
  <c r="T319" i="64"/>
  <c r="AN319" i="64"/>
  <c r="F328" i="64"/>
  <c r="Z328" i="64"/>
  <c r="S89" i="65"/>
  <c r="AC94" i="65"/>
  <c r="AK277" i="65" s="1"/>
  <c r="E100" i="65"/>
  <c r="AD283" i="65" s="1"/>
  <c r="AC104" i="65"/>
  <c r="AK287" i="65" s="1"/>
  <c r="I114" i="65"/>
  <c r="AE297" i="65" s="1"/>
  <c r="AC114" i="65"/>
  <c r="AK297" i="65" s="1"/>
  <c r="AA117" i="65"/>
  <c r="AJ300" i="65" s="1"/>
  <c r="S119" i="65"/>
  <c r="AH302" i="65" s="1"/>
  <c r="AC124" i="65"/>
  <c r="AK307" i="65" s="1"/>
  <c r="AG272" i="65"/>
  <c r="M274" i="65"/>
  <c r="AB298" i="65"/>
  <c r="J64" i="16"/>
  <c r="I64" i="16"/>
  <c r="J101" i="16"/>
  <c r="I101" i="16"/>
  <c r="J127" i="16"/>
  <c r="I127" i="16"/>
  <c r="E79" i="24"/>
  <c r="E59" i="24"/>
  <c r="E78" i="24"/>
  <c r="E58" i="24"/>
  <c r="E40" i="24"/>
  <c r="I40" i="24" s="1"/>
  <c r="N40" i="24" s="1"/>
  <c r="E84" i="24"/>
  <c r="E64" i="24"/>
  <c r="E44" i="24"/>
  <c r="E34" i="24"/>
  <c r="E83" i="24"/>
  <c r="E63" i="24"/>
  <c r="E43" i="24"/>
  <c r="E31" i="24"/>
  <c r="E75" i="24"/>
  <c r="E55" i="24"/>
  <c r="E33" i="24"/>
  <c r="E80" i="24"/>
  <c r="E60" i="24"/>
  <c r="E38" i="24"/>
  <c r="E30" i="24"/>
  <c r="E73" i="24"/>
  <c r="E53" i="24"/>
  <c r="E41" i="24"/>
  <c r="I41" i="24" s="1"/>
  <c r="N41" i="24" s="1"/>
  <c r="E35" i="24"/>
  <c r="E66" i="24"/>
  <c r="E46" i="24"/>
  <c r="E32" i="24"/>
  <c r="E82" i="24"/>
  <c r="E28" i="24"/>
  <c r="E77" i="24"/>
  <c r="E68" i="24"/>
  <c r="E50" i="24"/>
  <c r="E42" i="24"/>
  <c r="I42" i="24" s="1"/>
  <c r="N42" i="24" s="1"/>
  <c r="E37" i="24"/>
  <c r="E26" i="24"/>
  <c r="E85" i="24"/>
  <c r="E76" i="24"/>
  <c r="E29" i="24"/>
  <c r="E36" i="24"/>
  <c r="E49" i="24"/>
  <c r="E39" i="24"/>
  <c r="E25" i="24"/>
  <c r="E69" i="24"/>
  <c r="E27" i="24"/>
  <c r="E74" i="24"/>
  <c r="E45" i="24"/>
  <c r="E72" i="24"/>
  <c r="E54" i="24"/>
  <c r="E52" i="24"/>
  <c r="E71" i="24"/>
  <c r="E62" i="24"/>
  <c r="E24" i="24"/>
  <c r="E51" i="24"/>
  <c r="E48" i="24"/>
  <c r="E67" i="24"/>
  <c r="E47" i="24"/>
  <c r="E57" i="24"/>
  <c r="E61" i="24"/>
  <c r="E81" i="24"/>
  <c r="E56" i="24"/>
  <c r="E65" i="24"/>
  <c r="E70" i="24"/>
  <c r="T309" i="64"/>
  <c r="AN309" i="64"/>
  <c r="E93" i="65"/>
  <c r="AD276" i="65" s="1"/>
  <c r="I107" i="65"/>
  <c r="AE290" i="65" s="1"/>
  <c r="AA110" i="65"/>
  <c r="AJ293" i="65" s="1"/>
  <c r="S112" i="65"/>
  <c r="AH295" i="65" s="1"/>
  <c r="AC117" i="65"/>
  <c r="AK300" i="65" s="1"/>
  <c r="E123" i="65"/>
  <c r="AD306" i="65" s="1"/>
  <c r="AC274" i="65"/>
  <c r="M282" i="65"/>
  <c r="AC304" i="65"/>
  <c r="AB310" i="65"/>
  <c r="S2" i="34"/>
  <c r="E24" i="34" s="1"/>
  <c r="J14" i="16"/>
  <c r="AB301" i="65"/>
  <c r="AB273" i="65"/>
  <c r="M273" i="65"/>
  <c r="AB280" i="65"/>
  <c r="AI115" i="65"/>
  <c r="D319" i="64"/>
  <c r="X319" i="64"/>
  <c r="V319" i="64"/>
  <c r="AP319" i="64"/>
  <c r="I100" i="65"/>
  <c r="AE283" i="65" s="1"/>
  <c r="M285" i="65"/>
  <c r="AB285" i="65"/>
  <c r="AA103" i="65"/>
  <c r="AJ286" i="65" s="1"/>
  <c r="S105" i="65"/>
  <c r="AH288" i="65" s="1"/>
  <c r="AC110" i="65"/>
  <c r="AK293" i="65" s="1"/>
  <c r="E116" i="65"/>
  <c r="AD299" i="65" s="1"/>
  <c r="E126" i="65"/>
  <c r="AD309" i="65" s="1"/>
  <c r="AI124" i="65"/>
  <c r="AI127" i="65"/>
  <c r="V259" i="65"/>
  <c r="T306" i="65" s="1"/>
  <c r="N261" i="65"/>
  <c r="R308" i="65" s="1"/>
  <c r="AC292" i="65"/>
  <c r="AB308" i="65"/>
  <c r="B102" i="65"/>
  <c r="L107" i="65"/>
  <c r="AF290" i="65" s="1"/>
  <c r="V112" i="65"/>
  <c r="AI295" i="65" s="1"/>
  <c r="N114" i="65"/>
  <c r="AG297" i="65" s="1"/>
  <c r="N124" i="65"/>
  <c r="AG307" i="65" s="1"/>
  <c r="E226" i="65"/>
  <c r="E266" i="65" s="1"/>
  <c r="O313" i="65" s="1"/>
  <c r="I230" i="65"/>
  <c r="P277" i="65" s="1"/>
  <c r="AC230" i="65"/>
  <c r="V277" i="65" s="1"/>
  <c r="I240" i="65"/>
  <c r="P287" i="65" s="1"/>
  <c r="AC240" i="65"/>
  <c r="V287" i="65" s="1"/>
  <c r="AH266" i="65"/>
  <c r="W313" i="65" s="1"/>
  <c r="P293" i="64"/>
  <c r="AJ293" i="64"/>
  <c r="D309" i="64"/>
  <c r="X309" i="64"/>
  <c r="I93" i="65"/>
  <c r="AE276" i="65" s="1"/>
  <c r="AA96" i="65"/>
  <c r="AJ279" i="65" s="1"/>
  <c r="S98" i="65"/>
  <c r="AH281" i="65" s="1"/>
  <c r="AC103" i="65"/>
  <c r="AK286" i="65" s="1"/>
  <c r="E109" i="65"/>
  <c r="AD292" i="65" s="1"/>
  <c r="E119" i="65"/>
  <c r="AD302" i="65" s="1"/>
  <c r="I123" i="65"/>
  <c r="AE306" i="65" s="1"/>
  <c r="AA126" i="65"/>
  <c r="AJ309" i="65" s="1"/>
  <c r="S128" i="65"/>
  <c r="AH311" i="65" s="1"/>
  <c r="B232" i="65"/>
  <c r="V232" i="65"/>
  <c r="T279" i="65" s="1"/>
  <c r="N234" i="65"/>
  <c r="R281" i="65" s="1"/>
  <c r="V242" i="65"/>
  <c r="T289" i="65" s="1"/>
  <c r="AB300" i="65"/>
  <c r="AC298" i="65"/>
  <c r="B95" i="65"/>
  <c r="L100" i="65"/>
  <c r="AF283" i="65" s="1"/>
  <c r="V105" i="65"/>
  <c r="AI288" i="65" s="1"/>
  <c r="N107" i="65"/>
  <c r="AG290" i="65" s="1"/>
  <c r="N117" i="65"/>
  <c r="AG300" i="65" s="1"/>
  <c r="AA226" i="65"/>
  <c r="U273" i="65" s="1"/>
  <c r="S228" i="65"/>
  <c r="S275" i="65" s="1"/>
  <c r="E236" i="65"/>
  <c r="S238" i="65"/>
  <c r="S285" i="65" s="1"/>
  <c r="AC243" i="65"/>
  <c r="V290" i="65" s="1"/>
  <c r="N244" i="65"/>
  <c r="R291" i="65" s="1"/>
  <c r="AA246" i="65"/>
  <c r="U293" i="65" s="1"/>
  <c r="S248" i="65"/>
  <c r="S295" i="65" s="1"/>
  <c r="E249" i="65"/>
  <c r="AC250" i="65"/>
  <c r="V297" i="65" s="1"/>
  <c r="I253" i="65"/>
  <c r="P300" i="65" s="1"/>
  <c r="AC253" i="65"/>
  <c r="V300" i="65" s="1"/>
  <c r="N254" i="65"/>
  <c r="R301" i="65" s="1"/>
  <c r="E259" i="65"/>
  <c r="AC260" i="65"/>
  <c r="V307" i="65" s="1"/>
  <c r="I263" i="65"/>
  <c r="P310" i="65" s="1"/>
  <c r="AC263" i="65"/>
  <c r="V310" i="65" s="1"/>
  <c r="M293" i="65"/>
  <c r="AB303" i="65"/>
  <c r="E102" i="65"/>
  <c r="AD285" i="65" s="1"/>
  <c r="E112" i="65"/>
  <c r="AD295" i="65" s="1"/>
  <c r="S121" i="65"/>
  <c r="AH304" i="65" s="1"/>
  <c r="I126" i="65"/>
  <c r="AE309" i="65" s="1"/>
  <c r="AC126" i="65"/>
  <c r="AK309" i="65" s="1"/>
  <c r="V225" i="65"/>
  <c r="V235" i="65"/>
  <c r="T282" i="65" s="1"/>
  <c r="V245" i="65"/>
  <c r="T292" i="65" s="1"/>
  <c r="B255" i="65"/>
  <c r="V255" i="65"/>
  <c r="T302" i="65" s="1"/>
  <c r="N257" i="65"/>
  <c r="R304" i="65" s="1"/>
  <c r="B265" i="65"/>
  <c r="V265" i="65"/>
  <c r="T312" i="65" s="1"/>
  <c r="S91" i="65"/>
  <c r="AH274" i="65" s="1"/>
  <c r="AC96" i="65"/>
  <c r="AK279" i="65" s="1"/>
  <c r="L93" i="65"/>
  <c r="AF276" i="65" s="1"/>
  <c r="B98" i="65"/>
  <c r="V98" i="65"/>
  <c r="AI281" i="65" s="1"/>
  <c r="N100" i="65"/>
  <c r="AG283" i="65" s="1"/>
  <c r="B108" i="65"/>
  <c r="N110" i="65"/>
  <c r="AG293" i="65" s="1"/>
  <c r="B118" i="65"/>
  <c r="B128" i="65"/>
  <c r="I226" i="65"/>
  <c r="P273" i="65" s="1"/>
  <c r="AA229" i="65"/>
  <c r="U276" i="65" s="1"/>
  <c r="E232" i="65"/>
  <c r="O279" i="65" s="1"/>
  <c r="I236" i="65"/>
  <c r="P283" i="65" s="1"/>
  <c r="E242" i="65"/>
  <c r="O289" i="65" s="1"/>
  <c r="AC246" i="65"/>
  <c r="V293" i="65" s="1"/>
  <c r="E252" i="65"/>
  <c r="O299" i="65" s="1"/>
  <c r="AC256" i="65"/>
  <c r="V303" i="65" s="1"/>
  <c r="S261" i="65"/>
  <c r="S308" i="65" s="1"/>
  <c r="E262" i="65"/>
  <c r="O309" i="65" s="1"/>
  <c r="AB291" i="65"/>
  <c r="AC284" i="65"/>
  <c r="B228" i="65"/>
  <c r="V228" i="65"/>
  <c r="T275" i="65" s="1"/>
  <c r="N230" i="65"/>
  <c r="R277" i="65" s="1"/>
  <c r="B238" i="65"/>
  <c r="V238" i="65"/>
  <c r="T285" i="65" s="1"/>
  <c r="N240" i="65"/>
  <c r="R287" i="65" s="1"/>
  <c r="B248" i="65"/>
  <c r="V248" i="65"/>
  <c r="T295" i="65" s="1"/>
  <c r="N250" i="65"/>
  <c r="R297" i="65" s="1"/>
  <c r="N260" i="65"/>
  <c r="R307" i="65" s="1"/>
  <c r="L263" i="65"/>
  <c r="Q310" i="65" s="1"/>
  <c r="AI233" i="65"/>
  <c r="E701" i="13"/>
  <c r="E39" i="16" s="1"/>
  <c r="I41" i="16"/>
  <c r="J41" i="16"/>
  <c r="I325" i="64"/>
  <c r="AC325" i="64"/>
  <c r="AI120" i="65"/>
  <c r="AA232" i="65"/>
  <c r="U279" i="65" s="1"/>
  <c r="S234" i="65"/>
  <c r="S281" i="65" s="1"/>
  <c r="AC239" i="65"/>
  <c r="V286" i="65" s="1"/>
  <c r="AA242" i="65"/>
  <c r="U289" i="65" s="1"/>
  <c r="S244" i="65"/>
  <c r="S291" i="65" s="1"/>
  <c r="I249" i="65"/>
  <c r="P296" i="65" s="1"/>
  <c r="E255" i="65"/>
  <c r="O302" i="65" s="1"/>
  <c r="I259" i="65"/>
  <c r="P306" i="65" s="1"/>
  <c r="E265" i="65"/>
  <c r="O312" i="65" s="1"/>
  <c r="AI243" i="65"/>
  <c r="N290" i="65"/>
  <c r="AI246" i="65"/>
  <c r="J306" i="64"/>
  <c r="AD306" i="64"/>
  <c r="H315" i="64"/>
  <c r="AB315" i="64"/>
  <c r="M297" i="65"/>
  <c r="AB297" i="65"/>
  <c r="AB279" i="65"/>
  <c r="M279" i="65"/>
  <c r="AI114" i="65"/>
  <c r="AH130" i="65"/>
  <c r="AL313" i="65" s="1"/>
  <c r="L226" i="65"/>
  <c r="Q273" i="65" s="1"/>
  <c r="V231" i="65"/>
  <c r="T278" i="65" s="1"/>
  <c r="L236" i="65"/>
  <c r="Q283" i="65" s="1"/>
  <c r="B251" i="65"/>
  <c r="B261" i="65"/>
  <c r="V261" i="65"/>
  <c r="T308" i="65" s="1"/>
  <c r="N263" i="65"/>
  <c r="R310" i="65" s="1"/>
  <c r="AI256" i="65"/>
  <c r="D70" i="27"/>
  <c r="D50" i="27"/>
  <c r="D26" i="27"/>
  <c r="D69" i="27"/>
  <c r="D49" i="27"/>
  <c r="D43" i="27"/>
  <c r="H43" i="27" s="1"/>
  <c r="M43" i="27" s="1"/>
  <c r="D39" i="27"/>
  <c r="H39" i="27" s="1"/>
  <c r="M39" i="27" s="1"/>
  <c r="D35" i="27"/>
  <c r="H35" i="27" s="1"/>
  <c r="M35" i="27" s="1"/>
  <c r="D55" i="27"/>
  <c r="D31" i="27"/>
  <c r="D54" i="27"/>
  <c r="D42" i="27"/>
  <c r="H42" i="27" s="1"/>
  <c r="M42" i="27" s="1"/>
  <c r="D38" i="27"/>
  <c r="H38" i="27" s="1"/>
  <c r="M38" i="27" s="1"/>
  <c r="D34" i="27"/>
  <c r="H34" i="27" s="1"/>
  <c r="M34" i="27" s="1"/>
  <c r="D20" i="27"/>
  <c r="D60" i="27"/>
  <c r="D22" i="27"/>
  <c r="D18" i="27"/>
  <c r="D66" i="27"/>
  <c r="D46" i="27"/>
  <c r="D30" i="27"/>
  <c r="D71" i="27"/>
  <c r="D51" i="27"/>
  <c r="D17" i="27"/>
  <c r="D64" i="27"/>
  <c r="D44" i="27"/>
  <c r="D40" i="27"/>
  <c r="H40" i="27" s="1"/>
  <c r="M40" i="27" s="1"/>
  <c r="D36" i="27"/>
  <c r="H36" i="27" s="1"/>
  <c r="M36" i="27" s="1"/>
  <c r="D32" i="27"/>
  <c r="H32" i="27" s="1"/>
  <c r="M32" i="27" s="1"/>
  <c r="D57" i="27"/>
  <c r="D29" i="27"/>
  <c r="D21" i="27"/>
  <c r="D19" i="27"/>
  <c r="D63" i="27"/>
  <c r="D67" i="27"/>
  <c r="D58" i="27"/>
  <c r="D48" i="27"/>
  <c r="D33" i="27"/>
  <c r="H33" i="27" s="1"/>
  <c r="M33" i="27" s="1"/>
  <c r="D28" i="27"/>
  <c r="D23" i="27"/>
  <c r="D65" i="27"/>
  <c r="D27" i="27"/>
  <c r="D59" i="27"/>
  <c r="D25" i="27"/>
  <c r="D47" i="27"/>
  <c r="D62" i="27"/>
  <c r="D52" i="27"/>
  <c r="D61" i="27"/>
  <c r="D41" i="27"/>
  <c r="H41" i="27" s="1"/>
  <c r="M41" i="27" s="1"/>
  <c r="D72" i="27"/>
  <c r="D56" i="27"/>
  <c r="D24" i="27"/>
  <c r="D68" i="27"/>
  <c r="D45" i="27"/>
  <c r="D53" i="27"/>
  <c r="D37" i="27"/>
  <c r="H37" i="27" s="1"/>
  <c r="M37" i="27" s="1"/>
  <c r="J48" i="16"/>
  <c r="I48" i="16"/>
  <c r="J71" i="16"/>
  <c r="I71" i="16"/>
  <c r="J77" i="16"/>
  <c r="I77" i="16"/>
  <c r="I102" i="16"/>
  <c r="J102" i="16"/>
  <c r="E29" i="57"/>
  <c r="E23" i="57"/>
  <c r="G23" i="57" s="1"/>
  <c r="P23" i="57" s="1"/>
  <c r="E30" i="57"/>
  <c r="E19" i="57"/>
  <c r="F19" i="57" s="1"/>
  <c r="P19" i="57" s="1"/>
  <c r="E38" i="57"/>
  <c r="E41" i="57"/>
  <c r="E32" i="57"/>
  <c r="E22" i="57"/>
  <c r="G22" i="57" s="1"/>
  <c r="P22" i="57" s="1"/>
  <c r="E40" i="57"/>
  <c r="E35" i="57"/>
  <c r="E28" i="57"/>
  <c r="E21" i="57"/>
  <c r="G21" i="57" s="1"/>
  <c r="P21" i="57" s="1"/>
  <c r="E39" i="57"/>
  <c r="E34" i="57"/>
  <c r="E20" i="57"/>
  <c r="G20" i="57" s="1"/>
  <c r="E26" i="57"/>
  <c r="E37" i="57"/>
  <c r="E36" i="57"/>
  <c r="E31" i="57"/>
  <c r="E18" i="57"/>
  <c r="F18" i="57" s="1"/>
  <c r="E25" i="57"/>
  <c r="E24" i="57"/>
  <c r="E27" i="57"/>
  <c r="E33" i="57"/>
  <c r="G315" i="64"/>
  <c r="AA315" i="64"/>
  <c r="AC279" i="65"/>
  <c r="M295" i="65"/>
  <c r="AB295" i="65"/>
  <c r="AA225" i="65"/>
  <c r="E228" i="65"/>
  <c r="O275" i="65" s="1"/>
  <c r="I232" i="65"/>
  <c r="P279" i="65" s="1"/>
  <c r="AA235" i="65"/>
  <c r="U282" i="65" s="1"/>
  <c r="E238" i="65"/>
  <c r="O285" i="65" s="1"/>
  <c r="I242" i="65"/>
  <c r="P289" i="65" s="1"/>
  <c r="AC242" i="65"/>
  <c r="V289" i="65" s="1"/>
  <c r="AA245" i="65"/>
  <c r="U292" i="65" s="1"/>
  <c r="I252" i="65"/>
  <c r="P299" i="65" s="1"/>
  <c r="AC252" i="65"/>
  <c r="V299" i="65" s="1"/>
  <c r="AA255" i="65"/>
  <c r="U302" i="65" s="1"/>
  <c r="S257" i="65"/>
  <c r="S304" i="65" s="1"/>
  <c r="I262" i="65"/>
  <c r="P309" i="65" s="1"/>
  <c r="AC262" i="65"/>
  <c r="V309" i="65" s="1"/>
  <c r="AA265" i="65"/>
  <c r="U312" i="65" s="1"/>
  <c r="J57" i="16"/>
  <c r="I57" i="16"/>
  <c r="J66" i="16"/>
  <c r="I66" i="16"/>
  <c r="J42" i="16"/>
  <c r="I42" i="16"/>
  <c r="J49" i="16"/>
  <c r="I49" i="16"/>
  <c r="J63" i="16"/>
  <c r="I63" i="16"/>
  <c r="J72" i="16"/>
  <c r="I72" i="16"/>
  <c r="D43" i="22"/>
  <c r="D35" i="22"/>
  <c r="D34" i="22"/>
  <c r="D39" i="22"/>
  <c r="D36" i="22"/>
  <c r="D44" i="22"/>
  <c r="D30" i="22"/>
  <c r="G30" i="22" s="1"/>
  <c r="M30" i="22" s="1"/>
  <c r="D26" i="22"/>
  <c r="G26" i="22" s="1"/>
  <c r="M26" i="22" s="1"/>
  <c r="D22" i="22"/>
  <c r="G22" i="22" s="1"/>
  <c r="M22" i="22" s="1"/>
  <c r="D18" i="22"/>
  <c r="G18" i="22" s="1"/>
  <c r="D32" i="22"/>
  <c r="D41" i="22"/>
  <c r="D20" i="22"/>
  <c r="G20" i="22" s="1"/>
  <c r="M20" i="22" s="1"/>
  <c r="D19" i="22"/>
  <c r="G19" i="22" s="1"/>
  <c r="M19" i="22" s="1"/>
  <c r="D27" i="22"/>
  <c r="G27" i="22" s="1"/>
  <c r="M27" i="22" s="1"/>
  <c r="D25" i="22"/>
  <c r="G25" i="22" s="1"/>
  <c r="M25" i="22" s="1"/>
  <c r="D33" i="22"/>
  <c r="D42" i="22"/>
  <c r="D31" i="22"/>
  <c r="G31" i="22" s="1"/>
  <c r="M31" i="22" s="1"/>
  <c r="D23" i="22"/>
  <c r="G23" i="22" s="1"/>
  <c r="M23" i="22" s="1"/>
  <c r="D38" i="22"/>
  <c r="D28" i="22"/>
  <c r="G28" i="22" s="1"/>
  <c r="M28" i="22" s="1"/>
  <c r="D37" i="22"/>
  <c r="D21" i="22"/>
  <c r="G21" i="22" s="1"/>
  <c r="M21" i="22" s="1"/>
  <c r="D29" i="22"/>
  <c r="G29" i="22" s="1"/>
  <c r="M29" i="22" s="1"/>
  <c r="D40" i="22"/>
  <c r="D24" i="22"/>
  <c r="G24" i="22" s="1"/>
  <c r="M24" i="22" s="1"/>
  <c r="E19" i="35"/>
  <c r="E18" i="35"/>
  <c r="E15" i="35"/>
  <c r="E36" i="35"/>
  <c r="E31" i="35"/>
  <c r="E28" i="35"/>
  <c r="E23" i="35"/>
  <c r="E17" i="35"/>
  <c r="E25" i="35"/>
  <c r="E30" i="35"/>
  <c r="E20" i="35"/>
  <c r="E37" i="35"/>
  <c r="E32" i="35"/>
  <c r="E35" i="35"/>
  <c r="E33" i="35"/>
  <c r="E24" i="35"/>
  <c r="E27" i="35"/>
  <c r="E26" i="35"/>
  <c r="E34" i="35"/>
  <c r="E29" i="35"/>
  <c r="E16" i="35"/>
  <c r="E22" i="35"/>
  <c r="E21" i="35"/>
  <c r="I50" i="16"/>
  <c r="J50" i="16"/>
  <c r="J55" i="16"/>
  <c r="I55" i="16"/>
  <c r="I58" i="16"/>
  <c r="J58" i="16"/>
  <c r="L315" i="64"/>
  <c r="AF315" i="64"/>
  <c r="J315" i="64"/>
  <c r="AD315" i="64"/>
  <c r="V328" i="64"/>
  <c r="AP328" i="64"/>
  <c r="AC108" i="65"/>
  <c r="AK291" i="65" s="1"/>
  <c r="E114" i="65"/>
  <c r="AD297" i="65" s="1"/>
  <c r="L232" i="65"/>
  <c r="Q279" i="65" s="1"/>
  <c r="B237" i="65"/>
  <c r="L242" i="65"/>
  <c r="Q289" i="65" s="1"/>
  <c r="B247" i="65"/>
  <c r="L252" i="65"/>
  <c r="Q299" i="65" s="1"/>
  <c r="B257" i="65"/>
  <c r="V257" i="65"/>
  <c r="T304" i="65" s="1"/>
  <c r="N259" i="65"/>
  <c r="R306" i="65" s="1"/>
  <c r="L262" i="65"/>
  <c r="Q309" i="65" s="1"/>
  <c r="AB275" i="65"/>
  <c r="AB312" i="65"/>
  <c r="E41" i="25"/>
  <c r="E43" i="25"/>
  <c r="E35" i="25"/>
  <c r="E32" i="25"/>
  <c r="E38" i="25"/>
  <c r="E27" i="25"/>
  <c r="E34" i="25"/>
  <c r="E37" i="25"/>
  <c r="E31" i="25"/>
  <c r="E22" i="25"/>
  <c r="E42" i="25"/>
  <c r="E36" i="25"/>
  <c r="E40" i="25"/>
  <c r="E39" i="25"/>
  <c r="E25" i="25"/>
  <c r="E30" i="25"/>
  <c r="E29" i="25"/>
  <c r="E33" i="25"/>
  <c r="E21" i="25"/>
  <c r="E28" i="25"/>
  <c r="E24" i="25"/>
  <c r="E44" i="25"/>
  <c r="E23" i="25"/>
  <c r="E20" i="25"/>
  <c r="E19" i="25"/>
  <c r="E26" i="25"/>
  <c r="J28" i="16"/>
  <c r="I28" i="16"/>
  <c r="I34" i="16"/>
  <c r="J34" i="16"/>
  <c r="I24" i="16"/>
  <c r="J24" i="16"/>
  <c r="E55" i="41"/>
  <c r="E35" i="41"/>
  <c r="E67" i="41"/>
  <c r="E29" i="41"/>
  <c r="H29" i="41" s="1"/>
  <c r="N29" i="41" s="1"/>
  <c r="E60" i="41"/>
  <c r="E53" i="41"/>
  <c r="E46" i="41"/>
  <c r="E33" i="41"/>
  <c r="E65" i="41"/>
  <c r="E25" i="41"/>
  <c r="G25" i="41" s="1"/>
  <c r="N25" i="41" s="1"/>
  <c r="E20" i="41"/>
  <c r="F20" i="41" s="1"/>
  <c r="N20" i="41" s="1"/>
  <c r="E69" i="41"/>
  <c r="E27" i="41"/>
  <c r="G27" i="41" s="1"/>
  <c r="N27" i="41" s="1"/>
  <c r="E31" i="41"/>
  <c r="H31" i="41" s="1"/>
  <c r="N31" i="41" s="1"/>
  <c r="E63" i="41"/>
  <c r="E37" i="41"/>
  <c r="E54" i="41"/>
  <c r="E45" i="41"/>
  <c r="E36" i="41"/>
  <c r="E30" i="41"/>
  <c r="H30" i="41" s="1"/>
  <c r="N30" i="41" s="1"/>
  <c r="E24" i="41"/>
  <c r="G24" i="41" s="1"/>
  <c r="N24" i="41" s="1"/>
  <c r="E19" i="41"/>
  <c r="F19" i="41" s="1"/>
  <c r="N19" i="41" s="1"/>
  <c r="E62" i="41"/>
  <c r="E44" i="41"/>
  <c r="E61" i="41"/>
  <c r="E52" i="41"/>
  <c r="E43" i="41"/>
  <c r="E68" i="41"/>
  <c r="E42" i="41"/>
  <c r="E64" i="41"/>
  <c r="E51" i="41"/>
  <c r="E32" i="41"/>
  <c r="H32" i="41" s="1"/>
  <c r="N32" i="41" s="1"/>
  <c r="E40" i="41"/>
  <c r="E17" i="41"/>
  <c r="F17" i="41" s="1"/>
  <c r="E49" i="41"/>
  <c r="E59" i="41"/>
  <c r="E38" i="41"/>
  <c r="E58" i="41"/>
  <c r="E57" i="41"/>
  <c r="E47" i="41"/>
  <c r="E28" i="41"/>
  <c r="H28" i="41" s="1"/>
  <c r="E34" i="41"/>
  <c r="E56" i="41"/>
  <c r="E21" i="41"/>
  <c r="G21" i="41" s="1"/>
  <c r="E66" i="41"/>
  <c r="E26" i="41"/>
  <c r="G26" i="41" s="1"/>
  <c r="N26" i="41" s="1"/>
  <c r="E48" i="41"/>
  <c r="E23" i="41"/>
  <c r="G23" i="41" s="1"/>
  <c r="N23" i="41" s="1"/>
  <c r="E18" i="41"/>
  <c r="F18" i="41" s="1"/>
  <c r="N18" i="41" s="1"/>
  <c r="E41" i="41"/>
  <c r="E39" i="41"/>
  <c r="E50" i="41"/>
  <c r="E22" i="41"/>
  <c r="G22" i="41" s="1"/>
  <c r="N22" i="41" s="1"/>
  <c r="AC282" i="65"/>
  <c r="AI99" i="65"/>
  <c r="V110" i="65"/>
  <c r="AI293" i="65" s="1"/>
  <c r="I91" i="65"/>
  <c r="AE274" i="65" s="1"/>
  <c r="AB276" i="65"/>
  <c r="M276" i="65"/>
  <c r="AA94" i="65"/>
  <c r="AJ277" i="65" s="1"/>
  <c r="S96" i="65"/>
  <c r="AH279" i="65" s="1"/>
  <c r="AC101" i="65"/>
  <c r="AK284" i="65" s="1"/>
  <c r="E107" i="65"/>
  <c r="AD290" i="65" s="1"/>
  <c r="B230" i="65"/>
  <c r="V230" i="65"/>
  <c r="T277" i="65" s="1"/>
  <c r="N232" i="65"/>
  <c r="R279" i="65" s="1"/>
  <c r="B240" i="65"/>
  <c r="V240" i="65"/>
  <c r="T287" i="65" s="1"/>
  <c r="N242" i="65"/>
  <c r="R289" i="65" s="1"/>
  <c r="B250" i="65"/>
  <c r="V250" i="65"/>
  <c r="T297" i="65" s="1"/>
  <c r="N252" i="65"/>
  <c r="R299" i="65" s="1"/>
  <c r="V260" i="65"/>
  <c r="T307" i="65" s="1"/>
  <c r="L265" i="65"/>
  <c r="Q312" i="65" s="1"/>
  <c r="AE272" i="65"/>
  <c r="AB290" i="65"/>
  <c r="E71" i="26"/>
  <c r="E51" i="26"/>
  <c r="E70" i="26"/>
  <c r="E50" i="26"/>
  <c r="E44" i="26"/>
  <c r="J44" i="26" s="1"/>
  <c r="P44" i="26" s="1"/>
  <c r="E40" i="26"/>
  <c r="J40" i="26" s="1"/>
  <c r="P40" i="26" s="1"/>
  <c r="E36" i="26"/>
  <c r="J36" i="26" s="1"/>
  <c r="P36" i="26" s="1"/>
  <c r="E28" i="26"/>
  <c r="E56" i="26"/>
  <c r="E55" i="26"/>
  <c r="E43" i="26"/>
  <c r="J43" i="26" s="1"/>
  <c r="P43" i="26" s="1"/>
  <c r="E39" i="26"/>
  <c r="J39" i="26" s="1"/>
  <c r="P39" i="26" s="1"/>
  <c r="E35" i="26"/>
  <c r="J35" i="26" s="1"/>
  <c r="P35" i="26" s="1"/>
  <c r="E23" i="26"/>
  <c r="E61" i="26"/>
  <c r="E29" i="26"/>
  <c r="E67" i="26"/>
  <c r="E47" i="26"/>
  <c r="E72" i="26"/>
  <c r="E52" i="26"/>
  <c r="E30" i="26"/>
  <c r="E65" i="26"/>
  <c r="E45" i="26"/>
  <c r="E41" i="26"/>
  <c r="J41" i="26" s="1"/>
  <c r="P41" i="26" s="1"/>
  <c r="E37" i="26"/>
  <c r="J37" i="26" s="1"/>
  <c r="P37" i="26" s="1"/>
  <c r="E33" i="26"/>
  <c r="J33" i="26" s="1"/>
  <c r="P33" i="26" s="1"/>
  <c r="E58" i="26"/>
  <c r="E48" i="26"/>
  <c r="E62" i="26"/>
  <c r="E53" i="26"/>
  <c r="E21" i="26"/>
  <c r="E26" i="26"/>
  <c r="E68" i="26"/>
  <c r="E57" i="26"/>
  <c r="E46" i="26"/>
  <c r="E73" i="26"/>
  <c r="E64" i="26"/>
  <c r="E32" i="26"/>
  <c r="E42" i="26"/>
  <c r="J42" i="26" s="1"/>
  <c r="P42" i="26" s="1"/>
  <c r="E54" i="26"/>
  <c r="E66" i="26"/>
  <c r="E22" i="26"/>
  <c r="E24" i="26"/>
  <c r="E38" i="26"/>
  <c r="J38" i="26" s="1"/>
  <c r="P38" i="26" s="1"/>
  <c r="E49" i="26"/>
  <c r="E63" i="26"/>
  <c r="E27" i="26"/>
  <c r="E60" i="26"/>
  <c r="E34" i="26"/>
  <c r="J34" i="26" s="1"/>
  <c r="P34" i="26" s="1"/>
  <c r="E69" i="26"/>
  <c r="E25" i="26"/>
  <c r="E31" i="26"/>
  <c r="E59" i="26"/>
  <c r="N310" i="65"/>
  <c r="AI263" i="65"/>
  <c r="E27" i="32"/>
  <c r="E10" i="32"/>
  <c r="E25" i="32"/>
  <c r="E16" i="32"/>
  <c r="E31" i="32"/>
  <c r="E23" i="32"/>
  <c r="E24" i="32"/>
  <c r="E20" i="32"/>
  <c r="E14" i="32"/>
  <c r="E38" i="32"/>
  <c r="J38" i="32" s="1"/>
  <c r="E34" i="32"/>
  <c r="E17" i="32"/>
  <c r="E33" i="32"/>
  <c r="E15" i="32"/>
  <c r="E13" i="32"/>
  <c r="E36" i="32"/>
  <c r="E12" i="32"/>
  <c r="E39" i="32"/>
  <c r="J39" i="32" s="1"/>
  <c r="E28" i="32"/>
  <c r="E21" i="32"/>
  <c r="E37" i="32"/>
  <c r="J37" i="32" s="1"/>
  <c r="E29" i="32"/>
  <c r="E32" i="32"/>
  <c r="E11" i="32"/>
  <c r="E35" i="32"/>
  <c r="E19" i="32"/>
  <c r="E18" i="32"/>
  <c r="E30" i="32"/>
  <c r="E22" i="32"/>
  <c r="E26" i="32"/>
  <c r="J36" i="16"/>
  <c r="I36" i="16"/>
  <c r="N96" i="65"/>
  <c r="AG279" i="65" s="1"/>
  <c r="N106" i="65"/>
  <c r="AG289" i="65" s="1"/>
  <c r="N116" i="65"/>
  <c r="AG299" i="65" s="1"/>
  <c r="N126" i="65"/>
  <c r="AG309" i="65" s="1"/>
  <c r="N235" i="65"/>
  <c r="R282" i="65" s="1"/>
  <c r="N245" i="65"/>
  <c r="R292" i="65" s="1"/>
  <c r="I227" i="65"/>
  <c r="P274" i="65" s="1"/>
  <c r="W272" i="65"/>
  <c r="AI253" i="65"/>
  <c r="S225" i="65"/>
  <c r="S235" i="65"/>
  <c r="S282" i="65" s="1"/>
  <c r="S245" i="65"/>
  <c r="S292" i="65" s="1"/>
  <c r="S255" i="65"/>
  <c r="S302" i="65" s="1"/>
  <c r="S265" i="65"/>
  <c r="S312" i="65" s="1"/>
  <c r="L227" i="65"/>
  <c r="Q274" i="65" s="1"/>
  <c r="L237" i="65"/>
  <c r="Q284" i="65" s="1"/>
  <c r="B242" i="65"/>
  <c r="L247" i="65"/>
  <c r="Q294" i="65" s="1"/>
  <c r="B252" i="65"/>
  <c r="L257" i="65"/>
  <c r="Q304" i="65" s="1"/>
  <c r="B262" i="65"/>
  <c r="J68" i="16"/>
  <c r="I68" i="16"/>
  <c r="J76" i="16"/>
  <c r="I76" i="16"/>
  <c r="J81" i="16"/>
  <c r="I81" i="16"/>
  <c r="S2" i="59"/>
  <c r="E51" i="59" s="1"/>
  <c r="J117" i="16"/>
  <c r="J32" i="16"/>
  <c r="I32" i="16"/>
  <c r="E35" i="28"/>
  <c r="E41" i="28"/>
  <c r="E26" i="28"/>
  <c r="E37" i="28"/>
  <c r="E29" i="28"/>
  <c r="E36" i="28"/>
  <c r="E20" i="28"/>
  <c r="E25" i="28"/>
  <c r="E31" i="28"/>
  <c r="E22" i="28"/>
  <c r="J35" i="16"/>
  <c r="I35" i="16"/>
  <c r="J138" i="16"/>
  <c r="I138" i="16"/>
  <c r="E30" i="40"/>
  <c r="E25" i="40"/>
  <c r="E20" i="40"/>
  <c r="H20" i="40" s="1"/>
  <c r="E11" i="40"/>
  <c r="F11" i="40" s="1"/>
  <c r="E29" i="40"/>
  <c r="E23" i="40"/>
  <c r="E16" i="40"/>
  <c r="F16" i="40" s="1"/>
  <c r="P16" i="40" s="1"/>
  <c r="E27" i="40"/>
  <c r="E26" i="40"/>
  <c r="E14" i="40"/>
  <c r="F14" i="40" s="1"/>
  <c r="P14" i="40" s="1"/>
  <c r="E19" i="40"/>
  <c r="G19" i="40" s="1"/>
  <c r="P19" i="40" s="1"/>
  <c r="E12" i="40"/>
  <c r="F12" i="40" s="1"/>
  <c r="P12" i="40" s="1"/>
  <c r="E18" i="40"/>
  <c r="G18" i="40" s="1"/>
  <c r="P18" i="40" s="1"/>
  <c r="E24" i="40"/>
  <c r="E17" i="40"/>
  <c r="G17" i="40" s="1"/>
  <c r="E31" i="40"/>
  <c r="E22" i="40"/>
  <c r="E15" i="40"/>
  <c r="F15" i="40" s="1"/>
  <c r="P15" i="40" s="1"/>
  <c r="E21" i="40"/>
  <c r="E28" i="40"/>
  <c r="E13" i="40"/>
  <c r="F13" i="40" s="1"/>
  <c r="P13" i="40" s="1"/>
  <c r="J33" i="16"/>
  <c r="I33" i="16"/>
  <c r="J44" i="16"/>
  <c r="I44" i="16"/>
  <c r="J85" i="16"/>
  <c r="I85" i="16"/>
  <c r="I137" i="16"/>
  <c r="J137" i="16"/>
  <c r="J20" i="16"/>
  <c r="D75" i="33"/>
  <c r="D65" i="33"/>
  <c r="D55" i="33"/>
  <c r="D45" i="33"/>
  <c r="D78" i="33"/>
  <c r="D68" i="33"/>
  <c r="D58" i="33"/>
  <c r="D48" i="33"/>
  <c r="D26" i="33"/>
  <c r="D35" i="33"/>
  <c r="H35" i="33" s="1"/>
  <c r="M35" i="33" s="1"/>
  <c r="D30" i="33"/>
  <c r="D80" i="33"/>
  <c r="D69" i="33"/>
  <c r="D32" i="33"/>
  <c r="H32" i="33" s="1"/>
  <c r="M32" i="33" s="1"/>
  <c r="D57" i="33"/>
  <c r="D46" i="33"/>
  <c r="D37" i="33"/>
  <c r="H37" i="33" s="1"/>
  <c r="M37" i="33" s="1"/>
  <c r="D23" i="33"/>
  <c r="D79" i="33"/>
  <c r="D54" i="33"/>
  <c r="D43" i="33"/>
  <c r="D25" i="33"/>
  <c r="D59" i="33"/>
  <c r="D33" i="33"/>
  <c r="H33" i="33" s="1"/>
  <c r="M33" i="33" s="1"/>
  <c r="D63" i="33"/>
  <c r="D51" i="33"/>
  <c r="D39" i="33"/>
  <c r="D28" i="33"/>
  <c r="D74" i="33"/>
  <c r="D72" i="33"/>
  <c r="D31" i="33"/>
  <c r="H31" i="33" s="1"/>
  <c r="M31" i="33" s="1"/>
  <c r="D27" i="33"/>
  <c r="D56" i="33"/>
  <c r="D42" i="33"/>
  <c r="D52" i="33"/>
  <c r="D50" i="33"/>
  <c r="D24" i="33"/>
  <c r="D77" i="33"/>
  <c r="D64" i="33"/>
  <c r="D70" i="33"/>
  <c r="D41" i="33"/>
  <c r="D40" i="33"/>
  <c r="D81" i="33"/>
  <c r="D66" i="33"/>
  <c r="D60" i="33"/>
  <c r="D44" i="33"/>
  <c r="D73" i="33"/>
  <c r="D71" i="33"/>
  <c r="D67" i="33"/>
  <c r="D61" i="33"/>
  <c r="D38" i="33"/>
  <c r="H38" i="33" s="1"/>
  <c r="M38" i="33" s="1"/>
  <c r="D36" i="33"/>
  <c r="H36" i="33" s="1"/>
  <c r="M36" i="33" s="1"/>
  <c r="D49" i="33"/>
  <c r="D34" i="33"/>
  <c r="H34" i="33" s="1"/>
  <c r="M34" i="33" s="1"/>
  <c r="D47" i="33"/>
  <c r="D62" i="33"/>
  <c r="D76" i="33"/>
  <c r="D53" i="33"/>
  <c r="D29" i="33"/>
  <c r="H19" i="35"/>
  <c r="G19" i="35"/>
  <c r="F19" i="35"/>
  <c r="I19" i="35"/>
  <c r="F89" i="35"/>
  <c r="G15" i="16" s="1"/>
  <c r="J15" i="16" s="1"/>
  <c r="J30" i="16"/>
  <c r="I30" i="16"/>
  <c r="J37" i="16"/>
  <c r="I37" i="16"/>
  <c r="J62" i="16"/>
  <c r="I62" i="16"/>
  <c r="I159" i="16"/>
  <c r="J159" i="16"/>
  <c r="S2" i="28"/>
  <c r="E32" i="28" s="1"/>
  <c r="J9" i="16"/>
  <c r="J54" i="16"/>
  <c r="I54" i="16"/>
  <c r="J104" i="16"/>
  <c r="I104" i="16"/>
  <c r="J147" i="16"/>
  <c r="I147" i="16"/>
  <c r="D18" i="23"/>
  <c r="D15" i="23"/>
  <c r="D23" i="23"/>
  <c r="D16" i="23"/>
  <c r="D24" i="23"/>
  <c r="D20" i="23"/>
  <c r="D19" i="23"/>
  <c r="D26" i="23"/>
  <c r="D21" i="23"/>
  <c r="D22" i="23"/>
  <c r="D17" i="23"/>
  <c r="D25" i="23"/>
  <c r="D94" i="29"/>
  <c r="D74" i="29"/>
  <c r="D54" i="29"/>
  <c r="D36" i="29"/>
  <c r="H36" i="29" s="1"/>
  <c r="M36" i="29" s="1"/>
  <c r="D32" i="29"/>
  <c r="H32" i="29" s="1"/>
  <c r="M32" i="29" s="1"/>
  <c r="D86" i="29"/>
  <c r="D66" i="29"/>
  <c r="D84" i="29"/>
  <c r="D64" i="29"/>
  <c r="D44" i="29"/>
  <c r="D38" i="29"/>
  <c r="H38" i="29" s="1"/>
  <c r="M38" i="29" s="1"/>
  <c r="D34" i="29"/>
  <c r="H34" i="29" s="1"/>
  <c r="M34" i="29" s="1"/>
  <c r="D26" i="29"/>
  <c r="D47" i="29"/>
  <c r="D40" i="29"/>
  <c r="D80" i="29"/>
  <c r="D65" i="29"/>
  <c r="D43" i="29"/>
  <c r="D27" i="29"/>
  <c r="D87" i="29"/>
  <c r="D72" i="29"/>
  <c r="D57" i="29"/>
  <c r="D50" i="29"/>
  <c r="D37" i="29"/>
  <c r="H37" i="29" s="1"/>
  <c r="M37" i="29" s="1"/>
  <c r="D79" i="29"/>
  <c r="D85" i="29"/>
  <c r="D41" i="29"/>
  <c r="D24" i="29"/>
  <c r="D76" i="29"/>
  <c r="D59" i="29"/>
  <c r="D35" i="29"/>
  <c r="H35" i="29" s="1"/>
  <c r="M35" i="29" s="1"/>
  <c r="D89" i="29"/>
  <c r="D71" i="29"/>
  <c r="D62" i="29"/>
  <c r="D45" i="29"/>
  <c r="D53" i="29"/>
  <c r="D28" i="29"/>
  <c r="D95" i="29"/>
  <c r="D92" i="29"/>
  <c r="D73" i="29"/>
  <c r="D52" i="29"/>
  <c r="D42" i="29"/>
  <c r="D82" i="29"/>
  <c r="D91" i="29"/>
  <c r="D29" i="29"/>
  <c r="D25" i="29"/>
  <c r="D69" i="29"/>
  <c r="D39" i="29"/>
  <c r="D93" i="29"/>
  <c r="D60" i="29"/>
  <c r="D70" i="29"/>
  <c r="D48" i="29"/>
  <c r="D75" i="29"/>
  <c r="D33" i="29"/>
  <c r="H33" i="29" s="1"/>
  <c r="M33" i="29" s="1"/>
  <c r="D23" i="29"/>
  <c r="D96" i="29"/>
  <c r="D63" i="29"/>
  <c r="D81" i="29"/>
  <c r="D67" i="29"/>
  <c r="D88" i="29"/>
  <c r="D46" i="29"/>
  <c r="D58" i="29"/>
  <c r="D68" i="29"/>
  <c r="D83" i="29"/>
  <c r="D51" i="29"/>
  <c r="D49" i="29"/>
  <c r="D78" i="29"/>
  <c r="D61" i="29"/>
  <c r="D90" i="29"/>
  <c r="D30" i="29"/>
  <c r="D56" i="29"/>
  <c r="D55" i="29"/>
  <c r="D31" i="29"/>
  <c r="D77" i="29"/>
  <c r="J25" i="16"/>
  <c r="I25" i="16"/>
  <c r="J31" i="16"/>
  <c r="I31" i="16"/>
  <c r="J38" i="16"/>
  <c r="I38" i="16"/>
  <c r="I39" i="16"/>
  <c r="J39" i="16"/>
  <c r="E43" i="55"/>
  <c r="E39" i="55"/>
  <c r="I39" i="55" s="1"/>
  <c r="P39" i="55" s="1"/>
  <c r="E35" i="55"/>
  <c r="I35" i="55" s="1"/>
  <c r="P35" i="55" s="1"/>
  <c r="E44" i="55"/>
  <c r="E22" i="55"/>
  <c r="F22" i="55" s="1"/>
  <c r="P22" i="55" s="1"/>
  <c r="E26" i="55"/>
  <c r="F26" i="55" s="1"/>
  <c r="P26" i="55" s="1"/>
  <c r="E38" i="55"/>
  <c r="I38" i="55" s="1"/>
  <c r="P38" i="55" s="1"/>
  <c r="E21" i="55"/>
  <c r="F21" i="55" s="1"/>
  <c r="P21" i="55" s="1"/>
  <c r="E42" i="55"/>
  <c r="I42" i="55" s="1"/>
  <c r="P42" i="55" s="1"/>
  <c r="E33" i="55"/>
  <c r="I33" i="55" s="1"/>
  <c r="P33" i="55" s="1"/>
  <c r="E28" i="55"/>
  <c r="H28" i="55" s="1"/>
  <c r="P28" i="55" s="1"/>
  <c r="E41" i="55"/>
  <c r="I41" i="55" s="1"/>
  <c r="P41" i="55" s="1"/>
  <c r="E27" i="55"/>
  <c r="H27" i="55" s="1"/>
  <c r="E40" i="55"/>
  <c r="I40" i="55" s="1"/>
  <c r="P40" i="55" s="1"/>
  <c r="E37" i="55"/>
  <c r="I37" i="55" s="1"/>
  <c r="P37" i="55" s="1"/>
  <c r="E29" i="55"/>
  <c r="H29" i="55" s="1"/>
  <c r="P29" i="55" s="1"/>
  <c r="E20" i="55"/>
  <c r="F20" i="55" s="1"/>
  <c r="E36" i="55"/>
  <c r="I36" i="55" s="1"/>
  <c r="P36" i="55" s="1"/>
  <c r="E34" i="55"/>
  <c r="I34" i="55" s="1"/>
  <c r="P34" i="55" s="1"/>
  <c r="E25" i="55"/>
  <c r="F25" i="55" s="1"/>
  <c r="P25" i="55" s="1"/>
  <c r="E24" i="55"/>
  <c r="F24" i="55" s="1"/>
  <c r="P24" i="55" s="1"/>
  <c r="E32" i="55"/>
  <c r="I32" i="55" s="1"/>
  <c r="E31" i="55"/>
  <c r="H31" i="55" s="1"/>
  <c r="P31" i="55" s="1"/>
  <c r="E30" i="55"/>
  <c r="H30" i="55" s="1"/>
  <c r="P30" i="55" s="1"/>
  <c r="E23" i="55"/>
  <c r="F23" i="55" s="1"/>
  <c r="P23" i="55" s="1"/>
  <c r="J73" i="16"/>
  <c r="I73" i="16"/>
  <c r="J106" i="16"/>
  <c r="I106" i="16"/>
  <c r="I139" i="16"/>
  <c r="J139" i="16"/>
  <c r="J144" i="16"/>
  <c r="I144" i="16"/>
  <c r="J151" i="16"/>
  <c r="I151" i="16"/>
  <c r="J21" i="16"/>
  <c r="J40" i="16"/>
  <c r="I40" i="16"/>
  <c r="J46" i="16"/>
  <c r="I46" i="16"/>
  <c r="J87" i="16"/>
  <c r="I87" i="16"/>
  <c r="J93" i="16"/>
  <c r="I93" i="16"/>
  <c r="J130" i="16"/>
  <c r="I130" i="16"/>
  <c r="J134" i="16"/>
  <c r="I134" i="16"/>
  <c r="J157" i="16"/>
  <c r="I157" i="16"/>
  <c r="J112" i="16"/>
  <c r="E76" i="39"/>
  <c r="E56" i="39"/>
  <c r="E36" i="39"/>
  <c r="E32" i="39"/>
  <c r="I32" i="39" s="1"/>
  <c r="N32" i="39" s="1"/>
  <c r="E38" i="39"/>
  <c r="E33" i="39"/>
  <c r="I33" i="39" s="1"/>
  <c r="N33" i="39" s="1"/>
  <c r="E23" i="39"/>
  <c r="H23" i="39" s="1"/>
  <c r="E79" i="39"/>
  <c r="E72" i="39"/>
  <c r="E65" i="39"/>
  <c r="E75" i="39"/>
  <c r="E68" i="39"/>
  <c r="E81" i="39"/>
  <c r="E74" i="39"/>
  <c r="E67" i="39"/>
  <c r="E34" i="39"/>
  <c r="I34" i="39" s="1"/>
  <c r="N34" i="39" s="1"/>
  <c r="E59" i="39"/>
  <c r="E51" i="39"/>
  <c r="E43" i="39"/>
  <c r="E31" i="39"/>
  <c r="I31" i="39" s="1"/>
  <c r="E16" i="39"/>
  <c r="F16" i="39" s="1"/>
  <c r="N16" i="39" s="1"/>
  <c r="E58" i="39"/>
  <c r="E25" i="39"/>
  <c r="H25" i="39" s="1"/>
  <c r="N25" i="39" s="1"/>
  <c r="E66" i="39"/>
  <c r="E50" i="39"/>
  <c r="E20" i="39"/>
  <c r="F20" i="39" s="1"/>
  <c r="N20" i="39" s="1"/>
  <c r="E42" i="39"/>
  <c r="E30" i="39"/>
  <c r="E57" i="39"/>
  <c r="E49" i="39"/>
  <c r="E35" i="39"/>
  <c r="I35" i="39" s="1"/>
  <c r="N35" i="39" s="1"/>
  <c r="E15" i="39"/>
  <c r="F15" i="39" s="1"/>
  <c r="E48" i="39"/>
  <c r="E19" i="39"/>
  <c r="F19" i="39" s="1"/>
  <c r="N19" i="39" s="1"/>
  <c r="E73" i="39"/>
  <c r="E63" i="39"/>
  <c r="E53" i="39"/>
  <c r="E40" i="39"/>
  <c r="E17" i="39"/>
  <c r="F17" i="39" s="1"/>
  <c r="N17" i="39" s="1"/>
  <c r="E78" i="39"/>
  <c r="E29" i="39"/>
  <c r="E46" i="39"/>
  <c r="E22" i="39"/>
  <c r="F22" i="39" s="1"/>
  <c r="N22" i="39" s="1"/>
  <c r="E77" i="39"/>
  <c r="E37" i="39"/>
  <c r="E55" i="39"/>
  <c r="E28" i="39"/>
  <c r="E45" i="39"/>
  <c r="E64" i="39"/>
  <c r="E69" i="39"/>
  <c r="E41" i="39"/>
  <c r="E21" i="39"/>
  <c r="F21" i="39" s="1"/>
  <c r="N21" i="39" s="1"/>
  <c r="E54" i="39"/>
  <c r="E52" i="39"/>
  <c r="E27" i="39"/>
  <c r="H27" i="39" s="1"/>
  <c r="N27" i="39" s="1"/>
  <c r="E18" i="39"/>
  <c r="F18" i="39" s="1"/>
  <c r="N18" i="39" s="1"/>
  <c r="E70" i="39"/>
  <c r="E39" i="39"/>
  <c r="E26" i="39"/>
  <c r="H26" i="39" s="1"/>
  <c r="N26" i="39" s="1"/>
  <c r="E80" i="39"/>
  <c r="E24" i="39"/>
  <c r="H24" i="39" s="1"/>
  <c r="N24" i="39" s="1"/>
  <c r="E47" i="39"/>
  <c r="E62" i="39"/>
  <c r="E61" i="39"/>
  <c r="E44" i="39"/>
  <c r="E60" i="39"/>
  <c r="E71" i="39"/>
  <c r="Q3" i="52"/>
  <c r="Q3" i="44"/>
  <c r="E25" i="45"/>
  <c r="E80" i="45"/>
  <c r="E45" i="45"/>
  <c r="E27" i="45"/>
  <c r="E78" i="45"/>
  <c r="E68" i="45"/>
  <c r="E58" i="45"/>
  <c r="E44" i="45"/>
  <c r="E76" i="45"/>
  <c r="E66" i="45"/>
  <c r="E56" i="45"/>
  <c r="E24" i="45"/>
  <c r="E72" i="45"/>
  <c r="E61" i="45"/>
  <c r="E39" i="45"/>
  <c r="I39" i="45" s="1"/>
  <c r="N39" i="45" s="1"/>
  <c r="E67" i="45"/>
  <c r="E77" i="45"/>
  <c r="E65" i="45"/>
  <c r="E23" i="45"/>
  <c r="E47" i="45"/>
  <c r="E41" i="45"/>
  <c r="I41" i="45" s="1"/>
  <c r="N41" i="45" s="1"/>
  <c r="E36" i="45"/>
  <c r="I36" i="45" s="1"/>
  <c r="N36" i="45" s="1"/>
  <c r="E75" i="45"/>
  <c r="E64" i="45"/>
  <c r="E54" i="45"/>
  <c r="E31" i="45"/>
  <c r="I31" i="45" s="1"/>
  <c r="N31" i="45" s="1"/>
  <c r="E74" i="45"/>
  <c r="E63" i="45"/>
  <c r="E46" i="45"/>
  <c r="E40" i="45"/>
  <c r="I40" i="45" s="1"/>
  <c r="N40" i="45" s="1"/>
  <c r="E28" i="45"/>
  <c r="E73" i="45"/>
  <c r="E59" i="45"/>
  <c r="E49" i="45"/>
  <c r="E48" i="45"/>
  <c r="E71" i="45"/>
  <c r="E57" i="45"/>
  <c r="E33" i="45"/>
  <c r="I33" i="45" s="1"/>
  <c r="N33" i="45" s="1"/>
  <c r="E69" i="45"/>
  <c r="E55" i="45"/>
  <c r="E38" i="45"/>
  <c r="I38" i="45" s="1"/>
  <c r="N38" i="45" s="1"/>
  <c r="E81" i="45"/>
  <c r="E32" i="45"/>
  <c r="I32" i="45" s="1"/>
  <c r="N32" i="45" s="1"/>
  <c r="E62" i="45"/>
  <c r="E50" i="45"/>
  <c r="E79" i="45"/>
  <c r="E26" i="45"/>
  <c r="E60" i="45"/>
  <c r="E30" i="45"/>
  <c r="E34" i="45"/>
  <c r="I34" i="45" s="1"/>
  <c r="N34" i="45" s="1"/>
  <c r="E43" i="45"/>
  <c r="E52" i="45"/>
  <c r="E42" i="45"/>
  <c r="I42" i="45" s="1"/>
  <c r="N42" i="45" s="1"/>
  <c r="E53" i="45"/>
  <c r="E29" i="45"/>
  <c r="E51" i="45"/>
  <c r="E37" i="45"/>
  <c r="I37" i="45" s="1"/>
  <c r="N37" i="45" s="1"/>
  <c r="E35" i="45"/>
  <c r="I35" i="45" s="1"/>
  <c r="N35" i="45" s="1"/>
  <c r="E70" i="45"/>
  <c r="E73" i="46"/>
  <c r="E63" i="46"/>
  <c r="E54" i="46"/>
  <c r="E30" i="46"/>
  <c r="E47" i="46"/>
  <c r="E81" i="46"/>
  <c r="E71" i="46"/>
  <c r="E61" i="46"/>
  <c r="E46" i="46"/>
  <c r="E79" i="46"/>
  <c r="E69" i="46"/>
  <c r="E59" i="46"/>
  <c r="E40" i="46"/>
  <c r="I40" i="46" s="1"/>
  <c r="N40" i="46" s="1"/>
  <c r="E36" i="46"/>
  <c r="I36" i="46" s="1"/>
  <c r="N36" i="46" s="1"/>
  <c r="E32" i="46"/>
  <c r="I32" i="46" s="1"/>
  <c r="N32" i="46" s="1"/>
  <c r="E74" i="46"/>
  <c r="E62" i="46"/>
  <c r="E52" i="46"/>
  <c r="E44" i="46"/>
  <c r="E39" i="46"/>
  <c r="I39" i="46" s="1"/>
  <c r="N39" i="46" s="1"/>
  <c r="E80" i="46"/>
  <c r="E68" i="46"/>
  <c r="E23" i="46"/>
  <c r="E67" i="46"/>
  <c r="E48" i="46"/>
  <c r="E41" i="46"/>
  <c r="I41" i="46" s="1"/>
  <c r="N41" i="46" s="1"/>
  <c r="E78" i="46"/>
  <c r="E66" i="46"/>
  <c r="E55" i="46"/>
  <c r="E77" i="46"/>
  <c r="E31" i="46"/>
  <c r="I31" i="46" s="1"/>
  <c r="N31" i="46" s="1"/>
  <c r="E65" i="46"/>
  <c r="E28" i="46"/>
  <c r="E25" i="46"/>
  <c r="E76" i="46"/>
  <c r="E51" i="46"/>
  <c r="E70" i="46"/>
  <c r="E45" i="46"/>
  <c r="E64" i="46"/>
  <c r="E37" i="46"/>
  <c r="I37" i="46" s="1"/>
  <c r="N37" i="46" s="1"/>
  <c r="E43" i="46"/>
  <c r="E60" i="46"/>
  <c r="E49" i="46"/>
  <c r="E75" i="46"/>
  <c r="E58" i="46"/>
  <c r="E57" i="46"/>
  <c r="E38" i="46"/>
  <c r="I38" i="46" s="1"/>
  <c r="N38" i="46" s="1"/>
  <c r="E29" i="46"/>
  <c r="E24" i="46"/>
  <c r="E33" i="46"/>
  <c r="I33" i="46" s="1"/>
  <c r="N33" i="46" s="1"/>
  <c r="E53" i="46"/>
  <c r="E50" i="46"/>
  <c r="E34" i="46"/>
  <c r="I34" i="46" s="1"/>
  <c r="N34" i="46" s="1"/>
  <c r="E56" i="46"/>
  <c r="E72" i="46"/>
  <c r="E42" i="46"/>
  <c r="I42" i="46" s="1"/>
  <c r="N42" i="46" s="1"/>
  <c r="E27" i="46"/>
  <c r="E35" i="46"/>
  <c r="I35" i="46" s="1"/>
  <c r="N35" i="46" s="1"/>
  <c r="E26" i="46"/>
  <c r="J74" i="16"/>
  <c r="I74" i="16"/>
  <c r="J95" i="16"/>
  <c r="I95" i="16"/>
  <c r="J107" i="16"/>
  <c r="I107" i="16"/>
  <c r="E79" i="49"/>
  <c r="E69" i="49"/>
  <c r="E59" i="49"/>
  <c r="E40" i="49"/>
  <c r="E55" i="49"/>
  <c r="E42" i="49"/>
  <c r="E37" i="49"/>
  <c r="E73" i="49"/>
  <c r="E63" i="49"/>
  <c r="E54" i="49"/>
  <c r="E36" i="49"/>
  <c r="E72" i="49"/>
  <c r="E61" i="49"/>
  <c r="E44" i="49"/>
  <c r="E31" i="49"/>
  <c r="E77" i="49"/>
  <c r="E66" i="49"/>
  <c r="E47" i="49"/>
  <c r="E76" i="49"/>
  <c r="E65" i="49"/>
  <c r="E26" i="49"/>
  <c r="E46" i="49"/>
  <c r="E33" i="49"/>
  <c r="E62" i="49"/>
  <c r="E52" i="49"/>
  <c r="E39" i="49"/>
  <c r="E24" i="49"/>
  <c r="E53" i="49"/>
  <c r="E43" i="49"/>
  <c r="E75" i="49"/>
  <c r="E50" i="49"/>
  <c r="E34" i="49"/>
  <c r="E25" i="49"/>
  <c r="E41" i="49"/>
  <c r="E74" i="49"/>
  <c r="E60" i="49"/>
  <c r="E58" i="49"/>
  <c r="E48" i="49"/>
  <c r="E57" i="49"/>
  <c r="E30" i="49"/>
  <c r="E80" i="49"/>
  <c r="E49" i="49"/>
  <c r="E29" i="49"/>
  <c r="E64" i="49"/>
  <c r="E78" i="49"/>
  <c r="E27" i="49"/>
  <c r="E45" i="49"/>
  <c r="E32" i="49"/>
  <c r="E67" i="49"/>
  <c r="E81" i="49"/>
  <c r="E38" i="49"/>
  <c r="E23" i="49"/>
  <c r="E56" i="49"/>
  <c r="E70" i="49"/>
  <c r="E35" i="49"/>
  <c r="E28" i="49"/>
  <c r="E71" i="49"/>
  <c r="E51" i="49"/>
  <c r="E68" i="49"/>
  <c r="E25" i="34"/>
  <c r="E20" i="34"/>
  <c r="E23" i="34"/>
  <c r="E26" i="34"/>
  <c r="E21" i="34"/>
  <c r="E22" i="34"/>
  <c r="E27" i="37"/>
  <c r="E21" i="37"/>
  <c r="E37" i="37"/>
  <c r="I37" i="37" s="1"/>
  <c r="P37" i="37" s="1"/>
  <c r="E33" i="37"/>
  <c r="I33" i="37" s="1"/>
  <c r="P33" i="37" s="1"/>
  <c r="E36" i="37"/>
  <c r="I36" i="37" s="1"/>
  <c r="P36" i="37" s="1"/>
  <c r="E32" i="37"/>
  <c r="I32" i="37" s="1"/>
  <c r="P32" i="37" s="1"/>
  <c r="E29" i="37"/>
  <c r="E26" i="37"/>
  <c r="E28" i="37"/>
  <c r="E31" i="37"/>
  <c r="E23" i="37"/>
  <c r="E30" i="37"/>
  <c r="E35" i="37"/>
  <c r="I35" i="37" s="1"/>
  <c r="P35" i="37" s="1"/>
  <c r="E20" i="37"/>
  <c r="E19" i="37"/>
  <c r="E22" i="37"/>
  <c r="E38" i="37"/>
  <c r="I38" i="37" s="1"/>
  <c r="P38" i="37" s="1"/>
  <c r="E25" i="37"/>
  <c r="E34" i="37"/>
  <c r="I34" i="37" s="1"/>
  <c r="P34" i="37" s="1"/>
  <c r="E24" i="37"/>
  <c r="J51" i="16"/>
  <c r="I51" i="16"/>
  <c r="J59" i="16"/>
  <c r="I59" i="16"/>
  <c r="J69" i="16"/>
  <c r="I69" i="16"/>
  <c r="J79" i="16"/>
  <c r="I79" i="16"/>
  <c r="I88" i="16"/>
  <c r="J88" i="16"/>
  <c r="J89" i="16"/>
  <c r="I89" i="16"/>
  <c r="I97" i="16"/>
  <c r="J97" i="16"/>
  <c r="I125" i="16"/>
  <c r="J125" i="16"/>
  <c r="E46" i="31"/>
  <c r="E20" i="31"/>
  <c r="E15" i="31"/>
  <c r="E49" i="31"/>
  <c r="E32" i="31"/>
  <c r="E18" i="31"/>
  <c r="E42" i="31"/>
  <c r="E11" i="31"/>
  <c r="E55" i="31"/>
  <c r="E47" i="31"/>
  <c r="E34" i="31"/>
  <c r="E29" i="31"/>
  <c r="E25" i="31"/>
  <c r="E16" i="31"/>
  <c r="E22" i="31"/>
  <c r="E19" i="31"/>
  <c r="E51" i="31"/>
  <c r="E43" i="31"/>
  <c r="E21" i="31"/>
  <c r="E41" i="31"/>
  <c r="E36" i="31"/>
  <c r="E17" i="31"/>
  <c r="E50" i="31"/>
  <c r="E23" i="31"/>
  <c r="E40" i="31"/>
  <c r="E39" i="31"/>
  <c r="J39" i="31" s="1"/>
  <c r="E28" i="31"/>
  <c r="E54" i="31"/>
  <c r="E48" i="31"/>
  <c r="E30" i="31"/>
  <c r="E14" i="31"/>
  <c r="E26" i="31"/>
  <c r="E13" i="31"/>
  <c r="E33" i="31"/>
  <c r="E37" i="31"/>
  <c r="J37" i="31" s="1"/>
  <c r="P37" i="31" s="1"/>
  <c r="E53" i="31"/>
  <c r="E12" i="31"/>
  <c r="E52" i="31"/>
  <c r="E27" i="31"/>
  <c r="E38" i="31"/>
  <c r="J38" i="31" s="1"/>
  <c r="E44" i="31"/>
  <c r="E24" i="31"/>
  <c r="E10" i="31"/>
  <c r="E31" i="31"/>
  <c r="E45" i="31"/>
  <c r="E35" i="31"/>
  <c r="E17" i="62"/>
  <c r="E12" i="62"/>
  <c r="E15" i="62"/>
  <c r="E14" i="62"/>
  <c r="E11" i="62"/>
  <c r="E16" i="62"/>
  <c r="E13" i="62"/>
  <c r="I90" i="16"/>
  <c r="J90" i="16"/>
  <c r="I108" i="16"/>
  <c r="J108" i="16"/>
  <c r="J131" i="16"/>
  <c r="I131" i="16"/>
  <c r="J27" i="16"/>
  <c r="I27" i="16"/>
  <c r="I53" i="16"/>
  <c r="J53" i="16"/>
  <c r="E36" i="54"/>
  <c r="I36" i="54" s="1"/>
  <c r="P36" i="54" s="1"/>
  <c r="E37" i="54"/>
  <c r="I37" i="54" s="1"/>
  <c r="E22" i="54"/>
  <c r="E29" i="54"/>
  <c r="E24" i="54"/>
  <c r="E26" i="54"/>
  <c r="E21" i="54"/>
  <c r="F21" i="54" s="1"/>
  <c r="P21" i="54" s="1"/>
  <c r="E35" i="54"/>
  <c r="I35" i="54" s="1"/>
  <c r="P35" i="54" s="1"/>
  <c r="E34" i="54"/>
  <c r="I34" i="54" s="1"/>
  <c r="P34" i="54" s="1"/>
  <c r="E25" i="54"/>
  <c r="E23" i="54"/>
  <c r="E32" i="54"/>
  <c r="E27" i="54"/>
  <c r="E33" i="54"/>
  <c r="I33" i="54" s="1"/>
  <c r="P33" i="54" s="1"/>
  <c r="E20" i="54"/>
  <c r="F20" i="54" s="1"/>
  <c r="E31" i="54"/>
  <c r="E30" i="54"/>
  <c r="E28" i="54"/>
  <c r="J65" i="16"/>
  <c r="I65" i="16"/>
  <c r="J91" i="16"/>
  <c r="I91" i="16"/>
  <c r="J109" i="16"/>
  <c r="I109" i="16"/>
  <c r="E81" i="50"/>
  <c r="E73" i="50"/>
  <c r="E60" i="50"/>
  <c r="E40" i="50"/>
  <c r="E20" i="50"/>
  <c r="E70" i="50"/>
  <c r="E57" i="50"/>
  <c r="E37" i="50"/>
  <c r="E17" i="50"/>
  <c r="E69" i="50"/>
  <c r="E56" i="50"/>
  <c r="E36" i="50"/>
  <c r="E16" i="50"/>
  <c r="E75" i="50"/>
  <c r="E62" i="50"/>
  <c r="E42" i="50"/>
  <c r="E22" i="50"/>
  <c r="E68" i="50"/>
  <c r="E55" i="50"/>
  <c r="E35" i="50"/>
  <c r="E15" i="50"/>
  <c r="E67" i="50"/>
  <c r="E27" i="50"/>
  <c r="E31" i="50"/>
  <c r="E54" i="50"/>
  <c r="E46" i="50"/>
  <c r="E30" i="50"/>
  <c r="E14" i="50"/>
  <c r="E78" i="50"/>
  <c r="E52" i="50"/>
  <c r="E12" i="50"/>
  <c r="E76" i="50"/>
  <c r="E44" i="50"/>
  <c r="E48" i="50"/>
  <c r="E29" i="50"/>
  <c r="E18" i="50"/>
  <c r="E26" i="50"/>
  <c r="E74" i="50"/>
  <c r="E64" i="50"/>
  <c r="E45" i="50"/>
  <c r="E79" i="50"/>
  <c r="E34" i="50"/>
  <c r="E66" i="50"/>
  <c r="E11" i="50"/>
  <c r="E33" i="50"/>
  <c r="E77" i="50"/>
  <c r="E43" i="50"/>
  <c r="E21" i="50"/>
  <c r="E53" i="50"/>
  <c r="E19" i="50"/>
  <c r="E41" i="50"/>
  <c r="E63" i="50"/>
  <c r="E51" i="50"/>
  <c r="E39" i="50"/>
  <c r="E25" i="50"/>
  <c r="E13" i="50"/>
  <c r="E50" i="50"/>
  <c r="E38" i="50"/>
  <c r="E61" i="50"/>
  <c r="E24" i="50"/>
  <c r="E72" i="50"/>
  <c r="E49" i="50"/>
  <c r="E23" i="50"/>
  <c r="E71" i="50"/>
  <c r="E32" i="50"/>
  <c r="E58" i="50"/>
  <c r="E28" i="50"/>
  <c r="E80" i="50"/>
  <c r="E65" i="50"/>
  <c r="E47" i="50"/>
  <c r="E59" i="50"/>
  <c r="J128" i="16"/>
  <c r="I128" i="16"/>
  <c r="J122" i="16"/>
  <c r="I122" i="16"/>
  <c r="J129" i="16"/>
  <c r="I129" i="16"/>
  <c r="J133" i="16"/>
  <c r="I133" i="16"/>
  <c r="J99" i="16"/>
  <c r="I99" i="16"/>
  <c r="I123" i="16"/>
  <c r="J123" i="16"/>
  <c r="I132" i="16"/>
  <c r="J132" i="16"/>
  <c r="E22" i="61"/>
  <c r="F22" i="61" s="1"/>
  <c r="P22" i="61" s="1"/>
  <c r="E18" i="61"/>
  <c r="F18" i="61" s="1"/>
  <c r="E31" i="61"/>
  <c r="E28" i="61"/>
  <c r="E36" i="61"/>
  <c r="E27" i="61"/>
  <c r="E33" i="61"/>
  <c r="E32" i="61"/>
  <c r="E37" i="61"/>
  <c r="E25" i="61"/>
  <c r="E19" i="61"/>
  <c r="F19" i="61" s="1"/>
  <c r="P19" i="61" s="1"/>
  <c r="E30" i="61"/>
  <c r="E23" i="61"/>
  <c r="F23" i="61" s="1"/>
  <c r="P23" i="61" s="1"/>
  <c r="E29" i="61"/>
  <c r="E35" i="61"/>
  <c r="E26" i="61"/>
  <c r="E21" i="61"/>
  <c r="F21" i="61" s="1"/>
  <c r="P21" i="61" s="1"/>
  <c r="E20" i="61"/>
  <c r="F20" i="61" s="1"/>
  <c r="P20" i="61" s="1"/>
  <c r="E24" i="61"/>
  <c r="E34" i="61"/>
  <c r="J110" i="16"/>
  <c r="I110" i="16"/>
  <c r="J142" i="16"/>
  <c r="I142" i="16"/>
  <c r="I148" i="16"/>
  <c r="J148" i="16"/>
  <c r="J29" i="16"/>
  <c r="J114" i="16"/>
  <c r="I114" i="16"/>
  <c r="J124" i="16"/>
  <c r="I124" i="16"/>
  <c r="I160" i="16"/>
  <c r="J160" i="16"/>
  <c r="G18" i="60"/>
  <c r="H18" i="60"/>
  <c r="F18" i="60"/>
  <c r="J26" i="16"/>
  <c r="I26" i="16"/>
  <c r="J115" i="16"/>
  <c r="I115" i="16"/>
  <c r="E61" i="59"/>
  <c r="E27" i="59"/>
  <c r="E23" i="59"/>
  <c r="F23" i="59" s="1"/>
  <c r="P23" i="59" s="1"/>
  <c r="E19" i="59"/>
  <c r="F19" i="59" s="1"/>
  <c r="P19" i="59" s="1"/>
  <c r="E62" i="59"/>
  <c r="E55" i="59"/>
  <c r="E48" i="59"/>
  <c r="E22" i="59"/>
  <c r="F22" i="59" s="1"/>
  <c r="P22" i="59" s="1"/>
  <c r="E44" i="59"/>
  <c r="E18" i="59"/>
  <c r="F18" i="59" s="1"/>
  <c r="E58" i="59"/>
  <c r="E45" i="59"/>
  <c r="E36" i="59"/>
  <c r="E31" i="59"/>
  <c r="E26" i="59"/>
  <c r="F26" i="59" s="1"/>
  <c r="P26" i="59" s="1"/>
  <c r="E72" i="59"/>
  <c r="E50" i="59"/>
  <c r="E40" i="59"/>
  <c r="E21" i="59"/>
  <c r="F21" i="59" s="1"/>
  <c r="P21" i="59" s="1"/>
  <c r="E49" i="59"/>
  <c r="E39" i="59"/>
  <c r="E30" i="59"/>
  <c r="E25" i="59"/>
  <c r="F25" i="59" s="1"/>
  <c r="P25" i="59" s="1"/>
  <c r="E70" i="59"/>
  <c r="E63" i="59"/>
  <c r="E34" i="59"/>
  <c r="E20" i="59"/>
  <c r="F20" i="59" s="1"/>
  <c r="P20" i="59" s="1"/>
  <c r="E33" i="59"/>
  <c r="E53" i="59"/>
  <c r="E32" i="59"/>
  <c r="E60" i="59"/>
  <c r="E68" i="59"/>
  <c r="E57" i="59"/>
  <c r="E46" i="59"/>
  <c r="E66" i="59"/>
  <c r="E29" i="59"/>
  <c r="E64" i="59"/>
  <c r="E52" i="59"/>
  <c r="E28" i="59"/>
  <c r="E69" i="59"/>
  <c r="E56" i="59"/>
  <c r="E42" i="59"/>
  <c r="E47" i="59"/>
  <c r="E41" i="59"/>
  <c r="E38" i="59"/>
  <c r="E24" i="59"/>
  <c r="F24" i="59" s="1"/>
  <c r="P24" i="59" s="1"/>
  <c r="E59" i="59"/>
  <c r="E73" i="59"/>
  <c r="J145" i="16"/>
  <c r="I145" i="16"/>
  <c r="N40" i="37"/>
  <c r="P39" i="37"/>
  <c r="I80" i="16"/>
  <c r="P13" i="62"/>
  <c r="P61" i="62"/>
  <c r="P75" i="28"/>
  <c r="P57" i="57"/>
  <c r="A88" i="61"/>
  <c r="P12" i="62"/>
  <c r="P20" i="62"/>
  <c r="P76" i="28"/>
  <c r="E19" i="58"/>
  <c r="F19" i="58" s="1"/>
  <c r="P19" i="58" s="1"/>
  <c r="P73" i="59"/>
  <c r="N23" i="49"/>
  <c r="E23" i="43"/>
  <c r="E20" i="43"/>
  <c r="E15" i="43"/>
  <c r="H15" i="43" s="1"/>
  <c r="E19" i="43"/>
  <c r="E18" i="43"/>
  <c r="H18" i="43" s="1"/>
  <c r="N18" i="43" s="1"/>
  <c r="E17" i="43"/>
  <c r="H17" i="43" s="1"/>
  <c r="N17" i="43" s="1"/>
  <c r="E25" i="43"/>
  <c r="E16" i="43"/>
  <c r="H16" i="43" s="1"/>
  <c r="N16" i="43" s="1"/>
  <c r="E24" i="43"/>
  <c r="E21" i="43"/>
  <c r="E22" i="43"/>
  <c r="I146" i="16"/>
  <c r="K23" i="54"/>
  <c r="N39" i="56"/>
  <c r="N40" i="56" s="1"/>
  <c r="N41" i="56" s="1"/>
  <c r="N42" i="56" s="1"/>
  <c r="P38" i="56"/>
  <c r="P33" i="57"/>
  <c r="E74" i="38"/>
  <c r="E54" i="38"/>
  <c r="E77" i="38"/>
  <c r="E57" i="38"/>
  <c r="E70" i="38"/>
  <c r="E50" i="38"/>
  <c r="E44" i="38"/>
  <c r="J44" i="38" s="1"/>
  <c r="P44" i="38" s="1"/>
  <c r="E40" i="38"/>
  <c r="J40" i="38" s="1"/>
  <c r="P40" i="38" s="1"/>
  <c r="E36" i="38"/>
  <c r="J36" i="38" s="1"/>
  <c r="P36" i="38" s="1"/>
  <c r="E26" i="38"/>
  <c r="E83" i="38"/>
  <c r="E63" i="38"/>
  <c r="E75" i="38"/>
  <c r="E55" i="38"/>
  <c r="E43" i="38"/>
  <c r="J43" i="38" s="1"/>
  <c r="P43" i="38" s="1"/>
  <c r="E39" i="38"/>
  <c r="J39" i="38" s="1"/>
  <c r="P39" i="38" s="1"/>
  <c r="E35" i="38"/>
  <c r="J35" i="38" s="1"/>
  <c r="P35" i="38" s="1"/>
  <c r="E68" i="38"/>
  <c r="E80" i="38"/>
  <c r="E72" i="38"/>
  <c r="E64" i="38"/>
  <c r="E56" i="38"/>
  <c r="E23" i="38"/>
  <c r="E47" i="38"/>
  <c r="E37" i="38"/>
  <c r="J37" i="38" s="1"/>
  <c r="P37" i="38" s="1"/>
  <c r="E85" i="38"/>
  <c r="E67" i="38"/>
  <c r="E59" i="38"/>
  <c r="E21" i="38"/>
  <c r="E24" i="38"/>
  <c r="E81" i="38"/>
  <c r="E25" i="38"/>
  <c r="E71" i="38"/>
  <c r="E61" i="38"/>
  <c r="E51" i="38"/>
  <c r="E42" i="38"/>
  <c r="J42" i="38" s="1"/>
  <c r="P42" i="38" s="1"/>
  <c r="E60" i="38"/>
  <c r="E69" i="38"/>
  <c r="E49" i="38"/>
  <c r="E41" i="38"/>
  <c r="J41" i="38" s="1"/>
  <c r="P41" i="38" s="1"/>
  <c r="E30" i="38"/>
  <c r="E58" i="38"/>
  <c r="E38" i="38"/>
  <c r="J38" i="38" s="1"/>
  <c r="P38" i="38" s="1"/>
  <c r="E53" i="38"/>
  <c r="E34" i="38"/>
  <c r="J34" i="38" s="1"/>
  <c r="P34" i="38" s="1"/>
  <c r="E76" i="38"/>
  <c r="E52" i="38"/>
  <c r="E28" i="38"/>
  <c r="E33" i="38"/>
  <c r="J33" i="38" s="1"/>
  <c r="P33" i="38" s="1"/>
  <c r="E62" i="38"/>
  <c r="E27" i="38"/>
  <c r="E46" i="38"/>
  <c r="E32" i="38"/>
  <c r="E22" i="38"/>
  <c r="E84" i="38"/>
  <c r="E31" i="38"/>
  <c r="E82" i="38"/>
  <c r="E66" i="38"/>
  <c r="E29" i="38"/>
  <c r="E79" i="38"/>
  <c r="E65" i="38"/>
  <c r="E48" i="38"/>
  <c r="E78" i="38"/>
  <c r="E45" i="38"/>
  <c r="E73" i="38"/>
  <c r="P64" i="62"/>
  <c r="P44" i="62"/>
  <c r="P63" i="62"/>
  <c r="P43" i="62"/>
  <c r="P6" i="62"/>
  <c r="P62" i="62"/>
  <c r="P42" i="62"/>
  <c r="P58" i="62"/>
  <c r="P57" i="62"/>
  <c r="P52" i="62"/>
  <c r="P10" i="62"/>
  <c r="P55" i="62"/>
  <c r="P53" i="62"/>
  <c r="P9" i="62"/>
  <c r="P49" i="62"/>
  <c r="P48" i="62"/>
  <c r="P7" i="62"/>
  <c r="P47" i="62"/>
  <c r="P32" i="62"/>
  <c r="P5" i="62"/>
  <c r="P21" i="62"/>
  <c r="P67" i="62"/>
  <c r="E75" i="36"/>
  <c r="E65" i="36"/>
  <c r="E74" i="36"/>
  <c r="E54" i="36"/>
  <c r="E23" i="36"/>
  <c r="E63" i="36"/>
  <c r="E47" i="36"/>
  <c r="E37" i="36"/>
  <c r="I37" i="36" s="1"/>
  <c r="N37" i="36" s="1"/>
  <c r="E33" i="36"/>
  <c r="I33" i="36" s="1"/>
  <c r="N33" i="36" s="1"/>
  <c r="E78" i="36"/>
  <c r="E67" i="36"/>
  <c r="E56" i="36"/>
  <c r="E29" i="36"/>
  <c r="E77" i="36"/>
  <c r="E66" i="36"/>
  <c r="E55" i="36"/>
  <c r="E48" i="36"/>
  <c r="E41" i="36"/>
  <c r="I41" i="36" s="1"/>
  <c r="N41" i="36" s="1"/>
  <c r="E32" i="36"/>
  <c r="I32" i="36" s="1"/>
  <c r="N32" i="36" s="1"/>
  <c r="E24" i="36"/>
  <c r="E76" i="36"/>
  <c r="E36" i="36"/>
  <c r="I36" i="36" s="1"/>
  <c r="N36" i="36" s="1"/>
  <c r="E64" i="36"/>
  <c r="E46" i="36"/>
  <c r="E26" i="36"/>
  <c r="E45" i="36"/>
  <c r="E35" i="36"/>
  <c r="I35" i="36" s="1"/>
  <c r="N35" i="36" s="1"/>
  <c r="E53" i="36"/>
  <c r="E79" i="36"/>
  <c r="E42" i="36"/>
  <c r="I42" i="36" s="1"/>
  <c r="N42" i="36" s="1"/>
  <c r="E25" i="36"/>
  <c r="E73" i="36"/>
  <c r="E50" i="36"/>
  <c r="E72" i="36"/>
  <c r="E71" i="36"/>
  <c r="E58" i="36"/>
  <c r="E39" i="36"/>
  <c r="I39" i="36" s="1"/>
  <c r="N39" i="36" s="1"/>
  <c r="E70" i="36"/>
  <c r="E57" i="36"/>
  <c r="E69" i="36"/>
  <c r="E31" i="36"/>
  <c r="I31" i="36" s="1"/>
  <c r="N31" i="36" s="1"/>
  <c r="E81" i="36"/>
  <c r="E38" i="36"/>
  <c r="I38" i="36" s="1"/>
  <c r="N38" i="36" s="1"/>
  <c r="E59" i="36"/>
  <c r="E27" i="36"/>
  <c r="E44" i="36"/>
  <c r="E34" i="36"/>
  <c r="I34" i="36" s="1"/>
  <c r="N34" i="36" s="1"/>
  <c r="E68" i="36"/>
  <c r="E52" i="36"/>
  <c r="E62" i="36"/>
  <c r="E80" i="36"/>
  <c r="E30" i="36"/>
  <c r="E43" i="36"/>
  <c r="E40" i="36"/>
  <c r="I40" i="36" s="1"/>
  <c r="N40" i="36" s="1"/>
  <c r="E61" i="36"/>
  <c r="E60" i="36"/>
  <c r="E28" i="36"/>
  <c r="E51" i="36"/>
  <c r="E49" i="36"/>
  <c r="I113" i="16"/>
  <c r="T1" i="62"/>
  <c r="P13" i="28"/>
  <c r="P79" i="28"/>
  <c r="P39" i="56"/>
  <c r="P63" i="57"/>
  <c r="J61" i="16"/>
  <c r="J120" i="16"/>
  <c r="I135" i="16"/>
  <c r="K16" i="62"/>
  <c r="P16" i="62" s="1"/>
  <c r="P15" i="62"/>
  <c r="P41" i="28"/>
  <c r="P81" i="28"/>
  <c r="P71" i="57"/>
  <c r="E33" i="58"/>
  <c r="E21" i="53"/>
  <c r="E21" i="42"/>
  <c r="E24" i="42"/>
  <c r="E29" i="42"/>
  <c r="E22" i="42"/>
  <c r="E20" i="42"/>
  <c r="E32" i="42"/>
  <c r="E17" i="42"/>
  <c r="F17" i="42" s="1"/>
  <c r="E27" i="42"/>
  <c r="E34" i="42"/>
  <c r="E26" i="42"/>
  <c r="E18" i="42"/>
  <c r="F18" i="42" s="1"/>
  <c r="N18" i="42" s="1"/>
  <c r="E19" i="42"/>
  <c r="E28" i="42"/>
  <c r="E25" i="42"/>
  <c r="E35" i="42"/>
  <c r="E33" i="42"/>
  <c r="E31" i="42"/>
  <c r="E30" i="42"/>
  <c r="E23" i="42"/>
  <c r="E38" i="48"/>
  <c r="I38" i="48" s="1"/>
  <c r="N38" i="48" s="1"/>
  <c r="E34" i="48"/>
  <c r="I34" i="48" s="1"/>
  <c r="N34" i="48" s="1"/>
  <c r="E23" i="48"/>
  <c r="E30" i="48"/>
  <c r="E27" i="48"/>
  <c r="E33" i="48"/>
  <c r="I33" i="48" s="1"/>
  <c r="N33" i="48" s="1"/>
  <c r="E37" i="48"/>
  <c r="I37" i="48" s="1"/>
  <c r="N37" i="48" s="1"/>
  <c r="E24" i="48"/>
  <c r="E28" i="48"/>
  <c r="E41" i="48"/>
  <c r="I41" i="48" s="1"/>
  <c r="N41" i="48" s="1"/>
  <c r="E35" i="48"/>
  <c r="I35" i="48" s="1"/>
  <c r="N35" i="48" s="1"/>
  <c r="E29" i="48"/>
  <c r="E40" i="48"/>
  <c r="I40" i="48" s="1"/>
  <c r="N40" i="48" s="1"/>
  <c r="E36" i="48"/>
  <c r="I36" i="48" s="1"/>
  <c r="N36" i="48" s="1"/>
  <c r="E25" i="48"/>
  <c r="E31" i="48"/>
  <c r="I31" i="48" s="1"/>
  <c r="N31" i="48" s="1"/>
  <c r="E39" i="48"/>
  <c r="I39" i="48" s="1"/>
  <c r="N39" i="48" s="1"/>
  <c r="E26" i="48"/>
  <c r="E32" i="48"/>
  <c r="I32" i="48" s="1"/>
  <c r="N32" i="48" s="1"/>
  <c r="P14" i="62"/>
  <c r="P14" i="28"/>
  <c r="P72" i="57"/>
  <c r="N40" i="49"/>
  <c r="I45" i="16"/>
  <c r="I92" i="16"/>
  <c r="P24" i="62"/>
  <c r="P70" i="28"/>
  <c r="P50" i="28"/>
  <c r="P84" i="28"/>
  <c r="P64" i="28"/>
  <c r="P44" i="28"/>
  <c r="P24" i="28"/>
  <c r="P72" i="28"/>
  <c r="P49" i="28"/>
  <c r="P6" i="28"/>
  <c r="P71" i="28"/>
  <c r="P48" i="28"/>
  <c r="P23" i="28"/>
  <c r="P15" i="28"/>
  <c r="P69" i="28"/>
  <c r="P47" i="28"/>
  <c r="P87" i="28"/>
  <c r="P65" i="28"/>
  <c r="P42" i="28"/>
  <c r="P86" i="28"/>
  <c r="P63" i="28"/>
  <c r="P21" i="28"/>
  <c r="P12" i="28"/>
  <c r="P80" i="28"/>
  <c r="P58" i="28"/>
  <c r="P40" i="28"/>
  <c r="P73" i="28"/>
  <c r="P11" i="28"/>
  <c r="P67" i="28"/>
  <c r="P10" i="28"/>
  <c r="P61" i="28"/>
  <c r="P60" i="28"/>
  <c r="P19" i="28"/>
  <c r="P8" i="28"/>
  <c r="P59" i="28"/>
  <c r="P83" i="28"/>
  <c r="P54" i="28"/>
  <c r="P43" i="28"/>
  <c r="P85" i="28"/>
  <c r="E11" i="51"/>
  <c r="I78" i="16"/>
  <c r="I143" i="16"/>
  <c r="P22" i="62"/>
  <c r="H68" i="62"/>
  <c r="T1" i="28"/>
  <c r="P45" i="28"/>
  <c r="I88" i="56"/>
  <c r="P24" i="57"/>
  <c r="J156" i="16"/>
  <c r="I156" i="16"/>
  <c r="P16" i="28"/>
  <c r="P46" i="28"/>
  <c r="P84" i="57"/>
  <c r="P64" i="57"/>
  <c r="P52" i="57"/>
  <c r="T1" i="57"/>
  <c r="P70" i="57"/>
  <c r="P44" i="57"/>
  <c r="P67" i="57"/>
  <c r="P53" i="57"/>
  <c r="P27" i="57"/>
  <c r="P87" i="57"/>
  <c r="P65" i="57"/>
  <c r="P82" i="57"/>
  <c r="P60" i="57"/>
  <c r="P25" i="57"/>
  <c r="P80" i="57"/>
  <c r="P59" i="57"/>
  <c r="P61" i="57"/>
  <c r="P15" i="57"/>
  <c r="P7" i="57"/>
  <c r="P48" i="57"/>
  <c r="P28" i="57"/>
  <c r="P86" i="57"/>
  <c r="P85" i="57"/>
  <c r="P58" i="57"/>
  <c r="P47" i="57"/>
  <c r="P14" i="57"/>
  <c r="P6" i="57"/>
  <c r="P79" i="57"/>
  <c r="P26" i="57"/>
  <c r="P13" i="57"/>
  <c r="P5" i="57"/>
  <c r="P78" i="57"/>
  <c r="P56" i="57"/>
  <c r="P45" i="57"/>
  <c r="P77" i="57"/>
  <c r="P69" i="57"/>
  <c r="P68" i="57"/>
  <c r="P49" i="57"/>
  <c r="P32" i="57"/>
  <c r="P66" i="57"/>
  <c r="P30" i="57"/>
  <c r="P12" i="57"/>
  <c r="P83" i="57"/>
  <c r="P10" i="57"/>
  <c r="P76" i="57"/>
  <c r="P51" i="57"/>
  <c r="P75" i="57"/>
  <c r="P62" i="57"/>
  <c r="P46" i="57"/>
  <c r="P8" i="57"/>
  <c r="P16" i="57"/>
  <c r="P55" i="57"/>
  <c r="P81" i="57"/>
  <c r="A88" i="52"/>
  <c r="J96" i="16"/>
  <c r="I121" i="16"/>
  <c r="M23" i="40"/>
  <c r="P51" i="28"/>
  <c r="E25" i="60"/>
  <c r="E57" i="51"/>
  <c r="E43" i="51"/>
  <c r="E39" i="51"/>
  <c r="E35" i="51"/>
  <c r="E30" i="51"/>
  <c r="E54" i="51"/>
  <c r="E34" i="51"/>
  <c r="E29" i="51"/>
  <c r="E22" i="51"/>
  <c r="E56" i="51"/>
  <c r="E26" i="51"/>
  <c r="E19" i="51"/>
  <c r="E47" i="51"/>
  <c r="E36" i="51"/>
  <c r="E25" i="51"/>
  <c r="E18" i="51"/>
  <c r="E46" i="51"/>
  <c r="E31" i="51"/>
  <c r="E24" i="51"/>
  <c r="E17" i="51"/>
  <c r="E60" i="51"/>
  <c r="E55" i="51"/>
  <c r="E45" i="51"/>
  <c r="E16" i="51"/>
  <c r="E52" i="51"/>
  <c r="E14" i="51"/>
  <c r="E37" i="51"/>
  <c r="E27" i="51"/>
  <c r="E38" i="51"/>
  <c r="E32" i="51"/>
  <c r="E23" i="51"/>
  <c r="E13" i="51"/>
  <c r="E12" i="51"/>
  <c r="E44" i="51"/>
  <c r="E20" i="51"/>
  <c r="E53" i="51"/>
  <c r="E51" i="51"/>
  <c r="E41" i="51"/>
  <c r="E59" i="51"/>
  <c r="E48" i="51"/>
  <c r="E21" i="51"/>
  <c r="E58" i="51"/>
  <c r="E28" i="51"/>
  <c r="E42" i="51"/>
  <c r="E15" i="51"/>
  <c r="E49" i="51"/>
  <c r="E40" i="51"/>
  <c r="E50" i="51"/>
  <c r="I82" i="16"/>
  <c r="J152" i="16"/>
  <c r="P23" i="62"/>
  <c r="P5" i="28"/>
  <c r="P17" i="28"/>
  <c r="P52" i="28"/>
  <c r="P85" i="37"/>
  <c r="P65" i="37"/>
  <c r="P45" i="37"/>
  <c r="P18" i="37"/>
  <c r="P8" i="37"/>
  <c r="P84" i="37"/>
  <c r="P64" i="37"/>
  <c r="P44" i="37"/>
  <c r="P83" i="37"/>
  <c r="P63" i="37"/>
  <c r="P43" i="37"/>
  <c r="P82" i="37"/>
  <c r="P79" i="37"/>
  <c r="P59" i="37"/>
  <c r="P15" i="37"/>
  <c r="P73" i="37"/>
  <c r="P49" i="37"/>
  <c r="P10" i="37"/>
  <c r="P72" i="37"/>
  <c r="P48" i="37"/>
  <c r="P71" i="37"/>
  <c r="P47" i="37"/>
  <c r="P9" i="37"/>
  <c r="P67" i="37"/>
  <c r="P66" i="37"/>
  <c r="P17" i="37"/>
  <c r="P86" i="37"/>
  <c r="P57" i="37"/>
  <c r="P14" i="37"/>
  <c r="P55" i="37"/>
  <c r="P53" i="37"/>
  <c r="P81" i="37"/>
  <c r="P50" i="37"/>
  <c r="P12" i="37"/>
  <c r="P80" i="37"/>
  <c r="P46" i="37"/>
  <c r="P78" i="37"/>
  <c r="P42" i="37"/>
  <c r="P11" i="37"/>
  <c r="P74" i="37"/>
  <c r="P62" i="37"/>
  <c r="P50" i="57"/>
  <c r="P82" i="60"/>
  <c r="P9" i="60"/>
  <c r="P73" i="60"/>
  <c r="P63" i="60"/>
  <c r="P53" i="60"/>
  <c r="P43" i="60"/>
  <c r="P33" i="60"/>
  <c r="P11" i="60"/>
  <c r="P78" i="60"/>
  <c r="P74" i="60"/>
  <c r="P64" i="60"/>
  <c r="P54" i="60"/>
  <c r="P44" i="60"/>
  <c r="P34" i="60"/>
  <c r="P12" i="60"/>
  <c r="T1" i="60"/>
  <c r="P87" i="60"/>
  <c r="P70" i="60"/>
  <c r="P59" i="60"/>
  <c r="P48" i="60"/>
  <c r="P37" i="60"/>
  <c r="P86" i="60"/>
  <c r="P8" i="60"/>
  <c r="P85" i="60"/>
  <c r="P69" i="60"/>
  <c r="P58" i="60"/>
  <c r="P47" i="60"/>
  <c r="P36" i="60"/>
  <c r="P84" i="60"/>
  <c r="P7" i="60"/>
  <c r="P80" i="60"/>
  <c r="P67" i="60"/>
  <c r="P56" i="60"/>
  <c r="P45" i="60"/>
  <c r="P17" i="60"/>
  <c r="P6" i="60"/>
  <c r="P77" i="60"/>
  <c r="P66" i="60"/>
  <c r="P55" i="60"/>
  <c r="P32" i="60"/>
  <c r="P16" i="60"/>
  <c r="P13" i="60"/>
  <c r="P41" i="60"/>
  <c r="P68" i="60"/>
  <c r="P40" i="60"/>
  <c r="P83" i="60"/>
  <c r="P65" i="60"/>
  <c r="P51" i="60"/>
  <c r="P81" i="60"/>
  <c r="P38" i="60"/>
  <c r="P79" i="60"/>
  <c r="P50" i="60"/>
  <c r="P39" i="60"/>
  <c r="P52" i="60"/>
  <c r="P10" i="60"/>
  <c r="P35" i="60"/>
  <c r="P62" i="60"/>
  <c r="P31" i="60"/>
  <c r="P5" i="60"/>
  <c r="P30" i="60"/>
  <c r="P14" i="60"/>
  <c r="P46" i="60"/>
  <c r="P61" i="60"/>
  <c r="P60" i="60"/>
  <c r="P75" i="60"/>
  <c r="P42" i="60"/>
  <c r="E29" i="47"/>
  <c r="E37" i="47"/>
  <c r="I37" i="47" s="1"/>
  <c r="N37" i="47" s="1"/>
  <c r="E33" i="47"/>
  <c r="I33" i="47" s="1"/>
  <c r="N33" i="47" s="1"/>
  <c r="E25" i="47"/>
  <c r="E27" i="47"/>
  <c r="E40" i="47"/>
  <c r="I40" i="47" s="1"/>
  <c r="N40" i="47" s="1"/>
  <c r="E36" i="47"/>
  <c r="I36" i="47" s="1"/>
  <c r="N36" i="47" s="1"/>
  <c r="E32" i="47"/>
  <c r="I32" i="47" s="1"/>
  <c r="N32" i="47" s="1"/>
  <c r="E38" i="47"/>
  <c r="I38" i="47" s="1"/>
  <c r="N38" i="47" s="1"/>
  <c r="E24" i="47"/>
  <c r="E26" i="47"/>
  <c r="E34" i="47"/>
  <c r="I34" i="47" s="1"/>
  <c r="N34" i="47" s="1"/>
  <c r="E30" i="47"/>
  <c r="E23" i="47"/>
  <c r="E39" i="47"/>
  <c r="I39" i="47" s="1"/>
  <c r="N39" i="47" s="1"/>
  <c r="E28" i="47"/>
  <c r="E31" i="47"/>
  <c r="I31" i="47" s="1"/>
  <c r="N31" i="47" s="1"/>
  <c r="I100" i="16"/>
  <c r="I111" i="16"/>
  <c r="I136" i="16"/>
  <c r="I140" i="16"/>
  <c r="G68" i="62"/>
  <c r="P45" i="62"/>
  <c r="P53" i="28"/>
  <c r="P38" i="57"/>
  <c r="E36" i="58"/>
  <c r="J158" i="16"/>
  <c r="I158" i="16"/>
  <c r="I56" i="16"/>
  <c r="I86" i="16"/>
  <c r="J118" i="16"/>
  <c r="P29" i="59"/>
  <c r="I30" i="59"/>
  <c r="E23" i="60"/>
  <c r="E24" i="60"/>
  <c r="E28" i="60"/>
  <c r="H28" i="60" s="1"/>
  <c r="P28" i="60" s="1"/>
  <c r="E29" i="60"/>
  <c r="H29" i="60" s="1"/>
  <c r="P29" i="60" s="1"/>
  <c r="E20" i="60"/>
  <c r="E27" i="60"/>
  <c r="H27" i="60" s="1"/>
  <c r="P27" i="60" s="1"/>
  <c r="E26" i="60"/>
  <c r="H26" i="60" s="1"/>
  <c r="P26" i="60" s="1"/>
  <c r="E19" i="60"/>
  <c r="E22" i="60"/>
  <c r="E21" i="60"/>
  <c r="E19" i="53"/>
  <c r="E18" i="53"/>
  <c r="E36" i="53"/>
  <c r="I36" i="53" s="1"/>
  <c r="N36" i="53" s="1"/>
  <c r="E42" i="53"/>
  <c r="I42" i="53" s="1"/>
  <c r="N42" i="53" s="1"/>
  <c r="E20" i="53"/>
  <c r="E29" i="53"/>
  <c r="I29" i="53" s="1"/>
  <c r="N29" i="53" s="1"/>
  <c r="E33" i="53"/>
  <c r="I33" i="53" s="1"/>
  <c r="N33" i="53" s="1"/>
  <c r="E17" i="53"/>
  <c r="E28" i="53"/>
  <c r="I28" i="53" s="1"/>
  <c r="N28" i="53" s="1"/>
  <c r="E32" i="53"/>
  <c r="I32" i="53" s="1"/>
  <c r="N32" i="53" s="1"/>
  <c r="E24" i="53"/>
  <c r="E27" i="53"/>
  <c r="I27" i="53" s="1"/>
  <c r="N27" i="53" s="1"/>
  <c r="E23" i="53"/>
  <c r="E38" i="53"/>
  <c r="I38" i="53" s="1"/>
  <c r="N38" i="53" s="1"/>
  <c r="E31" i="53"/>
  <c r="I31" i="53" s="1"/>
  <c r="N31" i="53" s="1"/>
  <c r="E22" i="53"/>
  <c r="E39" i="53"/>
  <c r="I39" i="53" s="1"/>
  <c r="N39" i="53" s="1"/>
  <c r="E43" i="53"/>
  <c r="E41" i="53"/>
  <c r="I41" i="53" s="1"/>
  <c r="N41" i="53" s="1"/>
  <c r="E40" i="53"/>
  <c r="I40" i="53" s="1"/>
  <c r="N40" i="53" s="1"/>
  <c r="E34" i="53"/>
  <c r="I34" i="53" s="1"/>
  <c r="N34" i="53" s="1"/>
  <c r="E37" i="53"/>
  <c r="I37" i="53" s="1"/>
  <c r="N37" i="53" s="1"/>
  <c r="E26" i="53"/>
  <c r="I26" i="53" s="1"/>
  <c r="N26" i="53" s="1"/>
  <c r="E35" i="53"/>
  <c r="I35" i="53" s="1"/>
  <c r="N35" i="53" s="1"/>
  <c r="P50" i="62"/>
  <c r="P56" i="28"/>
  <c r="N34" i="40"/>
  <c r="P33" i="40"/>
  <c r="P18" i="62"/>
  <c r="P51" i="62"/>
  <c r="P57" i="28"/>
  <c r="P29" i="57"/>
  <c r="I46" i="61"/>
  <c r="P46" i="61" s="1"/>
  <c r="I41" i="61"/>
  <c r="P41" i="61" s="1"/>
  <c r="I32" i="61"/>
  <c r="I33" i="61"/>
  <c r="P33" i="61" s="1"/>
  <c r="I37" i="61"/>
  <c r="P37" i="61" s="1"/>
  <c r="I45" i="61"/>
  <c r="P45" i="61" s="1"/>
  <c r="I39" i="61"/>
  <c r="P39" i="61" s="1"/>
  <c r="I43" i="61"/>
  <c r="P43" i="61" s="1"/>
  <c r="I38" i="61"/>
  <c r="P38" i="61" s="1"/>
  <c r="I44" i="61"/>
  <c r="P44" i="61" s="1"/>
  <c r="I36" i="61"/>
  <c r="P36" i="61" s="1"/>
  <c r="I40" i="61"/>
  <c r="P40" i="61" s="1"/>
  <c r="I35" i="61"/>
  <c r="P35" i="61" s="1"/>
  <c r="I42" i="61"/>
  <c r="P42" i="61" s="1"/>
  <c r="J83" i="16"/>
  <c r="M25" i="62"/>
  <c r="M26" i="62" s="1"/>
  <c r="M27" i="62" s="1"/>
  <c r="M28" i="62" s="1"/>
  <c r="P54" i="62"/>
  <c r="P7" i="28"/>
  <c r="P62" i="28"/>
  <c r="P54" i="57"/>
  <c r="E28" i="58"/>
  <c r="E24" i="58"/>
  <c r="F24" i="58" s="1"/>
  <c r="P24" i="58" s="1"/>
  <c r="E20" i="58"/>
  <c r="F20" i="58" s="1"/>
  <c r="P20" i="58" s="1"/>
  <c r="E32" i="58"/>
  <c r="E22" i="58"/>
  <c r="F22" i="58" s="1"/>
  <c r="P22" i="58" s="1"/>
  <c r="E39" i="58"/>
  <c r="E27" i="58"/>
  <c r="F27" i="58" s="1"/>
  <c r="P27" i="58" s="1"/>
  <c r="E21" i="58"/>
  <c r="F21" i="58" s="1"/>
  <c r="P21" i="58" s="1"/>
  <c r="E37" i="58"/>
  <c r="E30" i="58"/>
  <c r="E18" i="58"/>
  <c r="F18" i="58" s="1"/>
  <c r="E23" i="58"/>
  <c r="F23" i="58" s="1"/>
  <c r="P23" i="58" s="1"/>
  <c r="E31" i="58"/>
  <c r="E35" i="58"/>
  <c r="E26" i="58"/>
  <c r="F26" i="58" s="1"/>
  <c r="P26" i="58" s="1"/>
  <c r="E25" i="58"/>
  <c r="F25" i="58" s="1"/>
  <c r="P25" i="58" s="1"/>
  <c r="E34" i="58"/>
  <c r="E40" i="58"/>
  <c r="I141" i="16"/>
  <c r="P33" i="62"/>
  <c r="N34" i="62"/>
  <c r="P56" i="62"/>
  <c r="P20" i="28"/>
  <c r="P66" i="28"/>
  <c r="P36" i="56"/>
  <c r="M26" i="61"/>
  <c r="M27" i="61" s="1"/>
  <c r="M28" i="61" s="1"/>
  <c r="M29" i="61" s="1"/>
  <c r="M30" i="61" s="1"/>
  <c r="M31" i="61" s="1"/>
  <c r="P25" i="61"/>
  <c r="P11" i="62"/>
  <c r="P19" i="62"/>
  <c r="P59" i="62"/>
  <c r="P68" i="28"/>
  <c r="P31" i="57"/>
  <c r="E29" i="58"/>
  <c r="P54" i="59"/>
  <c r="P10" i="59"/>
  <c r="P76" i="59"/>
  <c r="P17" i="59"/>
  <c r="P77" i="59"/>
  <c r="P69" i="59"/>
  <c r="P58" i="59"/>
  <c r="P15" i="59"/>
  <c r="P72" i="59"/>
  <c r="P65" i="59"/>
  <c r="P5" i="59"/>
  <c r="P87" i="59"/>
  <c r="P50" i="59"/>
  <c r="P14" i="59"/>
  <c r="P86" i="59"/>
  <c r="P57" i="59"/>
  <c r="P83" i="59"/>
  <c r="P56" i="59"/>
  <c r="P12" i="59"/>
  <c r="T1" i="59"/>
  <c r="P81" i="59"/>
  <c r="P48" i="59"/>
  <c r="P11" i="59"/>
  <c r="P71" i="59"/>
  <c r="P63" i="59"/>
  <c r="P53" i="59"/>
  <c r="P27" i="59"/>
  <c r="P8" i="59"/>
  <c r="P62" i="59"/>
  <c r="P70" i="59"/>
  <c r="P7" i="59"/>
  <c r="P82" i="59"/>
  <c r="P60" i="59"/>
  <c r="P6" i="59"/>
  <c r="P80" i="59"/>
  <c r="P68" i="59"/>
  <c r="P51" i="59"/>
  <c r="P79" i="59"/>
  <c r="P85" i="59"/>
  <c r="P9" i="59"/>
  <c r="P84" i="59"/>
  <c r="P66" i="59"/>
  <c r="P55" i="59"/>
  <c r="P78" i="59"/>
  <c r="P52" i="59"/>
  <c r="P74" i="59"/>
  <c r="P13" i="59"/>
  <c r="P64" i="59"/>
  <c r="P75" i="59"/>
  <c r="P61" i="59"/>
  <c r="P47" i="59"/>
  <c r="N51" i="49"/>
  <c r="N33" i="49"/>
  <c r="N48" i="49"/>
  <c r="N30" i="49"/>
  <c r="N47" i="49"/>
  <c r="N29" i="49"/>
  <c r="N55" i="49"/>
  <c r="N34" i="49"/>
  <c r="N54" i="49"/>
  <c r="N46" i="49"/>
  <c r="N52" i="49"/>
  <c r="N39" i="49"/>
  <c r="N24" i="49"/>
  <c r="N44" i="49"/>
  <c r="N31" i="49"/>
  <c r="N27" i="49"/>
  <c r="N50" i="49"/>
  <c r="N41" i="49"/>
  <c r="N25" i="49"/>
  <c r="N49" i="49"/>
  <c r="N28" i="49"/>
  <c r="N45" i="49"/>
  <c r="N37" i="49"/>
  <c r="N26" i="49"/>
  <c r="N38" i="49"/>
  <c r="N36" i="49"/>
  <c r="N35" i="49"/>
  <c r="R1" i="49"/>
  <c r="N53" i="49"/>
  <c r="E35" i="47"/>
  <c r="I35" i="47" s="1"/>
  <c r="N35" i="47" s="1"/>
  <c r="I94" i="16"/>
  <c r="J116" i="16"/>
  <c r="P60" i="62"/>
  <c r="P9" i="28"/>
  <c r="P74" i="28"/>
  <c r="P9" i="57"/>
  <c r="E30" i="53"/>
  <c r="I30" i="53" s="1"/>
  <c r="N30" i="53" s="1"/>
  <c r="H30" i="15"/>
  <c r="G30" i="15"/>
  <c r="P78" i="56"/>
  <c r="P59" i="56"/>
  <c r="P49" i="56"/>
  <c r="P7" i="56"/>
  <c r="P77" i="56"/>
  <c r="P58" i="56"/>
  <c r="P13" i="56"/>
  <c r="P66" i="56"/>
  <c r="P52" i="56"/>
  <c r="P86" i="56"/>
  <c r="P64" i="56"/>
  <c r="P51" i="56"/>
  <c r="P82" i="56"/>
  <c r="P80" i="56"/>
  <c r="P12" i="56"/>
  <c r="P85" i="56"/>
  <c r="P47" i="56"/>
  <c r="P84" i="56"/>
  <c r="P26" i="56"/>
  <c r="P9" i="56"/>
  <c r="P83" i="56"/>
  <c r="P81" i="56"/>
  <c r="P57" i="56"/>
  <c r="P46" i="56"/>
  <c r="P8" i="56"/>
  <c r="P75" i="56"/>
  <c r="P45" i="56"/>
  <c r="P74" i="56"/>
  <c r="P55" i="56"/>
  <c r="P31" i="56"/>
  <c r="P24" i="56"/>
  <c r="P6" i="56"/>
  <c r="P73" i="56"/>
  <c r="P69" i="56"/>
  <c r="P68" i="56"/>
  <c r="P50" i="56"/>
  <c r="P29" i="56"/>
  <c r="P67" i="56"/>
  <c r="P61" i="56"/>
  <c r="P27" i="56"/>
  <c r="P60" i="56"/>
  <c r="T1" i="56"/>
  <c r="P56" i="56"/>
  <c r="P75" i="58"/>
  <c r="P87" i="58"/>
  <c r="P66" i="58"/>
  <c r="P53" i="58"/>
  <c r="P43" i="58"/>
  <c r="P31" i="58"/>
  <c r="P16" i="58"/>
  <c r="P8" i="58"/>
  <c r="P68" i="58"/>
  <c r="P54" i="58"/>
  <c r="P44" i="58"/>
  <c r="P17" i="58"/>
  <c r="P9" i="58"/>
  <c r="P82" i="58"/>
  <c r="P81" i="58"/>
  <c r="P59" i="58"/>
  <c r="P48" i="58"/>
  <c r="P7" i="58"/>
  <c r="P80" i="58"/>
  <c r="P79" i="58"/>
  <c r="P76" i="58"/>
  <c r="P14" i="58"/>
  <c r="P73" i="58"/>
  <c r="P47" i="58"/>
  <c r="P86" i="58"/>
  <c r="P58" i="58"/>
  <c r="P30" i="58"/>
  <c r="P85" i="58"/>
  <c r="P46" i="58"/>
  <c r="P84" i="58"/>
  <c r="P57" i="58"/>
  <c r="P77" i="58"/>
  <c r="P15" i="58"/>
  <c r="P74" i="58"/>
  <c r="P55" i="58"/>
  <c r="P35" i="58"/>
  <c r="P28" i="58"/>
  <c r="P72" i="58"/>
  <c r="P42" i="58"/>
  <c r="P5" i="58"/>
  <c r="P71" i="58"/>
  <c r="P70" i="58"/>
  <c r="P51" i="58"/>
  <c r="P69" i="58"/>
  <c r="P13" i="58"/>
  <c r="P63" i="58"/>
  <c r="P62" i="58"/>
  <c r="N40" i="57"/>
  <c r="N41" i="57" s="1"/>
  <c r="P39" i="57"/>
  <c r="A88" i="58"/>
  <c r="P71" i="56"/>
  <c r="P6" i="58"/>
  <c r="P64" i="58"/>
  <c r="A88" i="60"/>
  <c r="P33" i="56"/>
  <c r="N55" i="52"/>
  <c r="A88" i="45"/>
  <c r="M37" i="23"/>
  <c r="P60" i="40"/>
  <c r="P74" i="25"/>
  <c r="P54" i="25"/>
  <c r="P10" i="25"/>
  <c r="P68" i="25"/>
  <c r="P48" i="25"/>
  <c r="P17" i="25"/>
  <c r="P40" i="25"/>
  <c r="P55" i="25"/>
  <c r="P77" i="25"/>
  <c r="N37" i="58"/>
  <c r="P36" i="58"/>
  <c r="N27" i="52"/>
  <c r="M34" i="51"/>
  <c r="N33" i="51"/>
  <c r="A88" i="15"/>
  <c r="A88" i="51"/>
  <c r="P45" i="40"/>
  <c r="A88" i="25"/>
  <c r="P14" i="25"/>
  <c r="P42" i="25"/>
  <c r="P60" i="25"/>
  <c r="P82" i="25"/>
  <c r="P41" i="56"/>
  <c r="N15" i="53"/>
  <c r="N47" i="53"/>
  <c r="N46" i="53"/>
  <c r="N51" i="53"/>
  <c r="N8" i="53"/>
  <c r="N50" i="53"/>
  <c r="N14" i="53"/>
  <c r="N45" i="53"/>
  <c r="N13" i="53"/>
  <c r="N44" i="53"/>
  <c r="N12" i="53"/>
  <c r="N54" i="53"/>
  <c r="N10" i="53"/>
  <c r="N53" i="53"/>
  <c r="N9" i="53"/>
  <c r="N48" i="53"/>
  <c r="N11" i="53"/>
  <c r="N43" i="53"/>
  <c r="N55" i="53"/>
  <c r="N41" i="47"/>
  <c r="P5" i="25"/>
  <c r="P61" i="25"/>
  <c r="P83" i="25"/>
  <c r="P80" i="55"/>
  <c r="P60" i="55"/>
  <c r="P85" i="55"/>
  <c r="P64" i="55"/>
  <c r="P15" i="55"/>
  <c r="P84" i="55"/>
  <c r="P63" i="55"/>
  <c r="P83" i="55"/>
  <c r="P62" i="55"/>
  <c r="P43" i="55"/>
  <c r="P14" i="55"/>
  <c r="P5" i="55"/>
  <c r="P82" i="55"/>
  <c r="P61" i="55"/>
  <c r="P78" i="55"/>
  <c r="P57" i="55"/>
  <c r="P12" i="55"/>
  <c r="P77" i="55"/>
  <c r="P56" i="55"/>
  <c r="P76" i="55"/>
  <c r="P44" i="55"/>
  <c r="P71" i="55"/>
  <c r="N30" i="52"/>
  <c r="R1" i="53"/>
  <c r="A88" i="57"/>
  <c r="N26" i="52"/>
  <c r="N51" i="52"/>
  <c r="N23" i="52"/>
  <c r="N43" i="52"/>
  <c r="N28" i="52"/>
  <c r="N24" i="52"/>
  <c r="N46" i="52"/>
  <c r="N44" i="52"/>
  <c r="N54" i="52"/>
  <c r="N34" i="52"/>
  <c r="N50" i="52"/>
  <c r="N25" i="52"/>
  <c r="N49" i="52"/>
  <c r="N33" i="52"/>
  <c r="N31" i="52"/>
  <c r="N45" i="52"/>
  <c r="N32" i="52"/>
  <c r="N29" i="52"/>
  <c r="N53" i="52"/>
  <c r="K28" i="23"/>
  <c r="M27" i="23"/>
  <c r="A88" i="44"/>
  <c r="M37" i="15"/>
  <c r="P82" i="54"/>
  <c r="P87" i="54"/>
  <c r="P66" i="54"/>
  <c r="P46" i="54"/>
  <c r="P78" i="54"/>
  <c r="P58" i="54"/>
  <c r="P41" i="54"/>
  <c r="P60" i="54"/>
  <c r="P83" i="54"/>
  <c r="A88" i="56"/>
  <c r="P33" i="58"/>
  <c r="T1" i="54"/>
  <c r="P12" i="54"/>
  <c r="P61" i="54"/>
  <c r="P84" i="54"/>
  <c r="A88" i="59"/>
  <c r="P42" i="54"/>
  <c r="P62" i="54"/>
  <c r="P85" i="54"/>
  <c r="P5" i="54"/>
  <c r="P14" i="54"/>
  <c r="P65" i="54"/>
  <c r="P44" i="54"/>
  <c r="P67" i="54"/>
  <c r="I43" i="57"/>
  <c r="I34" i="57"/>
  <c r="P34" i="57" s="1"/>
  <c r="I37" i="57"/>
  <c r="P37" i="57" s="1"/>
  <c r="P15" i="54"/>
  <c r="P45" i="54"/>
  <c r="P68" i="54"/>
  <c r="I35" i="57"/>
  <c r="P35" i="57" s="1"/>
  <c r="I40" i="57"/>
  <c r="P40" i="57" s="1"/>
  <c r="M27" i="15"/>
  <c r="P6" i="54"/>
  <c r="P47" i="54"/>
  <c r="P69" i="54"/>
  <c r="H26" i="61"/>
  <c r="N66" i="50"/>
  <c r="N53" i="50"/>
  <c r="N33" i="50"/>
  <c r="N13" i="50"/>
  <c r="N50" i="50"/>
  <c r="N30" i="50"/>
  <c r="N49" i="50"/>
  <c r="N29" i="50"/>
  <c r="N9" i="50"/>
  <c r="N68" i="50"/>
  <c r="N55" i="50"/>
  <c r="N35" i="50"/>
  <c r="N15" i="50"/>
  <c r="N8" i="50"/>
  <c r="N48" i="50"/>
  <c r="N28" i="50"/>
  <c r="N51" i="50"/>
  <c r="N11" i="50"/>
  <c r="N71" i="50"/>
  <c r="N63" i="50"/>
  <c r="N39" i="50"/>
  <c r="N23" i="50"/>
  <c r="N70" i="50"/>
  <c r="N62" i="50"/>
  <c r="N38" i="50"/>
  <c r="N22" i="50"/>
  <c r="N76" i="50"/>
  <c r="N44" i="50"/>
  <c r="N67" i="50"/>
  <c r="N60" i="50"/>
  <c r="N36" i="50"/>
  <c r="N27" i="50"/>
  <c r="N20" i="50"/>
  <c r="N61" i="50"/>
  <c r="N24" i="50"/>
  <c r="N43" i="50"/>
  <c r="N72" i="50"/>
  <c r="A88" i="39"/>
  <c r="A88" i="41"/>
  <c r="L34" i="23"/>
  <c r="L35" i="23" s="1"/>
  <c r="L36" i="23" s="1"/>
  <c r="L37" i="23" s="1"/>
  <c r="L38" i="23" s="1"/>
  <c r="M33" i="23"/>
  <c r="N25" i="50"/>
  <c r="N54" i="50"/>
  <c r="M33" i="15"/>
  <c r="N17" i="50"/>
  <c r="N45" i="50"/>
  <c r="N86" i="41"/>
  <c r="N68" i="41"/>
  <c r="N48" i="41"/>
  <c r="N83" i="41"/>
  <c r="N60" i="41"/>
  <c r="N53" i="41"/>
  <c r="N46" i="41"/>
  <c r="N82" i="41"/>
  <c r="N39" i="41"/>
  <c r="N14" i="41"/>
  <c r="N77" i="41"/>
  <c r="N58" i="41"/>
  <c r="N51" i="41"/>
  <c r="N44" i="41"/>
  <c r="N81" i="41"/>
  <c r="N5" i="41"/>
  <c r="N80" i="41"/>
  <c r="N65" i="41"/>
  <c r="N57" i="41"/>
  <c r="N49" i="41"/>
  <c r="N41" i="41"/>
  <c r="N13" i="41"/>
  <c r="N61" i="41"/>
  <c r="N37" i="41"/>
  <c r="N8" i="41"/>
  <c r="N43" i="41"/>
  <c r="N36" i="41"/>
  <c r="N87" i="41"/>
  <c r="N76" i="41"/>
  <c r="N63" i="41"/>
  <c r="N75" i="41"/>
  <c r="N54" i="41"/>
  <c r="N45" i="41"/>
  <c r="N11" i="41"/>
  <c r="N74" i="41"/>
  <c r="N73" i="41"/>
  <c r="N62" i="41"/>
  <c r="N10" i="41"/>
  <c r="N72" i="41"/>
  <c r="N71" i="41"/>
  <c r="N52" i="41"/>
  <c r="N35" i="41"/>
  <c r="N9" i="41"/>
  <c r="N70" i="41"/>
  <c r="N59" i="41"/>
  <c r="N40" i="41"/>
  <c r="N38" i="41"/>
  <c r="N15" i="41"/>
  <c r="N85" i="41"/>
  <c r="R1" i="41"/>
  <c r="N79" i="41"/>
  <c r="N69" i="41"/>
  <c r="N56" i="41"/>
  <c r="N67" i="41"/>
  <c r="N33" i="41"/>
  <c r="N66" i="41"/>
  <c r="N55" i="41"/>
  <c r="N42" i="41"/>
  <c r="N7" i="41"/>
  <c r="N64" i="41"/>
  <c r="N6" i="41"/>
  <c r="N12" i="41"/>
  <c r="N52" i="48"/>
  <c r="N42" i="48"/>
  <c r="N54" i="48"/>
  <c r="N43" i="48"/>
  <c r="N53" i="48"/>
  <c r="N51" i="48"/>
  <c r="R1" i="48"/>
  <c r="N49" i="48"/>
  <c r="N48" i="48"/>
  <c r="N47" i="48"/>
  <c r="P37" i="32"/>
  <c r="N38" i="32"/>
  <c r="N7" i="50"/>
  <c r="N26" i="50"/>
  <c r="N37" i="50"/>
  <c r="N46" i="50"/>
  <c r="N56" i="50"/>
  <c r="A88" i="36"/>
  <c r="N32" i="43"/>
  <c r="N81" i="43"/>
  <c r="N71" i="43"/>
  <c r="N61" i="43"/>
  <c r="N51" i="43"/>
  <c r="N41" i="43"/>
  <c r="N31" i="43"/>
  <c r="N69" i="43"/>
  <c r="N48" i="43"/>
  <c r="N79" i="43"/>
  <c r="N58" i="43"/>
  <c r="N37" i="43"/>
  <c r="N27" i="43"/>
  <c r="R1" i="43"/>
  <c r="N63" i="43"/>
  <c r="N42" i="43"/>
  <c r="N72" i="43"/>
  <c r="N40" i="43"/>
  <c r="N30" i="43"/>
  <c r="N75" i="43"/>
  <c r="N52" i="43"/>
  <c r="N20" i="43"/>
  <c r="N14" i="43"/>
  <c r="N39" i="43"/>
  <c r="N28" i="43"/>
  <c r="N74" i="43"/>
  <c r="N62" i="43"/>
  <c r="N19" i="43"/>
  <c r="N13" i="43"/>
  <c r="N50" i="43"/>
  <c r="N38" i="43"/>
  <c r="N73" i="43"/>
  <c r="N26" i="43"/>
  <c r="N12" i="43"/>
  <c r="N60" i="43"/>
  <c r="N49" i="43"/>
  <c r="N36" i="43"/>
  <c r="N25" i="43"/>
  <c r="N11" i="43"/>
  <c r="N82" i="43"/>
  <c r="N24" i="43"/>
  <c r="N77" i="43"/>
  <c r="N64" i="43"/>
  <c r="N35" i="43"/>
  <c r="N23" i="43"/>
  <c r="N33" i="43"/>
  <c r="N59" i="43"/>
  <c r="N46" i="43"/>
  <c r="N21" i="43"/>
  <c r="N45" i="43"/>
  <c r="N44" i="43"/>
  <c r="N56" i="43"/>
  <c r="N68" i="43"/>
  <c r="N43" i="43"/>
  <c r="N29" i="43"/>
  <c r="N83" i="43"/>
  <c r="N55" i="43"/>
  <c r="N67" i="43"/>
  <c r="N80" i="43"/>
  <c r="N54" i="43"/>
  <c r="N66" i="43"/>
  <c r="N53" i="43"/>
  <c r="N57" i="43"/>
  <c r="N65" i="43"/>
  <c r="N47" i="43"/>
  <c r="N76" i="43"/>
  <c r="M32" i="15"/>
  <c r="N38" i="39"/>
  <c r="N38" i="31"/>
  <c r="P56" i="61"/>
  <c r="A88" i="47"/>
  <c r="M28" i="15"/>
  <c r="N68" i="39"/>
  <c r="N82" i="39"/>
  <c r="A88" i="42"/>
  <c r="P75" i="61"/>
  <c r="P65" i="61"/>
  <c r="P55" i="61"/>
  <c r="P84" i="61"/>
  <c r="P9" i="61"/>
  <c r="P48" i="61"/>
  <c r="P69" i="61"/>
  <c r="P82" i="61"/>
  <c r="I88" i="49"/>
  <c r="F89" i="49" s="1"/>
  <c r="P49" i="61"/>
  <c r="P70" i="61"/>
  <c r="P85" i="61"/>
  <c r="N42" i="47"/>
  <c r="N69" i="39"/>
  <c r="N49" i="39"/>
  <c r="N13" i="39"/>
  <c r="N79" i="39"/>
  <c r="N72" i="39"/>
  <c r="N65" i="39"/>
  <c r="N58" i="39"/>
  <c r="N51" i="39"/>
  <c r="N44" i="39"/>
  <c r="N83" i="39"/>
  <c r="N61" i="39"/>
  <c r="N60" i="39"/>
  <c r="N53" i="39"/>
  <c r="N46" i="39"/>
  <c r="N59" i="39"/>
  <c r="N76" i="39"/>
  <c r="N67" i="39"/>
  <c r="N43" i="39"/>
  <c r="N36" i="39"/>
  <c r="N75" i="39"/>
  <c r="N66" i="39"/>
  <c r="N50" i="39"/>
  <c r="N42" i="39"/>
  <c r="N30" i="39"/>
  <c r="N74" i="39"/>
  <c r="N57" i="39"/>
  <c r="R1" i="39"/>
  <c r="N81" i="39"/>
  <c r="N11" i="39"/>
  <c r="N80" i="39"/>
  <c r="N70" i="39"/>
  <c r="N48" i="39"/>
  <c r="N39" i="39"/>
  <c r="N78" i="39"/>
  <c r="N47" i="39"/>
  <c r="N56" i="39"/>
  <c r="N77" i="39"/>
  <c r="N37" i="39"/>
  <c r="N55" i="39"/>
  <c r="N28" i="39"/>
  <c r="N45" i="39"/>
  <c r="N64" i="39"/>
  <c r="N14" i="39"/>
  <c r="N54" i="39"/>
  <c r="P17" i="61"/>
  <c r="P76" i="61"/>
  <c r="N49" i="44"/>
  <c r="N75" i="51"/>
  <c r="N65" i="51"/>
  <c r="N50" i="51"/>
  <c r="N74" i="51"/>
  <c r="N64" i="51"/>
  <c r="N56" i="51"/>
  <c r="N55" i="51"/>
  <c r="N23" i="51"/>
  <c r="N47" i="51"/>
  <c r="N70" i="51"/>
  <c r="N44" i="51"/>
  <c r="N15" i="51"/>
  <c r="N48" i="51"/>
  <c r="N12" i="51"/>
  <c r="R1" i="51"/>
  <c r="N63" i="51"/>
  <c r="N11" i="51"/>
  <c r="N73" i="51"/>
  <c r="N62" i="51"/>
  <c r="N46" i="51"/>
  <c r="N24" i="51"/>
  <c r="N17" i="51"/>
  <c r="N53" i="51"/>
  <c r="N10" i="51"/>
  <c r="N72" i="51"/>
  <c r="N13" i="51"/>
  <c r="N31" i="51"/>
  <c r="N51" i="51"/>
  <c r="N63" i="39"/>
  <c r="N52" i="45"/>
  <c r="R1" i="45"/>
  <c r="N49" i="45"/>
  <c r="N53" i="45"/>
  <c r="P78" i="38"/>
  <c r="N46" i="45"/>
  <c r="E23" i="15"/>
  <c r="G23" i="15"/>
  <c r="A88" i="43"/>
  <c r="N54" i="45"/>
  <c r="H23" i="15"/>
  <c r="H88" i="15" s="1"/>
  <c r="H26" i="15"/>
  <c r="G26" i="15"/>
  <c r="F26" i="15"/>
  <c r="G29" i="15"/>
  <c r="M29" i="15" s="1"/>
  <c r="M38" i="15"/>
  <c r="N47" i="45"/>
  <c r="A116" i="33"/>
  <c r="N34" i="41"/>
  <c r="P67" i="38"/>
  <c r="P47" i="38"/>
  <c r="P70" i="38"/>
  <c r="P50" i="38"/>
  <c r="P83" i="38"/>
  <c r="P63" i="38"/>
  <c r="P20" i="38"/>
  <c r="P10" i="38"/>
  <c r="P76" i="38"/>
  <c r="P56" i="38"/>
  <c r="P68" i="38"/>
  <c r="P48" i="38"/>
  <c r="P84" i="38"/>
  <c r="P60" i="38"/>
  <c r="P52" i="38"/>
  <c r="P9" i="38"/>
  <c r="P85" i="38"/>
  <c r="P77" i="38"/>
  <c r="P59" i="38"/>
  <c r="P13" i="38"/>
  <c r="P82" i="38"/>
  <c r="P74" i="38"/>
  <c r="P65" i="38"/>
  <c r="P57" i="38"/>
  <c r="P12" i="38"/>
  <c r="P66" i="38"/>
  <c r="P17" i="38"/>
  <c r="P6" i="38"/>
  <c r="P71" i="38"/>
  <c r="P61" i="38"/>
  <c r="P51" i="38"/>
  <c r="P80" i="38"/>
  <c r="P16" i="38"/>
  <c r="P5" i="38"/>
  <c r="P79" i="38"/>
  <c r="P15" i="38"/>
  <c r="P14" i="38"/>
  <c r="T1" i="38"/>
  <c r="P46" i="38"/>
  <c r="P64" i="38"/>
  <c r="P7" i="38"/>
  <c r="P75" i="38"/>
  <c r="P87" i="38"/>
  <c r="P62" i="38"/>
  <c r="P86" i="38"/>
  <c r="P19" i="38"/>
  <c r="P73" i="38"/>
  <c r="P49" i="38"/>
  <c r="P72" i="38"/>
  <c r="P18" i="38"/>
  <c r="P53" i="38"/>
  <c r="N48" i="45"/>
  <c r="M34" i="15"/>
  <c r="N44" i="45"/>
  <c r="N55" i="36"/>
  <c r="N47" i="36"/>
  <c r="N48" i="36"/>
  <c r="N54" i="36"/>
  <c r="N46" i="36"/>
  <c r="N53" i="36"/>
  <c r="N52" i="36"/>
  <c r="N43" i="36"/>
  <c r="A88" i="31"/>
  <c r="M25" i="15"/>
  <c r="N51" i="46"/>
  <c r="N45" i="47"/>
  <c r="N83" i="42"/>
  <c r="N63" i="42"/>
  <c r="N34" i="42"/>
  <c r="N6" i="42"/>
  <c r="N72" i="42"/>
  <c r="N52" i="42"/>
  <c r="N38" i="42"/>
  <c r="N10" i="42"/>
  <c r="N71" i="42"/>
  <c r="N51" i="42"/>
  <c r="N30" i="42"/>
  <c r="N76" i="42"/>
  <c r="N53" i="42"/>
  <c r="N37" i="42"/>
  <c r="N29" i="42"/>
  <c r="N22" i="42"/>
  <c r="N75" i="42"/>
  <c r="N50" i="42"/>
  <c r="N16" i="42"/>
  <c r="N68" i="42"/>
  <c r="N45" i="42"/>
  <c r="N27" i="42"/>
  <c r="N66" i="42"/>
  <c r="N42" i="42"/>
  <c r="N32" i="42"/>
  <c r="N24" i="42"/>
  <c r="N65" i="42"/>
  <c r="N80" i="42"/>
  <c r="N79" i="42"/>
  <c r="N49" i="42"/>
  <c r="N35" i="42"/>
  <c r="N11" i="42"/>
  <c r="N78" i="42"/>
  <c r="N77" i="42"/>
  <c r="N47" i="42"/>
  <c r="N26" i="42"/>
  <c r="N74" i="42"/>
  <c r="N46" i="42"/>
  <c r="N9" i="42"/>
  <c r="N70" i="42"/>
  <c r="N33" i="42"/>
  <c r="N25" i="42"/>
  <c r="N8" i="42"/>
  <c r="N14" i="42"/>
  <c r="N58" i="42"/>
  <c r="N47" i="47"/>
  <c r="N61" i="42"/>
  <c r="A88" i="38"/>
  <c r="P86" i="26"/>
  <c r="P64" i="26"/>
  <c r="P6" i="26"/>
  <c r="P83" i="26"/>
  <c r="P63" i="26"/>
  <c r="P14" i="26"/>
  <c r="P5" i="26"/>
  <c r="P81" i="26"/>
  <c r="P69" i="26"/>
  <c r="P49" i="26"/>
  <c r="P13" i="26"/>
  <c r="P78" i="26"/>
  <c r="P68" i="26"/>
  <c r="P48" i="26"/>
  <c r="T1" i="26"/>
  <c r="P76" i="26"/>
  <c r="P54" i="26"/>
  <c r="P74" i="26"/>
  <c r="P60" i="26"/>
  <c r="P65" i="26"/>
  <c r="P45" i="26"/>
  <c r="P17" i="26"/>
  <c r="P7" i="26"/>
  <c r="P58" i="26"/>
  <c r="P87" i="26"/>
  <c r="P71" i="26"/>
  <c r="P51" i="26"/>
  <c r="P16" i="26"/>
  <c r="P67" i="26"/>
  <c r="P72" i="26"/>
  <c r="P10" i="26"/>
  <c r="P61" i="26"/>
  <c r="P52" i="26"/>
  <c r="P9" i="26"/>
  <c r="P59" i="26"/>
  <c r="P19" i="26"/>
  <c r="P8" i="26"/>
  <c r="P73" i="26"/>
  <c r="P62" i="26"/>
  <c r="P50" i="26"/>
  <c r="P47" i="26"/>
  <c r="P53" i="26"/>
  <c r="P85" i="26"/>
  <c r="P18" i="26"/>
  <c r="P84" i="26"/>
  <c r="P77" i="26"/>
  <c r="P82" i="26"/>
  <c r="P80" i="26"/>
  <c r="P20" i="26"/>
  <c r="P55" i="26"/>
  <c r="P12" i="26"/>
  <c r="P66" i="26"/>
  <c r="P11" i="26"/>
  <c r="N62" i="42"/>
  <c r="N48" i="47"/>
  <c r="R1" i="47"/>
  <c r="M87" i="29"/>
  <c r="M67" i="29"/>
  <c r="M47" i="29"/>
  <c r="Q1" i="29"/>
  <c r="M79" i="29"/>
  <c r="M59" i="29"/>
  <c r="M77" i="29"/>
  <c r="M57" i="29"/>
  <c r="M91" i="29"/>
  <c r="M76" i="29"/>
  <c r="M69" i="29"/>
  <c r="M54" i="29"/>
  <c r="M6" i="29"/>
  <c r="M72" i="29"/>
  <c r="M50" i="29"/>
  <c r="M20" i="29"/>
  <c r="M10" i="29"/>
  <c r="M94" i="29"/>
  <c r="M64" i="29"/>
  <c r="M42" i="29"/>
  <c r="M19" i="29"/>
  <c r="M9" i="29"/>
  <c r="M92" i="29"/>
  <c r="M70" i="29"/>
  <c r="M55" i="29"/>
  <c r="M48" i="29"/>
  <c r="M17" i="29"/>
  <c r="M7" i="29"/>
  <c r="M93" i="29"/>
  <c r="M41" i="29"/>
  <c r="M16" i="29"/>
  <c r="M5" i="29"/>
  <c r="M71" i="29"/>
  <c r="M62" i="29"/>
  <c r="M45" i="29"/>
  <c r="M22" i="29"/>
  <c r="M80" i="29"/>
  <c r="M53" i="29"/>
  <c r="M96" i="29"/>
  <c r="M88" i="29"/>
  <c r="M21" i="29"/>
  <c r="M86" i="29"/>
  <c r="M60" i="29"/>
  <c r="M18" i="29"/>
  <c r="M82" i="29"/>
  <c r="M61" i="29"/>
  <c r="M51" i="29"/>
  <c r="M49" i="29"/>
  <c r="M81" i="29"/>
  <c r="M65" i="29"/>
  <c r="M11" i="29"/>
  <c r="M75" i="29"/>
  <c r="M85" i="29"/>
  <c r="M63" i="29"/>
  <c r="M52" i="29"/>
  <c r="M40" i="29"/>
  <c r="M84" i="29"/>
  <c r="M74" i="29"/>
  <c r="M8" i="29"/>
  <c r="M95" i="29"/>
  <c r="M83" i="29"/>
  <c r="M73" i="29"/>
  <c r="M15" i="29"/>
  <c r="M58" i="29"/>
  <c r="N49" i="47"/>
  <c r="N28" i="42"/>
  <c r="N40" i="42"/>
  <c r="N69" i="42"/>
  <c r="M46" i="29"/>
  <c r="N47" i="46"/>
  <c r="N73" i="42"/>
  <c r="N50" i="47"/>
  <c r="N41" i="42"/>
  <c r="N81" i="42"/>
  <c r="M89" i="29"/>
  <c r="P78" i="32"/>
  <c r="P58" i="32"/>
  <c r="P68" i="32"/>
  <c r="P48" i="32"/>
  <c r="P84" i="32"/>
  <c r="P62" i="32"/>
  <c r="P40" i="32"/>
  <c r="P72" i="32"/>
  <c r="P50" i="32"/>
  <c r="P10" i="32"/>
  <c r="P71" i="32"/>
  <c r="P49" i="32"/>
  <c r="P16" i="32"/>
  <c r="P70" i="32"/>
  <c r="P47" i="32"/>
  <c r="P87" i="32"/>
  <c r="P65" i="32"/>
  <c r="P43" i="32"/>
  <c r="P75" i="32"/>
  <c r="P44" i="32"/>
  <c r="P6" i="32"/>
  <c r="P86" i="32"/>
  <c r="P57" i="32"/>
  <c r="P85" i="32"/>
  <c r="P56" i="32"/>
  <c r="P17" i="32"/>
  <c r="P83" i="32"/>
  <c r="P55" i="32"/>
  <c r="P9" i="32"/>
  <c r="P79" i="32"/>
  <c r="P51" i="32"/>
  <c r="P7" i="32"/>
  <c r="P66" i="32"/>
  <c r="P13" i="32"/>
  <c r="P64" i="32"/>
  <c r="P63" i="32"/>
  <c r="P54" i="32"/>
  <c r="P11" i="32"/>
  <c r="P69" i="32"/>
  <c r="P87" i="31"/>
  <c r="P67" i="31"/>
  <c r="P8" i="31"/>
  <c r="P76" i="31"/>
  <c r="P56" i="31"/>
  <c r="P42" i="31"/>
  <c r="P11" i="31"/>
  <c r="P75" i="31"/>
  <c r="P55" i="31"/>
  <c r="P74" i="31"/>
  <c r="P48" i="31"/>
  <c r="P17" i="31"/>
  <c r="T1" i="31"/>
  <c r="P70" i="31"/>
  <c r="P40" i="31"/>
  <c r="P82" i="31"/>
  <c r="P57" i="31"/>
  <c r="P66" i="31"/>
  <c r="P51" i="31"/>
  <c r="P43" i="31"/>
  <c r="P65" i="31"/>
  <c r="P10" i="31"/>
  <c r="P64" i="31"/>
  <c r="P71" i="31"/>
  <c r="P50" i="31"/>
  <c r="P69" i="31"/>
  <c r="P68" i="31"/>
  <c r="P16" i="31"/>
  <c r="P7" i="31"/>
  <c r="P60" i="31"/>
  <c r="P14" i="31"/>
  <c r="P61" i="31"/>
  <c r="P74" i="32"/>
  <c r="M34" i="23"/>
  <c r="M85" i="27"/>
  <c r="M63" i="27"/>
  <c r="M6" i="27"/>
  <c r="M82" i="27"/>
  <c r="M62" i="27"/>
  <c r="M14" i="27"/>
  <c r="M5" i="27"/>
  <c r="M80" i="27"/>
  <c r="M68" i="27"/>
  <c r="M48" i="27"/>
  <c r="M13" i="27"/>
  <c r="M77" i="27"/>
  <c r="M67" i="27"/>
  <c r="M47" i="27"/>
  <c r="Q1" i="27"/>
  <c r="M75" i="27"/>
  <c r="M53" i="27"/>
  <c r="M73" i="27"/>
  <c r="M59" i="27"/>
  <c r="M64" i="27"/>
  <c r="M44" i="27"/>
  <c r="M7" i="27"/>
  <c r="M87" i="27"/>
  <c r="M57" i="27"/>
  <c r="M86" i="27"/>
  <c r="M70" i="27"/>
  <c r="M50" i="27"/>
  <c r="M16" i="27"/>
  <c r="M76" i="27"/>
  <c r="M54" i="27"/>
  <c r="M10" i="27"/>
  <c r="M58" i="27"/>
  <c r="M15" i="27"/>
  <c r="M81" i="27"/>
  <c r="M84" i="27"/>
  <c r="M83" i="27"/>
  <c r="M52" i="27"/>
  <c r="M79" i="27"/>
  <c r="M72" i="27"/>
  <c r="M78" i="27"/>
  <c r="M60" i="27"/>
  <c r="M74" i="27"/>
  <c r="M46" i="27"/>
  <c r="M12" i="27"/>
  <c r="M69" i="27"/>
  <c r="M9" i="27"/>
  <c r="M55" i="27"/>
  <c r="F88" i="34"/>
  <c r="P20" i="34"/>
  <c r="A88" i="32"/>
  <c r="A88" i="27"/>
  <c r="M56" i="27"/>
  <c r="M71" i="27"/>
  <c r="P5" i="31"/>
  <c r="P72" i="31"/>
  <c r="P80" i="32"/>
  <c r="M36" i="23"/>
  <c r="P44" i="31"/>
  <c r="P59" i="32"/>
  <c r="M51" i="27"/>
  <c r="P60" i="32"/>
  <c r="M66" i="27"/>
  <c r="M35" i="23"/>
  <c r="A97" i="29"/>
  <c r="I88" i="41"/>
  <c r="A88" i="26"/>
  <c r="M32" i="23"/>
  <c r="A88" i="22"/>
  <c r="Q1" i="22"/>
  <c r="M32" i="22"/>
  <c r="M35" i="22"/>
  <c r="M37" i="22"/>
  <c r="N53" i="35"/>
  <c r="N9" i="24"/>
  <c r="N19" i="24"/>
  <c r="N59" i="24"/>
  <c r="N79" i="24"/>
  <c r="N87" i="24"/>
  <c r="N12" i="35"/>
  <c r="N54" i="35"/>
  <c r="N46" i="24"/>
  <c r="N66" i="24"/>
  <c r="P57" i="34"/>
  <c r="P77" i="34"/>
  <c r="N53" i="24"/>
  <c r="N73" i="24"/>
  <c r="P30" i="34"/>
  <c r="P40" i="34"/>
  <c r="P58" i="34"/>
  <c r="P78" i="34"/>
  <c r="P59" i="34"/>
  <c r="P79" i="34"/>
  <c r="P8" i="34"/>
  <c r="P88" i="34" s="1"/>
  <c r="H14" i="16" s="1"/>
  <c r="I14" i="16" s="1"/>
  <c r="P18" i="34"/>
  <c r="P61" i="34"/>
  <c r="P81" i="34"/>
  <c r="N48" i="24"/>
  <c r="N68" i="24"/>
  <c r="P43" i="34"/>
  <c r="P63" i="34"/>
  <c r="P83" i="34"/>
  <c r="P33" i="34"/>
  <c r="P44" i="34"/>
  <c r="P64" i="34"/>
  <c r="P84" i="34"/>
  <c r="P45" i="34"/>
  <c r="P65" i="34"/>
  <c r="P85" i="34"/>
  <c r="N16" i="35"/>
  <c r="N56" i="24"/>
  <c r="N76" i="24"/>
  <c r="P11" i="34"/>
  <c r="P47" i="34"/>
  <c r="P67" i="34"/>
  <c r="N17" i="24"/>
  <c r="N51" i="24"/>
  <c r="N71" i="24"/>
  <c r="N52" i="24"/>
  <c r="N72" i="24"/>
  <c r="E54" i="59" l="1"/>
  <c r="E43" i="59"/>
  <c r="E35" i="59"/>
  <c r="E21" i="28"/>
  <c r="I33" i="28" s="1"/>
  <c r="P33" i="28" s="1"/>
  <c r="E28" i="28"/>
  <c r="E37" i="59"/>
  <c r="E65" i="59"/>
  <c r="I18" i="53"/>
  <c r="H18" i="53"/>
  <c r="G18" i="53"/>
  <c r="H24" i="36"/>
  <c r="G24" i="36"/>
  <c r="I24" i="36"/>
  <c r="H26" i="31"/>
  <c r="G26" i="31"/>
  <c r="J26" i="31"/>
  <c r="I26" i="31"/>
  <c r="J29" i="31"/>
  <c r="I29" i="31"/>
  <c r="H29" i="31"/>
  <c r="I28" i="37"/>
  <c r="H28" i="37"/>
  <c r="P28" i="37" s="1"/>
  <c r="N88" i="50"/>
  <c r="H118" i="16" s="1"/>
  <c r="I118" i="16" s="1"/>
  <c r="H19" i="53"/>
  <c r="G19" i="53"/>
  <c r="I19" i="53"/>
  <c r="I27" i="47"/>
  <c r="H27" i="47"/>
  <c r="G27" i="47"/>
  <c r="N27" i="47" s="1"/>
  <c r="H27" i="48"/>
  <c r="I27" i="48"/>
  <c r="J34" i="31"/>
  <c r="I34" i="31"/>
  <c r="I26" i="37"/>
  <c r="H26" i="37"/>
  <c r="G26" i="37"/>
  <c r="G26" i="46"/>
  <c r="I26" i="46"/>
  <c r="H26" i="46"/>
  <c r="H88" i="39"/>
  <c r="N23" i="39"/>
  <c r="H25" i="23"/>
  <c r="G25" i="23"/>
  <c r="F27" i="33"/>
  <c r="H27" i="33"/>
  <c r="G27" i="33"/>
  <c r="P20" i="40"/>
  <c r="H68" i="40"/>
  <c r="E40" i="28"/>
  <c r="N309" i="65"/>
  <c r="AI262" i="65"/>
  <c r="J33" i="32"/>
  <c r="I33" i="32"/>
  <c r="P33" i="32" s="1"/>
  <c r="H28" i="26"/>
  <c r="J28" i="26"/>
  <c r="I28" i="26"/>
  <c r="G28" i="26"/>
  <c r="F28" i="26"/>
  <c r="N277" i="65"/>
  <c r="AI230" i="65"/>
  <c r="I33" i="25"/>
  <c r="J33" i="25"/>
  <c r="AI238" i="65"/>
  <c r="N285" i="65"/>
  <c r="AI118" i="65"/>
  <c r="AC301" i="65"/>
  <c r="O283" i="65"/>
  <c r="AI236" i="65"/>
  <c r="I36" i="24"/>
  <c r="H36" i="24"/>
  <c r="I38" i="24"/>
  <c r="H38" i="24"/>
  <c r="L130" i="65"/>
  <c r="AF313" i="65" s="1"/>
  <c r="AC306" i="65"/>
  <c r="AI123" i="65"/>
  <c r="N130" i="65"/>
  <c r="AG313" i="65" s="1"/>
  <c r="AI231" i="65"/>
  <c r="H21" i="60"/>
  <c r="G21" i="60"/>
  <c r="F21" i="60"/>
  <c r="P21" i="60" s="1"/>
  <c r="G25" i="47"/>
  <c r="I25" i="47"/>
  <c r="H25" i="47"/>
  <c r="I30" i="48"/>
  <c r="H30" i="48"/>
  <c r="H30" i="31"/>
  <c r="J30" i="31"/>
  <c r="I30" i="31"/>
  <c r="I29" i="37"/>
  <c r="H29" i="37"/>
  <c r="P20" i="55"/>
  <c r="F88" i="55"/>
  <c r="F27" i="29"/>
  <c r="G27" i="29"/>
  <c r="H27" i="29"/>
  <c r="H17" i="23"/>
  <c r="G17" i="23"/>
  <c r="M17" i="23" s="1"/>
  <c r="G30" i="33"/>
  <c r="H30" i="33"/>
  <c r="E34" i="28"/>
  <c r="I27" i="26"/>
  <c r="J27" i="26"/>
  <c r="H27" i="26"/>
  <c r="G27" i="26"/>
  <c r="F27" i="26"/>
  <c r="J29" i="25"/>
  <c r="I29" i="25"/>
  <c r="H29" i="25"/>
  <c r="F19" i="27"/>
  <c r="E19" i="27"/>
  <c r="H19" i="27"/>
  <c r="G19" i="27"/>
  <c r="I29" i="24"/>
  <c r="G29" i="24"/>
  <c r="H29" i="24"/>
  <c r="AI103" i="65"/>
  <c r="AC286" i="65"/>
  <c r="AI126" i="65"/>
  <c r="AC266" i="65"/>
  <c r="V313" i="65" s="1"/>
  <c r="M35" i="51"/>
  <c r="N34" i="51"/>
  <c r="F88" i="15"/>
  <c r="M26" i="15"/>
  <c r="E88" i="15"/>
  <c r="M23" i="15"/>
  <c r="M88" i="15" s="1"/>
  <c r="H2" i="16" s="1"/>
  <c r="I2" i="16" s="1"/>
  <c r="L39" i="23"/>
  <c r="M39" i="23" s="1"/>
  <c r="M38" i="23"/>
  <c r="G22" i="60"/>
  <c r="F22" i="60"/>
  <c r="H22" i="60"/>
  <c r="G23" i="48"/>
  <c r="I23" i="48"/>
  <c r="H23" i="48"/>
  <c r="F23" i="48"/>
  <c r="G28" i="36"/>
  <c r="H28" i="36"/>
  <c r="I28" i="36"/>
  <c r="H88" i="43"/>
  <c r="F89" i="43" s="1"/>
  <c r="G23" i="16" s="1"/>
  <c r="J23" i="16" s="1"/>
  <c r="N15" i="43"/>
  <c r="N88" i="43" s="1"/>
  <c r="H23" i="16" s="1"/>
  <c r="I23" i="16" s="1"/>
  <c r="P18" i="60"/>
  <c r="I26" i="54"/>
  <c r="G26" i="54"/>
  <c r="H26" i="54"/>
  <c r="I27" i="46"/>
  <c r="H27" i="46"/>
  <c r="G27" i="46"/>
  <c r="H22" i="23"/>
  <c r="G22" i="23"/>
  <c r="M22" i="23" s="1"/>
  <c r="AI252" i="65"/>
  <c r="N299" i="65"/>
  <c r="I34" i="32"/>
  <c r="P34" i="32" s="1"/>
  <c r="J34" i="32"/>
  <c r="G88" i="41"/>
  <c r="N21" i="41"/>
  <c r="J30" i="25"/>
  <c r="I30" i="25"/>
  <c r="H30" i="25"/>
  <c r="P30" i="25" s="1"/>
  <c r="AI96" i="65"/>
  <c r="H24" i="27"/>
  <c r="G24" i="27"/>
  <c r="M24" i="27" s="1"/>
  <c r="G21" i="27"/>
  <c r="F21" i="27"/>
  <c r="H21" i="27"/>
  <c r="AI108" i="65"/>
  <c r="AC291" i="65"/>
  <c r="F19" i="60"/>
  <c r="H19" i="60"/>
  <c r="G19" i="60"/>
  <c r="P40" i="56"/>
  <c r="H23" i="38"/>
  <c r="J23" i="38"/>
  <c r="F23" i="38"/>
  <c r="I23" i="38"/>
  <c r="G23" i="38"/>
  <c r="I24" i="54"/>
  <c r="H24" i="54"/>
  <c r="G24" i="54"/>
  <c r="H29" i="45"/>
  <c r="I29" i="45"/>
  <c r="G29" i="45"/>
  <c r="G28" i="29"/>
  <c r="H28" i="29"/>
  <c r="F28" i="29"/>
  <c r="H21" i="23"/>
  <c r="G21" i="23"/>
  <c r="H26" i="33"/>
  <c r="F26" i="33"/>
  <c r="G26" i="33"/>
  <c r="H26" i="32"/>
  <c r="J26" i="32"/>
  <c r="I26" i="32"/>
  <c r="G26" i="32"/>
  <c r="J25" i="25"/>
  <c r="I25" i="25"/>
  <c r="G25" i="25"/>
  <c r="N304" i="65"/>
  <c r="AI257" i="65"/>
  <c r="G88" i="22"/>
  <c r="E89" i="22" s="1"/>
  <c r="G3" i="16" s="1"/>
  <c r="J3" i="16" s="1"/>
  <c r="M18" i="22"/>
  <c r="M88" i="22" s="1"/>
  <c r="H3" i="16" s="1"/>
  <c r="I3" i="16" s="1"/>
  <c r="H29" i="27"/>
  <c r="G29" i="27"/>
  <c r="AM297" i="65"/>
  <c r="C297" i="65"/>
  <c r="D344" i="65" s="1"/>
  <c r="I323" i="65" s="1"/>
  <c r="N275" i="65"/>
  <c r="AI228" i="65"/>
  <c r="C310" i="65"/>
  <c r="D357" i="65" s="1"/>
  <c r="I336" i="65" s="1"/>
  <c r="AM310" i="65"/>
  <c r="H33" i="24"/>
  <c r="I33" i="24"/>
  <c r="I266" i="65"/>
  <c r="P313" i="65" s="1"/>
  <c r="G88" i="15"/>
  <c r="P38" i="32"/>
  <c r="N39" i="32"/>
  <c r="P39" i="32" s="1"/>
  <c r="M30" i="15"/>
  <c r="I29" i="47"/>
  <c r="H29" i="47"/>
  <c r="G29" i="47"/>
  <c r="H21" i="53"/>
  <c r="I21" i="53"/>
  <c r="G21" i="53"/>
  <c r="I29" i="54"/>
  <c r="H29" i="54"/>
  <c r="H28" i="31"/>
  <c r="I28" i="31"/>
  <c r="J28" i="31"/>
  <c r="H26" i="23"/>
  <c r="G26" i="23"/>
  <c r="H28" i="33"/>
  <c r="G28" i="33"/>
  <c r="F28" i="33"/>
  <c r="E42" i="28"/>
  <c r="N289" i="65"/>
  <c r="AI242" i="65"/>
  <c r="F22" i="32"/>
  <c r="I22" i="32"/>
  <c r="J22" i="32"/>
  <c r="H22" i="32"/>
  <c r="G22" i="32"/>
  <c r="J39" i="25"/>
  <c r="I39" i="25"/>
  <c r="P39" i="25" s="1"/>
  <c r="H31" i="27"/>
  <c r="G31" i="27"/>
  <c r="AC130" i="65"/>
  <c r="AK313" i="65" s="1"/>
  <c r="AI101" i="65"/>
  <c r="C307" i="65"/>
  <c r="D354" i="65" s="1"/>
  <c r="I333" i="65" s="1"/>
  <c r="AM307" i="65"/>
  <c r="G26" i="24"/>
  <c r="I26" i="24"/>
  <c r="H26" i="24"/>
  <c r="AI239" i="65"/>
  <c r="AI106" i="65"/>
  <c r="J30" i="38"/>
  <c r="I30" i="38"/>
  <c r="H30" i="38"/>
  <c r="P30" i="38" s="1"/>
  <c r="N88" i="49"/>
  <c r="H112" i="16" s="1"/>
  <c r="I112" i="16" s="1"/>
  <c r="G22" i="54"/>
  <c r="H22" i="54"/>
  <c r="I22" i="54"/>
  <c r="I35" i="31"/>
  <c r="J35" i="31"/>
  <c r="G25" i="46"/>
  <c r="I25" i="46"/>
  <c r="H25" i="46"/>
  <c r="P27" i="55"/>
  <c r="H88" i="55"/>
  <c r="G23" i="29"/>
  <c r="F23" i="29"/>
  <c r="E23" i="29"/>
  <c r="H23" i="29"/>
  <c r="G19" i="23"/>
  <c r="H19" i="23"/>
  <c r="E27" i="28"/>
  <c r="J30" i="32"/>
  <c r="I30" i="32"/>
  <c r="H30" i="32"/>
  <c r="J20" i="32"/>
  <c r="I20" i="32"/>
  <c r="H20" i="32"/>
  <c r="G20" i="32"/>
  <c r="F20" i="32"/>
  <c r="P20" i="32" s="1"/>
  <c r="J24" i="26"/>
  <c r="H24" i="26"/>
  <c r="I24" i="26"/>
  <c r="G24" i="26"/>
  <c r="F24" i="26"/>
  <c r="H88" i="41"/>
  <c r="N28" i="41"/>
  <c r="N294" i="65"/>
  <c r="AI247" i="65"/>
  <c r="AM303" i="65"/>
  <c r="C303" i="65"/>
  <c r="D350" i="65" s="1"/>
  <c r="I329" i="65" s="1"/>
  <c r="AC281" i="65"/>
  <c r="AI98" i="65"/>
  <c r="AI105" i="65"/>
  <c r="H37" i="24"/>
  <c r="I37" i="24"/>
  <c r="AM294" i="65"/>
  <c r="C294" i="65"/>
  <c r="D341" i="65" s="1"/>
  <c r="I320" i="65" s="1"/>
  <c r="B311" i="65"/>
  <c r="B358" i="65" s="1"/>
  <c r="G337" i="65" s="1"/>
  <c r="X311" i="65"/>
  <c r="AM308" i="65"/>
  <c r="C308" i="65"/>
  <c r="D355" i="65" s="1"/>
  <c r="I334" i="65" s="1"/>
  <c r="P38" i="31"/>
  <c r="N39" i="31"/>
  <c r="P39" i="31" s="1"/>
  <c r="P26" i="61"/>
  <c r="H27" i="61"/>
  <c r="P32" i="61"/>
  <c r="I88" i="61"/>
  <c r="H22" i="53"/>
  <c r="G22" i="53"/>
  <c r="I22" i="53"/>
  <c r="P26" i="62"/>
  <c r="H20" i="60"/>
  <c r="G20" i="60"/>
  <c r="F20" i="60"/>
  <c r="G29" i="36"/>
  <c r="I29" i="36"/>
  <c r="H29" i="36"/>
  <c r="I88" i="57"/>
  <c r="E67" i="59"/>
  <c r="E71" i="59"/>
  <c r="P37" i="54"/>
  <c r="I38" i="54"/>
  <c r="J32" i="31"/>
  <c r="I32" i="31"/>
  <c r="F21" i="37"/>
  <c r="G21" i="37"/>
  <c r="I21" i="37"/>
  <c r="H21" i="37"/>
  <c r="I28" i="46"/>
  <c r="H28" i="46"/>
  <c r="G28" i="46"/>
  <c r="H24" i="45"/>
  <c r="G24" i="45"/>
  <c r="N24" i="45" s="1"/>
  <c r="I24" i="45"/>
  <c r="G20" i="23"/>
  <c r="H20" i="23"/>
  <c r="E23" i="28"/>
  <c r="H29" i="28" s="1"/>
  <c r="J24" i="32"/>
  <c r="I24" i="32"/>
  <c r="H24" i="32"/>
  <c r="G24" i="32"/>
  <c r="F22" i="26"/>
  <c r="P22" i="26" s="1"/>
  <c r="I22" i="26"/>
  <c r="H22" i="26"/>
  <c r="G22" i="26"/>
  <c r="J22" i="26"/>
  <c r="I36" i="25"/>
  <c r="J36" i="25"/>
  <c r="AI117" i="65"/>
  <c r="I31" i="24"/>
  <c r="H31" i="24"/>
  <c r="G31" i="24"/>
  <c r="AI229" i="65"/>
  <c r="F88" i="59"/>
  <c r="P18" i="59"/>
  <c r="I31" i="31"/>
  <c r="H31" i="31"/>
  <c r="J31" i="31"/>
  <c r="F23" i="31"/>
  <c r="I23" i="31"/>
  <c r="G23" i="31"/>
  <c r="J23" i="31"/>
  <c r="H23" i="31"/>
  <c r="H27" i="37"/>
  <c r="I27" i="37"/>
  <c r="I28" i="45"/>
  <c r="H28" i="45"/>
  <c r="G28" i="45"/>
  <c r="N31" i="39"/>
  <c r="I88" i="39"/>
  <c r="G31" i="29"/>
  <c r="H31" i="29"/>
  <c r="H26" i="29"/>
  <c r="G26" i="29"/>
  <c r="F26" i="29"/>
  <c r="G24" i="23"/>
  <c r="H24" i="23"/>
  <c r="I19" i="32"/>
  <c r="H19" i="32"/>
  <c r="F19" i="32"/>
  <c r="J19" i="32"/>
  <c r="G19" i="32"/>
  <c r="J23" i="32"/>
  <c r="I23" i="32"/>
  <c r="G23" i="32"/>
  <c r="F23" i="32"/>
  <c r="H23" i="32"/>
  <c r="J30" i="26"/>
  <c r="G30" i="26"/>
  <c r="F30" i="26"/>
  <c r="I30" i="26"/>
  <c r="H30" i="26"/>
  <c r="N284" i="65"/>
  <c r="AI237" i="65"/>
  <c r="AC278" i="65"/>
  <c r="AI95" i="65"/>
  <c r="I24" i="24"/>
  <c r="F24" i="24"/>
  <c r="G24" i="24"/>
  <c r="H24" i="24"/>
  <c r="AI110" i="65"/>
  <c r="K29" i="23"/>
  <c r="M28" i="23"/>
  <c r="G23" i="53"/>
  <c r="I23" i="53"/>
  <c r="H23" i="53"/>
  <c r="I25" i="36"/>
  <c r="H25" i="36"/>
  <c r="G25" i="36"/>
  <c r="G24" i="37"/>
  <c r="I24" i="37"/>
  <c r="H24" i="37"/>
  <c r="G16" i="23"/>
  <c r="M16" i="23" s="1"/>
  <c r="H16" i="23"/>
  <c r="G68" i="40"/>
  <c r="P17" i="40"/>
  <c r="E30" i="28"/>
  <c r="E38" i="28"/>
  <c r="I35" i="32"/>
  <c r="J35" i="32"/>
  <c r="H31" i="32"/>
  <c r="J31" i="32"/>
  <c r="I31" i="32"/>
  <c r="N266" i="65"/>
  <c r="R313" i="65" s="1"/>
  <c r="F22" i="25"/>
  <c r="J22" i="25"/>
  <c r="I22" i="25"/>
  <c r="C287" i="65"/>
  <c r="D334" i="65" s="1"/>
  <c r="AM287" i="65"/>
  <c r="AI254" i="65"/>
  <c r="I28" i="47"/>
  <c r="G28" i="47"/>
  <c r="H28" i="47"/>
  <c r="N43" i="56"/>
  <c r="P43" i="56" s="1"/>
  <c r="P42" i="56"/>
  <c r="H24" i="31"/>
  <c r="J24" i="31"/>
  <c r="G24" i="31"/>
  <c r="I24" i="31"/>
  <c r="H20" i="31"/>
  <c r="J20" i="31"/>
  <c r="I20" i="31"/>
  <c r="F20" i="31"/>
  <c r="G20" i="31"/>
  <c r="H30" i="45"/>
  <c r="N30" i="45" s="1"/>
  <c r="I30" i="45"/>
  <c r="H23" i="23"/>
  <c r="G23" i="23"/>
  <c r="I20" i="35"/>
  <c r="I21" i="35" s="1"/>
  <c r="I22" i="35" s="1"/>
  <c r="I23" i="35" s="1"/>
  <c r="I24" i="35" s="1"/>
  <c r="I25" i="35" s="1"/>
  <c r="I26" i="35" s="1"/>
  <c r="I27" i="35" s="1"/>
  <c r="I28" i="35" s="1"/>
  <c r="I29" i="35" s="1"/>
  <c r="I30" i="35" s="1"/>
  <c r="E24" i="28"/>
  <c r="E33" i="28"/>
  <c r="AI94" i="65"/>
  <c r="H31" i="25"/>
  <c r="I31" i="25"/>
  <c r="J31" i="25"/>
  <c r="AI244" i="65"/>
  <c r="O306" i="65"/>
  <c r="AI259" i="65"/>
  <c r="I130" i="65"/>
  <c r="AE313" i="65" s="1"/>
  <c r="AI121" i="65"/>
  <c r="X305" i="65"/>
  <c r="B305" i="65"/>
  <c r="B352" i="65" s="1"/>
  <c r="G331" i="65" s="1"/>
  <c r="N35" i="62"/>
  <c r="P34" i="62"/>
  <c r="I29" i="38"/>
  <c r="J29" i="38"/>
  <c r="H29" i="38"/>
  <c r="P37" i="58"/>
  <c r="N38" i="58"/>
  <c r="H24" i="53"/>
  <c r="I24" i="53"/>
  <c r="G23" i="60"/>
  <c r="P23" i="60" s="1"/>
  <c r="H23" i="60"/>
  <c r="P23" i="40"/>
  <c r="M24" i="40"/>
  <c r="F25" i="48"/>
  <c r="I25" i="48"/>
  <c r="H25" i="48"/>
  <c r="G25" i="48"/>
  <c r="I31" i="38"/>
  <c r="J31" i="38"/>
  <c r="I28" i="54"/>
  <c r="H28" i="54"/>
  <c r="J36" i="31"/>
  <c r="I36" i="31"/>
  <c r="I25" i="37"/>
  <c r="H25" i="37"/>
  <c r="G25" i="37"/>
  <c r="I24" i="46"/>
  <c r="G24" i="46"/>
  <c r="H24" i="46"/>
  <c r="H30" i="29"/>
  <c r="G30" i="29"/>
  <c r="H15" i="23"/>
  <c r="G15" i="23"/>
  <c r="F88" i="35"/>
  <c r="N19" i="35"/>
  <c r="H25" i="33"/>
  <c r="G25" i="33"/>
  <c r="F25" i="33"/>
  <c r="I32" i="32"/>
  <c r="J32" i="32"/>
  <c r="H25" i="32"/>
  <c r="G25" i="32"/>
  <c r="I25" i="32"/>
  <c r="J25" i="32"/>
  <c r="H32" i="26"/>
  <c r="F32" i="26"/>
  <c r="I32" i="26"/>
  <c r="J32" i="26"/>
  <c r="G32" i="26"/>
  <c r="I37" i="25"/>
  <c r="P37" i="25" s="1"/>
  <c r="J37" i="25"/>
  <c r="F88" i="57"/>
  <c r="P18" i="57"/>
  <c r="H25" i="27"/>
  <c r="G25" i="27"/>
  <c r="M25" i="27" s="1"/>
  <c r="E17" i="27"/>
  <c r="H17" i="27"/>
  <c r="G17" i="27"/>
  <c r="F17" i="27"/>
  <c r="I28" i="24"/>
  <c r="H28" i="24"/>
  <c r="G28" i="24"/>
  <c r="I34" i="24"/>
  <c r="H34" i="24"/>
  <c r="AI107" i="65"/>
  <c r="C272" i="65"/>
  <c r="D319" i="65" s="1"/>
  <c r="AM272" i="65"/>
  <c r="AI91" i="65"/>
  <c r="I26" i="48"/>
  <c r="H26" i="48"/>
  <c r="H24" i="60"/>
  <c r="G24" i="60"/>
  <c r="N42" i="57"/>
  <c r="P41" i="57"/>
  <c r="I31" i="59"/>
  <c r="P30" i="59"/>
  <c r="I23" i="47"/>
  <c r="H23" i="47"/>
  <c r="G23" i="47"/>
  <c r="F23" i="47"/>
  <c r="K24" i="54"/>
  <c r="I30" i="54"/>
  <c r="H30" i="54"/>
  <c r="P30" i="54" s="1"/>
  <c r="G29" i="46"/>
  <c r="I29" i="46"/>
  <c r="H29" i="46"/>
  <c r="H26" i="45"/>
  <c r="G26" i="45"/>
  <c r="I26" i="45"/>
  <c r="G18" i="23"/>
  <c r="H18" i="23"/>
  <c r="G20" i="35"/>
  <c r="S266" i="65"/>
  <c r="S313" i="65" s="1"/>
  <c r="S272" i="65"/>
  <c r="J29" i="32"/>
  <c r="I29" i="32"/>
  <c r="H29" i="32"/>
  <c r="AM282" i="65"/>
  <c r="C282" i="65"/>
  <c r="D329" i="65" s="1"/>
  <c r="J34" i="25"/>
  <c r="I34" i="25"/>
  <c r="H26" i="27"/>
  <c r="G26" i="27"/>
  <c r="AI265" i="65"/>
  <c r="N312" i="65"/>
  <c r="C312" i="65"/>
  <c r="D359" i="65" s="1"/>
  <c r="I338" i="65" s="1"/>
  <c r="AM312" i="65"/>
  <c r="AM273" i="65"/>
  <c r="C273" i="65"/>
  <c r="D320" i="65" s="1"/>
  <c r="AI225" i="65"/>
  <c r="AM305" i="65"/>
  <c r="C305" i="65"/>
  <c r="D352" i="65" s="1"/>
  <c r="I331" i="65" s="1"/>
  <c r="M29" i="62"/>
  <c r="P28" i="62"/>
  <c r="I30" i="47"/>
  <c r="H30" i="47"/>
  <c r="J22" i="38"/>
  <c r="G22" i="38"/>
  <c r="H22" i="38"/>
  <c r="F22" i="38"/>
  <c r="I22" i="38"/>
  <c r="P27" i="62"/>
  <c r="I31" i="54"/>
  <c r="H31" i="54"/>
  <c r="J27" i="31"/>
  <c r="I27" i="31"/>
  <c r="H27" i="31"/>
  <c r="F21" i="31"/>
  <c r="I21" i="31"/>
  <c r="H21" i="31"/>
  <c r="G21" i="31"/>
  <c r="J21" i="31"/>
  <c r="H22" i="37"/>
  <c r="G22" i="37"/>
  <c r="I22" i="37"/>
  <c r="F22" i="37"/>
  <c r="G24" i="29"/>
  <c r="F24" i="29"/>
  <c r="H24" i="29"/>
  <c r="H20" i="35"/>
  <c r="H21" i="35" s="1"/>
  <c r="H22" i="35" s="1"/>
  <c r="P25" i="62"/>
  <c r="G25" i="28"/>
  <c r="G88" i="28" s="1"/>
  <c r="I27" i="28"/>
  <c r="X300" i="65"/>
  <c r="B300" i="65"/>
  <c r="B347" i="65" s="1"/>
  <c r="G326" i="65" s="1"/>
  <c r="J27" i="32"/>
  <c r="H27" i="32"/>
  <c r="I27" i="32"/>
  <c r="J29" i="26"/>
  <c r="G29" i="26"/>
  <c r="I29" i="26"/>
  <c r="H29" i="26"/>
  <c r="F29" i="26"/>
  <c r="N17" i="41"/>
  <c r="N88" i="41" s="1"/>
  <c r="H21" i="16" s="1"/>
  <c r="I21" i="16" s="1"/>
  <c r="F88" i="41"/>
  <c r="J26" i="25"/>
  <c r="G26" i="25"/>
  <c r="I26" i="25"/>
  <c r="J27" i="25"/>
  <c r="H27" i="25"/>
  <c r="I27" i="25"/>
  <c r="G27" i="27"/>
  <c r="H27" i="27"/>
  <c r="B293" i="65"/>
  <c r="B340" i="65" s="1"/>
  <c r="G319" i="65" s="1"/>
  <c r="X293" i="65"/>
  <c r="X280" i="65"/>
  <c r="B280" i="65"/>
  <c r="B327" i="65" s="1"/>
  <c r="I32" i="24"/>
  <c r="H32" i="24"/>
  <c r="N32" i="24" s="1"/>
  <c r="AC296" i="65"/>
  <c r="AI113" i="65"/>
  <c r="AI119" i="65"/>
  <c r="B266" i="65"/>
  <c r="N313" i="65" s="1"/>
  <c r="H17" i="53"/>
  <c r="F17" i="53"/>
  <c r="I17" i="53"/>
  <c r="G17" i="53"/>
  <c r="I29" i="48"/>
  <c r="H29" i="48"/>
  <c r="J32" i="38"/>
  <c r="I32" i="38"/>
  <c r="F88" i="54"/>
  <c r="P20" i="54"/>
  <c r="I19" i="37"/>
  <c r="H19" i="37"/>
  <c r="G19" i="37"/>
  <c r="F19" i="37"/>
  <c r="H29" i="33"/>
  <c r="G29" i="33"/>
  <c r="F29" i="33"/>
  <c r="H21" i="32"/>
  <c r="J21" i="32"/>
  <c r="I21" i="32"/>
  <c r="G21" i="32"/>
  <c r="F21" i="32"/>
  <c r="B310" i="65"/>
  <c r="B357" i="65" s="1"/>
  <c r="G336" i="65" s="1"/>
  <c r="X310" i="65"/>
  <c r="I19" i="25"/>
  <c r="F19" i="25"/>
  <c r="J19" i="25"/>
  <c r="I38" i="25"/>
  <c r="J38" i="25"/>
  <c r="H30" i="27"/>
  <c r="G30" i="27"/>
  <c r="AI226" i="65"/>
  <c r="O273" i="65"/>
  <c r="P19" i="56"/>
  <c r="G88" i="56"/>
  <c r="C275" i="65"/>
  <c r="D322" i="65" s="1"/>
  <c r="AM275" i="65"/>
  <c r="P34" i="40"/>
  <c r="N35" i="40"/>
  <c r="I26" i="47"/>
  <c r="H26" i="47"/>
  <c r="G26" i="47"/>
  <c r="I27" i="36"/>
  <c r="H27" i="36"/>
  <c r="G27" i="36"/>
  <c r="I26" i="36"/>
  <c r="H26" i="36"/>
  <c r="G26" i="36"/>
  <c r="I23" i="36"/>
  <c r="F23" i="36"/>
  <c r="H23" i="36"/>
  <c r="G23" i="36"/>
  <c r="I25" i="38"/>
  <c r="G25" i="38"/>
  <c r="J25" i="38"/>
  <c r="H25" i="38"/>
  <c r="I20" i="37"/>
  <c r="H20" i="37"/>
  <c r="G20" i="37"/>
  <c r="F20" i="37"/>
  <c r="P20" i="37" s="1"/>
  <c r="H27" i="45"/>
  <c r="G27" i="45"/>
  <c r="N27" i="45" s="1"/>
  <c r="I27" i="45"/>
  <c r="H25" i="29"/>
  <c r="G25" i="29"/>
  <c r="F25" i="29"/>
  <c r="F23" i="33"/>
  <c r="E23" i="33"/>
  <c r="G23" i="33"/>
  <c r="H23" i="33"/>
  <c r="I28" i="32"/>
  <c r="H28" i="32"/>
  <c r="J28" i="32"/>
  <c r="J23" i="26"/>
  <c r="H23" i="26"/>
  <c r="F23" i="26"/>
  <c r="G23" i="26"/>
  <c r="I23" i="26"/>
  <c r="AI250" i="65"/>
  <c r="N297" i="65"/>
  <c r="I20" i="25"/>
  <c r="F20" i="25"/>
  <c r="P20" i="25" s="1"/>
  <c r="J20" i="25"/>
  <c r="J32" i="25"/>
  <c r="I32" i="25"/>
  <c r="P32" i="25" s="1"/>
  <c r="G23" i="27"/>
  <c r="H23" i="27"/>
  <c r="B303" i="65"/>
  <c r="B350" i="65" s="1"/>
  <c r="G329" i="65" s="1"/>
  <c r="X303" i="65"/>
  <c r="B290" i="65"/>
  <c r="B337" i="65" s="1"/>
  <c r="X290" i="65"/>
  <c r="N302" i="65"/>
  <c r="AI255" i="65"/>
  <c r="AI249" i="65"/>
  <c r="O296" i="65"/>
  <c r="AI232" i="65"/>
  <c r="N279" i="65"/>
  <c r="AI109" i="65"/>
  <c r="AM280" i="65"/>
  <c r="C280" i="65"/>
  <c r="D327" i="65" s="1"/>
  <c r="G24" i="47"/>
  <c r="I24" i="47"/>
  <c r="H24" i="47"/>
  <c r="J27" i="38"/>
  <c r="I27" i="38"/>
  <c r="G27" i="38"/>
  <c r="H27" i="38"/>
  <c r="H27" i="54"/>
  <c r="I27" i="54"/>
  <c r="G27" i="54"/>
  <c r="P27" i="54" s="1"/>
  <c r="J19" i="31"/>
  <c r="I19" i="31"/>
  <c r="F19" i="31"/>
  <c r="H19" i="31"/>
  <c r="G19" i="31"/>
  <c r="H30" i="46"/>
  <c r="I30" i="46"/>
  <c r="F88" i="39"/>
  <c r="N15" i="39"/>
  <c r="N88" i="39" s="1"/>
  <c r="H19" i="16" s="1"/>
  <c r="I19" i="16" s="1"/>
  <c r="H29" i="29"/>
  <c r="G29" i="29"/>
  <c r="F29" i="29"/>
  <c r="H24" i="33"/>
  <c r="G24" i="33"/>
  <c r="F24" i="33"/>
  <c r="M24" i="33" s="1"/>
  <c r="J23" i="25"/>
  <c r="I23" i="25"/>
  <c r="F23" i="25"/>
  <c r="I35" i="25"/>
  <c r="J35" i="25"/>
  <c r="G88" i="57"/>
  <c r="P20" i="57"/>
  <c r="G28" i="27"/>
  <c r="H28" i="27"/>
  <c r="G27" i="24"/>
  <c r="I27" i="24"/>
  <c r="H27" i="24"/>
  <c r="H35" i="24"/>
  <c r="I35" i="24"/>
  <c r="AC276" i="65"/>
  <c r="AI93" i="65"/>
  <c r="AI260" i="65"/>
  <c r="E130" i="65"/>
  <c r="AD313" i="65" s="1"/>
  <c r="H25" i="60"/>
  <c r="G25" i="60"/>
  <c r="P25" i="60" s="1"/>
  <c r="J24" i="38"/>
  <c r="I24" i="38"/>
  <c r="H24" i="38"/>
  <c r="F24" i="38"/>
  <c r="G24" i="38"/>
  <c r="G26" i="38"/>
  <c r="H26" i="38"/>
  <c r="J26" i="38"/>
  <c r="I26" i="38"/>
  <c r="H32" i="54"/>
  <c r="I32" i="54"/>
  <c r="I31" i="26"/>
  <c r="F31" i="26"/>
  <c r="J31" i="26"/>
  <c r="G31" i="26"/>
  <c r="H31" i="26"/>
  <c r="I26" i="26"/>
  <c r="F26" i="26"/>
  <c r="J26" i="26"/>
  <c r="H26" i="26"/>
  <c r="G26" i="26"/>
  <c r="F18" i="27"/>
  <c r="G18" i="27"/>
  <c r="E18" i="27"/>
  <c r="H18" i="27"/>
  <c r="AI245" i="65"/>
  <c r="I30" i="36"/>
  <c r="H30" i="36"/>
  <c r="H20" i="53"/>
  <c r="I20" i="53"/>
  <c r="G20" i="53"/>
  <c r="H28" i="48"/>
  <c r="I28" i="48"/>
  <c r="F88" i="61"/>
  <c r="P18" i="61"/>
  <c r="H22" i="31"/>
  <c r="G22" i="31"/>
  <c r="F22" i="31"/>
  <c r="J22" i="31"/>
  <c r="I22" i="31"/>
  <c r="I30" i="37"/>
  <c r="H30" i="37"/>
  <c r="H23" i="46"/>
  <c r="G23" i="46"/>
  <c r="G88" i="46" s="1"/>
  <c r="F23" i="46"/>
  <c r="I23" i="46"/>
  <c r="P32" i="55"/>
  <c r="I88" i="55"/>
  <c r="P18" i="58"/>
  <c r="F88" i="58"/>
  <c r="F89" i="58" s="1"/>
  <c r="G105" i="16" s="1"/>
  <c r="J105" i="16" s="1"/>
  <c r="I24" i="48"/>
  <c r="H24" i="48"/>
  <c r="G24" i="48"/>
  <c r="F24" i="48"/>
  <c r="F19" i="42"/>
  <c r="N19" i="42" s="1"/>
  <c r="N17" i="42"/>
  <c r="N88" i="42" s="1"/>
  <c r="H22" i="16" s="1"/>
  <c r="I22" i="16" s="1"/>
  <c r="J21" i="38"/>
  <c r="I21" i="38"/>
  <c r="H21" i="38"/>
  <c r="G21" i="38"/>
  <c r="F21" i="38"/>
  <c r="I23" i="54"/>
  <c r="H23" i="54"/>
  <c r="G23" i="54"/>
  <c r="P23" i="54" s="1"/>
  <c r="J33" i="31"/>
  <c r="I33" i="31"/>
  <c r="F23" i="37"/>
  <c r="I23" i="37"/>
  <c r="H23" i="37"/>
  <c r="G23" i="37"/>
  <c r="I25" i="45"/>
  <c r="H25" i="45"/>
  <c r="G25" i="45"/>
  <c r="J36" i="32"/>
  <c r="I36" i="32"/>
  <c r="G25" i="26"/>
  <c r="J25" i="26"/>
  <c r="I25" i="26"/>
  <c r="H25" i="26"/>
  <c r="F25" i="26"/>
  <c r="P25" i="26" s="1"/>
  <c r="I21" i="26"/>
  <c r="F21" i="26"/>
  <c r="H21" i="26"/>
  <c r="G21" i="26"/>
  <c r="J21" i="26"/>
  <c r="AI240" i="65"/>
  <c r="N287" i="65"/>
  <c r="I24" i="25"/>
  <c r="G24" i="25"/>
  <c r="J24" i="25"/>
  <c r="G22" i="27"/>
  <c r="H22" i="27"/>
  <c r="F22" i="27"/>
  <c r="N308" i="65"/>
  <c r="AI261" i="65"/>
  <c r="N295" i="65"/>
  <c r="AI248" i="65"/>
  <c r="V130" i="65"/>
  <c r="AI313" i="65" s="1"/>
  <c r="T272" i="65"/>
  <c r="V266" i="65"/>
  <c r="T313" i="65" s="1"/>
  <c r="H25" i="24"/>
  <c r="I25" i="24"/>
  <c r="G25" i="24"/>
  <c r="P14" i="56"/>
  <c r="F88" i="56"/>
  <c r="G28" i="38"/>
  <c r="J28" i="38"/>
  <c r="I28" i="38"/>
  <c r="H28" i="38"/>
  <c r="G25" i="54"/>
  <c r="I25" i="54"/>
  <c r="H25" i="54"/>
  <c r="J25" i="31"/>
  <c r="H25" i="31"/>
  <c r="G25" i="31"/>
  <c r="I25" i="31"/>
  <c r="H31" i="37"/>
  <c r="I31" i="37"/>
  <c r="E77" i="44"/>
  <c r="E67" i="44"/>
  <c r="E57" i="44"/>
  <c r="E50" i="44"/>
  <c r="E47" i="44"/>
  <c r="E78" i="44"/>
  <c r="E38" i="44"/>
  <c r="I38" i="44" s="1"/>
  <c r="N38" i="44" s="1"/>
  <c r="E72" i="44"/>
  <c r="E40" i="44"/>
  <c r="I40" i="44" s="1"/>
  <c r="N40" i="44" s="1"/>
  <c r="E31" i="44"/>
  <c r="I31" i="44" s="1"/>
  <c r="N31" i="44" s="1"/>
  <c r="E26" i="44"/>
  <c r="E71" i="44"/>
  <c r="E52" i="44"/>
  <c r="E35" i="44"/>
  <c r="I35" i="44" s="1"/>
  <c r="N35" i="44" s="1"/>
  <c r="E81" i="44"/>
  <c r="E60" i="44"/>
  <c r="E23" i="44"/>
  <c r="E79" i="44"/>
  <c r="E58" i="44"/>
  <c r="E34" i="44"/>
  <c r="I34" i="44" s="1"/>
  <c r="N34" i="44" s="1"/>
  <c r="E30" i="44"/>
  <c r="E68" i="44"/>
  <c r="E56" i="44"/>
  <c r="E36" i="44"/>
  <c r="I36" i="44" s="1"/>
  <c r="N36" i="44" s="1"/>
  <c r="E27" i="44"/>
  <c r="E24" i="44"/>
  <c r="E80" i="44"/>
  <c r="E48" i="44"/>
  <c r="E41" i="44"/>
  <c r="I41" i="44" s="1"/>
  <c r="N41" i="44" s="1"/>
  <c r="E65" i="44"/>
  <c r="E64" i="44"/>
  <c r="E44" i="44"/>
  <c r="E75" i="44"/>
  <c r="E62" i="44"/>
  <c r="E43" i="44"/>
  <c r="E25" i="44"/>
  <c r="E74" i="44"/>
  <c r="E61" i="44"/>
  <c r="E51" i="44"/>
  <c r="E59" i="44"/>
  <c r="E42" i="44"/>
  <c r="I42" i="44" s="1"/>
  <c r="N42" i="44" s="1"/>
  <c r="E49" i="44"/>
  <c r="E28" i="44"/>
  <c r="E66" i="44"/>
  <c r="E53" i="44"/>
  <c r="E63" i="44"/>
  <c r="E73" i="44"/>
  <c r="E39" i="44"/>
  <c r="I39" i="44" s="1"/>
  <c r="N39" i="44" s="1"/>
  <c r="E55" i="44"/>
  <c r="E70" i="44"/>
  <c r="E45" i="44"/>
  <c r="E54" i="44"/>
  <c r="E32" i="44"/>
  <c r="I32" i="44" s="1"/>
  <c r="N32" i="44" s="1"/>
  <c r="E37" i="44"/>
  <c r="I37" i="44" s="1"/>
  <c r="N37" i="44" s="1"/>
  <c r="E76" i="44"/>
  <c r="E46" i="44"/>
  <c r="E33" i="44"/>
  <c r="I33" i="44" s="1"/>
  <c r="N33" i="44" s="1"/>
  <c r="E69" i="44"/>
  <c r="E29" i="44"/>
  <c r="E39" i="28"/>
  <c r="H28" i="25"/>
  <c r="J28" i="25"/>
  <c r="I28" i="25"/>
  <c r="N298" i="65"/>
  <c r="AI251" i="65"/>
  <c r="AI116" i="65"/>
  <c r="AI100" i="65"/>
  <c r="AC285" i="65"/>
  <c r="AI102" i="65"/>
  <c r="C298" i="65"/>
  <c r="D345" i="65" s="1"/>
  <c r="I324" i="65" s="1"/>
  <c r="AM298" i="65"/>
  <c r="I39" i="24"/>
  <c r="H39" i="24"/>
  <c r="AI112" i="65"/>
  <c r="P20" i="56"/>
  <c r="H88" i="56"/>
  <c r="L266" i="65"/>
  <c r="Q313" i="65" s="1"/>
  <c r="X288" i="65"/>
  <c r="B288" i="65"/>
  <c r="B335" i="65" s="1"/>
  <c r="N41" i="37"/>
  <c r="P41" i="37" s="1"/>
  <c r="P40" i="37"/>
  <c r="H23" i="45"/>
  <c r="F23" i="45"/>
  <c r="I23" i="45"/>
  <c r="G23" i="45"/>
  <c r="E39" i="52"/>
  <c r="E33" i="52"/>
  <c r="E18" i="52"/>
  <c r="E38" i="52"/>
  <c r="E30" i="52"/>
  <c r="E20" i="52"/>
  <c r="E31" i="52"/>
  <c r="E23" i="52"/>
  <c r="E29" i="52"/>
  <c r="E21" i="52"/>
  <c r="E34" i="52"/>
  <c r="E25" i="52"/>
  <c r="E32" i="52"/>
  <c r="E22" i="52"/>
  <c r="E43" i="52"/>
  <c r="E17" i="52"/>
  <c r="E28" i="52"/>
  <c r="E37" i="52"/>
  <c r="E27" i="52"/>
  <c r="E41" i="52"/>
  <c r="E36" i="52"/>
  <c r="E24" i="52"/>
  <c r="E40" i="52"/>
  <c r="E19" i="52"/>
  <c r="E42" i="52"/>
  <c r="E35" i="52"/>
  <c r="E26" i="52"/>
  <c r="P11" i="40"/>
  <c r="F68" i="40"/>
  <c r="J21" i="25"/>
  <c r="I21" i="25"/>
  <c r="F21" i="25"/>
  <c r="U272" i="65"/>
  <c r="AA266" i="65"/>
  <c r="U313" i="65" s="1"/>
  <c r="H20" i="27"/>
  <c r="F20" i="27"/>
  <c r="G20" i="27"/>
  <c r="AI128" i="65"/>
  <c r="AC311" i="65"/>
  <c r="I30" i="24"/>
  <c r="H30" i="24"/>
  <c r="G30" i="24"/>
  <c r="AI234" i="65"/>
  <c r="S130" i="65"/>
  <c r="AH313" i="65" s="1"/>
  <c r="AH272" i="65"/>
  <c r="AI227" i="65"/>
  <c r="AA130" i="65"/>
  <c r="AJ313" i="65" s="1"/>
  <c r="AI235" i="65"/>
  <c r="P27" i="38" l="1"/>
  <c r="M25" i="29"/>
  <c r="P24" i="31"/>
  <c r="I39" i="28"/>
  <c r="P39" i="28" s="1"/>
  <c r="I35" i="28"/>
  <c r="P35" i="28" s="1"/>
  <c r="I30" i="28"/>
  <c r="M24" i="23"/>
  <c r="N26" i="46"/>
  <c r="P31" i="37"/>
  <c r="H26" i="28"/>
  <c r="P26" i="28" s="1"/>
  <c r="P26" i="37"/>
  <c r="P24" i="60"/>
  <c r="N26" i="47"/>
  <c r="I26" i="28"/>
  <c r="P21" i="25"/>
  <c r="P25" i="31"/>
  <c r="P36" i="32"/>
  <c r="N24" i="47"/>
  <c r="H27" i="28"/>
  <c r="P27" i="28" s="1"/>
  <c r="H30" i="28"/>
  <c r="P30" i="28" s="1"/>
  <c r="P34" i="31"/>
  <c r="I29" i="28"/>
  <c r="M20" i="27"/>
  <c r="I28" i="28"/>
  <c r="N22" i="53"/>
  <c r="N18" i="53"/>
  <c r="I38" i="28"/>
  <c r="P38" i="28" s="1"/>
  <c r="P32" i="26"/>
  <c r="P25" i="37"/>
  <c r="N28" i="45"/>
  <c r="P29" i="25"/>
  <c r="F89" i="39"/>
  <c r="G19" i="16" s="1"/>
  <c r="J19" i="16" s="1"/>
  <c r="I31" i="28"/>
  <c r="P30" i="26"/>
  <c r="P25" i="54"/>
  <c r="G88" i="60"/>
  <c r="H88" i="31"/>
  <c r="P27" i="32"/>
  <c r="I32" i="28"/>
  <c r="P32" i="28" s="1"/>
  <c r="N29" i="46"/>
  <c r="N34" i="24"/>
  <c r="N26" i="24"/>
  <c r="M26" i="23"/>
  <c r="M26" i="33"/>
  <c r="H88" i="60"/>
  <c r="P23" i="26"/>
  <c r="I37" i="28"/>
  <c r="P37" i="28" s="1"/>
  <c r="G97" i="29"/>
  <c r="P19" i="60"/>
  <c r="N27" i="46"/>
  <c r="P32" i="54"/>
  <c r="H28" i="28"/>
  <c r="P28" i="28" s="1"/>
  <c r="I88" i="31"/>
  <c r="P28" i="32"/>
  <c r="G88" i="36"/>
  <c r="I25" i="28"/>
  <c r="M21" i="23"/>
  <c r="N30" i="48"/>
  <c r="N19" i="53"/>
  <c r="H31" i="28"/>
  <c r="P31" i="28" s="1"/>
  <c r="N28" i="48"/>
  <c r="P24" i="37"/>
  <c r="P34" i="25"/>
  <c r="P28" i="54"/>
  <c r="P88" i="55"/>
  <c r="H67" i="16" s="1"/>
  <c r="I67" i="16" s="1"/>
  <c r="M25" i="23"/>
  <c r="H116" i="33"/>
  <c r="F25" i="28"/>
  <c r="N25" i="24"/>
  <c r="H88" i="26"/>
  <c r="H88" i="46"/>
  <c r="F88" i="27"/>
  <c r="P32" i="32"/>
  <c r="M21" i="27"/>
  <c r="P26" i="54"/>
  <c r="P88" i="56"/>
  <c r="H84" i="16" s="1"/>
  <c r="I84" i="16" s="1"/>
  <c r="G88" i="32"/>
  <c r="I88" i="45"/>
  <c r="P23" i="25"/>
  <c r="N26" i="36"/>
  <c r="H25" i="28"/>
  <c r="M29" i="27"/>
  <c r="N25" i="47"/>
  <c r="P33" i="25"/>
  <c r="P36" i="25"/>
  <c r="B277" i="65"/>
  <c r="B324" i="65" s="1"/>
  <c r="X277" i="65"/>
  <c r="P31" i="26"/>
  <c r="P21" i="32"/>
  <c r="F89" i="41"/>
  <c r="H40" i="52"/>
  <c r="G40" i="52"/>
  <c r="I40" i="52"/>
  <c r="AM283" i="65"/>
  <c r="C283" i="65"/>
  <c r="D330" i="65" s="1"/>
  <c r="B287" i="65"/>
  <c r="B334" i="65" s="1"/>
  <c r="X287" i="65"/>
  <c r="P33" i="31"/>
  <c r="N30" i="46"/>
  <c r="C292" i="65"/>
  <c r="D339" i="65" s="1"/>
  <c r="AM292" i="65"/>
  <c r="P29" i="26"/>
  <c r="P22" i="37"/>
  <c r="P24" i="54"/>
  <c r="P36" i="31"/>
  <c r="P23" i="32"/>
  <c r="M19" i="23"/>
  <c r="AM289" i="65"/>
  <c r="C289" i="65"/>
  <c r="D336" i="65" s="1"/>
  <c r="P25" i="25"/>
  <c r="AM309" i="65"/>
  <c r="C309" i="65"/>
  <c r="D356" i="65" s="1"/>
  <c r="I335" i="65" s="1"/>
  <c r="M30" i="33"/>
  <c r="H38" i="52"/>
  <c r="G38" i="52"/>
  <c r="I38" i="52"/>
  <c r="AM285" i="65"/>
  <c r="C285" i="65"/>
  <c r="D332" i="65" s="1"/>
  <c r="N35" i="24"/>
  <c r="F88" i="53"/>
  <c r="N17" i="53"/>
  <c r="M24" i="29"/>
  <c r="B281" i="65"/>
  <c r="B328" i="65" s="1"/>
  <c r="X281" i="65"/>
  <c r="P28" i="38"/>
  <c r="P23" i="37"/>
  <c r="X297" i="65"/>
  <c r="B297" i="65"/>
  <c r="B344" i="65" s="1"/>
  <c r="G323" i="65" s="1"/>
  <c r="N36" i="40"/>
  <c r="P35" i="40"/>
  <c r="H88" i="53"/>
  <c r="N30" i="24"/>
  <c r="I36" i="52"/>
  <c r="H36" i="52"/>
  <c r="G36" i="52"/>
  <c r="G39" i="52"/>
  <c r="I39" i="52"/>
  <c r="H39" i="52"/>
  <c r="C299" i="65"/>
  <c r="D346" i="65" s="1"/>
  <c r="I325" i="65" s="1"/>
  <c r="AM299" i="65"/>
  <c r="H24" i="44"/>
  <c r="G24" i="44"/>
  <c r="N24" i="44" s="1"/>
  <c r="I24" i="44"/>
  <c r="F89" i="56"/>
  <c r="G84" i="16" s="1"/>
  <c r="J84" i="16" s="1"/>
  <c r="I88" i="46"/>
  <c r="N27" i="24"/>
  <c r="G88" i="31"/>
  <c r="AM302" i="65"/>
  <c r="C302" i="65"/>
  <c r="D349" i="65" s="1"/>
  <c r="I328" i="65" s="1"/>
  <c r="N30" i="47"/>
  <c r="P29" i="32"/>
  <c r="F88" i="47"/>
  <c r="N23" i="47"/>
  <c r="N28" i="24"/>
  <c r="P25" i="32"/>
  <c r="P22" i="25"/>
  <c r="P21" i="37"/>
  <c r="X294" i="65"/>
  <c r="B294" i="65"/>
  <c r="B341" i="65" s="1"/>
  <c r="G320" i="65" s="1"/>
  <c r="H97" i="29"/>
  <c r="X286" i="65"/>
  <c r="B286" i="65"/>
  <c r="B333" i="65" s="1"/>
  <c r="M28" i="33"/>
  <c r="P28" i="26"/>
  <c r="P35" i="62"/>
  <c r="N36" i="62"/>
  <c r="N23" i="53"/>
  <c r="P27" i="37"/>
  <c r="P32" i="31"/>
  <c r="M23" i="29"/>
  <c r="E97" i="29"/>
  <c r="N28" i="36"/>
  <c r="AM286" i="65"/>
  <c r="C286" i="65"/>
  <c r="D333" i="65" s="1"/>
  <c r="B278" i="65"/>
  <c r="B325" i="65" s="1"/>
  <c r="X278" i="65"/>
  <c r="P29" i="31"/>
  <c r="I88" i="53"/>
  <c r="G88" i="45"/>
  <c r="X279" i="65"/>
  <c r="B279" i="65"/>
  <c r="B326" i="65" s="1"/>
  <c r="M29" i="33"/>
  <c r="H88" i="47"/>
  <c r="P20" i="31"/>
  <c r="H28" i="61"/>
  <c r="P27" i="61"/>
  <c r="F97" i="29"/>
  <c r="P26" i="32"/>
  <c r="F88" i="48"/>
  <c r="N23" i="48"/>
  <c r="P23" i="38"/>
  <c r="H88" i="48"/>
  <c r="N29" i="24"/>
  <c r="AM306" i="65"/>
  <c r="C306" i="65"/>
  <c r="D353" i="65" s="1"/>
  <c r="I332" i="65" s="1"/>
  <c r="X274" i="65"/>
  <c r="B274" i="65"/>
  <c r="B321" i="65" s="1"/>
  <c r="K30" i="23"/>
  <c r="M29" i="23"/>
  <c r="H88" i="45"/>
  <c r="I88" i="26"/>
  <c r="F88" i="38"/>
  <c r="P21" i="38"/>
  <c r="P30" i="37"/>
  <c r="X292" i="65"/>
  <c r="B292" i="65"/>
  <c r="B339" i="65" s="1"/>
  <c r="P26" i="38"/>
  <c r="X302" i="65"/>
  <c r="B302" i="65"/>
  <c r="B349" i="65" s="1"/>
  <c r="G328" i="65" s="1"/>
  <c r="I36" i="28"/>
  <c r="P36" i="28" s="1"/>
  <c r="G88" i="27"/>
  <c r="M25" i="33"/>
  <c r="P31" i="38"/>
  <c r="AM304" i="65"/>
  <c r="C304" i="65"/>
  <c r="D351" i="65" s="1"/>
  <c r="I330" i="65" s="1"/>
  <c r="P31" i="32"/>
  <c r="AM293" i="65"/>
  <c r="C293" i="65"/>
  <c r="D340" i="65" s="1"/>
  <c r="I319" i="65" s="1"/>
  <c r="P24" i="32"/>
  <c r="P24" i="26"/>
  <c r="I88" i="48"/>
  <c r="M27" i="29"/>
  <c r="G88" i="48"/>
  <c r="F89" i="55"/>
  <c r="G67" i="16" s="1"/>
  <c r="J67" i="16" s="1"/>
  <c r="H88" i="38"/>
  <c r="M18" i="27"/>
  <c r="P24" i="38"/>
  <c r="P35" i="25"/>
  <c r="H88" i="36"/>
  <c r="G88" i="37"/>
  <c r="G21" i="35"/>
  <c r="N20" i="35"/>
  <c r="M17" i="27"/>
  <c r="E88" i="27"/>
  <c r="B306" i="65"/>
  <c r="B353" i="65" s="1"/>
  <c r="G332" i="65" s="1"/>
  <c r="X306" i="65"/>
  <c r="P35" i="32"/>
  <c r="G88" i="24"/>
  <c r="H88" i="32"/>
  <c r="P23" i="31"/>
  <c r="C284" i="65"/>
  <c r="D331" i="65" s="1"/>
  <c r="AM284" i="65"/>
  <c r="N33" i="24"/>
  <c r="X299" i="65"/>
  <c r="B299" i="65"/>
  <c r="B346" i="65" s="1"/>
  <c r="G325" i="65" s="1"/>
  <c r="N38" i="24"/>
  <c r="P26" i="31"/>
  <c r="G35" i="52"/>
  <c r="I35" i="52"/>
  <c r="H35" i="52"/>
  <c r="F35" i="52"/>
  <c r="N20" i="53"/>
  <c r="C296" i="65"/>
  <c r="D343" i="65" s="1"/>
  <c r="I322" i="65" s="1"/>
  <c r="AM296" i="65"/>
  <c r="F88" i="31"/>
  <c r="P19" i="31"/>
  <c r="X296" i="65"/>
  <c r="B296" i="65"/>
  <c r="B343" i="65" s="1"/>
  <c r="G322" i="65" s="1"/>
  <c r="P25" i="38"/>
  <c r="G88" i="38"/>
  <c r="P31" i="59"/>
  <c r="I32" i="59"/>
  <c r="H29" i="44"/>
  <c r="I29" i="44"/>
  <c r="G29" i="44"/>
  <c r="I88" i="38"/>
  <c r="X273" i="65"/>
  <c r="B273" i="65"/>
  <c r="B320" i="65" s="1"/>
  <c r="P21" i="31"/>
  <c r="X272" i="65"/>
  <c r="B272" i="65"/>
  <c r="B319" i="65" s="1"/>
  <c r="AI266" i="65"/>
  <c r="P28" i="31"/>
  <c r="P22" i="60"/>
  <c r="M19" i="27"/>
  <c r="P29" i="37"/>
  <c r="X309" i="65"/>
  <c r="B309" i="65"/>
  <c r="B356" i="65" s="1"/>
  <c r="G335" i="65" s="1"/>
  <c r="B298" i="65"/>
  <c r="B345" i="65" s="1"/>
  <c r="G324" i="65" s="1"/>
  <c r="X298" i="65"/>
  <c r="G88" i="26"/>
  <c r="G88" i="47"/>
  <c r="N30" i="36"/>
  <c r="P21" i="26"/>
  <c r="F88" i="26"/>
  <c r="F89" i="26" s="1"/>
  <c r="G7" i="16" s="1"/>
  <c r="J7" i="16" s="1"/>
  <c r="P29" i="62"/>
  <c r="M30" i="62"/>
  <c r="I88" i="47"/>
  <c r="I30" i="44"/>
  <c r="H30" i="44"/>
  <c r="N30" i="44" s="1"/>
  <c r="H88" i="37"/>
  <c r="N43" i="57"/>
  <c r="P43" i="57" s="1"/>
  <c r="P42" i="57"/>
  <c r="P88" i="57" s="1"/>
  <c r="H103" i="16" s="1"/>
  <c r="I103" i="16" s="1"/>
  <c r="N24" i="24"/>
  <c r="F88" i="24"/>
  <c r="I88" i="32"/>
  <c r="B295" i="65"/>
  <c r="B342" i="65" s="1"/>
  <c r="G321" i="65" s="1"/>
  <c r="X295" i="65"/>
  <c r="P22" i="31"/>
  <c r="G116" i="33"/>
  <c r="I88" i="36"/>
  <c r="M30" i="27"/>
  <c r="I88" i="37"/>
  <c r="P27" i="31"/>
  <c r="M18" i="23"/>
  <c r="N25" i="48"/>
  <c r="B291" i="65"/>
  <c r="B338" i="65" s="1"/>
  <c r="X291" i="65"/>
  <c r="I88" i="24"/>
  <c r="P31" i="31"/>
  <c r="N25" i="46"/>
  <c r="M31" i="27"/>
  <c r="P29" i="54"/>
  <c r="N36" i="24"/>
  <c r="N27" i="48"/>
  <c r="F88" i="45"/>
  <c r="N23" i="45"/>
  <c r="F23" i="44"/>
  <c r="I23" i="44"/>
  <c r="G23" i="44"/>
  <c r="H23" i="44"/>
  <c r="M23" i="33"/>
  <c r="E116" i="33"/>
  <c r="F88" i="28"/>
  <c r="P25" i="28"/>
  <c r="M15" i="23"/>
  <c r="G88" i="23"/>
  <c r="M25" i="40"/>
  <c r="P24" i="40"/>
  <c r="C278" i="65"/>
  <c r="D325" i="65" s="1"/>
  <c r="AM278" i="65"/>
  <c r="B275" i="65"/>
  <c r="B322" i="65" s="1"/>
  <c r="X275" i="65"/>
  <c r="N24" i="36"/>
  <c r="M26" i="29"/>
  <c r="M20" i="23"/>
  <c r="N29" i="36"/>
  <c r="P35" i="31"/>
  <c r="X283" i="65"/>
  <c r="B283" i="65"/>
  <c r="B330" i="65" s="1"/>
  <c r="F88" i="42"/>
  <c r="F89" i="42" s="1"/>
  <c r="G22" i="16" s="1"/>
  <c r="J22" i="16" s="1"/>
  <c r="M23" i="27"/>
  <c r="P38" i="25"/>
  <c r="P32" i="38"/>
  <c r="P31" i="54"/>
  <c r="N26" i="48"/>
  <c r="M30" i="29"/>
  <c r="P31" i="25"/>
  <c r="B284" i="65"/>
  <c r="B331" i="65" s="1"/>
  <c r="X284" i="65"/>
  <c r="P20" i="60"/>
  <c r="P88" i="60" s="1"/>
  <c r="H126" i="16" s="1"/>
  <c r="I126" i="16" s="1"/>
  <c r="N21" i="53"/>
  <c r="M28" i="29"/>
  <c r="AM291" i="65"/>
  <c r="C291" i="65"/>
  <c r="D338" i="65" s="1"/>
  <c r="P30" i="31"/>
  <c r="I26" i="44"/>
  <c r="G26" i="44"/>
  <c r="H26" i="44"/>
  <c r="H41" i="52"/>
  <c r="I41" i="52"/>
  <c r="G41" i="52"/>
  <c r="F88" i="46"/>
  <c r="N23" i="46"/>
  <c r="M28" i="27"/>
  <c r="I37" i="52"/>
  <c r="G37" i="52"/>
  <c r="H37" i="52"/>
  <c r="P38" i="54"/>
  <c r="I39" i="54"/>
  <c r="P39" i="54" s="1"/>
  <c r="P28" i="25"/>
  <c r="F88" i="37"/>
  <c r="P19" i="37"/>
  <c r="F88" i="32"/>
  <c r="P19" i="32"/>
  <c r="B308" i="65"/>
  <c r="B355" i="65" s="1"/>
  <c r="G334" i="65" s="1"/>
  <c r="X308" i="65"/>
  <c r="N27" i="36"/>
  <c r="H88" i="25"/>
  <c r="P27" i="25"/>
  <c r="I34" i="28"/>
  <c r="P34" i="28" s="1"/>
  <c r="AM277" i="65"/>
  <c r="C277" i="65"/>
  <c r="D324" i="65" s="1"/>
  <c r="X276" i="65"/>
  <c r="B276" i="65"/>
  <c r="B323" i="65" s="1"/>
  <c r="H88" i="54"/>
  <c r="E89" i="15"/>
  <c r="G2" i="16" s="1"/>
  <c r="J2" i="16" s="1"/>
  <c r="P27" i="26"/>
  <c r="I27" i="44"/>
  <c r="G27" i="44"/>
  <c r="H27" i="44"/>
  <c r="AM311" i="65"/>
  <c r="C311" i="65"/>
  <c r="D358" i="65" s="1"/>
  <c r="I337" i="65" s="1"/>
  <c r="H28" i="44"/>
  <c r="G28" i="44"/>
  <c r="I28" i="44"/>
  <c r="H88" i="27"/>
  <c r="H88" i="24"/>
  <c r="N23" i="36"/>
  <c r="F88" i="36"/>
  <c r="G25" i="44"/>
  <c r="I25" i="44"/>
  <c r="H25" i="44"/>
  <c r="F116" i="33"/>
  <c r="M27" i="27"/>
  <c r="N26" i="45"/>
  <c r="F89" i="57"/>
  <c r="G103" i="16" s="1"/>
  <c r="J103" i="16" s="1"/>
  <c r="H88" i="23"/>
  <c r="C295" i="65"/>
  <c r="D342" i="65" s="1"/>
  <c r="I321" i="65" s="1"/>
  <c r="AM295" i="65"/>
  <c r="M22" i="27"/>
  <c r="N25" i="45"/>
  <c r="N24" i="48"/>
  <c r="G155" i="16"/>
  <c r="J155" i="16" s="1"/>
  <c r="P26" i="26"/>
  <c r="X282" i="65"/>
  <c r="B282" i="65"/>
  <c r="B329" i="65" s="1"/>
  <c r="N39" i="24"/>
  <c r="X307" i="65"/>
  <c r="B307" i="65"/>
  <c r="B354" i="65" s="1"/>
  <c r="G333" i="65" s="1"/>
  <c r="M29" i="29"/>
  <c r="F88" i="25"/>
  <c r="P19" i="25"/>
  <c r="N29" i="48"/>
  <c r="X312" i="65"/>
  <c r="B312" i="65"/>
  <c r="B359" i="65" s="1"/>
  <c r="G338" i="65" s="1"/>
  <c r="AM274" i="65"/>
  <c r="C274" i="65"/>
  <c r="D321" i="65" s="1"/>
  <c r="N28" i="47"/>
  <c r="N31" i="24"/>
  <c r="G88" i="54"/>
  <c r="P22" i="54"/>
  <c r="C301" i="65"/>
  <c r="D348" i="65" s="1"/>
  <c r="I327" i="65" s="1"/>
  <c r="AM301" i="65"/>
  <c r="AM276" i="65"/>
  <c r="C276" i="65"/>
  <c r="D323" i="65" s="1"/>
  <c r="I88" i="25"/>
  <c r="M26" i="27"/>
  <c r="N24" i="46"/>
  <c r="N24" i="53"/>
  <c r="M31" i="29"/>
  <c r="N28" i="46"/>
  <c r="N37" i="24"/>
  <c r="P30" i="32"/>
  <c r="N29" i="47"/>
  <c r="N29" i="45"/>
  <c r="M27" i="33"/>
  <c r="G88" i="53"/>
  <c r="P26" i="25"/>
  <c r="P29" i="28"/>
  <c r="N22" i="35"/>
  <c r="H23" i="35"/>
  <c r="P22" i="38"/>
  <c r="AI130" i="65"/>
  <c r="N39" i="58"/>
  <c r="P38" i="58"/>
  <c r="B301" i="65"/>
  <c r="B348" i="65" s="1"/>
  <c r="G327" i="65" s="1"/>
  <c r="X301" i="65"/>
  <c r="AM288" i="65"/>
  <c r="C288" i="65"/>
  <c r="D335" i="65" s="1"/>
  <c r="F88" i="60"/>
  <c r="F89" i="60" s="1"/>
  <c r="G126" i="16" s="1"/>
  <c r="J126" i="16" s="1"/>
  <c r="X285" i="65"/>
  <c r="B285" i="65"/>
  <c r="B332" i="65" s="1"/>
  <c r="N30" i="35"/>
  <c r="I31" i="35"/>
  <c r="N25" i="36"/>
  <c r="AM300" i="65"/>
  <c r="C300" i="65"/>
  <c r="D347" i="65" s="1"/>
  <c r="I326" i="65" s="1"/>
  <c r="C281" i="65"/>
  <c r="D328" i="65" s="1"/>
  <c r="AM281" i="65"/>
  <c r="P22" i="32"/>
  <c r="I42" i="52"/>
  <c r="H42" i="52"/>
  <c r="P24" i="25"/>
  <c r="G88" i="25"/>
  <c r="AM290" i="65"/>
  <c r="C290" i="65"/>
  <c r="D337" i="65" s="1"/>
  <c r="P29" i="38"/>
  <c r="M23" i="23"/>
  <c r="B289" i="65"/>
  <c r="B336" i="65" s="1"/>
  <c r="X289" i="65"/>
  <c r="B304" i="65"/>
  <c r="B351" i="65" s="1"/>
  <c r="G330" i="65" s="1"/>
  <c r="X304" i="65"/>
  <c r="AM279" i="65"/>
  <c r="C279" i="65"/>
  <c r="D326" i="65" s="1"/>
  <c r="M36" i="51"/>
  <c r="N35" i="51"/>
  <c r="N26" i="44" l="1"/>
  <c r="N28" i="44"/>
  <c r="N39" i="52"/>
  <c r="F89" i="45"/>
  <c r="G52" i="16" s="1"/>
  <c r="J52" i="16" s="1"/>
  <c r="E98" i="29"/>
  <c r="G10" i="16" s="1"/>
  <c r="J10" i="16" s="1"/>
  <c r="F89" i="48"/>
  <c r="G88" i="52"/>
  <c r="N37" i="52"/>
  <c r="P88" i="54"/>
  <c r="H60" i="16" s="1"/>
  <c r="I60" i="16" s="1"/>
  <c r="H88" i="28"/>
  <c r="N29" i="44"/>
  <c r="H88" i="52"/>
  <c r="F89" i="25"/>
  <c r="G6" i="16" s="1"/>
  <c r="J6" i="16" s="1"/>
  <c r="N41" i="52"/>
  <c r="M116" i="33"/>
  <c r="H13" i="16" s="1"/>
  <c r="I13" i="16" s="1"/>
  <c r="F89" i="46"/>
  <c r="G70" i="16" s="1"/>
  <c r="J70" i="16" s="1"/>
  <c r="I88" i="52"/>
  <c r="AM313" i="65"/>
  <c r="C313" i="65"/>
  <c r="D360" i="65" s="1"/>
  <c r="I339" i="65" s="1"/>
  <c r="F89" i="38"/>
  <c r="G18" i="16" s="1"/>
  <c r="J18" i="16" s="1"/>
  <c r="P88" i="32"/>
  <c r="H12" i="16" s="1"/>
  <c r="I12" i="16" s="1"/>
  <c r="I88" i="44"/>
  <c r="F89" i="32"/>
  <c r="G12" i="16" s="1"/>
  <c r="J12" i="16" s="1"/>
  <c r="N23" i="44"/>
  <c r="F88" i="44"/>
  <c r="K31" i="23"/>
  <c r="M31" i="23" s="1"/>
  <c r="M30" i="23"/>
  <c r="P88" i="37"/>
  <c r="H17" i="16" s="1"/>
  <c r="I17" i="16" s="1"/>
  <c r="N88" i="45"/>
  <c r="H52" i="16" s="1"/>
  <c r="I52" i="16" s="1"/>
  <c r="I88" i="28"/>
  <c r="N37" i="62"/>
  <c r="P36" i="62"/>
  <c r="F89" i="37"/>
  <c r="G17" i="16" s="1"/>
  <c r="J17" i="16" s="1"/>
  <c r="P88" i="31"/>
  <c r="H11" i="16" s="1"/>
  <c r="I11" i="16" s="1"/>
  <c r="I88" i="54"/>
  <c r="F89" i="54" s="1"/>
  <c r="G60" i="16" s="1"/>
  <c r="J60" i="16" s="1"/>
  <c r="F89" i="24"/>
  <c r="G5" i="16" s="1"/>
  <c r="J5" i="16" s="1"/>
  <c r="F89" i="31"/>
  <c r="G11" i="16" s="1"/>
  <c r="J11" i="16" s="1"/>
  <c r="N36" i="52"/>
  <c r="N38" i="52"/>
  <c r="M37" i="51"/>
  <c r="N36" i="51"/>
  <c r="N27" i="44"/>
  <c r="N88" i="24"/>
  <c r="H5" i="16" s="1"/>
  <c r="I5" i="16" s="1"/>
  <c r="E89" i="27"/>
  <c r="G8" i="16" s="1"/>
  <c r="J8" i="16" s="1"/>
  <c r="M88" i="27"/>
  <c r="H8" i="16" s="1"/>
  <c r="I8" i="16" s="1"/>
  <c r="N88" i="47"/>
  <c r="H75" i="16" s="1"/>
  <c r="I75" i="16" s="1"/>
  <c r="X313" i="65"/>
  <c r="B313" i="65"/>
  <c r="B360" i="65" s="1"/>
  <c r="G339" i="65" s="1"/>
  <c r="F89" i="47"/>
  <c r="G75" i="16" s="1"/>
  <c r="J75" i="16" s="1"/>
  <c r="N40" i="52"/>
  <c r="N88" i="48"/>
  <c r="H96" i="16" s="1"/>
  <c r="I96" i="16" s="1"/>
  <c r="M97" i="29"/>
  <c r="H10" i="16" s="1"/>
  <c r="I10" i="16" s="1"/>
  <c r="P36" i="40"/>
  <c r="N37" i="40"/>
  <c r="N88" i="46"/>
  <c r="H70" i="16" s="1"/>
  <c r="I70" i="16" s="1"/>
  <c r="M26" i="40"/>
  <c r="P25" i="40"/>
  <c r="N35" i="52"/>
  <c r="F88" i="52"/>
  <c r="P88" i="25"/>
  <c r="H6" i="16" s="1"/>
  <c r="I6" i="16" s="1"/>
  <c r="I32" i="35"/>
  <c r="N31" i="35"/>
  <c r="N21" i="35"/>
  <c r="G88" i="35"/>
  <c r="P88" i="28"/>
  <c r="H9" i="16" s="1"/>
  <c r="I9" i="16" s="1"/>
  <c r="P28" i="61"/>
  <c r="H29" i="61"/>
  <c r="F89" i="36"/>
  <c r="G16" i="16" s="1"/>
  <c r="J16" i="16" s="1"/>
  <c r="P88" i="26"/>
  <c r="H7" i="16" s="1"/>
  <c r="I7" i="16" s="1"/>
  <c r="E89" i="23"/>
  <c r="G4" i="16" s="1"/>
  <c r="J4" i="16" s="1"/>
  <c r="M31" i="62"/>
  <c r="P31" i="62" s="1"/>
  <c r="P30" i="62"/>
  <c r="N25" i="44"/>
  <c r="P39" i="58"/>
  <c r="N40" i="58"/>
  <c r="P40" i="58" s="1"/>
  <c r="P88" i="58" s="1"/>
  <c r="H105" i="16" s="1"/>
  <c r="I105" i="16" s="1"/>
  <c r="N88" i="36"/>
  <c r="H16" i="16" s="1"/>
  <c r="I16" i="16" s="1"/>
  <c r="E117" i="33"/>
  <c r="G13" i="16" s="1"/>
  <c r="J13" i="16" s="1"/>
  <c r="P88" i="38"/>
  <c r="H18" i="16" s="1"/>
  <c r="I18" i="16" s="1"/>
  <c r="N42" i="52"/>
  <c r="H88" i="44"/>
  <c r="N88" i="53"/>
  <c r="H153" i="16" s="1"/>
  <c r="I153" i="16" s="1"/>
  <c r="M88" i="23"/>
  <c r="H4" i="16" s="1"/>
  <c r="I4" i="16" s="1"/>
  <c r="I33" i="59"/>
  <c r="P32" i="59"/>
  <c r="N23" i="35"/>
  <c r="H24" i="35"/>
  <c r="G88" i="44"/>
  <c r="F89" i="53"/>
  <c r="G153" i="16" s="1"/>
  <c r="J153" i="16" s="1"/>
  <c r="F89" i="52" l="1"/>
  <c r="N24" i="35"/>
  <c r="H25" i="35"/>
  <c r="P29" i="61"/>
  <c r="H30" i="61"/>
  <c r="I34" i="59"/>
  <c r="P33" i="59"/>
  <c r="F89" i="44"/>
  <c r="G47" i="16" s="1"/>
  <c r="J47" i="16" s="1"/>
  <c r="N88" i="44"/>
  <c r="H47" i="16" s="1"/>
  <c r="I47" i="16" s="1"/>
  <c r="M38" i="51"/>
  <c r="N37" i="51"/>
  <c r="I33" i="35"/>
  <c r="N32" i="35"/>
  <c r="M27" i="40"/>
  <c r="P26" i="40"/>
  <c r="N88" i="52"/>
  <c r="H120" i="16" s="1"/>
  <c r="I120" i="16" s="1"/>
  <c r="N38" i="40"/>
  <c r="P37" i="40"/>
  <c r="N38" i="62"/>
  <c r="P37" i="62"/>
  <c r="M39" i="51" l="1"/>
  <c r="N38" i="51"/>
  <c r="I35" i="59"/>
  <c r="P34" i="59"/>
  <c r="P38" i="62"/>
  <c r="N39" i="62"/>
  <c r="N39" i="40"/>
  <c r="P38" i="40"/>
  <c r="H31" i="61"/>
  <c r="P30" i="61"/>
  <c r="H26" i="35"/>
  <c r="N25" i="35"/>
  <c r="M28" i="40"/>
  <c r="P27" i="40"/>
  <c r="I34" i="35"/>
  <c r="N33" i="35"/>
  <c r="N40" i="62" l="1"/>
  <c r="P39" i="62"/>
  <c r="I35" i="35"/>
  <c r="N34" i="35"/>
  <c r="P28" i="40"/>
  <c r="M29" i="40"/>
  <c r="N26" i="35"/>
  <c r="H27" i="35"/>
  <c r="P31" i="61"/>
  <c r="P88" i="61" s="1"/>
  <c r="H155" i="16" s="1"/>
  <c r="I155" i="16" s="1"/>
  <c r="H88" i="61"/>
  <c r="F89" i="61" s="1"/>
  <c r="N40" i="40"/>
  <c r="P39" i="40"/>
  <c r="P35" i="59"/>
  <c r="I36" i="59"/>
  <c r="M40" i="51"/>
  <c r="N39" i="51"/>
  <c r="I37" i="59" l="1"/>
  <c r="P36" i="59"/>
  <c r="N41" i="40"/>
  <c r="P41" i="40" s="1"/>
  <c r="P40" i="40"/>
  <c r="M30" i="40"/>
  <c r="P29" i="40"/>
  <c r="H28" i="35"/>
  <c r="N27" i="35"/>
  <c r="P40" i="62"/>
  <c r="N41" i="62"/>
  <c r="P41" i="62" s="1"/>
  <c r="P68" i="62" s="1"/>
  <c r="H29" i="16" s="1"/>
  <c r="I29" i="16" s="1"/>
  <c r="M41" i="51"/>
  <c r="N40" i="51"/>
  <c r="N35" i="35"/>
  <c r="I36" i="35"/>
  <c r="I37" i="35" l="1"/>
  <c r="N36" i="35"/>
  <c r="M42" i="51"/>
  <c r="N42" i="51" s="1"/>
  <c r="N41" i="51"/>
  <c r="N28" i="35"/>
  <c r="H29" i="35"/>
  <c r="N29" i="35" s="1"/>
  <c r="H88" i="35"/>
  <c r="M31" i="40"/>
  <c r="P31" i="40" s="1"/>
  <c r="P30" i="40"/>
  <c r="P68" i="40" s="1"/>
  <c r="H20" i="16" s="1"/>
  <c r="I20" i="16" s="1"/>
  <c r="I38" i="59"/>
  <c r="P37" i="59"/>
  <c r="I39" i="59" l="1"/>
  <c r="P38" i="59"/>
  <c r="N88" i="51"/>
  <c r="H119" i="16" s="1"/>
  <c r="I119" i="16" s="1"/>
  <c r="N37" i="35"/>
  <c r="I38" i="35"/>
  <c r="N38" i="35" l="1"/>
  <c r="I39" i="35"/>
  <c r="I40" i="59"/>
  <c r="P39" i="59"/>
  <c r="P40" i="59" l="1"/>
  <c r="I41" i="59"/>
  <c r="I40" i="35"/>
  <c r="N39" i="35"/>
  <c r="I41" i="35" l="1"/>
  <c r="N40" i="35"/>
  <c r="P41" i="59"/>
  <c r="I42" i="59"/>
  <c r="I43" i="59" l="1"/>
  <c r="P42" i="59"/>
  <c r="I42" i="35"/>
  <c r="N41" i="35"/>
  <c r="I43" i="35" l="1"/>
  <c r="N42" i="35"/>
  <c r="P43" i="59"/>
  <c r="I44" i="59"/>
  <c r="I45" i="59" l="1"/>
  <c r="P44" i="59"/>
  <c r="N43" i="35"/>
  <c r="N88" i="35" s="1"/>
  <c r="H15" i="16" s="1"/>
  <c r="I15" i="16" s="1"/>
  <c r="I88" i="35"/>
  <c r="P45" i="59" l="1"/>
  <c r="I46" i="59"/>
  <c r="P46" i="59" l="1"/>
  <c r="P88" i="59" s="1"/>
  <c r="H117" i="16" s="1"/>
  <c r="I117" i="16" s="1"/>
  <c r="I88" i="59"/>
</calcChain>
</file>

<file path=xl/sharedStrings.xml><?xml version="1.0" encoding="utf-8"?>
<sst xmlns="http://schemas.openxmlformats.org/spreadsheetml/2006/main" count="9951" uniqueCount="1595">
  <si>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</si>
  <si>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</si>
  <si>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</si>
  <si>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</si>
  <si>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</si>
  <si>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</si>
  <si>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</si>
  <si>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</si>
  <si>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</si>
  <si>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</si>
  <si>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</si>
  <si>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</si>
  <si>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</si>
  <si>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</si>
  <si>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</si>
  <si>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</si>
  <si>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</si>
  <si>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</si>
  <si>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</si>
  <si>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</si>
  <si>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</si>
  <si>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</si>
  <si>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</si>
  <si>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</si>
  <si>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</si>
  <si>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</si>
  <si>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</si>
  <si>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</si>
  <si>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</si>
  <si>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</si>
  <si>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</si>
  <si>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</si>
  <si>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</si>
  <si>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</si>
  <si>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</si>
  <si>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</si>
  <si>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</si>
  <si>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</si>
  <si>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</si>
  <si>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</si>
  <si>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</si>
  <si>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</si>
  <si>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</si>
  <si>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</si>
  <si>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</si>
  <si>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</si>
  <si>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Secondary Variables</t>
    <phoneticPr fontId="0" type="Hiragana"/>
  </si>
  <si>
    <t>Primary Variables</t>
    <phoneticPr fontId="0" type="Hiragana"/>
  </si>
  <si>
    <t>x1</t>
    <phoneticPr fontId="0" type="Hiragana"/>
  </si>
  <si>
    <t>x2</t>
    <phoneticPr fontId="0" type="Hiragana"/>
  </si>
  <si>
    <t>x3</t>
    <phoneticPr fontId="0" type="Hiragana"/>
  </si>
  <si>
    <t>x4</t>
    <phoneticPr fontId="0" type="Hiragana"/>
  </si>
  <si>
    <t>x5</t>
    <phoneticPr fontId="0" type="Hiragana"/>
  </si>
  <si>
    <t>x6</t>
    <phoneticPr fontId="0" type="Hiragana"/>
  </si>
  <si>
    <t>x7</t>
    <phoneticPr fontId="0" type="Hiragana"/>
  </si>
  <si>
    <t>x8</t>
    <phoneticPr fontId="0" type="Hiragana"/>
  </si>
  <si>
    <t>x9</t>
    <phoneticPr fontId="0" type="Hiragana"/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</si>
  <si>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</si>
  <si>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</si>
  <si>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</si>
  <si>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</si>
  <si>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</si>
  <si>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</si>
  <si>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</si>
  <si>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</si>
  <si>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</si>
  <si>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</si>
  <si>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</si>
  <si>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</si>
  <si>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</si>
  <si>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p13</t>
    <phoneticPr fontId="0" type="Hiragana"/>
  </si>
  <si>
    <t>Means</t>
    <phoneticPr fontId="0" type="Hiragana"/>
  </si>
  <si>
    <t>Count</t>
    <phoneticPr fontId="0" type="Hiragana"/>
  </si>
  <si>
    <t xml:space="preserve">X1.1 </t>
  </si>
  <si>
    <t xml:space="preserve">X1.2 </t>
  </si>
  <si>
    <t xml:space="preserve">X1.3 </t>
  </si>
  <si>
    <t xml:space="preserve">X1.4 </t>
  </si>
  <si>
    <t xml:space="preserve">X1.5 </t>
  </si>
  <si>
    <t xml:space="preserve">X2.1 </t>
  </si>
  <si>
    <t xml:space="preserve">X2.2 </t>
  </si>
  <si>
    <t xml:space="preserve">X2.3 </t>
  </si>
  <si>
    <t xml:space="preserve">X3.1 </t>
  </si>
  <si>
    <t xml:space="preserve">X3.2 </t>
  </si>
  <si>
    <t xml:space="preserve">X4.1 </t>
  </si>
  <si>
    <t xml:space="preserve">X4.2 </t>
  </si>
  <si>
    <t xml:space="preserve">X4.3 </t>
  </si>
  <si>
    <t xml:space="preserve">X5.1 </t>
  </si>
  <si>
    <t xml:space="preserve">X5.2 </t>
  </si>
  <si>
    <t xml:space="preserve">X5.3 </t>
  </si>
  <si>
    <t xml:space="preserve">X5.4 </t>
  </si>
  <si>
    <t xml:space="preserve">X5.5 </t>
  </si>
  <si>
    <t xml:space="preserve">X5.6 </t>
  </si>
  <si>
    <t xml:space="preserve">X6.1 </t>
  </si>
  <si>
    <t xml:space="preserve">X6.2 </t>
  </si>
  <si>
    <t xml:space="preserve">X7.1 </t>
  </si>
  <si>
    <t xml:space="preserve">X7.2 </t>
  </si>
  <si>
    <t xml:space="preserve">X7.3 </t>
  </si>
  <si>
    <t xml:space="preserve">X7.4 </t>
  </si>
  <si>
    <t xml:space="preserve">X8.1 </t>
  </si>
  <si>
    <t xml:space="preserve">X8.2 </t>
  </si>
  <si>
    <t xml:space="preserve">X8.3 </t>
  </si>
  <si>
    <t xml:space="preserve">X8.4 </t>
  </si>
  <si>
    <t xml:space="preserve">X9.1 </t>
  </si>
  <si>
    <t xml:space="preserve">X9.2 </t>
  </si>
  <si>
    <t xml:space="preserve">X9.3 </t>
  </si>
  <si>
    <t xml:space="preserve">X9.4 </t>
  </si>
  <si>
    <t>Paper_11</t>
  </si>
  <si>
    <t>Paper_12</t>
  </si>
  <si>
    <t>Paper_13</t>
  </si>
  <si>
    <t>主要变量</t>
  </si>
  <si>
    <t>平均的</t>
  </si>
  <si>
    <t>总得分</t>
  </si>
  <si>
    <t>排行</t>
  </si>
  <si>
    <t>—</t>
  </si>
  <si>
    <t>等级</t>
  </si>
  <si>
    <t>好的</t>
  </si>
  <si>
    <t>可以接受</t>
  </si>
  <si>
    <t>X 1</t>
  </si>
  <si>
    <t>X 2</t>
  </si>
  <si>
    <t>X 3</t>
  </si>
  <si>
    <t>X 4</t>
  </si>
  <si>
    <t>X 5</t>
  </si>
  <si>
    <t>X 6</t>
  </si>
  <si>
    <t>X 7</t>
  </si>
  <si>
    <t>X 8</t>
  </si>
  <si>
    <t>X 9</t>
  </si>
  <si>
    <t>X 10</t>
  </si>
  <si>
    <t>P1</t>
    <phoneticPr fontId="0" type="Hiragana"/>
  </si>
  <si>
    <t>Estrada,2011</t>
    <phoneticPr fontId="0" type="Hiragana"/>
  </si>
  <si>
    <t>X1: Type of research</t>
    <phoneticPr fontId="0" type="Hiragana"/>
  </si>
  <si>
    <t>Predicting</t>
  </si>
  <si>
    <t>Monitoring</t>
  </si>
  <si>
    <t>Proposal</t>
  </si>
  <si>
    <t>Descriptive</t>
  </si>
  <si>
    <t>Diagnostic</t>
  </si>
  <si>
    <t>Simulation</t>
  </si>
  <si>
    <t>Experimental</t>
  </si>
  <si>
    <t>X2: Research orientation</t>
    <phoneticPr fontId="0" type="Hiragana"/>
  </si>
  <si>
    <t>Empirical</t>
  </si>
  <si>
    <t>Theoretical</t>
  </si>
  <si>
    <t>Technical</t>
  </si>
  <si>
    <t>Historical</t>
  </si>
  <si>
    <t>Quantitative</t>
  </si>
  <si>
    <t>Qualitative</t>
  </si>
  <si>
    <t>X3: Date source</t>
  </si>
  <si>
    <t>Primary data</t>
  </si>
  <si>
    <t>Secondary data</t>
  </si>
  <si>
    <t>Mix data</t>
  </si>
  <si>
    <t>Long term</t>
  </si>
  <si>
    <t>Medium term</t>
  </si>
  <si>
    <t>Short term</t>
  </si>
  <si>
    <t>X4: Applied Econometrics methods</t>
  </si>
  <si>
    <t>Linear regression analysis</t>
  </si>
  <si>
    <t>Multiple regression analysis</t>
  </si>
  <si>
    <t>Time series data</t>
  </si>
  <si>
    <t>Cross-sectional data</t>
  </si>
  <si>
    <t>Panel data</t>
  </si>
  <si>
    <t>Multidimensional panel data</t>
  </si>
  <si>
    <t>X5: Area of research</t>
  </si>
  <si>
    <t>Economics</t>
  </si>
  <si>
    <t>Social</t>
  </si>
  <si>
    <t>Technological</t>
  </si>
  <si>
    <t>Political</t>
  </si>
  <si>
    <t>Environment</t>
  </si>
  <si>
    <t>Institutional</t>
  </si>
  <si>
    <t>Sciences</t>
  </si>
  <si>
    <t>Multi-disciplinary</t>
  </si>
  <si>
    <t>X6: Research theoretical framework</t>
  </si>
  <si>
    <t>Original theoretical framework</t>
  </si>
  <si>
    <t>Traditional theoretical framework</t>
  </si>
  <si>
    <t>Extension of theoretical framework</t>
  </si>
  <si>
    <t>X1.1</t>
    <phoneticPr fontId="0" type="Hiragana"/>
  </si>
  <si>
    <t>X1.2</t>
  </si>
  <si>
    <t>X1.3</t>
  </si>
  <si>
    <t>X1.4</t>
  </si>
  <si>
    <t>X1.5</t>
  </si>
  <si>
    <t>X1.6</t>
  </si>
  <si>
    <t>X1.7</t>
  </si>
  <si>
    <t>X2.1</t>
    <phoneticPr fontId="0" type="Hiragana"/>
  </si>
  <si>
    <t>X2.2</t>
  </si>
  <si>
    <t>X2.3</t>
  </si>
  <si>
    <t>X2.4</t>
  </si>
  <si>
    <t>X2.5</t>
  </si>
  <si>
    <t>X2.6</t>
  </si>
  <si>
    <t>X3.1</t>
    <phoneticPr fontId="0" type="Hiragana"/>
  </si>
  <si>
    <t>X3.2</t>
  </si>
  <si>
    <t>X3.3</t>
  </si>
  <si>
    <t>X3.4</t>
  </si>
  <si>
    <t>X3.5</t>
  </si>
  <si>
    <t>X3.6</t>
  </si>
  <si>
    <t>X4.1</t>
    <phoneticPr fontId="0" type="Hiragana"/>
  </si>
  <si>
    <t>X4.2</t>
  </si>
  <si>
    <t>X4.3</t>
  </si>
  <si>
    <t>X4.4</t>
  </si>
  <si>
    <t>X4.5</t>
  </si>
  <si>
    <t>X4.6</t>
  </si>
  <si>
    <t>X5.1</t>
    <phoneticPr fontId="0" type="Hiragana"/>
  </si>
  <si>
    <t>X5.2</t>
  </si>
  <si>
    <t>X5.3</t>
  </si>
  <si>
    <t>X5.4</t>
  </si>
  <si>
    <t>X5.5</t>
  </si>
  <si>
    <t>X5.6</t>
  </si>
  <si>
    <t>X5.7</t>
  </si>
  <si>
    <t>X5.8</t>
  </si>
  <si>
    <t>X6.1</t>
    <phoneticPr fontId="0" type="Hiragana"/>
  </si>
  <si>
    <t>X6.2</t>
  </si>
  <si>
    <t>X6.3</t>
  </si>
  <si>
    <t>X7: Policy modeling by sectors</t>
  </si>
  <si>
    <t>Private sector</t>
  </si>
  <si>
    <t>Public sector</t>
  </si>
  <si>
    <t>Public/private sector</t>
  </si>
  <si>
    <t>X8: Economics framework</t>
  </si>
  <si>
    <t>Macroeconomics analysis</t>
  </si>
  <si>
    <t>Microeconomics analysis</t>
  </si>
  <si>
    <t>Partial equilibrium</t>
  </si>
  <si>
    <t>General equilibrium</t>
  </si>
  <si>
    <t>Dynamic modeling</t>
  </si>
  <si>
    <t>Static modeling</t>
  </si>
  <si>
    <t>Perfect competition</t>
  </si>
  <si>
    <t>Imperfect competition</t>
  </si>
  <si>
    <t>X9: Geographical analysis</t>
  </si>
  <si>
    <t>National level</t>
  </si>
  <si>
    <t>Regional level</t>
  </si>
  <si>
    <t>Global level</t>
  </si>
  <si>
    <t>X10: Paper citation</t>
  </si>
  <si>
    <t>X7.1</t>
    <phoneticPr fontId="0" type="Hiragana"/>
  </si>
  <si>
    <t>X8.1</t>
    <phoneticPr fontId="0" type="Hiragana"/>
  </si>
  <si>
    <t>X9.1</t>
    <phoneticPr fontId="0" type="Hiragana"/>
  </si>
  <si>
    <t>X7.2</t>
  </si>
  <si>
    <t>X7.3</t>
  </si>
  <si>
    <t>X8.2</t>
  </si>
  <si>
    <t>X8.3</t>
  </si>
  <si>
    <t>X8.4</t>
  </si>
  <si>
    <t>X8.5</t>
  </si>
  <si>
    <t>X8.6</t>
  </si>
  <si>
    <t>X8.7</t>
  </si>
  <si>
    <t>X8.8</t>
  </si>
  <si>
    <t>X9.2</t>
  </si>
  <si>
    <t>X9.3</t>
  </si>
  <si>
    <t>Primary variables</t>
    <phoneticPr fontId="0" type="Hiragana"/>
  </si>
  <si>
    <t>Secondary variables</t>
    <phoneticPr fontId="0" type="Hiragana"/>
  </si>
  <si>
    <t>Wang et al., 2024</t>
    <phoneticPr fontId="0" type="Hiragana"/>
  </si>
  <si>
    <t>X1: Policy Nature</t>
    <phoneticPr fontId="0" type="Hiragana"/>
  </si>
  <si>
    <t>Suggention</t>
    <phoneticPr fontId="0" type="Hiragana"/>
  </si>
  <si>
    <t>Supervision</t>
    <phoneticPr fontId="0" type="Hiragana"/>
  </si>
  <si>
    <t>Guidance</t>
    <phoneticPr fontId="0" type="Hiragana"/>
  </si>
  <si>
    <t>Feedback</t>
    <phoneticPr fontId="0" type="Hiragana"/>
  </si>
  <si>
    <t>Long-term</t>
    <phoneticPr fontId="0" type="Hiragana"/>
  </si>
  <si>
    <t>Medium-term</t>
    <phoneticPr fontId="0" type="Hiragana"/>
  </si>
  <si>
    <t>Short-term</t>
    <phoneticPr fontId="0" type="Hiragana"/>
  </si>
  <si>
    <t>X2: Policy timeline</t>
    <phoneticPr fontId="0" type="Hiragana"/>
  </si>
  <si>
    <t>X3: Policy perspective</t>
    <phoneticPr fontId="0" type="Hiragana"/>
  </si>
  <si>
    <t>Macro</t>
    <phoneticPr fontId="0" type="Hiragana"/>
  </si>
  <si>
    <t>Micrio</t>
    <phoneticPr fontId="0" type="Hiragana"/>
  </si>
  <si>
    <t>X4: Policy issuing agency</t>
    <phoneticPr fontId="0" type="Hiragana"/>
  </si>
  <si>
    <t>State council</t>
    <phoneticPr fontId="0" type="Hiragana"/>
  </si>
  <si>
    <t>Ministries and Commissions of the State Council</t>
    <phoneticPr fontId="0" type="Hiragana"/>
  </si>
  <si>
    <t>Provinces and cities</t>
    <phoneticPr fontId="0" type="Hiragana"/>
  </si>
  <si>
    <t>X5: Policy focus</t>
    <phoneticPr fontId="0" type="Hiragana"/>
  </si>
  <si>
    <t>Ecological protection</t>
    <phoneticPr fontId="0" type="Hiragana"/>
  </si>
  <si>
    <t>Pollution control</t>
    <phoneticPr fontId="0" type="Hiragana"/>
  </si>
  <si>
    <t>Water resource management</t>
    <phoneticPr fontId="0" type="Hiragana"/>
  </si>
  <si>
    <t>Biodiversity conservation</t>
    <phoneticPr fontId="0" type="Hiragana"/>
  </si>
  <si>
    <t>Natural disaster prevention</t>
    <phoneticPr fontId="0" type="Hiragana"/>
  </si>
  <si>
    <t>Ecological compensation mechanism</t>
    <phoneticPr fontId="0" type="Hiragana"/>
  </si>
  <si>
    <t>X6: Regulation scope</t>
    <phoneticPr fontId="0" type="Hiragana"/>
  </si>
  <si>
    <t>Overall of the Yangtze River Economic Belt</t>
    <phoneticPr fontId="0" type="Hiragana"/>
  </si>
  <si>
    <t>Some areas of the Yangtze River Economic Belt</t>
    <phoneticPr fontId="0" type="Hiragana"/>
  </si>
  <si>
    <t>X7: Policy Object</t>
    <phoneticPr fontId="0" type="Hiragana"/>
  </si>
  <si>
    <t>Local government</t>
    <phoneticPr fontId="0" type="Hiragana"/>
  </si>
  <si>
    <t>Enterprise</t>
    <phoneticPr fontId="0" type="Hiragana"/>
  </si>
  <si>
    <t>Social organisation</t>
    <phoneticPr fontId="0" type="Hiragana"/>
  </si>
  <si>
    <t>Relevant department</t>
    <phoneticPr fontId="0" type="Hiragana"/>
  </si>
  <si>
    <t>X7.4</t>
  </si>
  <si>
    <t>X8: Policy tool</t>
    <phoneticPr fontId="0" type="Hiragana"/>
  </si>
  <si>
    <t>Organisational tools</t>
    <phoneticPr fontId="0" type="Hiragana"/>
  </si>
  <si>
    <t>Regulatory tools</t>
    <phoneticPr fontId="0" type="Hiragana"/>
  </si>
  <si>
    <t>Inducement tools</t>
    <phoneticPr fontId="0" type="Hiragana"/>
  </si>
  <si>
    <t>Voluntary tools</t>
    <phoneticPr fontId="0" type="Hiragana"/>
  </si>
  <si>
    <t>X9: Policy evaluation</t>
    <phoneticPr fontId="0" type="Hiragana"/>
  </si>
  <si>
    <t>Sufficient basis</t>
    <phoneticPr fontId="0" type="Hiragana"/>
  </si>
  <si>
    <t>Clear objectives</t>
    <phoneticPr fontId="0" type="Hiragana"/>
  </si>
  <si>
    <t>Scientific program</t>
    <phoneticPr fontId="0" type="Hiragana"/>
  </si>
  <si>
    <t>Detail planning</t>
    <phoneticPr fontId="0" type="Hiragana"/>
  </si>
  <si>
    <t>X9.4</t>
  </si>
  <si>
    <t>Predictive assessment</t>
    <phoneticPr fontId="0" type="Hiragana"/>
  </si>
  <si>
    <t>Supervisory management</t>
    <phoneticPr fontId="0" type="Hiragana"/>
  </si>
  <si>
    <t>Mandatory requirement</t>
    <phoneticPr fontId="0" type="Hiragana"/>
  </si>
  <si>
    <t>Encouraging guidance</t>
    <phoneticPr fontId="0" type="Hiragana"/>
  </si>
  <si>
    <t xml:space="preserve">X3: Policy area </t>
    <phoneticPr fontId="0" type="Hiragana"/>
  </si>
  <si>
    <t>Economy</t>
    <phoneticPr fontId="0" type="Hiragana"/>
  </si>
  <si>
    <t>Society</t>
    <phoneticPr fontId="0" type="Hiragana"/>
  </si>
  <si>
    <t>Technology</t>
    <phoneticPr fontId="0" type="Hiragana"/>
  </si>
  <si>
    <t>Environment</t>
    <phoneticPr fontId="0" type="Hiragana"/>
  </si>
  <si>
    <t>X4: Policy content</t>
    <phoneticPr fontId="0" type="Hiragana"/>
  </si>
  <si>
    <t>Reform and development planning</t>
    <phoneticPr fontId="0" type="Hiragana"/>
  </si>
  <si>
    <t>Safety production management</t>
    <phoneticPr fontId="0" type="Hiragana"/>
  </si>
  <si>
    <t>Project engineering construction</t>
    <phoneticPr fontId="0" type="Hiragana"/>
  </si>
  <si>
    <t>Supply guarantee mechanism</t>
    <phoneticPr fontId="0" type="Hiragana"/>
  </si>
  <si>
    <t>Market trading principle</t>
    <phoneticPr fontId="0" type="Hiragana"/>
  </si>
  <si>
    <t>Development and utilisation state</t>
    <phoneticPr fontId="0" type="Hiragana"/>
  </si>
  <si>
    <t>X5: Issuing agency</t>
    <phoneticPr fontId="0" type="Hiragana"/>
  </si>
  <si>
    <t>National People's Congress and its Standing Committee</t>
    <phoneticPr fontId="0" type="Hiragana"/>
  </si>
  <si>
    <t>Cheng et al., 2023</t>
    <phoneticPr fontId="0" type="Hiragana"/>
  </si>
  <si>
    <t>State Council</t>
    <phoneticPr fontId="0" type="Hiragana"/>
  </si>
  <si>
    <t>Ministries and Departments of the State Council</t>
    <phoneticPr fontId="0" type="Hiragana"/>
  </si>
  <si>
    <t>Directly under the State Council</t>
    <phoneticPr fontId="0" type="Hiragana"/>
  </si>
  <si>
    <t>National bureaus managed by Ministries and Department of the State Council</t>
    <phoneticPr fontId="0" type="Hiragana"/>
  </si>
  <si>
    <t>X6: Policy evaluation</t>
    <phoneticPr fontId="0" type="Hiragana"/>
  </si>
  <si>
    <t>Clear goals</t>
    <phoneticPr fontId="0" type="Hiragana"/>
  </si>
  <si>
    <t>Scientific planning</t>
    <phoneticPr fontId="0" type="Hiragana"/>
  </si>
  <si>
    <t>Detail content</t>
    <phoneticPr fontId="0" type="Hiragana"/>
  </si>
  <si>
    <t>X6.4</t>
  </si>
  <si>
    <t>X7: Policy tools</t>
    <phoneticPr fontId="0" type="Hiragana"/>
  </si>
  <si>
    <t>X7.5</t>
  </si>
  <si>
    <t>Fiscal, taxation and finance</t>
    <phoneticPr fontId="0" type="Hiragana"/>
  </si>
  <si>
    <t>Infrastructure construction</t>
    <phoneticPr fontId="0" type="Hiragana"/>
  </si>
  <si>
    <t>Institutional norm</t>
    <phoneticPr fontId="0" type="Hiragana"/>
  </si>
  <si>
    <t>Convenience service</t>
    <phoneticPr fontId="0" type="Hiragana"/>
  </si>
  <si>
    <t>goal planning</t>
    <phoneticPr fontId="0" type="Hiragana"/>
  </si>
  <si>
    <t>X8: Policy Object</t>
    <phoneticPr fontId="0" type="Hiragana"/>
  </si>
  <si>
    <t>Country</t>
    <phoneticPr fontId="0" type="Hiragana"/>
  </si>
  <si>
    <t>Region</t>
    <phoneticPr fontId="0" type="Hiragana"/>
  </si>
  <si>
    <t>Industry</t>
    <phoneticPr fontId="0" type="Hiragana"/>
  </si>
  <si>
    <t>X10: Policy disclosure</t>
    <phoneticPr fontId="0" type="Hiragana"/>
  </si>
  <si>
    <t>X9: Policy potency</t>
    <phoneticPr fontId="0" type="Hiragana"/>
  </si>
  <si>
    <t>Laws</t>
    <phoneticPr fontId="0" type="Hiragana"/>
  </si>
  <si>
    <t>Administrative regulations</t>
    <phoneticPr fontId="0" type="Hiragana"/>
  </si>
  <si>
    <t>Departmental rules</t>
    <phoneticPr fontId="0" type="Hiragana"/>
  </si>
  <si>
    <t>Normative documents</t>
    <phoneticPr fontId="0" type="Hiragana"/>
  </si>
  <si>
    <t>Xiong et al.,2023</t>
    <phoneticPr fontId="0" type="Hiragana"/>
  </si>
  <si>
    <t>Projection</t>
    <phoneticPr fontId="0" type="Hiragana"/>
  </si>
  <si>
    <t>Regulation</t>
    <phoneticPr fontId="0" type="Hiragana"/>
  </si>
  <si>
    <t>Suggestion</t>
    <phoneticPr fontId="0" type="Hiragana"/>
  </si>
  <si>
    <t>Support</t>
    <phoneticPr fontId="0" type="Hiragana"/>
  </si>
  <si>
    <t>X2: Policy Issuing Agency</t>
    <phoneticPr fontId="0" type="Hiragana"/>
  </si>
  <si>
    <t>State Council of PRC</t>
    <phoneticPr fontId="0" type="Hiragana"/>
  </si>
  <si>
    <t>Ministries and Commissions of the State Council of the PRC</t>
    <phoneticPr fontId="0" type="Hiragana"/>
  </si>
  <si>
    <t>Multi-agency joint issue</t>
    <phoneticPr fontId="0" type="Hiragana"/>
  </si>
  <si>
    <t>X3: Policy Object</t>
    <phoneticPr fontId="0" type="Hiragana"/>
  </si>
  <si>
    <t>Government</t>
    <phoneticPr fontId="0" type="Hiragana"/>
  </si>
  <si>
    <t>Emergency management department</t>
    <phoneticPr fontId="0" type="Hiragana"/>
  </si>
  <si>
    <t>Fire rescue agency</t>
    <phoneticPr fontId="0" type="Hiragana"/>
  </si>
  <si>
    <t>Social unit and workshop</t>
    <phoneticPr fontId="0" type="Hiragana"/>
  </si>
  <si>
    <t>X4: Policy Timeliness</t>
    <phoneticPr fontId="0" type="Hiragana"/>
  </si>
  <si>
    <t xml:space="preserve">Long-term (More than 5 years) </t>
    <phoneticPr fontId="0" type="Hiragana"/>
  </si>
  <si>
    <t>Medium-term(3-5 years)</t>
    <phoneticPr fontId="0" type="Hiragana"/>
  </si>
  <si>
    <t>Short-term(1-3 years)</t>
    <phoneticPr fontId="0" type="Hiragana"/>
  </si>
  <si>
    <t>Within 1years</t>
    <phoneticPr fontId="0" type="Hiragana"/>
  </si>
  <si>
    <t>X5: Policy Function</t>
    <phoneticPr fontId="0" type="Hiragana"/>
  </si>
  <si>
    <t>Improve public fire safety literacy</t>
    <phoneticPr fontId="0" type="Hiragana"/>
  </si>
  <si>
    <t>Reduce man-made fires</t>
    <phoneticPr fontId="0" type="Hiragana"/>
  </si>
  <si>
    <t>Promote social stability</t>
    <phoneticPr fontId="0" type="Hiragana"/>
  </si>
  <si>
    <t>X6: Policy Tools</t>
    <phoneticPr fontId="0" type="Hiragana"/>
  </si>
  <si>
    <t>Compulsory type</t>
    <phoneticPr fontId="0" type="Hiragana"/>
  </si>
  <si>
    <t>Voluntary type</t>
    <phoneticPr fontId="0" type="Hiragana"/>
  </si>
  <si>
    <t>Mixed type</t>
    <phoneticPr fontId="0" type="Hiragana"/>
  </si>
  <si>
    <t>X7: Policy Content</t>
    <phoneticPr fontId="0" type="Hiragana"/>
  </si>
  <si>
    <t>Fire safety education field</t>
    <phoneticPr fontId="0" type="Hiragana"/>
  </si>
  <si>
    <t>Fire safety education group</t>
    <phoneticPr fontId="0" type="Hiragana"/>
  </si>
  <si>
    <t>Fire safety education implementation pathway</t>
    <phoneticPr fontId="0" type="Hiragana"/>
  </si>
  <si>
    <t>Fire safety education infrastructure</t>
    <phoneticPr fontId="0" type="Hiragana"/>
  </si>
  <si>
    <t>Fire safety education culture</t>
    <phoneticPr fontId="0" type="Hiragana"/>
  </si>
  <si>
    <t>X8: Policy Guarantee</t>
    <phoneticPr fontId="0" type="Hiragana"/>
  </si>
  <si>
    <t>Responsibility breakdown</t>
    <phoneticPr fontId="0" type="Hiragana"/>
  </si>
  <si>
    <t>Financial support</t>
    <phoneticPr fontId="0" type="Hiragana"/>
  </si>
  <si>
    <t>Education team building</t>
    <phoneticPr fontId="0" type="Hiragana"/>
  </si>
  <si>
    <t>Supervisor and inspection</t>
    <phoneticPr fontId="0" type="Hiragana"/>
  </si>
  <si>
    <t>Reward and punishment</t>
    <phoneticPr fontId="0" type="Hiragana"/>
  </si>
  <si>
    <t>X9: Policy Evaluation</t>
    <phoneticPr fontId="0" type="Hiragana"/>
  </si>
  <si>
    <t>Adequate basis</t>
    <phoneticPr fontId="0" type="Hiragana"/>
  </si>
  <si>
    <t>Detailed planning</t>
    <phoneticPr fontId="0" type="Hiragana"/>
  </si>
  <si>
    <t>CRIC-万宁-市场监测.商品房市场.项目累计.供求.xlsx</t>
  </si>
  <si>
    <t>时间(年)</t>
  </si>
  <si>
    <t>供应面积(㎡)</t>
  </si>
  <si>
    <t>供应套数(套)</t>
  </si>
  <si>
    <t>成交面积(㎡)</t>
  </si>
  <si>
    <t>成交套数(套)</t>
  </si>
  <si>
    <t>成交均价(元/㎡)</t>
  </si>
  <si>
    <t>成交金额(元)</t>
  </si>
  <si>
    <t>供求比</t>
  </si>
  <si>
    <t>2024年</t>
  </si>
  <si>
    <t>2023年</t>
  </si>
  <si>
    <t>2022年</t>
  </si>
  <si>
    <t>2021年</t>
  </si>
  <si>
    <t>2020年</t>
  </si>
  <si>
    <t>2019年</t>
  </si>
  <si>
    <t>汇总</t>
  </si>
  <si>
    <t>CRIC-万宁-市场监测.商品房市场.项目累计.库存.xlsx</t>
  </si>
  <si>
    <t>库存面积(㎡)</t>
  </si>
  <si>
    <t>库存套数(套)</t>
  </si>
  <si>
    <t>去化周期12'(月)</t>
  </si>
  <si>
    <t>CRIC-三亚-市场监测.商品房市场.项目累计.供求.xlsx</t>
  </si>
  <si>
    <t>2018年</t>
  </si>
  <si>
    <t>CRIC-上海-市场监测.商品房市场.项目累计.供求.xlsx</t>
  </si>
  <si>
    <t>CRIC-上海-市场监测.商品房市场.项目累计.库存.xlsx</t>
  </si>
  <si>
    <t>CRIC-上饶-市场监测.商品房市场.项目累计.供求.xlsx</t>
  </si>
  <si>
    <t>CRIC-上饶-市场监测.商品房市场.项目累计.库存.xlsx</t>
  </si>
  <si>
    <t>CRIC-东方-市场监测.商品房市场.项目累计.供求.xlsx</t>
  </si>
  <si>
    <t>CRIC-东方-市场监测.商品房市场.项目累计.库存.xlsx</t>
  </si>
  <si>
    <t>CRIC-东莞-市场监测.商品房市场.项目累计.供求.xlsx</t>
  </si>
  <si>
    <t>CRIC-东莞-市场监测.商品房市场.项目累计.库存.xlsx</t>
  </si>
  <si>
    <t>CRIC-东营-市场监测.商品房市场.项目累计.供求.xlsx</t>
  </si>
  <si>
    <t>CRIC-东营-市场监测.商品房市场.项目累计.库存.xlsx</t>
  </si>
  <si>
    <t>CRIC-中卫-市场监测.商品房市场.项目累计.供求.xlsx</t>
  </si>
  <si>
    <t>CRIC-中卫-市场监测.商品房市场.项目累计.库存 (1).xlsx</t>
  </si>
  <si>
    <t>去化周期24'(月)</t>
  </si>
  <si>
    <t>CRIC-中山-市场监测.商品房市场.项目累计.供求.xlsx</t>
  </si>
  <si>
    <t>CRIC-中山-市场监测.商品房市场.项目累计.库存.xlsx</t>
  </si>
  <si>
    <t>库存面积同比(%)</t>
  </si>
  <si>
    <t>库存面积环比(%)</t>
  </si>
  <si>
    <t>库存套数同比(%)</t>
  </si>
  <si>
    <t>库存套数环比(%)</t>
  </si>
  <si>
    <t>去化周期3'(月)</t>
  </si>
  <si>
    <t>去化周期6'(月)</t>
  </si>
  <si>
    <t>去化周期36'(月)</t>
  </si>
  <si>
    <t>CRIC-临高-市场监测.商品房市场.项目累计.供求.xlsx</t>
  </si>
  <si>
    <t>CRIC-临高-市场监测.商品房市场.项目累计.库存.xlsx</t>
  </si>
  <si>
    <t>CRIC-丽水-市场监测.商品房市场.项目累计.供求.xlsx</t>
  </si>
  <si>
    <t>CRIC-丽水-市场监测.商品房市场.项目累计.库存.xlsx</t>
  </si>
  <si>
    <t>CRIC-义乌-市场监测.商品房市场.项目累计.供求.xlsx</t>
  </si>
  <si>
    <t>CRIC-义乌-市场监测.商品房市场.项目累计.库存.xlsx</t>
  </si>
  <si>
    <t>CRIC-乌鲁木齐-市场监测.商品房市场.项目累计.供求.xlsx</t>
  </si>
  <si>
    <t>CRIC-乐东-市场监测.商品房市场.项目累计.供求.xlsx</t>
  </si>
  <si>
    <t>CRIC-乐东-市场监测.商品房市场.项目累计.库存.xlsx</t>
  </si>
  <si>
    <t>CRIC-乐山-市场监测.商品房市场.项目累计.供求.xlsx</t>
  </si>
  <si>
    <t>CRIC-乐山-市场监测.商品房市场.项目累计.库存.xlsx</t>
  </si>
  <si>
    <t>CRIC-九江-市场监测.商品房市场.项目累计.供求.xlsx</t>
  </si>
  <si>
    <t>CRIC-九江-市场监测.商品房市场.项目累计.库存.xlsx</t>
  </si>
  <si>
    <t>CRIC-五指山-市场监测.商品房市场.项目累计.供求.xlsx</t>
  </si>
  <si>
    <t>CRIC-五指山-市场监测.商品房市场.项目累计.库存.xlsx</t>
  </si>
  <si>
    <t>CRIC-佛山-市场监测.商品房市场.项目累计.供求.xlsx</t>
  </si>
  <si>
    <t>CRIC-佛山-市场监测.商品房市场.项目累计.库存.xlsx</t>
  </si>
  <si>
    <t>CRIC-保亭-市场监测.商品房市场.项目累计.供求.xlsx</t>
  </si>
  <si>
    <t>CRIC-信阳-市场监测.商品房市场.项目累计.供求.xlsx</t>
  </si>
  <si>
    <t>2017年</t>
  </si>
  <si>
    <t>CRIC-信阳-市场监测.商品房市场.项目累计.库存.xlsx</t>
  </si>
  <si>
    <t>CRIC-儋州-市场监测.商品房市场.项目累计.供求.xlsx</t>
  </si>
  <si>
    <t>CRIC-儋州-市场监测.商品房市场.项目累计.库存.xlsx</t>
  </si>
  <si>
    <t>CRIC-六安-市场监测.商品房市场.项目累计.供求.xlsx</t>
  </si>
  <si>
    <t>CRIC-六安-市场监测.商品房市场.项目累计.库存.xlsx</t>
  </si>
  <si>
    <t>CRIC-兰州-市场监测.商品房市场.项目累计.供求.xlsx</t>
  </si>
  <si>
    <t>CRIC-兰州-市场监测.商品房市场.项目累计.库存.xlsx</t>
  </si>
  <si>
    <t>CRIC-北京-市场监测.商品房市场.项目累计.供求.xlsx</t>
  </si>
  <si>
    <t>CRIC-北京-市场监测.商品房市场.项目累计.库存.xlsx</t>
  </si>
  <si>
    <t>CRIC-北海-市场监测.商品房市场.城市总量.xlsx</t>
  </si>
  <si>
    <t>CRIC-北海-市场监测.广义存量.广义存量.xlsx</t>
  </si>
  <si>
    <t>广义存量面积(㎡)</t>
  </si>
  <si>
    <t>CRIC-南京-市场监测.商品房市场.项目累计.供求.xlsx</t>
  </si>
  <si>
    <t>CRIC-南京-市场监测.商品房市场.项目累计.库存.xlsx</t>
  </si>
  <si>
    <t>CRIC-南宁-市场监测.商品房市场.项目累计.供求.xlsx</t>
  </si>
  <si>
    <t>CRIC-南宁-市场监测.商品房市场.项目累计.库存.xlsx</t>
  </si>
  <si>
    <t>CRIC-南昌-市场监测.商品房市场.项目累计.供求.xlsx</t>
  </si>
  <si>
    <t>CRIC-南昌-市场监测.商品房市场.项目累计.库存.xlsx</t>
  </si>
  <si>
    <t>CRIC-南通-市场监测.商品房市场.项目累计.供求.xlsx</t>
  </si>
  <si>
    <t>CRIC-南通-市场监测.商品房市场.项目累计.库存.xlsx</t>
  </si>
  <si>
    <t>CRIC-厦门-市场监测.商品房市场.项目累计.供求.xlsx</t>
  </si>
  <si>
    <t>CRIC-厦门-市场监测.商品房市场.项目累计.库存 (1).xlsx</t>
  </si>
  <si>
    <t>CRIC-台州-市场监测.商品房市场.项目累计.供求.xlsx</t>
  </si>
  <si>
    <t>CRIC-台州-市场监测.商品房市场.项目累计.库存.xlsx</t>
  </si>
  <si>
    <t>CRIC-合肥-市场监测.商品房市场.项目累计.供求.xlsx</t>
  </si>
  <si>
    <t>CRIC-合肥-市场监测.商品房市场.项目累计.库存.xlsx</t>
  </si>
  <si>
    <t>CRIC-吉林-市场监测.商品房市场.项目累计.供求.xlsx</t>
  </si>
  <si>
    <t>CRIC-吉林-市场监测.商品房市场.项目累计.库存.xlsx</t>
  </si>
  <si>
    <t>CRIC-启东-市场监测.商品房市场.项目累计.供求.xlsx</t>
  </si>
  <si>
    <t>CRIC-吴忠-市场监测.商品房市场.项目累计.供求.xlsx</t>
  </si>
  <si>
    <t>CRIC-吴忠-市场监测.商品房市场.项目累计.库存.xlsx</t>
  </si>
  <si>
    <t>CRIC-呼和浩特-市场监测.商品房市场.项目累计.供求.xlsx</t>
  </si>
  <si>
    <t>CRIC-呼和浩特-市场监测.商品房市场.项目累计.库存.xlsx</t>
  </si>
  <si>
    <t>CRIC-哈尔滨-市场监测.商品房市场.项目累计.供求.xlsx</t>
  </si>
  <si>
    <t>CRIC-哈尔滨-市场监测.商品房市场.项目累计.库存.xlsx</t>
  </si>
  <si>
    <t>CRIC-嘉兴-市场监测.商品房市场.项目累计.供求.xlsx</t>
  </si>
  <si>
    <t>CRIC-嘉兴-市场监测.商品房市场.项目累计.库存.xlsx</t>
  </si>
  <si>
    <t>CRIC-嘉善-市场监测.商品房市场.项目累计.供求.xlsx</t>
  </si>
  <si>
    <t>CRIC-嘉善-市场监测.商品房市场.项目累计.库存.xlsx</t>
  </si>
  <si>
    <t>CRIC-嘉峪关-市场监测.商品房市场.项目累计.供求.xlsx</t>
  </si>
  <si>
    <t>CRIC-嘉峪关-市场监测.商品房市场.项目累计.库存.xlsx</t>
  </si>
  <si>
    <t>CRIC-固原-市场监测.商品房市场.项目累计.供求 (1).xlsx</t>
  </si>
  <si>
    <t>CRIC-固原-市场监测.商品房市场.项目累计.供求.xlsx</t>
  </si>
  <si>
    <t>CRIC-固原-市场监测.商品房市场.项目累计.库存.xlsx</t>
  </si>
  <si>
    <t>CRIC-固安-市场监测.商品房市场.项目累计.供求.xlsx</t>
  </si>
  <si>
    <t>CRIC-大厂-市场监测.商品房市场.项目累计.供求.xlsx</t>
  </si>
  <si>
    <t>CRIC-大连-市场监测.商品房市场.城市总量.xlsx</t>
  </si>
  <si>
    <t>CRIC-大连-市场监测.商品房市场.项目累计.供求.xlsx</t>
  </si>
  <si>
    <t>CRIC-天水-市场监测.商品房市场.项目累计.供求.xlsx</t>
  </si>
  <si>
    <t>CRIC-天水-市场监测.商品房市场.项目累计.库存.xlsx</t>
  </si>
  <si>
    <t>CRIC-天津-市场监测.商品房市场.项目累计.供求.xlsx</t>
  </si>
  <si>
    <t>CRIC-天津-市场监测.商品房市场.项目累计.库存.xlsx</t>
  </si>
  <si>
    <t>CRIC-太仓-市场监测.商品房市场.项目累计.供求.xlsx</t>
  </si>
  <si>
    <t>CRIC-太仓-市场监测.商品房市场.项目累计.库存.xlsx</t>
  </si>
  <si>
    <t>CRIC-太原-市场监测.商品房市场.项目累计.供求.xlsx</t>
  </si>
  <si>
    <t>CRIC-太原-市场监测.商品房市场.项目累计.库存.xlsx</t>
  </si>
  <si>
    <t>CRIC-宁波-市场监测.商品房市场.项目累计.供求.xlsx</t>
  </si>
  <si>
    <t>CRIC-宁波-市场监测.商品房市场.项目累计.库存.xlsx</t>
  </si>
  <si>
    <t>CRIC-安庆-市场监测.商品房市场.项目累计.供求.xlsx</t>
  </si>
  <si>
    <t>CRIC-安庆-市场监测.商品房市场.项目累计.库存.xlsx</t>
  </si>
  <si>
    <t>CRIC-安顺-市场监测.商品房市场.项目累计.供求.xlsx</t>
  </si>
  <si>
    <t>CRIC-安顺-市场监测.商品房市场.项目累计.库存.xlsx</t>
  </si>
  <si>
    <t>CRIC-定安-市场监测.商品房市场.项目累计.供求.xlsx</t>
  </si>
  <si>
    <t>CRIC-定安-市场监测.商品房市场.项目累计.库存.xlsx</t>
  </si>
  <si>
    <t>CRIC-宜兴-市场监测.商品房市场.项目累计.供求.xlsx</t>
  </si>
  <si>
    <t>CRIC-宜兴-市场监测.商品房市场.项目累计.库存.xlsx</t>
  </si>
  <si>
    <t>CRIC-宜宾-市场监测.商品房市场.项目累计.供求.xlsx</t>
  </si>
  <si>
    <t>CRIC-宜宾-市场监测.商品房市场.项目累计.库存.xlsx</t>
  </si>
  <si>
    <t>CRIC-宜昌-市场监测.商品房市场.项目累计.供求.xlsx</t>
  </si>
  <si>
    <t>2016年</t>
  </si>
  <si>
    <t>2015年</t>
  </si>
  <si>
    <t>2014年</t>
  </si>
  <si>
    <t>CRIC-宜春-市场监测.商品房市场.项目累计.供求.xlsx</t>
  </si>
  <si>
    <t>CRIC-宜春-市场监测.商品房市场.项目累计.库存.xlsx</t>
  </si>
  <si>
    <t>CRIC-宝鸡-市场监测.商品房市场.项目累计.供求.xlsx</t>
  </si>
  <si>
    <t>CRIC-宝鸡-市场监测.商品房市场.项目累计.库存.xlsx</t>
  </si>
  <si>
    <t>CRIC-宿州-市场监测.商品房市场.项目累计.供求.xlsx</t>
  </si>
  <si>
    <t>CRIC-宿州-市场监测.商品房市场.项目累计.库存.xlsx</t>
  </si>
  <si>
    <t>CRIC-屯昌-市场监测.商品房市场.项目累计.供求.xlsx</t>
  </si>
  <si>
    <t>CRIC-屯昌-市场监测.商品房市场.项目累计.库存.xlsx</t>
  </si>
  <si>
    <t>CRIC-岳阳-市场监测.商品房市场.项目累计.供求.xlsx</t>
  </si>
  <si>
    <t>CRIC-岳阳-市场监测.商品房市场.项目累计.库存.xlsx</t>
  </si>
  <si>
    <t>CRIC-嵊州-市场监测.商品房市场.项目累计.供求.xlsx</t>
  </si>
  <si>
    <t>CRIC-嵊州-市场监测.商品房市场.项目累计.库存.xlsx</t>
  </si>
  <si>
    <t>CRIC-常州-市场监测.商品房市场.项目累计.供求.xlsx</t>
  </si>
  <si>
    <t>CRIC-常州-市场监测.商品房市场.项目累计.库存.xlsx</t>
  </si>
  <si>
    <t>CRIC-常德-市场监测.商品房市场.城市总量.xlsx</t>
  </si>
  <si>
    <t>成交均价(元)</t>
  </si>
  <si>
    <t>CRIC-常德-市场监测.商品房市场.项目累计.供求 (1).xlsx</t>
  </si>
  <si>
    <t>CRIC-常熟-市场监测.商品房市场.项目累计.供求.xlsx</t>
  </si>
  <si>
    <t>CRIC-常熟-市场监测.商品房市场.项目累计.库存.xlsx</t>
  </si>
  <si>
    <t>CRIC-平顶山-市场监测.商品房市场.项目累计.供求.xlsx</t>
  </si>
  <si>
    <t>CRIC-平顶山-市场监测.商品房市场.项目累计.库存.xlsx</t>
  </si>
  <si>
    <t>CRIC-广安-市场监测.商品房市场.项目累计.供求.xlsx</t>
  </si>
  <si>
    <t>CRIC-广安-市场监测.商品房市场.项目累计.库存.xlsx</t>
  </si>
  <si>
    <t>CRIC-广州-市场监测.商品房市场.项目累计.供求.xlsx</t>
  </si>
  <si>
    <t>CRIC-广州-市场监测.商品房市场.项目累计.库存.xlsx</t>
  </si>
  <si>
    <t>CRIC-廊坊-市场监测.商品房市场.项目累计.供求.xlsx</t>
  </si>
  <si>
    <t>CRIC-建德-市场监测.商品房市场.项目累计.供求 (1).xlsx</t>
  </si>
  <si>
    <t>CRIC-建德-市场监测.商品房市场.项目累计.库存.xlsx</t>
  </si>
  <si>
    <t>CRIC-张家港-市场监测.商品房市场.项目累计.供求.xlsx</t>
  </si>
  <si>
    <t>CRIC-张家港-市场监测.商品房市场.项目累计.库存.xlsx</t>
  </si>
  <si>
    <t>CRIC-张掖-市场监测.商品房市场.项目累计.供求.xlsx</t>
  </si>
  <si>
    <t>CRIC-张掖-市场监测.商品房市场.项目累计.库存.xlsx</t>
  </si>
  <si>
    <t>CRIC-徐州-市场监测.商品房市场.项目累计.供求.xlsx</t>
  </si>
  <si>
    <t>CRIC-徐州-市场监测.商品房市场.项目累计.库存.xlsx</t>
  </si>
  <si>
    <t>CRIC-德清-市场监测.商品房市场.项目累计.供求.xlsx</t>
  </si>
  <si>
    <t>CRIC-德清-市场监测.商品房市场.项目累计.库存.xlsx</t>
  </si>
  <si>
    <t>CRIC-德阳-市场监测.商品房市场.项目累计.供求.xlsx</t>
  </si>
  <si>
    <t>CRIC-德阳-市场监测.商品房市场.项目累计.库存.xlsx</t>
  </si>
  <si>
    <t>CRIC-惠州-市场监测.商品房市场.项目累计.供求.xlsx</t>
  </si>
  <si>
    <t>CRIC-惠州-市场监测.商品房市场.项目累计.库存.xlsx</t>
  </si>
  <si>
    <t>CRIC-成都-市场监测.商品房市场.项目累计.供求.xlsx</t>
  </si>
  <si>
    <t>CRIC-成都-市场监测.商品房市场.项目累计.库存.xlsx</t>
  </si>
  <si>
    <t>CRIC-扬州-市场监测.商品房市场.城市总量.xlsx</t>
  </si>
  <si>
    <t>CRIC-抚州-市场监测.商品房市场.项目累计.供求.xlsx</t>
  </si>
  <si>
    <t>CRIC-抚州-市场监测.商品房市场.项目累计.库存.xlsx</t>
  </si>
  <si>
    <t>CRIC-拉萨-市场监测.商品房市场.项目累计.供求.xlsx</t>
  </si>
  <si>
    <t>CRIC-拉萨-市场监测.商品房市场.项目累计.库存.xlsx</t>
  </si>
  <si>
    <t>CRIC-文昌-市场监测.商品房市场.项目累计.供求.xlsx</t>
  </si>
  <si>
    <t>CRIC-文昌-市场监测.商品房市场.项目累计.库存.xlsx</t>
  </si>
  <si>
    <t>CRIC-无锡-市场监测.商品房市场.项目累计.供求.xlsx</t>
  </si>
  <si>
    <t>CRIC-无锡-市场监测.商品房市场.项目累计.库存.xlsx</t>
  </si>
  <si>
    <t>CRIC-日照-市场监测.商品房市场.项目累计.供求.xlsx</t>
  </si>
  <si>
    <t>CRIC-日照-市场监测.商品房市场.项目累计.库存.xlsx</t>
  </si>
  <si>
    <t>CRIC-昆山-市场监测.商品房市场.项目累计.供求.xlsx</t>
  </si>
  <si>
    <t>CRIC-昆山-市场监测.商品房市场.项目累计.库存.xlsx</t>
  </si>
  <si>
    <t>CRIC-昆明-市场监测.商品房市场.项目累计.供求 (1).xlsx</t>
  </si>
  <si>
    <t>CRIC-昆明-市场监测.商品房市场.项目累计.库存.xlsx</t>
  </si>
  <si>
    <t>CRIC-昌江-市场监测.商品房市场.项目累计.供求.xlsx</t>
  </si>
  <si>
    <t>CRIC-昌江-市场监测.商品房市场.项目累计.库存.xlsx</t>
  </si>
  <si>
    <t>CRIC-晋城-市场监测.商品房市场.项目累计.供求.xlsx</t>
  </si>
  <si>
    <t>CRIC-晋城-市场监测.商品房市场.项目累计.库存.xlsx</t>
  </si>
  <si>
    <t>CRIC-晋江-市场监测.商品房市场.项目累计.供求.xlsx</t>
  </si>
  <si>
    <t>CRIC-晋江-市场监测.商品房市场.项目累计.库存.xlsx</t>
  </si>
  <si>
    <t>CRIC-景德镇-市场监测.商品房市场.项目累计.供求.xlsx</t>
  </si>
  <si>
    <t>CRIC-景德镇-市场监测.商品房市场.项目累计.库存.xlsx</t>
  </si>
  <si>
    <t>CRIC-杭州-市场监测.商品房市场.项目累计.供求.xlsx</t>
  </si>
  <si>
    <t>CRIC-杭州-市场监测.商品房市场.项目累计.库存.xlsx</t>
  </si>
  <si>
    <t>CRIC-株洲-市场监测.商品房市场.项目累计.供求.xlsx</t>
  </si>
  <si>
    <t>CRIC-桐乡-市场监测.商品房市场.项目累计.供求.xlsx</t>
  </si>
  <si>
    <t>CRIC-桐乡-市场监测.商品房市场.项目累计.库存.xlsx</t>
  </si>
  <si>
    <t>CRIC-桐庐-市场监测.商品房市场.项目累计.供求.xlsx</t>
  </si>
  <si>
    <t>CRIC-桐庐-市场监测.商品房市场.项目累计.库存.xlsx</t>
  </si>
  <si>
    <t>CRIC-武汉-市场监测.商品房市场.项目累计.供求.xlsx</t>
  </si>
  <si>
    <t>CRIC-武汉-市场监测.商品房市场.项目累计.库存.xlsx</t>
  </si>
  <si>
    <t>CRIC-毕节-市场监测.商品房市场.项目累计.供求.xlsx</t>
  </si>
  <si>
    <t>CRIC-毕节-市场监测.商品房市场.项目累计.库存.xlsx</t>
  </si>
  <si>
    <t>CRIC-汉中-市场监测.商品房市场.项目累计.供求.xlsx</t>
  </si>
  <si>
    <t>CRIC-汉中-市场监测.商品房市场.项目累计.库存.xlsx</t>
  </si>
  <si>
    <t>CRIC-汕头-市场监测.商品房市场.项目累计.供求.xlsx</t>
  </si>
  <si>
    <t>CRIC-汕头-市场监测.商品房市场.项目累计.库存.xlsx</t>
  </si>
  <si>
    <t>CRIC-江阴-市场监测.商品房市场.项目累计.供求.xlsx</t>
  </si>
  <si>
    <t>CRIC-江阴-市场监测.商品房市场.项目累计.库存.xlsx</t>
  </si>
  <si>
    <t>CRIC-池州-市场监测.商品房市场.项目累计.供求.xlsx</t>
  </si>
  <si>
    <t>CRIC-池州-市场监测.商品房市场.项目累计.库存.xlsx</t>
  </si>
  <si>
    <t>CRIC-沈阳-市场监测.商品房市场.项目累计.供求.xlsx</t>
  </si>
  <si>
    <t>CRIC-沈阳-市场监测.商品房市场.项目累计.库存.xlsx</t>
  </si>
  <si>
    <t>CRIC-泉州-市场监测.商品房市场.项目累计.供求.xlsx</t>
  </si>
  <si>
    <t>CRIC-泉州-市场监测.商品房市场.项目累计.库存.xlsx</t>
  </si>
  <si>
    <t>CRIC-泰州-市场监测.商品房市场.项目累计.供求.xlsx</t>
  </si>
  <si>
    <t>CRIC-泸州-市场监测.商品房市场.项目累计.供求.xlsx</t>
  </si>
  <si>
    <t>CRIC-泸州-市场监测.商品房市场.项目累计.库存.xlsx</t>
  </si>
  <si>
    <t>CRIC-洛阳-市场监测.商品房市场.项目累计.供求.xlsx</t>
  </si>
  <si>
    <t>CRIC-洛阳-市场监测.商品房市场.项目累计.库存.xlsx</t>
  </si>
  <si>
    <t>CRIC-济南-市场监测.商品房市场.项目累计.供求.xlsx</t>
  </si>
  <si>
    <t>CRIC-济南-市场监测.商品房市场.项目累计.库存.xlsx</t>
  </si>
  <si>
    <t>CRIC-海东地区-市场监测.商品房市场.项目累计.供求.xlsx</t>
  </si>
  <si>
    <t>CRIC-海东地区-市场监测.商品房市场.项目累计.库存.xlsx</t>
  </si>
  <si>
    <t>CRIC-海北藏族自治州-市场监测.商品房市场.项目累计.供求.xlsx</t>
  </si>
  <si>
    <t>CRIC-海北藏族自治州-市场监测.商品房市场.项目累计.库存.xlsx</t>
  </si>
  <si>
    <t>CRIC-海南藏族自治州-市场监测.商品房市场.项目累计.供求.xlsx</t>
  </si>
  <si>
    <t>CRIC-海南藏族自治州-市场监测.商品房市场.项目累计.库存.xlsx</t>
  </si>
  <si>
    <t>CRIC-海口-市场监测.商品房市场.项目累计.供求.xlsx</t>
  </si>
  <si>
    <t>CRIC-海口-市场监测.商品房市场.项目累计.库存.xlsx</t>
  </si>
  <si>
    <t>CRIC-海宁-市场监测.商品房市场.项目累计.供求.xlsx</t>
  </si>
  <si>
    <t>CRIC-海宁-市场监测.商品房市场.项目累计.库存.xlsx</t>
  </si>
  <si>
    <t>CRIC-海西蒙古族藏族自治州-市场监测.商品房市场.项目累计.供求.xlsx</t>
  </si>
  <si>
    <t>CRIC-海西蒙古族藏族自治州-市场监测.商品房市场.项目累计.库存.xlsx</t>
  </si>
  <si>
    <t>CRIC-淄博-市场监测.商品房市场.项目累计.供求.xlsx</t>
  </si>
  <si>
    <t>CRIC-淄博-市场监测.商品房市场.项目累计.库存.xlsx</t>
  </si>
  <si>
    <t>CRIC-淮北-市场监测.商品房市场.项目累计.供求.xlsx</t>
  </si>
  <si>
    <t>CRIC-淮北-市场监测.商品房市场.项目累计.库存.xlsx</t>
  </si>
  <si>
    <t>CRIC-淮南-市场监测.商品房市场.项目累计.供求.xlsx</t>
  </si>
  <si>
    <t>CRIC-淮南-市场监测.商品房市场.项目累计.库存.xlsx</t>
  </si>
  <si>
    <t>CRIC-淮安-市场监测.商品房市场.项目累计.供求.xlsx</t>
  </si>
  <si>
    <t>CRIC-深圳-市场监测.商品房市场.项目累计.供求.xlsx</t>
  </si>
  <si>
    <t>CRIC-深圳-市场监测.商品房市场.项目累计.库存.xlsx</t>
  </si>
  <si>
    <t>CRIC-淳安-市场监测.商品房市场.项目累计.供求.xlsx</t>
  </si>
  <si>
    <t>CRIC-清远-市场监测.商品房市场.项目累计.供求.xlsx</t>
  </si>
  <si>
    <t>CRIC-清远-市场监测.商品房市场.项目累计.库存.xlsx</t>
  </si>
  <si>
    <t>CRIC-温州-市场监测.商品房市场.项目累计.供求.xlsx</t>
  </si>
  <si>
    <t>CRIC-温州-市场监测.商品房市场.项目累计.库存.xlsx</t>
  </si>
  <si>
    <t>CRIC-渭南-市场监测.商品房市场.项目累计.供求.xlsx</t>
  </si>
  <si>
    <t>CRIC-渭南-市场监测.商品房市场.项目累计.库存.xlsx</t>
  </si>
  <si>
    <t>CRIC-湖州-市场监测.商品房市场.项目累计.供求.xlsx</t>
  </si>
  <si>
    <t>CRIC-湖州-市场监测.商品房市场.项目累计.库存.xlsx</t>
  </si>
  <si>
    <t>CRIC-滨州-市场监测.商品房市场.项目累计.供求.xlsx</t>
  </si>
  <si>
    <t>CRIC-滨州-市场监测.商品房市场.项目累计.库存.xlsx</t>
  </si>
  <si>
    <t>CRIC-漯河-市场监测.商品房市场.项目累计.供求.xlsx</t>
  </si>
  <si>
    <t>CRIC-漯河-市场监测.商品房市场.项目累计.库存.xlsx</t>
  </si>
  <si>
    <t>CRIC-漳州-市场监测.商品房市场.项目累计.供求.xlsx</t>
  </si>
  <si>
    <t>CRIC-漳州-市场监测.商品房市场.项目累计.库存.xlsx</t>
  </si>
  <si>
    <t>CRIC-澄迈-市场监测.商品房市场.项目累计.供求.xlsx</t>
  </si>
  <si>
    <t>CRIC-澄迈-市场监测.商品房市场.项目累计.库存.xlsx</t>
  </si>
  <si>
    <t>CRIC-濮阳-市场监测.商品房市场.项目累计.供求.xlsx</t>
  </si>
  <si>
    <t>CRIC-濮阳-市场监测.商品房市场.项目累计.库存.xlsx</t>
  </si>
  <si>
    <t>CRIC-烟台-市场监测.商品房市场.项目累计.供求.xlsx</t>
  </si>
  <si>
    <t>CRIC-烟台-市场监测.商品房市场.项目累计.库存.xlsx</t>
  </si>
  <si>
    <t>CRIC-焦作-市场监测.商品房市场.项目累计.供求.xlsx</t>
  </si>
  <si>
    <t>CRIC-焦作-市场监测.商品房市场.项目累计.库存.xlsx</t>
  </si>
  <si>
    <t>CRIC-燕郊-市场监测.商品房市场.项目累计.供求.xlsx</t>
  </si>
  <si>
    <t>CRIC-珠海-市场监测.商品房市场.项目累计.供求.xlsx</t>
  </si>
  <si>
    <t>CRIC-珠海-市场监测.商品房市场.项目累计.库存.xlsx</t>
  </si>
  <si>
    <t>CRIC-琼中-市场监测.商品房市场.项目累计.供求.xlsx</t>
  </si>
  <si>
    <t>CRIC-琼中-市场监测.商品房市场.项目累计.库存.xlsx</t>
  </si>
  <si>
    <t>CRIC-琼海-市场监测.商品房市场.项目累计.供求.xlsx</t>
  </si>
  <si>
    <t>CRIC-琼海-市场监测.商品房市场.项目累计.库存.xlsx</t>
  </si>
  <si>
    <t>CRIC-白沙-市场监测.商品房市场.项目累计.供求.xlsx</t>
  </si>
  <si>
    <t>CRIC-白沙-市场监测.商品房市场.项目累计.库存.xlsx</t>
  </si>
  <si>
    <t>CRIC-白银-市场监测.商品房市场.项目累计.供求.xlsx</t>
  </si>
  <si>
    <t>CRIC-白银-市场监测.商品房市场.项目累计.库存.xlsx</t>
  </si>
  <si>
    <t>CRIC-益阳-市场监测.商品房市场.项目累计.供求.xlsx</t>
  </si>
  <si>
    <t>CRIC-盐城-市场监测.商品房市场.项目累计.供求.xlsx</t>
  </si>
  <si>
    <t>CRIC-福州-市场监测.商品房市场.项目累计.供求.xlsx</t>
  </si>
  <si>
    <t>CRIC-福州-市场监测.商品房市场.项目累计.库存.xlsx</t>
  </si>
  <si>
    <t>CRIC-绍兴-市场监测.商品房市场.项目累计.供求.xlsx</t>
  </si>
  <si>
    <t>CRIC-绍兴-市场监测.商品房市场.项目累计.库存.xlsx</t>
  </si>
  <si>
    <t>CRIC-聊城-市场监测.商品房市场.城市总量.xlsx</t>
  </si>
  <si>
    <t>CRIC-聊城-市场监测.商品房市场.项目累计.供求.xlsx</t>
  </si>
  <si>
    <t>CRIC-肇庆-市场监测.商品房市场.项目累计.供求.xlsx</t>
  </si>
  <si>
    <t>CRIC-肇庆-市场监测.商品房市场.项目累计.库存.xlsx</t>
  </si>
  <si>
    <t>CRIC-舟山-市场监测.商品房市场.项目累计.供求.xlsx</t>
  </si>
  <si>
    <t>CRIC-舟山-市场监测.商品房市场.项目累计.库存.xlsx</t>
  </si>
  <si>
    <t>CRIC-芜湖-市场监测.商品房市场.项目累计.供求.xlsx</t>
  </si>
  <si>
    <t>CRIC-芜湖-市场监测.商品房市场.项目累计.库存.xlsx</t>
  </si>
  <si>
    <t>CRIC-苏州-市场监测.商品房市场.项目累计.供求.xlsx</t>
  </si>
  <si>
    <t>CRIC-苏州-市场监测.商品房市场.项目累计.库存.xlsx</t>
  </si>
  <si>
    <t>CRIC-荆门-市场监测.商品房市场.项目累计.供求.xlsx</t>
  </si>
  <si>
    <t>CRIC-荆门-市场监测.商品房市场.项目累计.库存.xlsx</t>
  </si>
  <si>
    <t>CRIC-菏泽-市场监测.商品房市场.项目累计.供求.xlsx</t>
  </si>
  <si>
    <t>CRIC-菏泽-市场监测.商品房市场.项目累计.库存.xlsx</t>
  </si>
  <si>
    <t>CRIC-蚌埠-市场监测.商品房市场.项目累计.供求.xlsx</t>
  </si>
  <si>
    <t>CRIC-蚌埠-市场监测.商品房市场.项目累计.库存.xlsx</t>
  </si>
  <si>
    <t>CRIC-衡阳-市场监测.商品房市场.项目累计.供求.xlsx</t>
  </si>
  <si>
    <t>CRIC-衡阳-市场监测.商品房市场.项目累计.库存.xlsx</t>
  </si>
  <si>
    <t>CRIC-衢州-市场监测.商品房市场.项目累计.供求.xlsx</t>
  </si>
  <si>
    <t>CRIC-衢州-市场监测.商品房市场.项目累计.库存.xlsx</t>
  </si>
  <si>
    <t>CRIC-西宁-市场监测.商品房市场.项目累计.供求.xlsx</t>
  </si>
  <si>
    <t>CRIC-西宁-市场监测.商品房市场.项目累计.库存.xlsx</t>
  </si>
  <si>
    <t>CRIC-西安-市场监测.商品房市场.项目累计.供求.xlsx</t>
  </si>
  <si>
    <t>CRIC-西安-市场监测.商品房市场.项目累计.库存.xlsx</t>
  </si>
  <si>
    <t>CRIC-贵阳-市场监测.商品房市场.项目累计.供求.xlsx</t>
  </si>
  <si>
    <t>CRIC-资阳-市场监测.商品房市场.项目累计.供求.xlsx</t>
  </si>
  <si>
    <t>CRIC-资阳-市场监测.商品房市场.项目累计.库存.xlsx</t>
  </si>
  <si>
    <t>CRIC-赣州-市场监测.商品房市场.项目累计.供求.xlsx</t>
  </si>
  <si>
    <t>CRIC-赣州-市场监测.商品房市场.项目累计.库存.xlsx</t>
  </si>
  <si>
    <t>CRIC-赤峰-市场监测.商品房市场.项目累计.供求.xlsx</t>
  </si>
  <si>
    <t>CRIC-赤峰-市场监测.商品房市场.项目累计.库存.xlsx</t>
  </si>
  <si>
    <t>CRIC-运城-市场监测.商品房市场.项目累计.供求.xlsx</t>
  </si>
  <si>
    <t>CRIC-运城-市场监测.商品房市场.项目累计.库存.xlsx</t>
  </si>
  <si>
    <t>CRIC-连云港-市场监测.商品房市场.项目累计.供求.xlsx</t>
  </si>
  <si>
    <t>CRIC-郑州-市场监测.商品房市场.项目累计.供求.xlsx</t>
  </si>
  <si>
    <t>CRIC-郑州-市场监测.商品房市场.项目累计.库存.xlsx</t>
  </si>
  <si>
    <t>CRIC-重庆-市场监测.商品房市场.项目累计.供求.xlsx</t>
  </si>
  <si>
    <t>CRIC-重庆-市场监测.商品房市场.项目累计.库存 (1).xlsx</t>
  </si>
  <si>
    <t>CRIC-金华-市场监测.商品房市场.项目累计.供求.xlsx</t>
  </si>
  <si>
    <t>CRIC-金华-市场监测.商品房市场.项目累计.库存.xlsx</t>
  </si>
  <si>
    <t>CRIC-铜川-市场监测.商品房市场.项目累计.供求.xlsx</t>
  </si>
  <si>
    <t>CRIC-铜川-市场监测.商品房市场.项目累计.库存.xlsx</t>
  </si>
  <si>
    <t>CRIC-铜陵-市场监测.商品房市场.项目累计.供求.xlsx</t>
  </si>
  <si>
    <t>CRIC-铜陵-市场监测.商品房市场.项目累计.库存.xlsx</t>
  </si>
  <si>
    <t>CRIC-银川-市场监测.商品房市场.项目累计.供求.xlsx</t>
  </si>
  <si>
    <t>CRIC-银川-市场监测.商品房市场.项目累计.库存.xlsx</t>
  </si>
  <si>
    <t>CRIC-镇江-市场监测.商品房市场.城市总量.xlsx</t>
  </si>
  <si>
    <t>CRIC-镇江-市场监测.商品房市场.项目累计.供求.xlsx</t>
  </si>
  <si>
    <t>CRIC-长春-市场监测.商品房市场.项目累计.供求.xlsx</t>
  </si>
  <si>
    <t>CRIC-长春-市场监测.商品房市场.项目累计.库存.xlsx</t>
  </si>
  <si>
    <t>CRIC-长沙-市场监测.商品房市场.项目累计.供求.xlsx</t>
  </si>
  <si>
    <t>CRIC-长沙-市场监测.商品房市场.项目累计.库存.xlsx</t>
  </si>
  <si>
    <t>CRIC-阜新-市场监测.商品房市场.项目累计.供求.xlsx</t>
  </si>
  <si>
    <t>CRIC-阜新-市场监测.商品房市场.项目累计.库存.xlsx</t>
  </si>
  <si>
    <t>CRIC-陵水-市场监测.商品房市场.项目累计.供求.xlsx</t>
  </si>
  <si>
    <t>CRIC-陵水-市场监测.商品房市场.项目累计.库存.xlsx</t>
  </si>
  <si>
    <t>CRIC-青岛-市场监测.商品房市场.项目累计.供求.xlsx</t>
  </si>
  <si>
    <t>CRIC-青岛-市场监测.商品房市场.项目累计.库存.xlsx</t>
  </si>
  <si>
    <t>CRIC-鞍山-市场监测.商品房市场.项目累计.供求.xlsx</t>
  </si>
  <si>
    <t>CRIC-鞍山-市场监测.商品房市场.项目累计.库存.xlsx</t>
  </si>
  <si>
    <t>CRIC-韶关-市场监测.商品房市场.城市总量.xlsx</t>
  </si>
  <si>
    <t>CRIC-韶关-市场监测.商品房市场.项目累计.供求.xlsx</t>
  </si>
  <si>
    <t>CRIC-香河-市场监测.商品房市场.项目累计.供求.xlsx</t>
  </si>
  <si>
    <t>CRIC-马鞍山-市场监测.商品房市场.项目累计.供求.xlsx</t>
  </si>
  <si>
    <t>CRIC-驻马店-市场监测.商品房市场.项目累计.供求.xlsx</t>
  </si>
  <si>
    <t>CRIC-驻马店-市场监测.商品房市场.项目累计.库存.xlsx</t>
  </si>
  <si>
    <t>CRIC-鹤壁-市场监测.商品房市场.项目累计.供求.xlsx</t>
  </si>
  <si>
    <t>CRIC-鹤壁-市场监测.商品房市场.项目累计.库存.xlsx</t>
  </si>
  <si>
    <t>CRIC-鹰潭-市场监测.商品房市场.项目累计.供求.xlsx</t>
  </si>
  <si>
    <t>CRIC-鹰潭-市场监测.商品房市场.项目累计.库存.xlsx</t>
  </si>
  <si>
    <t>CRIC-黄南藏族自治州-市场监测.商品房市场.项目累计.供求.xlsx</t>
  </si>
  <si>
    <t>CRIC-黄南藏族自治州-市场监测.商品房市场.项目累计.库存.xlsx</t>
  </si>
  <si>
    <t>CRIC-黄石-市场监测.商品房市场.项目累计.供求.xlsx</t>
  </si>
  <si>
    <t>CRIC-黄石-市场监测.商品房市场.项目累计.库存.xlsx</t>
  </si>
  <si>
    <t>去化周期</t>
    <phoneticPr fontId="0" type="Hiragana"/>
  </si>
  <si>
    <t>售价</t>
    <phoneticPr fontId="0" type="Hiragana"/>
  </si>
  <si>
    <t>标准工期</t>
    <phoneticPr fontId="0" type="Hiragana"/>
  </si>
  <si>
    <t>利率</t>
    <phoneticPr fontId="0" type="Hiragana"/>
  </si>
  <si>
    <t>月份</t>
    <phoneticPr fontId="0" type="Hiragana"/>
  </si>
  <si>
    <t>收入</t>
    <phoneticPr fontId="0" type="Hiragana"/>
  </si>
  <si>
    <t>销售周期</t>
    <phoneticPr fontId="0" type="Hiragana"/>
  </si>
  <si>
    <t>主体解30%</t>
    <phoneticPr fontId="0" type="Hiragana"/>
  </si>
  <si>
    <t>装修解30%</t>
    <phoneticPr fontId="0" type="Hiragana"/>
  </si>
  <si>
    <t>竣备解30%</t>
    <phoneticPr fontId="0" type="Hiragana"/>
  </si>
  <si>
    <t>确权解10%</t>
    <phoneticPr fontId="0" type="Hiragana"/>
  </si>
  <si>
    <t>机会成本</t>
    <phoneticPr fontId="0" type="Hiragana"/>
  </si>
  <si>
    <t>主体占用月</t>
    <phoneticPr fontId="0" type="Hiragana"/>
  </si>
  <si>
    <t>装修占用月</t>
    <phoneticPr fontId="0" type="Hiragana"/>
  </si>
  <si>
    <t>竣备占用月</t>
    <phoneticPr fontId="0" type="Hiragana"/>
  </si>
  <si>
    <t>确权占用月</t>
    <phoneticPr fontId="0" type="Hiragana"/>
  </si>
  <si>
    <t>2023售价</t>
    <phoneticPr fontId="0" type="Hiragana"/>
  </si>
  <si>
    <t>元/m2</t>
    <phoneticPr fontId="0" type="Hiragana"/>
  </si>
  <si>
    <t>月</t>
    <phoneticPr fontId="0" type="Hiragana"/>
  </si>
  <si>
    <t>封顶需要</t>
    <phoneticPr fontId="0" type="Hiragana"/>
  </si>
  <si>
    <t>个月</t>
    <phoneticPr fontId="0" type="Hiragana"/>
  </si>
  <si>
    <t>装修需要</t>
    <phoneticPr fontId="0" type="Hiragana"/>
  </si>
  <si>
    <t>竣备需要</t>
    <phoneticPr fontId="0" type="Hiragana"/>
  </si>
  <si>
    <t>确权需要</t>
    <phoneticPr fontId="0" type="Hiragana"/>
  </si>
  <si>
    <t>峰值占用</t>
    <phoneticPr fontId="0" type="Hiragana"/>
  </si>
  <si>
    <t>封顶占用</t>
    <phoneticPr fontId="0" type="Hiragana"/>
  </si>
  <si>
    <t>城市</t>
    <phoneticPr fontId="0" type="Hiragana"/>
  </si>
  <si>
    <t>施工工期</t>
    <phoneticPr fontId="0" type="Hiragana"/>
  </si>
  <si>
    <t>竣备解100%</t>
    <phoneticPr fontId="0" type="Hiragana"/>
  </si>
  <si>
    <t>到竣备需要</t>
    <phoneticPr fontId="0" type="Hiragana"/>
  </si>
  <si>
    <t>到取证需要</t>
    <phoneticPr fontId="0" type="Hiragana"/>
  </si>
  <si>
    <t>机会成本占售价比例</t>
    <phoneticPr fontId="0" type="Hiragana"/>
  </si>
  <si>
    <t>中级装修</t>
    <phoneticPr fontId="0" type="Hiragana"/>
  </si>
  <si>
    <t>竣备解50%</t>
    <phoneticPr fontId="0" type="Hiragana"/>
  </si>
  <si>
    <t>确权解50%</t>
    <phoneticPr fontId="0" type="Hiragana"/>
  </si>
  <si>
    <t>监管比例</t>
    <phoneticPr fontId="0" type="Hiragana"/>
  </si>
  <si>
    <t>封顶解50%</t>
    <phoneticPr fontId="0" type="Hiragana"/>
  </si>
  <si>
    <t>初始登记15%</t>
    <phoneticPr fontId="0" type="Hiragana"/>
  </si>
  <si>
    <t>风险5%</t>
    <phoneticPr fontId="0" type="Hiragana"/>
  </si>
  <si>
    <t>初始登记工期</t>
    <phoneticPr fontId="0" type="Hiragana"/>
  </si>
  <si>
    <t>竣备占月</t>
    <phoneticPr fontId="0" type="Hiragana"/>
  </si>
  <si>
    <t>初始登占月</t>
    <phoneticPr fontId="0" type="Hiragana"/>
  </si>
  <si>
    <t>风险占月</t>
    <phoneticPr fontId="0" type="Hiragana"/>
  </si>
  <si>
    <t>封顶解40%</t>
    <phoneticPr fontId="0" type="Hiragana"/>
  </si>
  <si>
    <t>封顶前解50%</t>
    <phoneticPr fontId="0" type="Hiragana"/>
  </si>
  <si>
    <t>竣备解20%</t>
    <phoneticPr fontId="0" type="Hiragana"/>
  </si>
  <si>
    <t>初始登记25%</t>
    <phoneticPr fontId="0" type="Hiragana"/>
  </si>
  <si>
    <t>封顶前占用月</t>
    <phoneticPr fontId="0" type="Hiragana"/>
  </si>
  <si>
    <t>竣备占用</t>
    <phoneticPr fontId="0" type="Hiragana"/>
  </si>
  <si>
    <t>初登占用</t>
    <phoneticPr fontId="0" type="Hiragana"/>
  </si>
  <si>
    <t>风险占用</t>
    <phoneticPr fontId="0" type="Hiragana"/>
  </si>
  <si>
    <t>重点监管</t>
    <phoneticPr fontId="0" type="Hiragana"/>
  </si>
  <si>
    <t>封顶解30%</t>
    <phoneticPr fontId="0" type="Hiragana"/>
  </si>
  <si>
    <t>主体完工解20%</t>
    <phoneticPr fontId="0" type="Hiragana"/>
  </si>
  <si>
    <t>内装完解20%</t>
    <phoneticPr fontId="0" type="Hiragana"/>
  </si>
  <si>
    <t>初始登记10%</t>
    <phoneticPr fontId="0" type="Hiragana"/>
  </si>
  <si>
    <t>三分之二解30%</t>
    <phoneticPr fontId="0" type="Hiragana"/>
  </si>
  <si>
    <t>封顶解15%</t>
    <phoneticPr fontId="0" type="Hiragana"/>
  </si>
  <si>
    <t>竣备解47%</t>
    <phoneticPr fontId="0" type="Hiragana"/>
  </si>
  <si>
    <t>确权解8%</t>
    <phoneticPr fontId="0" type="Hiragana"/>
  </si>
  <si>
    <t>三分之二占用</t>
    <phoneticPr fontId="0" type="Hiragana"/>
  </si>
  <si>
    <t>装修4500</t>
    <phoneticPr fontId="0" type="Hiragana"/>
  </si>
  <si>
    <t>毛坯3500</t>
    <phoneticPr fontId="0" type="Hiragana"/>
  </si>
  <si>
    <t>封顶前3500</t>
    <phoneticPr fontId="0" type="Hiragana"/>
  </si>
  <si>
    <t>封顶到外墙3000</t>
    <phoneticPr fontId="0" type="Hiragana"/>
  </si>
  <si>
    <t>竣备前2500</t>
    <phoneticPr fontId="0" type="Hiragana"/>
  </si>
  <si>
    <t>确权前1000</t>
    <phoneticPr fontId="0" type="Hiragana"/>
  </si>
  <si>
    <t>峰值占用比例</t>
    <phoneticPr fontId="0" type="Hiragana"/>
  </si>
  <si>
    <t>剩余造价的1.3倍</t>
    <phoneticPr fontId="0" type="Hiragana"/>
  </si>
  <si>
    <t>封顶解55%</t>
    <phoneticPr fontId="0" type="Hiragana"/>
  </si>
  <si>
    <t>竣备解85%</t>
    <phoneticPr fontId="0" type="Hiragana"/>
  </si>
  <si>
    <t>初始登记95%</t>
    <phoneticPr fontId="0" type="Hiragana"/>
  </si>
  <si>
    <t>封顶前</t>
    <phoneticPr fontId="0" type="Hiragana"/>
  </si>
  <si>
    <t>封顶到外墙</t>
    <phoneticPr fontId="0" type="Hiragana"/>
  </si>
  <si>
    <t>竣备前</t>
    <phoneticPr fontId="0" type="Hiragana"/>
  </si>
  <si>
    <t>确权前</t>
    <phoneticPr fontId="0" type="Hiragana"/>
  </si>
  <si>
    <t>确权期</t>
    <phoneticPr fontId="0" type="Hiragana"/>
  </si>
  <si>
    <t>结构三分之二</t>
    <phoneticPr fontId="0" type="Hiragana"/>
  </si>
  <si>
    <t>封顶</t>
    <phoneticPr fontId="0" type="Hiragana"/>
  </si>
  <si>
    <t>竣备</t>
    <phoneticPr fontId="0" type="Hiragana"/>
  </si>
  <si>
    <t>确权解</t>
    <phoneticPr fontId="0" type="Hiragana"/>
  </si>
  <si>
    <t>封顶前解</t>
    <phoneticPr fontId="0" type="Hiragana"/>
  </si>
  <si>
    <t>封顶解</t>
    <phoneticPr fontId="0" type="Hiragana"/>
  </si>
  <si>
    <t>竣备解</t>
    <phoneticPr fontId="0" type="Hiragana"/>
  </si>
  <si>
    <t>初始登记</t>
    <phoneticPr fontId="0" type="Hiragana"/>
  </si>
  <si>
    <t>风险</t>
    <phoneticPr fontId="0" type="Hiragana"/>
  </si>
  <si>
    <t>主体完工解</t>
    <phoneticPr fontId="0" type="Hiragana"/>
  </si>
  <si>
    <t>内装完解</t>
    <phoneticPr fontId="0" type="Hiragana"/>
  </si>
  <si>
    <t>南通房价四连跌,南通市区新房去化周期突破5年
南通楼市在2023年里面,不含通州、海门的话,一共才只有5124套新房卖出去,而当下南通市区的新房库存量却达到了2.1万套,如果说按照这个一年才卖出去5000多套新房的成交量,南通楼市的去化时间需要5年以上。 而且南通可不止新房库存量高,南通楼市的待售二手房数量也同样比较多,南通楼市的待售二手房数量达到了68000多套,这么多的待售二手房,南通楼市的压力可想而知了。 南通的常住人口有774万,看着多,但南通的老龄化也很严重,这也意味着,南通楼市的消费欲望不会太高。 南通房价后期应该还是有下跌的空间,在南通买房的人还是要悠着点,不要太盲目了。 南通每年的外来人口数量也不多,这也意味着南通楼市想要增加需求,就只能靠内部了,之前有棚改拆迁,现在棚改的</t>
    <phoneticPr fontId="0" type="Hiragana"/>
  </si>
  <si>
    <t>Province</t>
    <phoneticPr fontId="0" type="Hiragana"/>
  </si>
  <si>
    <t>Hainan</t>
    <phoneticPr fontId="0" type="Hiragana"/>
  </si>
  <si>
    <t>Shanghai</t>
    <phoneticPr fontId="0" type="Hiragana"/>
  </si>
  <si>
    <t>Jiangxi</t>
    <phoneticPr fontId="0" type="Hiragana"/>
  </si>
  <si>
    <t>Guangdong</t>
    <phoneticPr fontId="0" type="Hiragana"/>
  </si>
  <si>
    <t>Shandong</t>
    <phoneticPr fontId="0" type="Hiragana"/>
  </si>
  <si>
    <t>Ningxia</t>
    <phoneticPr fontId="0" type="Hiragana"/>
  </si>
  <si>
    <t>Zhejiang</t>
    <phoneticPr fontId="0" type="Hiragana"/>
  </si>
  <si>
    <t>Sichuan</t>
    <phoneticPr fontId="0" type="Hiragana"/>
  </si>
  <si>
    <t>Henan</t>
    <phoneticPr fontId="0" type="Hiragana"/>
  </si>
  <si>
    <t>Anhui</t>
    <phoneticPr fontId="0" type="Hiragana"/>
  </si>
  <si>
    <t>Gansu</t>
    <phoneticPr fontId="0" type="Hiragana"/>
  </si>
  <si>
    <t>Beijing</t>
    <phoneticPr fontId="0" type="Hiragana"/>
  </si>
  <si>
    <t>Guangxi</t>
    <phoneticPr fontId="0" type="Hiragana"/>
  </si>
  <si>
    <t>Jiangsu</t>
    <phoneticPr fontId="0" type="Hiragana"/>
  </si>
  <si>
    <t>Fujian</t>
    <phoneticPr fontId="0" type="Hiragana"/>
  </si>
  <si>
    <t>Jilin</t>
    <phoneticPr fontId="0" type="Hiragana"/>
  </si>
  <si>
    <t>City</t>
    <phoneticPr fontId="0" type="Hiragana"/>
  </si>
  <si>
    <t>主体解</t>
    <phoneticPr fontId="0" type="Hiragana"/>
  </si>
  <si>
    <t>装修解</t>
    <phoneticPr fontId="0" type="Hiragana"/>
  </si>
  <si>
    <t>三分之二解</t>
    <phoneticPr fontId="0" type="Hiragana"/>
  </si>
  <si>
    <t>监管单方</t>
    <phoneticPr fontId="0" type="Hiragana"/>
  </si>
  <si>
    <t>Inner mongolia</t>
    <phoneticPr fontId="0" type="Hiragana"/>
  </si>
  <si>
    <t>Heilongjiang</t>
    <phoneticPr fontId="0" type="Hiragana"/>
  </si>
  <si>
    <t>Liaoning</t>
    <phoneticPr fontId="0" type="Hiragana"/>
  </si>
  <si>
    <t>Hebei</t>
    <phoneticPr fontId="0" type="Hiragana"/>
  </si>
  <si>
    <t>Shananxi</t>
    <phoneticPr fontId="0" type="Hiragana"/>
  </si>
  <si>
    <t>Guizhou</t>
    <phoneticPr fontId="0" type="Hiragana"/>
  </si>
  <si>
    <t>Shanxi</t>
    <phoneticPr fontId="0" type="Hiragana"/>
  </si>
  <si>
    <t>Hunan</t>
    <phoneticPr fontId="0" type="Hiragana"/>
  </si>
  <si>
    <t>去化周期</t>
    <phoneticPr fontId="0" type="Hiragana"/>
  </si>
  <si>
    <t>周期</t>
    <phoneticPr fontId="0" type="Hiragana"/>
  </si>
  <si>
    <t>屯昌县</t>
    <phoneticPr fontId="0" type="Hiragana"/>
  </si>
  <si>
    <t>Tibet</t>
    <phoneticPr fontId="0" type="Hiragana"/>
  </si>
  <si>
    <t>Yunnan</t>
    <phoneticPr fontId="0" type="Hiragana"/>
  </si>
  <si>
    <t>Hubei</t>
    <phoneticPr fontId="0" type="Hiragana"/>
  </si>
  <si>
    <t>Qinghai</t>
    <phoneticPr fontId="0" type="Hiragana"/>
  </si>
  <si>
    <t>淳安县</t>
    <phoneticPr fontId="0" type="Hiragana"/>
  </si>
  <si>
    <t>Chongqing</t>
    <phoneticPr fontId="0" type="Hiragana"/>
  </si>
  <si>
    <t>Tianjin</t>
    <phoneticPr fontId="0" type="Hiragana"/>
  </si>
  <si>
    <t>竣备期</t>
    <phoneticPr fontId="0" type="Hiragana"/>
  </si>
  <si>
    <t>装修解20%</t>
    <phoneticPr fontId="0" type="Hiragana"/>
  </si>
  <si>
    <t>竣备解25%</t>
    <phoneticPr fontId="0" type="Hiragana"/>
  </si>
  <si>
    <t>`</t>
    <phoneticPr fontId="0" type="Hiragana"/>
  </si>
  <si>
    <t>白沙县</t>
  </si>
  <si>
    <t>北海市</t>
  </si>
  <si>
    <t>北京市</t>
  </si>
  <si>
    <t>澄迈县</t>
  </si>
  <si>
    <t>儋州市</t>
  </si>
  <si>
    <t>定安县</t>
  </si>
  <si>
    <t>东方市</t>
  </si>
  <si>
    <t>东莞</t>
  </si>
  <si>
    <t>东营市</t>
  </si>
  <si>
    <t>佛山市</t>
  </si>
  <si>
    <t>广州市</t>
  </si>
  <si>
    <t>海口市</t>
  </si>
  <si>
    <t>合肥市</t>
  </si>
  <si>
    <t>惠州</t>
  </si>
  <si>
    <t>九江市</t>
  </si>
  <si>
    <t>兰州</t>
  </si>
  <si>
    <t>乐东县</t>
  </si>
  <si>
    <t>乐山市</t>
  </si>
  <si>
    <t>丽水市</t>
  </si>
  <si>
    <t>临高</t>
  </si>
  <si>
    <t>陵水</t>
  </si>
  <si>
    <t>六安</t>
  </si>
  <si>
    <t>清远市</t>
  </si>
  <si>
    <t>琼海市</t>
  </si>
  <si>
    <t>琼中县</t>
  </si>
  <si>
    <t>汕头市2</t>
  </si>
  <si>
    <t>上海</t>
  </si>
  <si>
    <t>上饶</t>
  </si>
  <si>
    <t>韶关</t>
  </si>
  <si>
    <t>深圳市</t>
  </si>
  <si>
    <t>万宁市</t>
  </si>
  <si>
    <t>文昌市</t>
  </si>
  <si>
    <t>五指山</t>
  </si>
  <si>
    <t>信阳市</t>
  </si>
  <si>
    <t>义乌</t>
  </si>
  <si>
    <t>肇庆市</t>
  </si>
  <si>
    <t>中山</t>
  </si>
  <si>
    <t>中卫</t>
  </si>
  <si>
    <t>珠海市</t>
  </si>
  <si>
    <t>屯昌县</t>
  </si>
  <si>
    <t>1 : code</t>
  </si>
  <si>
    <t>2 : X1 Policy issuing agency</t>
  </si>
  <si>
    <t>3 : X1.1 Provinces</t>
  </si>
  <si>
    <t>4 : X1.2 Cities</t>
  </si>
  <si>
    <t>5 : X1.3 Country-level cities</t>
  </si>
  <si>
    <t>6 : X1.4 Level unknown</t>
  </si>
  <si>
    <t>7 : X10信用等级分类</t>
  </si>
  <si>
    <t>8 : x2 Policy timeliness</t>
  </si>
  <si>
    <t>9 : X2.1Short term 1-3years</t>
  </si>
  <si>
    <t>10 : X2.2中期3-5年</t>
  </si>
  <si>
    <t>11 : X2.3长期大于5年</t>
  </si>
  <si>
    <t>12 : X2.4无或不详时限</t>
  </si>
  <si>
    <t>13 : X3监管要求</t>
  </si>
  <si>
    <t>14 : X11监管备用金</t>
  </si>
  <si>
    <t>15 : X12重点监管</t>
  </si>
  <si>
    <t>16 : X13保函置换</t>
  </si>
  <si>
    <t>17 : X15监管比例</t>
  </si>
  <si>
    <t>18 : 补充监管协议</t>
  </si>
  <si>
    <t>19 : X4解除监管</t>
  </si>
  <si>
    <t>20 : 房屋首次登记后解除</t>
  </si>
  <si>
    <t>21 : 竣备后解除</t>
  </si>
  <si>
    <t>22 : X5释放条件</t>
  </si>
  <si>
    <t>23 : X61预售到三分之二结构</t>
  </si>
  <si>
    <t>24 : X62三分之二结构到封顶</t>
  </si>
  <si>
    <t>25 : X63封顶至外墙</t>
  </si>
  <si>
    <t>26 : X64外墙至竣备</t>
  </si>
  <si>
    <t>27 : X65竣备后至初始登记</t>
  </si>
  <si>
    <t>28 : X6释放用途</t>
  </si>
  <si>
    <t>29 : X21农民工工资</t>
  </si>
  <si>
    <t>30 : X22税金</t>
  </si>
  <si>
    <t>31 : X23还贷</t>
  </si>
  <si>
    <t>32 : X24退房准备金</t>
  </si>
  <si>
    <t>33 : X25工程和材料款</t>
  </si>
  <si>
    <t>34 : X7保护和隔离</t>
  </si>
  <si>
    <t>35 : X14对资金保护性隔离</t>
  </si>
  <si>
    <t>36 : X56对银行惩罚条款</t>
  </si>
  <si>
    <t>37 : X57预防借子公司施工单位抽离</t>
  </si>
  <si>
    <t>38 : X8放松条款</t>
  </si>
  <si>
    <t>39 : X58放松性条件</t>
  </si>
  <si>
    <t>40 : 公积金放松</t>
  </si>
  <si>
    <t>41 : X9追加保障</t>
  </si>
  <si>
    <t>42 : X51质量追加保障</t>
  </si>
  <si>
    <t>43 : X54提高形象进度要求</t>
  </si>
  <si>
    <t>44 : X9 保交付追加保障</t>
  </si>
  <si>
    <t>45 : 面积差保障</t>
  </si>
  <si>
    <t>46 : 总包结算款支付保障</t>
  </si>
  <si>
    <t xml:space="preserve">Supervision Objects </t>
  </si>
  <si>
    <t xml:space="preserve">Development Enterprises </t>
  </si>
  <si>
    <t xml:space="preserve">Enforcement of compliance </t>
  </si>
  <si>
    <t xml:space="preserve">Commercial Banks </t>
  </si>
  <si>
    <t xml:space="preserve">Accurate management of supervision accounts </t>
  </si>
  <si>
    <t xml:space="preserve">Apply for pre-sale permits </t>
  </si>
  <si>
    <t xml:space="preserve">Establish supervision accounts </t>
  </si>
  <si>
    <t xml:space="preserve">Sign supervision agreements </t>
  </si>
  <si>
    <t xml:space="preserve">Comply with fund use nodes </t>
  </si>
  <si>
    <t xml:space="preserve">Guaranteeing the delivery of housing </t>
  </si>
  <si>
    <t xml:space="preserve">Select commercial banks through bidding </t>
  </si>
  <si>
    <t xml:space="preserve">Determine supervision quotas </t>
  </si>
  <si>
    <t xml:space="preserve">Supervise fund use </t>
  </si>
  <si>
    <t xml:space="preserve">Handle illegal behaviors </t>
  </si>
  <si>
    <t xml:space="preserve">Determine the service bank through bidding </t>
  </si>
  <si>
    <t xml:space="preserve">Manage supervision accounts </t>
  </si>
  <si>
    <t xml:space="preserve">Monitor and allocate funds </t>
  </si>
  <si>
    <t xml:space="preserve">From the issuance of the "Commercial Housing Pre-sale Permit" </t>
  </si>
  <si>
    <t xml:space="preserve">Types of Funds </t>
  </si>
  <si>
    <t xml:space="preserve">Deposit </t>
  </si>
  <si>
    <t xml:space="preserve">Down Payment </t>
  </si>
  <si>
    <t xml:space="preserve">Housing Provident Fund Loans </t>
  </si>
  <si>
    <t xml:space="preserve">Mortgage Loans </t>
  </si>
  <si>
    <t xml:space="preserve">Other Forms of House Purchase Payments </t>
  </si>
  <si>
    <t xml:space="preserve">Supervision Content </t>
  </si>
  <si>
    <t xml:space="preserve">Storage </t>
  </si>
  <si>
    <t xml:space="preserve">Use </t>
  </si>
  <si>
    <t xml:space="preserve">Presale funds </t>
  </si>
  <si>
    <t xml:space="preserve">Supervision Principles </t>
  </si>
  <si>
    <t xml:space="preserve">Dedicated Account Storage </t>
  </si>
  <si>
    <t xml:space="preserve">Exclusive Fund Use </t>
  </si>
  <si>
    <t xml:space="preserve">Full-Process Supervision </t>
  </si>
  <si>
    <t xml:space="preserve">Node Control </t>
  </si>
  <si>
    <t xml:space="preserve">Municipal </t>
  </si>
  <si>
    <t>Country</t>
  </si>
  <si>
    <t>Timely and correct fund disbursement</t>
    <phoneticPr fontId="0" type="Hiragana"/>
  </si>
  <si>
    <t xml:space="preserve">Developer Responsibilities </t>
    <phoneticPr fontId="0" type="Hiragana"/>
  </si>
  <si>
    <t xml:space="preserve">Construction Departments' Responsibilities </t>
    <phoneticPr fontId="0" type="Hiragana"/>
  </si>
  <si>
    <t xml:space="preserve">Policy Goals </t>
  </si>
  <si>
    <t xml:space="preserve">Protect Buyers' Rights </t>
  </si>
  <si>
    <t xml:space="preserve">Promote Stable Real Estate Market Development </t>
  </si>
  <si>
    <t xml:space="preserve">Supervision Fcous </t>
  </si>
  <si>
    <t xml:space="preserve">Exclusive Use of Funds </t>
  </si>
  <si>
    <t xml:space="preserve">Fund use Nodes </t>
  </si>
  <si>
    <t xml:space="preserve">Scaffold Removal </t>
  </si>
  <si>
    <t xml:space="preserve">Joint Acceptance </t>
  </si>
  <si>
    <t xml:space="preserve">Approval Process </t>
  </si>
  <si>
    <t xml:space="preserve">Timely Approval </t>
  </si>
  <si>
    <t xml:space="preserve">Excess Fund Usage </t>
  </si>
  <si>
    <t xml:space="preserve">Usage of Excess Funds </t>
  </si>
  <si>
    <t xml:space="preserve">Flexible Fund Management </t>
  </si>
  <si>
    <t xml:space="preserve">Accurate Fund Disbursement </t>
  </si>
  <si>
    <t xml:space="preserve">Quality Issues </t>
  </si>
  <si>
    <t xml:space="preserve">Delayed Delivery </t>
  </si>
  <si>
    <t xml:space="preserve">Serious Debt and Labor Disputes </t>
  </si>
  <si>
    <t xml:space="preserve">Enhanced Monitoring </t>
  </si>
  <si>
    <t xml:space="preserve">Accountability Measures </t>
  </si>
  <si>
    <t xml:space="preserve">Strict Enforcement </t>
  </si>
  <si>
    <t xml:space="preserve">Compliance with fund use regulations </t>
  </si>
  <si>
    <t xml:space="preserve">Transparent reporting and documentation </t>
  </si>
  <si>
    <t xml:space="preserve">Municipal and County Construction Departments </t>
  </si>
  <si>
    <t xml:space="preserve">Regular inspections and audits </t>
  </si>
  <si>
    <t xml:space="preserve">Formulate supervision implementation rules </t>
  </si>
  <si>
    <t xml:space="preserve">Coordination Mechanism </t>
  </si>
  <si>
    <t xml:space="preserve">Commercial Banks' Responsibilities </t>
  </si>
  <si>
    <t xml:space="preserve">Conduct regular reconciliation </t>
  </si>
  <si>
    <t xml:space="preserve">To the first registration of property rights aŌ er project completion </t>
  </si>
  <si>
    <t xml:space="preserve">Any additional payments related to the purchase </t>
  </si>
  <si>
    <t xml:space="preserve">Multi-Party Supervision </t>
  </si>
  <si>
    <t xml:space="preserve">Ensure Project Completion and Delivery </t>
  </si>
  <si>
    <t xml:space="preserve">Prioritize Payments for Construction Costs </t>
  </si>
  <si>
    <t xml:space="preserve">Completion of Underground Structure </t>
  </si>
  <si>
    <t xml:space="preserve">Structural Division Inspection </t>
  </si>
  <si>
    <t xml:space="preserve">Completion Acceptance Filing </t>
  </si>
  <si>
    <t xml:space="preserve">First Property Registration </t>
  </si>
  <si>
    <t xml:space="preserve">Verification Process </t>
  </si>
  <si>
    <t xml:space="preserve">Disbursement Conditions </t>
  </si>
  <si>
    <t xml:space="preserve">Developers' Application Submission of detailed applications for fund use </t>
  </si>
  <si>
    <t xml:space="preserve">Verification and Approval Municipal and county departments verify progress and approve disbursement </t>
  </si>
  <si>
    <t xml:space="preserve">Bank Responsibilities </t>
  </si>
  <si>
    <t xml:space="preserve">Timely Execution </t>
  </si>
  <si>
    <t xml:space="preserve">Suspension Conditions </t>
  </si>
  <si>
    <t xml:space="preserve">Construction Suspension </t>
  </si>
  <si>
    <t xml:space="preserve">illegal Construction and Sales </t>
  </si>
  <si>
    <t xml:space="preserve">Information Sharing </t>
  </si>
  <si>
    <t xml:space="preserve">Integration of Systems </t>
  </si>
  <si>
    <t xml:space="preserve">Legal Responsibilities </t>
  </si>
  <si>
    <t>Section 2</t>
    <phoneticPr fontId="0" type="Hiragana"/>
  </si>
  <si>
    <t>Section 1</t>
    <phoneticPr fontId="0" type="Hiragana"/>
  </si>
  <si>
    <t>Section 3</t>
    <phoneticPr fontId="0" type="Hiragana"/>
  </si>
  <si>
    <t>1. X1</t>
  </si>
  <si>
    <t xml:space="preserve"> Policy Issuing Agency</t>
  </si>
  <si>
    <t xml:space="preserve"> Provinces</t>
  </si>
  <si>
    <t xml:space="preserve"> Cities</t>
  </si>
  <si>
    <t xml:space="preserve"> Country-level Cities</t>
  </si>
  <si>
    <t xml:space="preserve"> Level Unknown</t>
  </si>
  <si>
    <t>2. X10</t>
  </si>
  <si>
    <t xml:space="preserve"> Credit Grade Classification</t>
  </si>
  <si>
    <t>3. X2</t>
  </si>
  <si>
    <t xml:space="preserve"> Policy Timeliness</t>
  </si>
  <si>
    <t xml:space="preserve"> Short Term (1-3 Years)</t>
  </si>
  <si>
    <t xml:space="preserve"> Medium Term (3-5 Years)</t>
  </si>
  <si>
    <t xml:space="preserve"> Long Term (Over 5 Years)</t>
  </si>
  <si>
    <t xml:space="preserve"> No or Incomplete Time Limit</t>
  </si>
  <si>
    <t>4. X3</t>
  </si>
  <si>
    <t xml:space="preserve"> Supervision Requirements</t>
  </si>
  <si>
    <t xml:space="preserve"> Supervision Reserve Fund</t>
  </si>
  <si>
    <t xml:space="preserve"> Key Supervision</t>
  </si>
  <si>
    <t xml:space="preserve"> Letter of Credit Substitution</t>
  </si>
  <si>
    <t xml:space="preserve"> Supervision Ratio</t>
  </si>
  <si>
    <t xml:space="preserve"> Supplementary Supervision Agreement</t>
  </si>
  <si>
    <t>5. X4</t>
  </si>
  <si>
    <t xml:space="preserve"> Release from Supervision</t>
  </si>
  <si>
    <t xml:space="preserve"> Release after First Property Registration</t>
  </si>
  <si>
    <t xml:space="preserve"> Release after Completion and Readiness</t>
  </si>
  <si>
    <t>6. X5</t>
  </si>
  <si>
    <t xml:space="preserve"> Release Conditions</t>
  </si>
  <si>
    <t xml:space="preserve"> Pre-sale to Two-thirds of the Structure</t>
  </si>
  <si>
    <t xml:space="preserve"> Two-thirds of the Structure to Capping</t>
  </si>
  <si>
    <t xml:space="preserve"> Capping to Exterior Walls</t>
  </si>
  <si>
    <t xml:space="preserve"> Exterior Walls to Completion and Readiness</t>
  </si>
  <si>
    <t xml:space="preserve"> Completion and Readiness to Initial Registration</t>
  </si>
  <si>
    <t>7. X6</t>
  </si>
  <si>
    <t xml:space="preserve"> Release Purpose</t>
  </si>
  <si>
    <t xml:space="preserve"> Wages for Migrant Workers</t>
  </si>
  <si>
    <t xml:space="preserve"> Taxes</t>
  </si>
  <si>
    <t xml:space="preserve"> Loan Repayment</t>
  </si>
  <si>
    <t xml:space="preserve"> Refund Preparation Fund</t>
  </si>
  <si>
    <t xml:space="preserve"> Engineering and Material Costs</t>
  </si>
  <si>
    <t>8. X7</t>
  </si>
  <si>
    <t xml:space="preserve"> Protection and Isolation</t>
  </si>
  <si>
    <t xml:space="preserve"> Protective Isolation of Funds</t>
  </si>
  <si>
    <t xml:space="preserve"> Punitive Clauses for Banks</t>
  </si>
  <si>
    <t xml:space="preserve"> Prevention of Capital Withdrawal by Subsidiaries and Construction Units</t>
  </si>
  <si>
    <t>9. X8</t>
  </si>
  <si>
    <t xml:space="preserve"> Relaxation Clauses</t>
  </si>
  <si>
    <t xml:space="preserve"> Relaxation Conditions</t>
  </si>
  <si>
    <t xml:space="preserve"> Relaxation for Housing Provident Fund</t>
  </si>
  <si>
    <t>10. X9</t>
  </si>
  <si>
    <t xml:space="preserve"> Additional Security</t>
  </si>
  <si>
    <t xml:space="preserve"> Additional Quality Security</t>
  </si>
  <si>
    <t xml:space="preserve"> Increase in Image Progress Requirements</t>
  </si>
  <si>
    <t xml:space="preserve"> Additional Security for Delivery Assurance</t>
  </si>
  <si>
    <t xml:space="preserve"> Area Difference Security</t>
  </si>
  <si>
    <t xml:space="preserve"> Security for General Contractor's Final Payment</t>
  </si>
  <si>
    <t>Policy Issuing Authorities</t>
  </si>
  <si>
    <t>Policy Issuing Authorities</t>
    <phoneticPr fontId="0" type="Hiragana"/>
  </si>
  <si>
    <t xml:space="preserve">Provincial </t>
    <phoneticPr fontId="0" type="Hiragana"/>
  </si>
  <si>
    <t>Legal Responsibilities</t>
  </si>
  <si>
    <t>Legal Responsibilities</t>
    <phoneticPr fontId="0" type="Hiragana"/>
  </si>
  <si>
    <t>第一层</t>
    <phoneticPr fontId="0" type="Hiragana"/>
  </si>
  <si>
    <t>Topsis</t>
    <phoneticPr fontId="0" type="Hiragana"/>
  </si>
  <si>
    <t>Supervision Objects</t>
  </si>
  <si>
    <t>Developer Responsibilities</t>
  </si>
  <si>
    <t>Construction Departments' Responsibilities</t>
  </si>
  <si>
    <t>Coordination Mechanism</t>
  </si>
  <si>
    <t>Commercial Banks' Responsibilities</t>
  </si>
  <si>
    <t>Supervision Period</t>
  </si>
  <si>
    <t>Types of Funds</t>
  </si>
  <si>
    <t>Supervision Content</t>
  </si>
  <si>
    <t>Supervision Principles</t>
  </si>
  <si>
    <t>Policy Goals</t>
  </si>
  <si>
    <t>Supervision Focus</t>
  </si>
  <si>
    <t>Fund use Nodes</t>
  </si>
  <si>
    <t>Approval Process</t>
  </si>
  <si>
    <t>Disbursement Conditions</t>
  </si>
  <si>
    <t>Excess Fund Usage</t>
  </si>
  <si>
    <t>Suspension Conditions</t>
  </si>
  <si>
    <t>Information Sharing</t>
  </si>
  <si>
    <t>Credit Grade Classification</t>
  </si>
  <si>
    <t>Policy Timeliness</t>
  </si>
  <si>
    <t>Supervision Requirements</t>
  </si>
  <si>
    <t>Release from Supervision</t>
  </si>
  <si>
    <t>Release Conditions</t>
  </si>
  <si>
    <t>Release Purpose</t>
  </si>
  <si>
    <t>Relaxation Clauses</t>
  </si>
  <si>
    <t>Additional Security</t>
  </si>
  <si>
    <t>第一层+第二层</t>
    <phoneticPr fontId="0" type="Hiragana"/>
  </si>
  <si>
    <t>Hierarchy</t>
    <phoneticPr fontId="0" type="Hiragana"/>
  </si>
  <si>
    <t>H1</t>
  </si>
  <si>
    <t>H1</t>
    <phoneticPr fontId="0" type="Hiragana"/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</si>
  <si>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</si>
  <si>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</si>
  <si>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</si>
  <si>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</si>
  <si>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</si>
  <si>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</si>
  <si>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</si>
  <si>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</si>
  <si>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</si>
  <si>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</si>
  <si>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</si>
  <si>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</si>
  <si>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</si>
  <si>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</si>
  <si>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</si>
  <si>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</si>
  <si>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</si>
  <si>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</si>
  <si>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</si>
  <si>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</si>
  <si>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</si>
  <si>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</si>
  <si>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</si>
  <si>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</si>
  <si>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</si>
  <si>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</si>
  <si>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Expert #1</t>
    <phoneticPr fontId="0" type="Hiragana"/>
  </si>
  <si>
    <t>Expert #2</t>
  </si>
  <si>
    <t>最终要保留</t>
    <phoneticPr fontId="0" type="Hiragana"/>
  </si>
  <si>
    <t>视同这个意思, 但不是翻译</t>
    <phoneticPr fontId="0" type="Hiragana"/>
  </si>
  <si>
    <t>信用等级分类</t>
    <phoneticPr fontId="0" type="Hiragana"/>
  </si>
  <si>
    <t>政策时限,1-3年那个</t>
    <phoneticPr fontId="0" type="Hiragana"/>
  </si>
  <si>
    <t>监管要求</t>
    <phoneticPr fontId="0" type="Hiragana"/>
  </si>
  <si>
    <t>解除监管</t>
    <phoneticPr fontId="0" type="Hiragana"/>
  </si>
  <si>
    <t>释放目的</t>
    <phoneticPr fontId="0" type="Hiragana"/>
  </si>
  <si>
    <t>法律责任</t>
    <phoneticPr fontId="0" type="Hiragana"/>
  </si>
  <si>
    <t>放宽条件</t>
    <phoneticPr fontId="0" type="Hiragana"/>
  </si>
  <si>
    <t>附加担保</t>
    <phoneticPr fontId="0" type="Hiragana"/>
  </si>
  <si>
    <t>释放条件</t>
    <phoneticPr fontId="0" type="Hiragana"/>
  </si>
  <si>
    <t>Topics</t>
    <phoneticPr fontId="0" type="Hiragana"/>
  </si>
  <si>
    <t>Rank</t>
    <phoneticPr fontId="0" type="Hiragana"/>
  </si>
  <si>
    <t>TOPSIS Score</t>
    <phoneticPr fontId="0" type="Hiragana"/>
  </si>
  <si>
    <t>政策发布机构</t>
    <phoneticPr fontId="0" type="Hiragana"/>
  </si>
  <si>
    <t>这个顺序是Nvivo的顺序</t>
    <phoneticPr fontId="0" type="Hiragana"/>
  </si>
  <si>
    <t>Weighed</t>
    <phoneticPr fontId="0" type="Hiragana"/>
  </si>
  <si>
    <t>H1.1</t>
    <phoneticPr fontId="0" type="Hiragana"/>
  </si>
  <si>
    <t>H1.2</t>
  </si>
  <si>
    <t>H1.3</t>
  </si>
  <si>
    <t>H2.1</t>
    <phoneticPr fontId="0" type="Hiragana"/>
  </si>
  <si>
    <t>H2.2</t>
  </si>
  <si>
    <t>H2.3</t>
  </si>
  <si>
    <t>H2.4</t>
  </si>
  <si>
    <t>H2.5</t>
  </si>
  <si>
    <t>H3.1</t>
    <phoneticPr fontId="0" type="Hiragana"/>
  </si>
  <si>
    <t>H3.2</t>
  </si>
  <si>
    <t>H3.5</t>
  </si>
  <si>
    <t>H4.1</t>
    <phoneticPr fontId="0" type="Hiragana"/>
  </si>
  <si>
    <t>H4.2</t>
    <phoneticPr fontId="0" type="Hiragana"/>
  </si>
  <si>
    <t>H5.1</t>
    <phoneticPr fontId="0" type="Hiragana"/>
  </si>
  <si>
    <t>H5.2</t>
  </si>
  <si>
    <t>H5.3</t>
  </si>
  <si>
    <t>H6.1</t>
    <phoneticPr fontId="0" type="Hiragana"/>
  </si>
  <si>
    <t>H6.2</t>
    <phoneticPr fontId="0" type="Hiragana"/>
  </si>
  <si>
    <t>H7.1</t>
    <phoneticPr fontId="0" type="Hiragana"/>
  </si>
  <si>
    <t>H7.2</t>
  </si>
  <si>
    <t>H7.3</t>
  </si>
  <si>
    <t>H7.4</t>
  </si>
  <si>
    <t>H7.5</t>
  </si>
  <si>
    <t>H8.1</t>
    <phoneticPr fontId="0" type="Hiragana"/>
  </si>
  <si>
    <t>H8.2</t>
  </si>
  <si>
    <t>H8.3</t>
  </si>
  <si>
    <t>H9.1</t>
    <phoneticPr fontId="0" type="Hiragana"/>
  </si>
  <si>
    <t>H9.2</t>
  </si>
  <si>
    <t>H9.3</t>
  </si>
  <si>
    <t>H9.4</t>
  </si>
  <si>
    <t>H9.5</t>
  </si>
  <si>
    <t>H10.1</t>
    <phoneticPr fontId="0" type="Hiragana"/>
  </si>
  <si>
    <t>H10.2</t>
  </si>
  <si>
    <t>H10.3</t>
  </si>
  <si>
    <t>H11.1</t>
    <phoneticPr fontId="0" type="Hiragana"/>
  </si>
  <si>
    <t>H11.2</t>
    <phoneticPr fontId="0" type="Hiragana"/>
  </si>
  <si>
    <t>H12.1</t>
    <phoneticPr fontId="0" type="Hiragana"/>
  </si>
  <si>
    <t>H12.2</t>
  </si>
  <si>
    <t>H12.3</t>
  </si>
  <si>
    <t>H12.4</t>
  </si>
  <si>
    <t>H12.5</t>
  </si>
  <si>
    <t>H12.6</t>
  </si>
  <si>
    <t>H13.1</t>
    <phoneticPr fontId="0" type="Hiragana"/>
  </si>
  <si>
    <t>H13.2</t>
    <phoneticPr fontId="0" type="Hiragana"/>
  </si>
  <si>
    <t>H14.1</t>
    <phoneticPr fontId="0" type="Hiragana"/>
  </si>
  <si>
    <t>H14.2</t>
    <phoneticPr fontId="0" type="Hiragana"/>
  </si>
  <si>
    <t>H15.1</t>
    <phoneticPr fontId="0" type="Hiragana"/>
  </si>
  <si>
    <t>H15.2</t>
    <phoneticPr fontId="0" type="Hiragana"/>
  </si>
  <si>
    <t>H16.1</t>
    <phoneticPr fontId="0" type="Hiragana"/>
  </si>
  <si>
    <t>H16.2</t>
  </si>
  <si>
    <t>H16.3</t>
  </si>
  <si>
    <t>H16.4</t>
  </si>
  <si>
    <t>H16.5</t>
  </si>
  <si>
    <t>H17.1</t>
    <phoneticPr fontId="0" type="Hiragana"/>
  </si>
  <si>
    <t>H17.2</t>
    <phoneticPr fontId="0" type="Hiragana"/>
  </si>
  <si>
    <t>Unkonw</t>
    <phoneticPr fontId="0" type="Hiragana"/>
  </si>
  <si>
    <t>H18.1</t>
    <phoneticPr fontId="0" type="Hiragana"/>
  </si>
  <si>
    <t>H18.2</t>
  </si>
  <si>
    <t>H18.3</t>
  </si>
  <si>
    <t>H18.4</t>
  </si>
  <si>
    <t>H20.1</t>
    <phoneticPr fontId="0" type="Hiragana"/>
  </si>
  <si>
    <t>H20.2</t>
  </si>
  <si>
    <t>H20.3</t>
  </si>
  <si>
    <t>H20.4</t>
  </si>
  <si>
    <t>H21.1</t>
    <phoneticPr fontId="0" type="Hiragana"/>
  </si>
  <si>
    <t>H21.2</t>
  </si>
  <si>
    <t>H21.3</t>
  </si>
  <si>
    <t>H21.4</t>
  </si>
  <si>
    <t>H21.5</t>
  </si>
  <si>
    <t>H22.1</t>
    <phoneticPr fontId="0" type="Hiragana"/>
  </si>
  <si>
    <t>H22.2</t>
    <phoneticPr fontId="0" type="Hiragana"/>
  </si>
  <si>
    <t>H23.1</t>
    <phoneticPr fontId="0" type="Hiragana"/>
  </si>
  <si>
    <t>H23.2</t>
  </si>
  <si>
    <t>H23.3</t>
  </si>
  <si>
    <t>H23.4</t>
  </si>
  <si>
    <t>H23.5</t>
  </si>
  <si>
    <t>H24.1</t>
    <phoneticPr fontId="0" type="Hiragana"/>
  </si>
  <si>
    <t>H24.2</t>
  </si>
  <si>
    <t>H24.3</t>
  </si>
  <si>
    <t>H24.4</t>
  </si>
  <si>
    <t>H24.5</t>
  </si>
  <si>
    <t>H25.1</t>
    <phoneticPr fontId="0" type="Hiragana"/>
  </si>
  <si>
    <t>H25.2</t>
    <phoneticPr fontId="0" type="Hiragana"/>
  </si>
  <si>
    <t>H26.1</t>
    <phoneticPr fontId="0" type="Hiragana"/>
  </si>
  <si>
    <t>H26.2</t>
  </si>
  <si>
    <t>H26.3</t>
  </si>
  <si>
    <t>H26.4</t>
  </si>
  <si>
    <t>H26.5</t>
  </si>
  <si>
    <t>H27.1</t>
    <phoneticPr fontId="0" type="Hiragana"/>
  </si>
  <si>
    <t>H27.2</t>
    <phoneticPr fontId="0" type="Hiragana"/>
  </si>
  <si>
    <t>H19.1</t>
    <phoneticPr fontId="0" type="Hiragana"/>
  </si>
  <si>
    <t>层次</t>
    <phoneticPr fontId="0" type="Hiragana"/>
  </si>
  <si>
    <t>Titles</t>
    <phoneticPr fontId="0" type="Hiragana"/>
  </si>
  <si>
    <t>最终评估PMC评估</t>
    <phoneticPr fontId="0" type="Hiragana"/>
  </si>
  <si>
    <t xml:space="preserve">Supervision policy Period </t>
    <phoneticPr fontId="0" type="Hiragana"/>
  </si>
  <si>
    <t>X1</t>
    <phoneticPr fontId="0" type="Hiragana"/>
  </si>
  <si>
    <t>X2</t>
    <phoneticPr fontId="0" type="Hiragana"/>
  </si>
  <si>
    <t>X3</t>
    <phoneticPr fontId="0" type="Hiragana"/>
  </si>
  <si>
    <t>X4</t>
    <phoneticPr fontId="0" type="Hiragana"/>
  </si>
  <si>
    <t>X5</t>
    <phoneticPr fontId="0" type="Hiragana"/>
  </si>
  <si>
    <t>X6</t>
    <phoneticPr fontId="0" type="Hiragana"/>
  </si>
  <si>
    <t>X7</t>
    <phoneticPr fontId="0" type="Hiragana"/>
  </si>
  <si>
    <t>X8</t>
    <phoneticPr fontId="0" type="Hiragana"/>
  </si>
  <si>
    <t>X9</t>
    <phoneticPr fontId="0" type="Hiragana"/>
  </si>
  <si>
    <t>X10</t>
  </si>
  <si>
    <t>X10</t>
    <phoneticPr fontId="0" type="Hiragana"/>
  </si>
  <si>
    <t>昌江县</t>
  </si>
  <si>
    <t>昌江县</t>
    <phoneticPr fontId="0" type="Hiragana"/>
  </si>
  <si>
    <t>Main Indicators and Variables</t>
  </si>
  <si>
    <t>Main Indicators and Variables</t>
    <phoneticPr fontId="0" type="Hiragana"/>
  </si>
  <si>
    <t>Sub Indicators and Variables</t>
  </si>
  <si>
    <t>Sub Indicators and Variables</t>
    <phoneticPr fontId="0" type="Hiragana"/>
  </si>
  <si>
    <t>X₁ Policy Issuing Authorities</t>
  </si>
  <si>
    <t>X₂ Supervision Period</t>
  </si>
  <si>
    <t>X₃ Supervision Requirements</t>
  </si>
  <si>
    <t>X₄ Disbursement Conditions</t>
  </si>
  <si>
    <t>X₅ Fund use Nodes</t>
  </si>
  <si>
    <t>X₅.1 Completion of Underground Structure &lt;br&gt; X₅.2 Structural Division Inspection &lt;br&gt; X₅.3 Scaffold Removal &lt;br&gt; X₅.4 Completion Acceptance Filing &lt;br&gt; X₅.5 Joint Acceptance</t>
  </si>
  <si>
    <t>X₆ Supervision Objects</t>
  </si>
  <si>
    <t>X₆.1 Development Enterprises &lt;br&gt; X₆.2 Municipal and County Construction Departments &lt;br&gt; X₆.3 Commercial Banks</t>
  </si>
  <si>
    <t>X₇ Developer Responsibilities</t>
  </si>
  <si>
    <t>X₇.1 Apply for pre-sale permits &lt;br&gt; X₇.2 Establish supervision accounts &lt;br&gt; X₇.3 Sign supervision agreements &lt;br&gt; X₇.4 Comply with fund use nodes &lt;br&gt; X₇.5 Guaranteeing the delivery of housing</t>
  </si>
  <si>
    <t>X₈ Relaxation Clauses</t>
  </si>
  <si>
    <t>X₈.1 Relaxation Conditions &lt;br&gt; X₈.2 Relaxation for Housing Provident Fund</t>
  </si>
  <si>
    <t>X₉ Additional Security</t>
  </si>
  <si>
    <t>X₉.1 Additional Quality Security &lt;br&gt; X₉.2 Increase in Image Progress Requirements &lt;br&gt; X₉.3 Additional Security for Delivery Assurance &lt;br&gt; X₉.4 Area Difference Security &lt;br&gt; X₉.5 Security for General Contractor's Final Payment</t>
  </si>
  <si>
    <t>X₁₀ Credit Grade Classification</t>
  </si>
  <si>
    <t/>
  </si>
  <si>
    <t/>
  </si>
  <si>
    <t/>
  </si>
  <si>
    <t/>
  </si>
  <si>
    <t>X1: 1</t>
  </si>
  <si>
    <t>X1: 2</t>
  </si>
  <si>
    <t>X1: 3</t>
  </si>
  <si>
    <t>X2: 1</t>
  </si>
  <si>
    <t>X2: 2</t>
  </si>
  <si>
    <t>X2: 3</t>
  </si>
  <si>
    <t>X2: 4</t>
  </si>
  <si>
    <t>X3: 1</t>
  </si>
  <si>
    <t>X3: 2</t>
  </si>
  <si>
    <t>X3: 3</t>
  </si>
  <si>
    <t>X4: 1</t>
  </si>
  <si>
    <t>X4: 2</t>
  </si>
  <si>
    <t>X5: 1</t>
  </si>
  <si>
    <t>X5: 2</t>
  </si>
  <si>
    <t>X5: 3</t>
  </si>
  <si>
    <t>X5: 4</t>
  </si>
  <si>
    <t>X5: 5</t>
  </si>
  <si>
    <t>X6: 1</t>
  </si>
  <si>
    <t>X6: 2</t>
  </si>
  <si>
    <t>X6: 3</t>
  </si>
  <si>
    <t>X7: 1</t>
  </si>
  <si>
    <t>X7: 2</t>
  </si>
  <si>
    <t>X7: 3</t>
  </si>
  <si>
    <t>X7: 4</t>
  </si>
  <si>
    <t>X7: 5</t>
  </si>
  <si>
    <t>X8: 1</t>
  </si>
  <si>
    <t>X8: 2</t>
  </si>
  <si>
    <t>X9: 1</t>
  </si>
  <si>
    <t>X9: 2</t>
  </si>
  <si>
    <t>X9: 3</t>
  </si>
  <si>
    <t>X9: 4</t>
  </si>
  <si>
    <t>X9: 5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</si>
  <si>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</si>
  <si>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</si>
  <si>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</si>
  <si>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</si>
  <si>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</si>
  <si>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</si>
  <si>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</si>
  <si>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</si>
  <si>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</si>
  <si>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</si>
  <si>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</si>
  <si>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</si>
  <si>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</si>
  <si>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</si>
  <si>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</si>
  <si>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</si>
  <si>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</si>
  <si>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</si>
  <si>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</si>
  <si>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</si>
  <si>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</si>
  <si>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</si>
  <si>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</si>
  <si>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</si>
  <si>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</si>
  <si>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</si>
  <si>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</si>
  <si>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</si>
  <si>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Original Column</t>
  </si>
  <si>
    <t>New Column</t>
  </si>
  <si>
    <t>Chinese cities' name</t>
    <phoneticPr fontId="0" type="Hiragana"/>
  </si>
  <si>
    <t>English cities' name</t>
    <phoneticPr fontId="0" type="Hiragana"/>
  </si>
  <si>
    <t>#</t>
    <phoneticPr fontId="0" type="Hiragana"/>
  </si>
  <si>
    <t>Baisha County</t>
  </si>
  <si>
    <t>Jiujiang City</t>
  </si>
  <si>
    <t>Shaoguan</t>
  </si>
  <si>
    <t>Beihai City</t>
  </si>
  <si>
    <t>Lanzhou</t>
  </si>
  <si>
    <t>Shenzhen</t>
  </si>
  <si>
    <t>Beijing</t>
  </si>
  <si>
    <t>Ledong County</t>
  </si>
  <si>
    <t>Wanning City</t>
  </si>
  <si>
    <t>Chengmai County</t>
  </si>
  <si>
    <t>Leshan City</t>
  </si>
  <si>
    <t>Wenchang City</t>
  </si>
  <si>
    <t>Danzhou City</t>
  </si>
  <si>
    <t>Lishui City</t>
  </si>
  <si>
    <t>Wuzhishan</t>
  </si>
  <si>
    <t>Ding'an County</t>
  </si>
  <si>
    <t>Lingao</t>
  </si>
  <si>
    <t>Xinyang City</t>
  </si>
  <si>
    <t>Dongfang City</t>
  </si>
  <si>
    <t>Lingshui</t>
  </si>
  <si>
    <t>Yiwu</t>
  </si>
  <si>
    <t>Dongguan</t>
  </si>
  <si>
    <t>Lu'an</t>
  </si>
  <si>
    <t>Zhaoqing City</t>
  </si>
  <si>
    <t>Dongying City</t>
  </si>
  <si>
    <t>Qingyuan City</t>
  </si>
  <si>
    <t>Zhongshan</t>
  </si>
  <si>
    <t>Foshan City</t>
  </si>
  <si>
    <t>Qionghai City</t>
  </si>
  <si>
    <t>Zhongwei</t>
  </si>
  <si>
    <t>Guangzhou</t>
  </si>
  <si>
    <t>Qiongzhong County</t>
  </si>
  <si>
    <t>Zhuhai City</t>
  </si>
  <si>
    <t>Haikou City</t>
  </si>
  <si>
    <t>Shantou City</t>
  </si>
  <si>
    <t>Tunchang County</t>
  </si>
  <si>
    <t>Hefei</t>
  </si>
  <si>
    <t>Shanghai</t>
  </si>
  <si>
    <t>Changjiang County</t>
  </si>
  <si>
    <t>Huizhou</t>
  </si>
  <si>
    <t>Shangrao</t>
  </si>
  <si>
    <t>Mean</t>
    <phoneticPr fontId="0" type="Hiragana"/>
  </si>
  <si>
    <t>传统[0, 1]</t>
    <phoneticPr fontId="0" type="Hiragana"/>
  </si>
  <si>
    <t>Policy</t>
    <phoneticPr fontId="0" type="Hiragana"/>
  </si>
  <si>
    <t>PMC-T</t>
    <phoneticPr fontId="0" type="Hiragana"/>
  </si>
  <si>
    <t>PMC-I</t>
    <phoneticPr fontId="0" type="Hiragana"/>
  </si>
  <si>
    <t>Consistency Performance</t>
    <phoneticPr fontId="0" type="Hiragana"/>
  </si>
  <si>
    <t>low</t>
    <phoneticPr fontId="0" type="Hiragana"/>
  </si>
  <si>
    <t>good</t>
    <phoneticPr fontId="0" type="Hiragana"/>
  </si>
  <si>
    <t>acceptable</t>
    <phoneticPr fontId="0" type="Hiragana"/>
  </si>
  <si>
    <t>lwo</t>
    <phoneticPr fontId="0" type="Hiragana"/>
  </si>
  <si>
    <t>perfect</t>
    <phoneticPr fontId="0" type="Hiragana"/>
  </si>
  <si>
    <t>expert1</t>
  </si>
  <si>
    <t>expert2</t>
  </si>
  <si>
    <t>月份</t>
    <phoneticPr fontId="3" type="noConversion"/>
  </si>
  <si>
    <t>销售周期</t>
    <phoneticPr fontId="3" type="noConversion"/>
  </si>
  <si>
    <t>施工工期</t>
    <phoneticPr fontId="3" type="noConversion"/>
  </si>
  <si>
    <t>初始登记工期</t>
    <phoneticPr fontId="3" type="noConversion"/>
  </si>
  <si>
    <t>收入</t>
    <phoneticPr fontId="3" type="noConversion"/>
  </si>
  <si>
    <t>封顶前解</t>
    <phoneticPr fontId="3" type="noConversion"/>
  </si>
  <si>
    <t>封顶前占用月</t>
    <phoneticPr fontId="3" type="noConversion"/>
  </si>
  <si>
    <t>机会成本</t>
    <phoneticPr fontId="3" type="noConversion"/>
  </si>
  <si>
    <t>利率</t>
    <phoneticPr fontId="3" type="noConversion"/>
  </si>
  <si>
    <t>封顶解</t>
    <phoneticPr fontId="3" type="noConversion"/>
  </si>
  <si>
    <t>封顶占用</t>
    <phoneticPr fontId="3" type="noConversion"/>
  </si>
  <si>
    <t>2023售价</t>
    <phoneticPr fontId="3" type="noConversion"/>
  </si>
  <si>
    <t>元/m2</t>
    <phoneticPr fontId="3" type="noConversion"/>
  </si>
  <si>
    <t>竣备解</t>
    <phoneticPr fontId="3" type="noConversion"/>
  </si>
  <si>
    <t>竣备占用</t>
    <phoneticPr fontId="3" type="noConversion"/>
  </si>
  <si>
    <t>去化周期</t>
    <phoneticPr fontId="3" type="noConversion"/>
  </si>
  <si>
    <t>月</t>
    <phoneticPr fontId="3" type="noConversion"/>
  </si>
  <si>
    <t>初始登记</t>
    <phoneticPr fontId="3" type="noConversion"/>
  </si>
  <si>
    <t>风险</t>
    <phoneticPr fontId="3" type="noConversion"/>
  </si>
  <si>
    <t>初登占用</t>
    <phoneticPr fontId="3" type="noConversion"/>
  </si>
  <si>
    <t>风险占用</t>
    <phoneticPr fontId="3" type="noConversion"/>
  </si>
  <si>
    <t>到竣备需要</t>
    <phoneticPr fontId="3" type="noConversion"/>
  </si>
  <si>
    <t>个月</t>
    <phoneticPr fontId="3" type="noConversion"/>
  </si>
  <si>
    <t>中级装修</t>
    <phoneticPr fontId="3" type="noConversion"/>
  </si>
  <si>
    <t>到取证需要</t>
    <phoneticPr fontId="3" type="noConversion"/>
  </si>
  <si>
    <t>封顶需要</t>
    <phoneticPr fontId="3" type="noConversion"/>
  </si>
  <si>
    <t>装修需要</t>
    <phoneticPr fontId="3" type="noConversion"/>
  </si>
  <si>
    <t>竣备需要</t>
    <phoneticPr fontId="3" type="noConversion"/>
  </si>
  <si>
    <t>确权需要</t>
    <phoneticPr fontId="3" type="noConversion"/>
  </si>
  <si>
    <t>重点监管</t>
    <phoneticPr fontId="3" type="noConversion"/>
  </si>
  <si>
    <t>expert3</t>
    <phoneticPr fontId="3" type="noConversion"/>
  </si>
  <si>
    <t>Expert #3</t>
    <phoneticPr fontId="3" type="noConversion"/>
  </si>
  <si>
    <t>城市</t>
  </si>
  <si>
    <t>Province</t>
  </si>
  <si>
    <t>万宁</t>
  </si>
  <si>
    <t>Hainan</t>
  </si>
  <si>
    <t>Jiangxi</t>
  </si>
  <si>
    <t>东方</t>
  </si>
  <si>
    <t>Guangdong</t>
  </si>
  <si>
    <t>东营</t>
  </si>
  <si>
    <t>Shandong</t>
  </si>
  <si>
    <t>Ningxia</t>
  </si>
  <si>
    <t>丽水</t>
  </si>
  <si>
    <t>Zhejiang</t>
  </si>
  <si>
    <t>乐东</t>
  </si>
  <si>
    <t>乐山</t>
  </si>
  <si>
    <t>Sichuan</t>
  </si>
  <si>
    <t>九江</t>
  </si>
  <si>
    <t>佛山</t>
  </si>
  <si>
    <t>信阳</t>
  </si>
  <si>
    <t>Henan</t>
  </si>
  <si>
    <t>儋州</t>
  </si>
  <si>
    <t>Anhui</t>
  </si>
  <si>
    <t>Gansu</t>
  </si>
  <si>
    <t>北京</t>
  </si>
  <si>
    <t>北海</t>
  </si>
  <si>
    <t>Guangxi</t>
  </si>
  <si>
    <t>合肥</t>
  </si>
  <si>
    <t>定安</t>
  </si>
  <si>
    <t>广州</t>
  </si>
  <si>
    <t>文昌</t>
  </si>
  <si>
    <t>昌江</t>
  </si>
  <si>
    <t>汕头</t>
  </si>
  <si>
    <t>海口</t>
  </si>
  <si>
    <t>深圳</t>
  </si>
  <si>
    <t>清远</t>
  </si>
  <si>
    <t>澄迈</t>
  </si>
  <si>
    <t>珠海</t>
  </si>
  <si>
    <t>琼中</t>
  </si>
  <si>
    <t>琼海</t>
  </si>
  <si>
    <t>白沙</t>
  </si>
  <si>
    <t>肇庆</t>
  </si>
  <si>
    <t>Wanning</t>
  </si>
  <si>
    <t>Dongfang</t>
  </si>
  <si>
    <t>Dongying</t>
  </si>
  <si>
    <t>Lishui</t>
  </si>
  <si>
    <t>Ledong</t>
  </si>
  <si>
    <t>Leshan</t>
  </si>
  <si>
    <t>Jiujiang</t>
  </si>
  <si>
    <t>Foshan</t>
  </si>
  <si>
    <t>Xinyang</t>
  </si>
  <si>
    <t>Danzhou</t>
  </si>
  <si>
    <t>Beihai</t>
  </si>
  <si>
    <t>Wenchang</t>
  </si>
  <si>
    <t>Changjiang</t>
  </si>
  <si>
    <t>Shantou</t>
  </si>
  <si>
    <t>Haikou</t>
  </si>
  <si>
    <t>Qingyuan</t>
  </si>
  <si>
    <t>Chengmai</t>
  </si>
  <si>
    <t>Zhuhai</t>
  </si>
  <si>
    <t>Qiongzhong</t>
  </si>
  <si>
    <t>Qionghai</t>
  </si>
  <si>
    <t>Baisha</t>
  </si>
  <si>
    <t>Zhaoqing</t>
  </si>
  <si>
    <t>City</t>
    <phoneticPr fontId="3" type="noConversion"/>
  </si>
  <si>
    <t>Dingwan</t>
    <phoneticPr fontId="3" type="noConversion"/>
  </si>
  <si>
    <t>Luan</t>
    <phoneticPr fontId="3" type="noConversion"/>
  </si>
  <si>
    <t>First Tier</t>
  </si>
  <si>
    <t>Second Tier</t>
  </si>
  <si>
    <t>Third Tier</t>
  </si>
  <si>
    <t>Tier System</t>
    <phoneticPr fontId="3" type="noConversion"/>
  </si>
  <si>
    <t>City average price</t>
    <phoneticPr fontId="3" type="noConversion"/>
  </si>
  <si>
    <t>Standard construction duration</t>
  </si>
  <si>
    <t>Standard construction duration</t>
    <phoneticPr fontId="3" type="noConversion"/>
  </si>
  <si>
    <t>Opportunity cost as a percentage of average sales price</t>
    <phoneticPr fontId="3" type="noConversion"/>
  </si>
  <si>
    <t>Peak occupancy costs as a percentage of sales price</t>
    <phoneticPr fontId="3" type="noConversion"/>
  </si>
  <si>
    <t>CNY Yuan per square meter</t>
    <phoneticPr fontId="3" type="noConversion"/>
  </si>
  <si>
    <t>Months</t>
    <phoneticPr fontId="3" type="noConversion"/>
  </si>
  <si>
    <t>Peak occupancy cost</t>
    <phoneticPr fontId="3" type="noConversion"/>
  </si>
  <si>
    <t>Opportunity cost</t>
    <phoneticPr fontId="3" type="noConversion"/>
  </si>
  <si>
    <t>%</t>
    <phoneticPr fontId="3" type="noConversion"/>
  </si>
  <si>
    <t>Sales absorption period</t>
  </si>
  <si>
    <t>Sales absorption period</t>
    <phoneticPr fontId="3" type="noConversion"/>
  </si>
  <si>
    <t>City average sales price</t>
  </si>
  <si>
    <t>总数N</t>
  </si>
  <si>
    <t>均值</t>
  </si>
  <si>
    <t>标准差</t>
  </si>
  <si>
    <t>方差</t>
  </si>
  <si>
    <t>偏度</t>
  </si>
  <si>
    <t>最小值</t>
  </si>
  <si>
    <t>第一个四分位数(Q1)</t>
  </si>
  <si>
    <t>中位数</t>
  </si>
  <si>
    <t>第三个四分位数(Q3)</t>
  </si>
  <si>
    <t>最大值</t>
  </si>
  <si>
    <t>极差(最大值-最小值)</t>
  </si>
  <si>
    <t>Mean</t>
    <phoneticPr fontId="3" type="noConversion"/>
  </si>
  <si>
    <t>Value)</t>
  </si>
  <si>
    <t>Total Number</t>
    <phoneticPr fontId="3" type="noConversion"/>
  </si>
  <si>
    <t>Standard deviation</t>
    <phoneticPr fontId="3" type="noConversion"/>
  </si>
  <si>
    <t>Variance</t>
    <phoneticPr fontId="3" type="noConversion"/>
  </si>
  <si>
    <t>Skewness</t>
    <phoneticPr fontId="3" type="noConversion"/>
  </si>
  <si>
    <t>Min. value</t>
    <phoneticPr fontId="3" type="noConversion"/>
  </si>
  <si>
    <t>Q1</t>
    <phoneticPr fontId="3" type="noConversion"/>
  </si>
  <si>
    <t>Median</t>
    <phoneticPr fontId="3" type="noConversion"/>
  </si>
  <si>
    <t>Q3</t>
    <phoneticPr fontId="3" type="noConversion"/>
  </si>
  <si>
    <t>Max. value</t>
    <phoneticPr fontId="3" type="noConversion"/>
  </si>
  <si>
    <t>Range</t>
    <phoneticPr fontId="3" type="noConversion"/>
  </si>
  <si>
    <t>PMCcode</t>
    <phoneticPr fontId="3" type="noConversion"/>
  </si>
  <si>
    <t>屯昌</t>
    <phoneticPr fontId="3" type="noConversion"/>
  </si>
  <si>
    <t>行标签</t>
  </si>
  <si>
    <t>总计</t>
  </si>
  <si>
    <t>平均值项:X1</t>
  </si>
  <si>
    <t>平均值项:X2</t>
  </si>
  <si>
    <t>平均值项:X3</t>
  </si>
  <si>
    <t>平均值项:X4</t>
  </si>
  <si>
    <t>平均值项:X5</t>
  </si>
  <si>
    <t>平均值项:X6</t>
  </si>
  <si>
    <t>平均值项:X7</t>
  </si>
  <si>
    <t>平均值项:X8</t>
  </si>
  <si>
    <t>平均值项:X9</t>
  </si>
  <si>
    <t>平均值项:X10</t>
  </si>
  <si>
    <t>指标</t>
  </si>
  <si>
    <t>商品住宅销售面积</t>
  </si>
  <si>
    <t>累计值(万平方米)</t>
  </si>
  <si>
    <t>累计增长(%)</t>
  </si>
  <si>
    <t>商品住宅现房销售面积</t>
  </si>
  <si>
    <t>商品住宅期房销售面积</t>
  </si>
  <si>
    <t>商品住宅施工面积</t>
  </si>
  <si>
    <t>商品住宅新开工施工面积</t>
  </si>
  <si>
    <t>商品住宅竣工面积</t>
  </si>
  <si>
    <t>竣备</t>
    <phoneticPr fontId="3" type="noConversion"/>
  </si>
  <si>
    <t>销售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</si>
</sst>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.000"/>
    <numFmt numFmtId="177" formatCode="0.0"/>
    <numFmt numFmtId="178" formatCode="0.00_ ;[Red]\-0.00\ "/>
    <numFmt numFmtId="179" formatCode="0.00_);[Red]\(0.00\)"/>
    <numFmt numFmtId="180" formatCode="0.0000"/>
    <numFmt numFmtId="181" formatCode="0.00_ "/>
    <numFmt numFmtId="182" formatCode="0.000_ "/>
    <numFmt numFmtId="183" formatCode="0.0%"/>
  </numFmts>
  <fonts count="3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8.9499999999999993"/>
      <color rgb="FF000000"/>
      <name val="URWPalladioL-Rom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.9499999999999993"/>
      <color rgb="FF000000"/>
      <name val="等线"/>
      <family val="3"/>
      <charset val="134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7.95"/>
      <color rgb="FF000000"/>
      <name val="URWPalladioL-Roma"/>
      <family val="2"/>
    </font>
    <font>
      <sz val="7.85"/>
      <color rgb="FF000000"/>
      <name val="URWPalladioL-Roma"/>
      <family val="2"/>
    </font>
    <font>
      <sz val="11"/>
      <color indexed="8"/>
      <name val="等线"/>
      <family val="2"/>
      <scheme val="minor"/>
    </font>
    <font>
      <sz val="11"/>
      <color theme="0" tint="-0.249977111117893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0"/>
      <color rgb="FF000000"/>
      <name val="CIDFont"/>
      <family val="2"/>
    </font>
    <font>
      <b/>
      <sz val="10"/>
      <color rgb="FF000000"/>
      <name val="CIDFont"/>
      <family val="2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宋体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0" applyNumberFormat="0" applyFont="0" applyAlignment="0" applyProtection="0">
      <alignment vertical="center"/>
    </xf>
  </cellStyleXfs>
  <cellXfs count="7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76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2" xfId="0" applyFont="1" applyBorder="1"/>
    <xf numFmtId="0" fontId="8" fillId="0" borderId="2" xfId="0" applyFont="1" applyBorder="1"/>
    <xf numFmtId="0" fontId="7" fillId="0" borderId="0" xfId="0" applyFont="1" applyAlignment="1">
      <alignment horizontal="left" vertical="center"/>
    </xf>
    <xf numFmtId="0" fontId="0" fillId="2" borderId="0" xfId="0" applyFill="1"/>
    <xf numFmtId="0" fontId="12" fillId="0" borderId="0" xfId="0" applyFont="1"/>
    <xf numFmtId="177" fontId="0" fillId="0" borderId="0" xfId="0" applyNumberFormat="1"/>
    <xf numFmtId="0" fontId="11" fillId="0" borderId="0" xfId="1">
      <alignment vertical="center"/>
    </xf>
    <xf numFmtId="0" fontId="11" fillId="0" borderId="0" xfId="1" applyAlignment="1">
      <alignment horizontal="left" vertical="center" wrapText="1"/>
    </xf>
    <xf numFmtId="0" fontId="11" fillId="0" borderId="0" xfId="1" applyAlignment="1">
      <alignment horizontal="right"/>
    </xf>
    <xf numFmtId="2" fontId="0" fillId="0" borderId="0" xfId="0" applyNumberFormat="1"/>
    <xf numFmtId="178" fontId="0" fillId="0" borderId="0" xfId="0" applyNumberFormat="1"/>
    <xf numFmtId="178" fontId="0" fillId="3" borderId="0" xfId="0" applyNumberFormat="1" applyFill="1"/>
    <xf numFmtId="178" fontId="0" fillId="3" borderId="0" xfId="0" applyNumberFormat="1" applyFill="1" applyAlignment="1">
      <alignment horizontal="center"/>
    </xf>
    <xf numFmtId="178" fontId="0" fillId="4" borderId="0" xfId="0" applyNumberFormat="1" applyFill="1"/>
    <xf numFmtId="0" fontId="0" fillId="4" borderId="0" xfId="0" applyFill="1"/>
    <xf numFmtId="0" fontId="0" fillId="5" borderId="0" xfId="0" applyFill="1"/>
    <xf numFmtId="178" fontId="0" fillId="5" borderId="0" xfId="0" applyNumberFormat="1" applyFill="1"/>
    <xf numFmtId="2" fontId="0" fillId="4" borderId="0" xfId="0" applyNumberFormat="1" applyFill="1"/>
    <xf numFmtId="10" fontId="0" fillId="0" borderId="0" xfId="3" applyNumberFormat="1" applyFont="1" applyAlignment="1"/>
    <xf numFmtId="9" fontId="0" fillId="4" borderId="0" xfId="0" applyNumberFormat="1" applyFill="1"/>
    <xf numFmtId="179" fontId="0" fillId="0" borderId="0" xfId="0" applyNumberFormat="1"/>
    <xf numFmtId="43" fontId="0" fillId="4" borderId="0" xfId="2" applyFont="1" applyFill="1" applyAlignment="1"/>
    <xf numFmtId="178" fontId="14" fillId="0" borderId="0" xfId="0" applyNumberFormat="1" applyFont="1"/>
    <xf numFmtId="178" fontId="15" fillId="0" borderId="0" xfId="0" applyNumberFormat="1" applyFont="1"/>
    <xf numFmtId="43" fontId="0" fillId="0" borderId="0" xfId="0" applyNumberFormat="1"/>
    <xf numFmtId="180" fontId="0" fillId="0" borderId="0" xfId="0" applyNumberFormat="1"/>
    <xf numFmtId="9" fontId="0" fillId="0" borderId="0" xfId="0" applyNumberFormat="1"/>
    <xf numFmtId="0" fontId="32" fillId="0" borderId="0" xfId="0" applyFont="1"/>
    <xf numFmtId="0" fontId="32" fillId="2" borderId="0" xfId="0" applyFont="1" applyFill="1"/>
    <xf numFmtId="0" fontId="33" fillId="2" borderId="0" xfId="0" applyFont="1" applyFill="1"/>
    <xf numFmtId="0" fontId="32" fillId="37" borderId="0" xfId="0" applyFont="1" applyFill="1"/>
    <xf numFmtId="0" fontId="34" fillId="37" borderId="0" xfId="0" applyFont="1" applyFill="1"/>
    <xf numFmtId="0" fontId="33" fillId="0" borderId="0" xfId="0" applyFont="1"/>
    <xf numFmtId="0" fontId="0" fillId="2" borderId="0" xfId="0" quotePrefix="1" applyFill="1"/>
    <xf numFmtId="176" fontId="32" fillId="0" borderId="0" xfId="0" applyNumberFormat="1" applyFont="1"/>
    <xf numFmtId="1" fontId="32" fillId="0" borderId="0" xfId="0" applyNumberFormat="1" applyFont="1"/>
    <xf numFmtId="0" fontId="37" fillId="0" borderId="2" xfId="0" applyFont="1" applyBorder="1" applyAlignment="1">
      <alignment horizontal="center" vertical="top"/>
    </xf>
    <xf numFmtId="0" fontId="35" fillId="0" borderId="0" xfId="0" applyFont="1"/>
    <xf numFmtId="0" fontId="36" fillId="0" borderId="0" xfId="0" applyFont="1"/>
    <xf numFmtId="0" fontId="38" fillId="0" borderId="2" xfId="0" applyFont="1" applyBorder="1" applyAlignment="1">
      <alignment horizontal="center" vertical="top"/>
    </xf>
    <xf numFmtId="0" fontId="3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0" fillId="38" borderId="0" xfId="0" applyNumberFormat="1" applyFill="1"/>
    <xf numFmtId="0" fontId="0" fillId="38" borderId="0" xfId="0" applyFill="1"/>
    <xf numFmtId="2" fontId="0" fillId="38" borderId="0" xfId="0" applyNumberFormat="1" applyFill="1"/>
    <xf numFmtId="43" fontId="0" fillId="38" borderId="0" xfId="2" applyFont="1" applyFill="1" applyAlignment="1"/>
    <xf numFmtId="178" fontId="0" fillId="39" borderId="0" xfId="0" applyNumberFormat="1" applyFill="1"/>
    <xf numFmtId="178" fontId="0" fillId="39" borderId="0" xfId="0" applyNumberFormat="1" applyFill="1" applyAlignment="1">
      <alignment horizontal="center"/>
    </xf>
    <xf numFmtId="9" fontId="0" fillId="0" borderId="0" xfId="3" applyFont="1" applyAlignment="1"/>
    <xf numFmtId="0" fontId="0" fillId="0" borderId="0" xfId="0" applyAlignment="1">
      <alignment vertical="center" wrapText="1"/>
    </xf>
    <xf numFmtId="9" fontId="0" fillId="0" borderId="0" xfId="3" applyFont="1" applyAlignment="1">
      <alignment vertical="center" wrapText="1"/>
    </xf>
    <xf numFmtId="181" fontId="0" fillId="0" borderId="0" xfId="0" applyNumberFormat="1" applyAlignment="1">
      <alignment vertical="center" wrapText="1"/>
    </xf>
    <xf numFmtId="181" fontId="0" fillId="0" borderId="0" xfId="0" applyNumberFormat="1"/>
    <xf numFmtId="18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83" fontId="0" fillId="0" borderId="0" xfId="3" applyNumberFormat="1" applyFont="1" applyAlignment="1"/>
    <xf numFmtId="57" fontId="0" fillId="0" borderId="0" xfId="0" applyNumberFormat="1"/>
    <xf numFmtId="17" fontId="0" fillId="0" borderId="0" xfId="0" applyNumberFormat="1"/>
    <xf numFmtId="178" fontId="0" fillId="39" borderId="0" xfId="0" applyNumberFormat="1" applyFill="1" applyAlignment="1">
      <alignment horizontal="center"/>
    </xf>
  </cellXfs>
  <cellStyles count="46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百分比" xfId="3" builtinId="5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2" xfId="1" xr:uid="{36ADB5D1-394B-44DA-AD66-4A212849D49A}"/>
    <cellStyle name="常规 3" xfId="44" xr:uid="{25F2A9F1-AEA7-440D-9FF0-3512917DBFA4}"/>
    <cellStyle name="好" xfId="9" builtinId="26" customBuiltin="1"/>
    <cellStyle name="汇总" xfId="19" builtinId="25" customBuiltin="1"/>
    <cellStyle name="计算" xfId="14" builtinId="22" customBuiltin="1"/>
    <cellStyle name="检查单元格" xfId="16" builtinId="23" customBuiltin="1"/>
    <cellStyle name="解释性文本" xfId="18" builtinId="53" customBuiltin="1"/>
    <cellStyle name="警告文本" xfId="17" builtinId="11" customBuiltin="1"/>
    <cellStyle name="链接单元格" xfId="15" builtinId="24" customBuiltin="1"/>
    <cellStyle name="千位分隔" xfId="2" builtinId="3"/>
    <cellStyle name="适中" xfId="11" builtinId="28" customBuiltin="1"/>
    <cellStyle name="输出" xfId="13" builtinId="21" customBuiltin="1"/>
    <cellStyle name="输入" xfId="12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 2" xfId="45" xr:uid="{5617FD1F-4666-4D95-91E3-809AC87FE50F}"/>
  </cellStyles>
  <dxfs count="2">
    <dxf>
      <numFmt numFmtId="176" formatCode="0.000"/>
    </dxf>
    <dxf>
      <numFmt numFmtId="176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pivotCacheDefinition" Target="pivotCache/pivotCacheDefinition1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" refreshedDate="45469.452799768522" createdVersion="8" refreshedVersion="8" minRefreshableVersion="3" recordCount="41" xr:uid="{23797218-7059-4C27-BF8F-18249AB0B6B0}">
  <cacheSource type="worksheet">
    <worksheetSource ref="B2:L43" sheet="Randa plot"/>
  </cacheSource>
  <cacheFields count="11">
    <cacheField name="Tier System" numFmtId="0">
      <sharedItems count="3">
        <s v="Third Tier"/>
        <s v="First Tier"/>
        <s v="Second Tier"/>
      </sharedItems>
    </cacheField>
    <cacheField name="X1" numFmtId="182">
      <sharedItems containsSemiMixedTypes="0" containsString="0" containsNumber="1" minValue="0" maxValue="0.66666666666666663"/>
    </cacheField>
    <cacheField name="X2" numFmtId="182">
      <sharedItems containsSemiMixedTypes="0" containsString="0" containsNumber="1" minValue="0" maxValue="0.5"/>
    </cacheField>
    <cacheField name="X3" numFmtId="182">
      <sharedItems containsSemiMixedTypes="0" containsString="0" containsNumber="1" minValue="0" maxValue="0.66666666666666663"/>
    </cacheField>
    <cacheField name="X4" numFmtId="182">
      <sharedItems containsSemiMixedTypes="0" containsString="0" containsNumber="1" minValue="0" maxValue="0.5"/>
    </cacheField>
    <cacheField name="X5" numFmtId="182">
      <sharedItems containsSemiMixedTypes="0" containsString="0" containsNumber="1" minValue="0" maxValue="1"/>
    </cacheField>
    <cacheField name="X6" numFmtId="182">
      <sharedItems containsSemiMixedTypes="0" containsString="0" containsNumber="1" minValue="0" maxValue="1"/>
    </cacheField>
    <cacheField name="X7" numFmtId="182">
      <sharedItems containsSemiMixedTypes="0" containsString="0" containsNumber="1" minValue="0" maxValue="1"/>
    </cacheField>
    <cacheField name="X8" numFmtId="182">
      <sharedItems containsSemiMixedTypes="0" containsString="0" containsNumber="1" minValue="0" maxValue="0.5"/>
    </cacheField>
    <cacheField name="X9" numFmtId="182">
      <sharedItems containsSemiMixedTypes="0" containsString="0" containsNumber="1" minValue="0" maxValue="0.60000000000000009"/>
    </cacheField>
    <cacheField name="X10" numFmtId="182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" refreshedDate="45469.454246296293" createdVersion="8" refreshedVersion="8" minRefreshableVersion="3" recordCount="41" xr:uid="{8B5A3293-AD18-4125-ACB1-411102F0AD4D}">
  <cacheSource type="worksheet">
    <worksheetSource ref="P2:Z43" sheet="Randa plot"/>
  </cacheSource>
  <cacheFields count="11">
    <cacheField name="Tier System" numFmtId="0">
      <sharedItems count="3">
        <s v="Third Tier"/>
        <s v="First Tier"/>
        <s v="Second Tier"/>
      </sharedItems>
    </cacheField>
    <cacheField name="X1" numFmtId="182">
      <sharedItems containsSemiMixedTypes="0" containsString="0" containsNumber="1" minValue="0" maxValue="0.66666666666666663"/>
    </cacheField>
    <cacheField name="X2" numFmtId="182">
      <sharedItems containsSemiMixedTypes="0" containsString="0" containsNumber="1" minValue="0" maxValue="0.5"/>
    </cacheField>
    <cacheField name="X3" numFmtId="182">
      <sharedItems containsSemiMixedTypes="0" containsString="0" containsNumber="1" minValue="0" maxValue="1.6666666666666665"/>
    </cacheField>
    <cacheField name="X4" numFmtId="182">
      <sharedItems containsSemiMixedTypes="0" containsString="0" containsNumber="1" minValue="0" maxValue="1"/>
    </cacheField>
    <cacheField name="X5" numFmtId="182">
      <sharedItems containsSemiMixedTypes="0" containsString="0" containsNumber="1" minValue="0" maxValue="2"/>
    </cacheField>
    <cacheField name="X6" numFmtId="182">
      <sharedItems containsSemiMixedTypes="0" containsString="0" containsNumber="1" minValue="0" maxValue="2.333333333333333"/>
    </cacheField>
    <cacheField name="X7" numFmtId="182">
      <sharedItems containsSemiMixedTypes="0" containsString="0" containsNumber="1" minValue="0" maxValue="1.6"/>
    </cacheField>
    <cacheField name="X8" numFmtId="182">
      <sharedItems containsSemiMixedTypes="0" containsString="0" containsNumber="1" minValue="0" maxValue="0.5"/>
    </cacheField>
    <cacheField name="X9" numFmtId="182">
      <sharedItems containsSemiMixedTypes="0" containsString="0" containsNumber="1" minValue="0" maxValue="0.60000000000000009"/>
    </cacheField>
    <cacheField name="X10" numFmtId="182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0.33333333333333331"/>
    <n v="0"/>
    <n v="0.33333333333333331"/>
    <n v="0.5"/>
    <n v="0.8"/>
    <n v="0.66666666666666663"/>
    <n v="0"/>
    <n v="0"/>
    <n v="0.4"/>
    <n v="0"/>
  </r>
  <r>
    <x v="0"/>
    <n v="0.33333333333333331"/>
    <n v="0.25"/>
    <n v="0"/>
    <n v="0.5"/>
    <n v="1"/>
    <n v="0.33333333333333331"/>
    <n v="0.8"/>
    <n v="0"/>
    <n v="0.2"/>
    <n v="0"/>
  </r>
  <r>
    <x v="1"/>
    <n v="0.33333333333333331"/>
    <n v="0.25"/>
    <n v="0.66666666666666663"/>
    <n v="0.5"/>
    <n v="1"/>
    <n v="1"/>
    <n v="0.60000000000000009"/>
    <n v="0.5"/>
    <n v="0.4"/>
    <n v="0"/>
  </r>
  <r>
    <x v="0"/>
    <n v="0.33333333333333331"/>
    <n v="0.25"/>
    <n v="0.33333333333333331"/>
    <n v="0.5"/>
    <n v="0.60000000000000009"/>
    <n v="1"/>
    <n v="0.2"/>
    <n v="0"/>
    <n v="0.60000000000000009"/>
    <n v="0"/>
  </r>
  <r>
    <x v="0"/>
    <n v="0.33333333333333331"/>
    <n v="0.25"/>
    <n v="0.33333333333333331"/>
    <n v="0.5"/>
    <n v="0.60000000000000009"/>
    <n v="0.66666666666666663"/>
    <n v="0.2"/>
    <n v="0"/>
    <n v="0"/>
    <n v="0"/>
  </r>
  <r>
    <x v="0"/>
    <n v="0.33333333333333331"/>
    <n v="0.25"/>
    <n v="0"/>
    <n v="0.5"/>
    <n v="0"/>
    <n v="0.33333333333333331"/>
    <n v="0.8"/>
    <n v="0.5"/>
    <n v="0.4"/>
    <n v="0"/>
  </r>
  <r>
    <x v="0"/>
    <n v="0.33333333333333331"/>
    <n v="0.25"/>
    <n v="0"/>
    <n v="0.5"/>
    <n v="0.8"/>
    <n v="0.66666666666666663"/>
    <n v="0"/>
    <n v="0"/>
    <n v="0"/>
    <n v="0"/>
  </r>
  <r>
    <x v="2"/>
    <n v="0.33333333333333331"/>
    <n v="0.25"/>
    <n v="0.66666666666666663"/>
    <n v="0.5"/>
    <n v="0.8"/>
    <n v="0.66666666666666663"/>
    <n v="1"/>
    <n v="0.5"/>
    <n v="0.4"/>
    <n v="1"/>
  </r>
  <r>
    <x v="0"/>
    <n v="0.33333333333333331"/>
    <n v="0.25"/>
    <n v="0.66666666666666663"/>
    <n v="0.5"/>
    <n v="1"/>
    <n v="0.33333333333333331"/>
    <n v="0.60000000000000009"/>
    <n v="0.5"/>
    <n v="0"/>
    <n v="1"/>
  </r>
  <r>
    <x v="2"/>
    <n v="0.33333333333333331"/>
    <n v="0.25"/>
    <n v="0.33333333333333331"/>
    <n v="0.5"/>
    <n v="1"/>
    <n v="0.66666666666666663"/>
    <n v="0.2"/>
    <n v="0"/>
    <n v="0.2"/>
    <n v="1"/>
  </r>
  <r>
    <x v="1"/>
    <n v="0.33333333333333331"/>
    <n v="0.25"/>
    <n v="0"/>
    <n v="0.5"/>
    <n v="0.60000000000000009"/>
    <n v="0.66666666666666663"/>
    <n v="0.4"/>
    <n v="0"/>
    <n v="0"/>
    <n v="0"/>
  </r>
  <r>
    <x v="2"/>
    <n v="0"/>
    <n v="0"/>
    <n v="0.33333333333333331"/>
    <n v="0"/>
    <n v="1"/>
    <n v="0.66666666666666663"/>
    <n v="0.4"/>
    <n v="0"/>
    <n v="0"/>
    <n v="0"/>
  </r>
  <r>
    <x v="2"/>
    <n v="0.33333333333333331"/>
    <n v="0.25"/>
    <n v="0.66666666666666663"/>
    <n v="0.5"/>
    <n v="0.8"/>
    <n v="0.66666666666666663"/>
    <n v="0.2"/>
    <n v="0"/>
    <n v="0"/>
    <n v="0"/>
  </r>
  <r>
    <x v="2"/>
    <n v="0.33333333333333331"/>
    <n v="0.25"/>
    <n v="0.66666666666666663"/>
    <n v="0.5"/>
    <n v="1"/>
    <n v="0.66666666666666663"/>
    <n v="0.2"/>
    <n v="0"/>
    <n v="0.2"/>
    <n v="0"/>
  </r>
  <r>
    <x v="2"/>
    <n v="0.33333333333333331"/>
    <n v="0.25"/>
    <n v="0.66666666666666663"/>
    <n v="0.5"/>
    <n v="1"/>
    <n v="0.66666666666666663"/>
    <n v="0.4"/>
    <n v="0"/>
    <n v="0"/>
    <n v="0"/>
  </r>
  <r>
    <x v="2"/>
    <n v="0.33333333333333331"/>
    <n v="0.25"/>
    <n v="0.33333333333333331"/>
    <n v="0.5"/>
    <n v="1"/>
    <n v="0.66666666666666663"/>
    <n v="0.4"/>
    <n v="0"/>
    <n v="0.4"/>
    <n v="1"/>
  </r>
  <r>
    <x v="0"/>
    <n v="0.33333333333333331"/>
    <n v="0.25"/>
    <n v="0"/>
    <n v="0.5"/>
    <n v="0.8"/>
    <n v="0.33333333333333331"/>
    <n v="0"/>
    <n v="0"/>
    <n v="0"/>
    <n v="0"/>
  </r>
  <r>
    <x v="0"/>
    <n v="0.33333333333333331"/>
    <n v="0.25"/>
    <n v="0.33333333333333331"/>
    <n v="0.5"/>
    <n v="1"/>
    <n v="0.33333333333333331"/>
    <n v="0.4"/>
    <n v="0"/>
    <n v="0.4"/>
    <n v="1"/>
  </r>
  <r>
    <x v="2"/>
    <n v="0.33333333333333331"/>
    <n v="0.25"/>
    <n v="0.33333333333333331"/>
    <n v="0.5"/>
    <n v="0.60000000000000009"/>
    <n v="0.66666666666666663"/>
    <n v="0"/>
    <n v="0"/>
    <n v="0"/>
    <n v="0"/>
  </r>
  <r>
    <x v="0"/>
    <n v="0.33333333333333331"/>
    <n v="0.25"/>
    <n v="0.33333333333333331"/>
    <n v="0.5"/>
    <n v="0"/>
    <n v="0.66666666666666663"/>
    <n v="0.60000000000000009"/>
    <n v="0"/>
    <n v="0.4"/>
    <n v="0"/>
  </r>
  <r>
    <x v="0"/>
    <n v="0.66666666666666663"/>
    <n v="0.25"/>
    <n v="0"/>
    <n v="0.5"/>
    <n v="0"/>
    <n v="0.33333333333333331"/>
    <n v="0.8"/>
    <n v="0.5"/>
    <n v="0.4"/>
    <n v="0"/>
  </r>
  <r>
    <x v="0"/>
    <n v="0.33333333333333331"/>
    <n v="0.25"/>
    <n v="0.66666666666666663"/>
    <n v="0.5"/>
    <n v="0.8"/>
    <n v="0.33333333333333331"/>
    <n v="0.4"/>
    <n v="0"/>
    <n v="0.2"/>
    <n v="0"/>
  </r>
  <r>
    <x v="0"/>
    <n v="0.33333333333333331"/>
    <n v="0.25"/>
    <n v="0.66666666666666663"/>
    <n v="0"/>
    <n v="0.60000000000000009"/>
    <n v="0.66666666666666663"/>
    <n v="0.8"/>
    <n v="0"/>
    <n v="0.4"/>
    <n v="1"/>
  </r>
  <r>
    <x v="0"/>
    <n v="0.33333333333333331"/>
    <n v="0.25"/>
    <n v="0.33333333333333331"/>
    <n v="0.5"/>
    <n v="0.60000000000000009"/>
    <n v="0.66666666666666663"/>
    <n v="0"/>
    <n v="0"/>
    <n v="0"/>
    <n v="0"/>
  </r>
  <r>
    <x v="0"/>
    <n v="0.33333333333333331"/>
    <n v="0.25"/>
    <n v="0.66666666666666663"/>
    <n v="0.5"/>
    <n v="0.8"/>
    <n v="0.33333333333333331"/>
    <n v="0.8"/>
    <n v="0"/>
    <n v="0.4"/>
    <n v="0"/>
  </r>
  <r>
    <x v="2"/>
    <n v="0.33333333333333331"/>
    <n v="0.25"/>
    <n v="0.66666666666666663"/>
    <n v="0"/>
    <n v="1"/>
    <n v="1"/>
    <n v="0.2"/>
    <n v="0"/>
    <n v="0.4"/>
    <n v="0"/>
  </r>
  <r>
    <x v="1"/>
    <n v="0.33333333333333331"/>
    <n v="0.25"/>
    <n v="0"/>
    <n v="0.5"/>
    <n v="0.8"/>
    <n v="1"/>
    <n v="0"/>
    <n v="0"/>
    <n v="0.2"/>
    <n v="0"/>
  </r>
  <r>
    <x v="0"/>
    <n v="0.33333333333333331"/>
    <n v="0.25"/>
    <n v="0.66666666666666663"/>
    <n v="0.5"/>
    <n v="0.4"/>
    <n v="0"/>
    <n v="0.60000000000000009"/>
    <n v="0.5"/>
    <n v="0.2"/>
    <n v="0"/>
  </r>
  <r>
    <x v="0"/>
    <n v="0.33333333333333331"/>
    <n v="0"/>
    <n v="0.33333333333333331"/>
    <n v="0.5"/>
    <n v="0.4"/>
    <n v="0.66666666666666663"/>
    <n v="0.2"/>
    <n v="0"/>
    <n v="0"/>
    <n v="1"/>
  </r>
  <r>
    <x v="1"/>
    <n v="0.33333333333333331"/>
    <n v="0.5"/>
    <n v="0"/>
    <n v="0"/>
    <n v="0.2"/>
    <n v="0.33333333333333331"/>
    <n v="0.2"/>
    <n v="0"/>
    <n v="0.2"/>
    <n v="0"/>
  </r>
  <r>
    <x v="0"/>
    <n v="0.33333333333333331"/>
    <n v="0.25"/>
    <n v="0"/>
    <n v="0.5"/>
    <n v="0.60000000000000009"/>
    <n v="0.66666666666666663"/>
    <n v="0.8"/>
    <n v="0"/>
    <n v="0"/>
    <n v="0"/>
  </r>
  <r>
    <x v="0"/>
    <n v="0.33333333333333331"/>
    <n v="0.25"/>
    <n v="0"/>
    <n v="0.5"/>
    <n v="1"/>
    <n v="0.33333333333333331"/>
    <n v="0.8"/>
    <n v="0.5"/>
    <n v="0.4"/>
    <n v="0"/>
  </r>
  <r>
    <x v="0"/>
    <n v="0.33333333333333331"/>
    <n v="0.25"/>
    <n v="0"/>
    <n v="0.5"/>
    <n v="0"/>
    <n v="0.33333333333333331"/>
    <n v="0.60000000000000009"/>
    <n v="0"/>
    <n v="0.4"/>
    <n v="0"/>
  </r>
  <r>
    <x v="0"/>
    <n v="0.33333333333333331"/>
    <n v="0.25"/>
    <n v="0.33333333333333331"/>
    <n v="0.5"/>
    <n v="1"/>
    <n v="0.66666666666666663"/>
    <n v="0.2"/>
    <n v="0"/>
    <n v="0"/>
    <n v="0"/>
  </r>
  <r>
    <x v="2"/>
    <n v="0.33333333333333331"/>
    <n v="0.25"/>
    <n v="0.33333333333333331"/>
    <n v="0.5"/>
    <n v="0.60000000000000009"/>
    <n v="0.66666666666666663"/>
    <n v="0.2"/>
    <n v="0.5"/>
    <n v="0"/>
    <n v="0"/>
  </r>
  <r>
    <x v="2"/>
    <n v="0.33333333333333331"/>
    <n v="0.25"/>
    <n v="0"/>
    <n v="0.5"/>
    <n v="0.4"/>
    <n v="0.66666666666666663"/>
    <n v="0.4"/>
    <n v="0"/>
    <n v="0.60000000000000009"/>
    <n v="1"/>
  </r>
  <r>
    <x v="2"/>
    <n v="0.33333333333333331"/>
    <n v="0.25"/>
    <n v="0.33333333333333331"/>
    <n v="0.5"/>
    <n v="0.8"/>
    <n v="0.66666666666666663"/>
    <n v="0.8"/>
    <n v="0"/>
    <n v="0.2"/>
    <n v="1"/>
  </r>
  <r>
    <x v="0"/>
    <n v="0.33333333333333331"/>
    <n v="0.25"/>
    <n v="0.33333333333333331"/>
    <n v="0.5"/>
    <n v="1"/>
    <n v="0.66666666666666663"/>
    <n v="1"/>
    <n v="0.5"/>
    <n v="0.2"/>
    <n v="1"/>
  </r>
  <r>
    <x v="2"/>
    <n v="0.33333333333333331"/>
    <n v="0.25"/>
    <n v="0.33333333333333331"/>
    <n v="0.5"/>
    <n v="0.60000000000000009"/>
    <n v="1"/>
    <n v="0.4"/>
    <n v="0"/>
    <n v="0"/>
    <n v="0"/>
  </r>
  <r>
    <x v="0"/>
    <n v="0.33333333333333331"/>
    <n v="0.25"/>
    <n v="0"/>
    <n v="0.5"/>
    <n v="0"/>
    <n v="0.33333333333333331"/>
    <n v="0.60000000000000009"/>
    <n v="0"/>
    <n v="0.4"/>
    <n v="0"/>
  </r>
  <r>
    <x v="0"/>
    <n v="0.33333333333333331"/>
    <n v="0.25"/>
    <n v="0.33333333333333331"/>
    <n v="0.5"/>
    <n v="0.2"/>
    <n v="0.66666666666666663"/>
    <n v="0.60000000000000009"/>
    <n v="0.5"/>
    <n v="0.4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0.33333333333333331"/>
    <n v="0"/>
    <n v="0.33333333333333331"/>
    <n v="0.5"/>
    <n v="0.8"/>
    <n v="0.66666666666666663"/>
    <n v="0"/>
    <n v="0"/>
    <n v="0.4"/>
    <n v="0"/>
  </r>
  <r>
    <x v="0"/>
    <n v="0.33333333333333331"/>
    <n v="0.25"/>
    <n v="0"/>
    <n v="0.5"/>
    <n v="1"/>
    <n v="0.33333333333333331"/>
    <n v="0.8"/>
    <n v="0"/>
    <n v="0.2"/>
    <n v="0"/>
  </r>
  <r>
    <x v="1"/>
    <n v="0.33333333333333331"/>
    <n v="0.25"/>
    <n v="1.3333333333333333"/>
    <n v="0.5"/>
    <n v="1.5999999999999999"/>
    <n v="1"/>
    <n v="0.8"/>
    <n v="0.5"/>
    <n v="0.60000000000000009"/>
    <n v="0"/>
  </r>
  <r>
    <x v="0"/>
    <n v="0.33333333333333331"/>
    <n v="0.25"/>
    <n v="0.33333333333333331"/>
    <n v="0.5"/>
    <n v="0.8"/>
    <n v="1.3333333333333333"/>
    <n v="0.2"/>
    <n v="0"/>
    <n v="0.60000000000000009"/>
    <n v="0"/>
  </r>
  <r>
    <x v="0"/>
    <n v="0.33333333333333331"/>
    <n v="0.25"/>
    <n v="0.33333333333333331"/>
    <n v="0.5"/>
    <n v="0.8"/>
    <n v="1.3333333333333333"/>
    <n v="0.2"/>
    <n v="0"/>
    <n v="0"/>
    <n v="0"/>
  </r>
  <r>
    <x v="0"/>
    <n v="0.33333333333333331"/>
    <n v="0.25"/>
    <n v="0"/>
    <n v="0.5"/>
    <n v="0"/>
    <n v="0.66666666666666663"/>
    <n v="0.8"/>
    <n v="0.5"/>
    <n v="0.4"/>
    <n v="0"/>
  </r>
  <r>
    <x v="0"/>
    <n v="0.33333333333333331"/>
    <n v="0.25"/>
    <n v="0"/>
    <n v="0.5"/>
    <n v="1.6"/>
    <n v="1.3333333333333333"/>
    <n v="0"/>
    <n v="0"/>
    <n v="0"/>
    <n v="0"/>
  </r>
  <r>
    <x v="2"/>
    <n v="0.33333333333333331"/>
    <n v="0.25"/>
    <n v="1.3333333333333333"/>
    <n v="0.5"/>
    <n v="1"/>
    <n v="2.333333333333333"/>
    <n v="1.4"/>
    <n v="0.5"/>
    <n v="0.4"/>
    <n v="1"/>
  </r>
  <r>
    <x v="0"/>
    <n v="0.33333333333333331"/>
    <n v="0.25"/>
    <n v="1"/>
    <n v="0.5"/>
    <n v="1.7999999999999998"/>
    <n v="0.33333333333333331"/>
    <n v="0.60000000000000009"/>
    <n v="0.5"/>
    <n v="0"/>
    <n v="1"/>
  </r>
  <r>
    <x v="2"/>
    <n v="0.33333333333333331"/>
    <n v="0.25"/>
    <n v="0.33333333333333331"/>
    <n v="1"/>
    <n v="1.5999999999999999"/>
    <n v="0.66666666666666663"/>
    <n v="0.2"/>
    <n v="0"/>
    <n v="0.2"/>
    <n v="2"/>
  </r>
  <r>
    <x v="1"/>
    <n v="0.33333333333333331"/>
    <n v="0.25"/>
    <n v="0"/>
    <n v="0.5"/>
    <n v="0.60000000000000009"/>
    <n v="1"/>
    <n v="0.4"/>
    <n v="0"/>
    <n v="0"/>
    <n v="0"/>
  </r>
  <r>
    <x v="2"/>
    <n v="0"/>
    <n v="0"/>
    <n v="0.33333333333333331"/>
    <n v="0"/>
    <n v="1"/>
    <n v="1"/>
    <n v="0.4"/>
    <n v="0"/>
    <n v="0"/>
    <n v="0"/>
  </r>
  <r>
    <x v="2"/>
    <n v="0.33333333333333331"/>
    <n v="0.5"/>
    <n v="1"/>
    <n v="0.5"/>
    <n v="0.8"/>
    <n v="0.66666666666666663"/>
    <n v="0.2"/>
    <n v="0"/>
    <n v="0"/>
    <n v="0"/>
  </r>
  <r>
    <x v="2"/>
    <n v="0.33333333333333331"/>
    <n v="0.25"/>
    <n v="1"/>
    <n v="0.5"/>
    <n v="1.8000000000000003"/>
    <n v="1.3333333333333333"/>
    <n v="0.4"/>
    <n v="0"/>
    <n v="0.2"/>
    <n v="0"/>
  </r>
  <r>
    <x v="2"/>
    <n v="0.33333333333333331"/>
    <n v="0.25"/>
    <n v="1.3333333333333333"/>
    <n v="0.5"/>
    <n v="1.5999999999999999"/>
    <n v="1.6666666666666665"/>
    <n v="1"/>
    <n v="0"/>
    <n v="0"/>
    <n v="0"/>
  </r>
  <r>
    <x v="2"/>
    <n v="0.33333333333333331"/>
    <n v="0.25"/>
    <n v="0.33333333333333331"/>
    <n v="0.5"/>
    <n v="2"/>
    <n v="1"/>
    <n v="0.4"/>
    <n v="0"/>
    <n v="0.4"/>
    <n v="1"/>
  </r>
  <r>
    <x v="0"/>
    <n v="0.33333333333333331"/>
    <n v="0.25"/>
    <n v="0"/>
    <n v="0.5"/>
    <n v="0.8"/>
    <n v="0.33333333333333331"/>
    <n v="0"/>
    <n v="0"/>
    <n v="0"/>
    <n v="0"/>
  </r>
  <r>
    <x v="0"/>
    <n v="0.33333333333333331"/>
    <n v="0.25"/>
    <n v="0.33333333333333331"/>
    <n v="0.5"/>
    <n v="1"/>
    <n v="0.66666666666666663"/>
    <n v="0.60000000000000009"/>
    <n v="0"/>
    <n v="0.4"/>
    <n v="1"/>
  </r>
  <r>
    <x v="2"/>
    <n v="0.33333333333333331"/>
    <n v="0.25"/>
    <n v="0.33333333333333331"/>
    <n v="0.5"/>
    <n v="1"/>
    <n v="0.66666666666666663"/>
    <n v="0"/>
    <n v="0"/>
    <n v="0"/>
    <n v="0"/>
  </r>
  <r>
    <x v="0"/>
    <n v="0.33333333333333331"/>
    <n v="0.25"/>
    <n v="0.66666666666666663"/>
    <n v="0.5"/>
    <n v="0"/>
    <n v="1.3333333333333333"/>
    <n v="0.60000000000000009"/>
    <n v="0"/>
    <n v="0.4"/>
    <n v="0"/>
  </r>
  <r>
    <x v="0"/>
    <n v="0.66666666666666663"/>
    <n v="0.25"/>
    <n v="0"/>
    <n v="0.5"/>
    <n v="0"/>
    <n v="0.66666666666666663"/>
    <n v="0.8"/>
    <n v="0.5"/>
    <n v="0.4"/>
    <n v="0"/>
  </r>
  <r>
    <x v="0"/>
    <n v="0.33333333333333331"/>
    <n v="0.25"/>
    <n v="1"/>
    <n v="0.5"/>
    <n v="0.8"/>
    <n v="0.66666666666666663"/>
    <n v="0.4"/>
    <n v="0"/>
    <n v="0.4"/>
    <n v="0"/>
  </r>
  <r>
    <x v="0"/>
    <n v="0.33333333333333331"/>
    <n v="0.25"/>
    <n v="1.3333333333333333"/>
    <n v="0"/>
    <n v="0.8"/>
    <n v="1"/>
    <n v="0.8"/>
    <n v="0"/>
    <n v="0.60000000000000009"/>
    <n v="1"/>
  </r>
  <r>
    <x v="0"/>
    <n v="0.33333333333333331"/>
    <n v="0.25"/>
    <n v="0.33333333333333331"/>
    <n v="0.5"/>
    <n v="0.60000000000000009"/>
    <n v="0.66666666666666663"/>
    <n v="0"/>
    <n v="0"/>
    <n v="0"/>
    <n v="0"/>
  </r>
  <r>
    <x v="0"/>
    <n v="0.33333333333333331"/>
    <n v="0.25"/>
    <n v="0.66666666666666663"/>
    <n v="0.5"/>
    <n v="0.8"/>
    <n v="0.66666666666666663"/>
    <n v="1.2"/>
    <n v="0"/>
    <n v="0.4"/>
    <n v="0"/>
  </r>
  <r>
    <x v="2"/>
    <n v="0.33333333333333331"/>
    <n v="0.25"/>
    <n v="1.3333333333333333"/>
    <n v="0"/>
    <n v="1"/>
    <n v="1.3333333333333333"/>
    <n v="0.6"/>
    <n v="0"/>
    <n v="0.4"/>
    <n v="0"/>
  </r>
  <r>
    <x v="1"/>
    <n v="0.33333333333333331"/>
    <n v="0.25"/>
    <n v="0"/>
    <n v="0.5"/>
    <n v="0.8"/>
    <n v="1.3333333333333333"/>
    <n v="0"/>
    <n v="0"/>
    <n v="0.2"/>
    <n v="0"/>
  </r>
  <r>
    <x v="0"/>
    <n v="0.33333333333333331"/>
    <n v="0.25"/>
    <n v="1.6666666666666665"/>
    <n v="0.5"/>
    <n v="0.60000000000000009"/>
    <n v="0"/>
    <n v="0.8"/>
    <n v="0.5"/>
    <n v="0.2"/>
    <n v="0"/>
  </r>
  <r>
    <x v="0"/>
    <n v="0.33333333333333331"/>
    <n v="0"/>
    <n v="0.33333333333333331"/>
    <n v="0.5"/>
    <n v="0.8"/>
    <n v="0.66666666666666663"/>
    <n v="0.2"/>
    <n v="0"/>
    <n v="0"/>
    <n v="1"/>
  </r>
  <r>
    <x v="1"/>
    <n v="0.33333333333333331"/>
    <n v="0.5"/>
    <n v="0"/>
    <n v="0"/>
    <n v="0.2"/>
    <n v="0.33333333333333331"/>
    <n v="0.2"/>
    <n v="0"/>
    <n v="0.2"/>
    <n v="0"/>
  </r>
  <r>
    <x v="0"/>
    <n v="0.33333333333333331"/>
    <n v="0.25"/>
    <n v="0"/>
    <n v="0.5"/>
    <n v="1"/>
    <n v="1"/>
    <n v="1.6"/>
    <n v="0"/>
    <n v="0"/>
    <n v="0"/>
  </r>
  <r>
    <x v="0"/>
    <n v="0.33333333333333331"/>
    <n v="0.25"/>
    <n v="0"/>
    <n v="0.5"/>
    <n v="1"/>
    <n v="1"/>
    <n v="0.8"/>
    <n v="0.5"/>
    <n v="0.4"/>
    <n v="0"/>
  </r>
  <r>
    <x v="0"/>
    <n v="0.33333333333333331"/>
    <n v="0.25"/>
    <n v="0"/>
    <n v="0.5"/>
    <n v="0"/>
    <n v="0.66666666666666663"/>
    <n v="0.60000000000000009"/>
    <n v="0"/>
    <n v="0.4"/>
    <n v="0"/>
  </r>
  <r>
    <x v="0"/>
    <n v="0.33333333333333331"/>
    <n v="0.25"/>
    <n v="0.33333333333333331"/>
    <n v="0.5"/>
    <n v="1"/>
    <n v="1.3333333333333333"/>
    <n v="0.4"/>
    <n v="0"/>
    <n v="0"/>
    <n v="0"/>
  </r>
  <r>
    <x v="2"/>
    <n v="0.33333333333333331"/>
    <n v="0.5"/>
    <n v="0.33333333333333331"/>
    <n v="0.5"/>
    <n v="1"/>
    <n v="0.66666666666666663"/>
    <n v="0.2"/>
    <n v="0.5"/>
    <n v="0"/>
    <n v="0"/>
  </r>
  <r>
    <x v="2"/>
    <n v="0.33333333333333331"/>
    <n v="0.25"/>
    <n v="0"/>
    <n v="0.5"/>
    <n v="0.4"/>
    <n v="1"/>
    <n v="0.4"/>
    <n v="0"/>
    <n v="0.60000000000000009"/>
    <n v="1"/>
  </r>
  <r>
    <x v="2"/>
    <n v="0.33333333333333331"/>
    <n v="0.25"/>
    <n v="1"/>
    <n v="1"/>
    <n v="1.2000000000000002"/>
    <n v="1.3333333333333333"/>
    <n v="1.4"/>
    <n v="0"/>
    <n v="0.2"/>
    <n v="1"/>
  </r>
  <r>
    <x v="0"/>
    <n v="0.33333333333333331"/>
    <n v="0.25"/>
    <n v="0.33333333333333331"/>
    <n v="0.5"/>
    <n v="1"/>
    <n v="0.66666666666666663"/>
    <n v="1.5999999999999999"/>
    <n v="0.5"/>
    <n v="0.2"/>
    <n v="1"/>
  </r>
  <r>
    <x v="2"/>
    <n v="0.33333333333333331"/>
    <n v="0.25"/>
    <n v="0.33333333333333331"/>
    <n v="0.5"/>
    <n v="0.60000000000000009"/>
    <n v="1.6666666666666665"/>
    <n v="0.60000000000000009"/>
    <n v="0"/>
    <n v="0"/>
    <n v="0"/>
  </r>
  <r>
    <x v="0"/>
    <n v="0.33333333333333331"/>
    <n v="0.25"/>
    <n v="0"/>
    <n v="0.5"/>
    <n v="0"/>
    <n v="0.66666666666666663"/>
    <n v="0.60000000000000009"/>
    <n v="0"/>
    <n v="0.4"/>
    <n v="0"/>
  </r>
  <r>
    <x v="0"/>
    <n v="0.33333333333333331"/>
    <n v="0.25"/>
    <n v="0.33333333333333331"/>
    <n v="0.5"/>
    <n v="0.2"/>
    <n v="1.3333333333333333"/>
    <n v="0.60000000000000009"/>
    <n v="0.5"/>
    <n v="0.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2BB22-2341-42EC-871C-188B8D41A039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46:L50" firstHeaderRow="0" firstDataRow="1" firstDataCol="1"/>
  <pivotFields count="11">
    <pivotField axis="axisRow" showAll="0">
      <items count="4">
        <item x="1"/>
        <item x="2"/>
        <item x="0"/>
        <item t="default"/>
      </items>
    </pivotField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平均值项:X1" fld="1" subtotal="average" baseField="0" baseItem="0"/>
    <dataField name="平均值项:X2" fld="2" subtotal="average" baseField="0" baseItem="0"/>
    <dataField name="平均值项:X3" fld="3" subtotal="average" baseField="0" baseItem="0"/>
    <dataField name="平均值项:X4" fld="4" subtotal="average" baseField="0" baseItem="0"/>
    <dataField name="平均值项:X5" fld="5" subtotal="average" baseField="0" baseItem="0"/>
    <dataField name="平均值项:X6" fld="6" subtotal="average" baseField="0" baseItem="0"/>
    <dataField name="平均值项:X7" fld="7" subtotal="average" baseField="0" baseItem="0"/>
    <dataField name="平均值项:X8" fld="8" subtotal="average" baseField="0" baseItem="0"/>
    <dataField name="平均值项:X9" fld="9" subtotal="average" baseField="0" baseItem="0"/>
    <dataField name="平均值项:X10" fld="10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0FDF1-D3C4-4A91-ABD6-EBE33428902B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P46:Z50" firstHeaderRow="0" firstDataRow="1" firstDataCol="1"/>
  <pivotFields count="11">
    <pivotField axis="axisRow" showAll="0">
      <items count="4">
        <item x="1"/>
        <item x="2"/>
        <item x="0"/>
        <item t="default"/>
      </items>
    </pivotField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  <pivotField dataField="1" numFmtId="182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平均值项:X1" fld="1" subtotal="average" baseField="0" baseItem="0"/>
    <dataField name="平均值项:X2" fld="2" subtotal="average" baseField="0" baseItem="0"/>
    <dataField name="平均值项:X3" fld="3" subtotal="average" baseField="0" baseItem="0"/>
    <dataField name="平均值项:X4" fld="4" subtotal="average" baseField="0" baseItem="0"/>
    <dataField name="平均值项:X5" fld="5" subtotal="average" baseField="0" baseItem="0"/>
    <dataField name="平均值项:X6" fld="6" subtotal="average" baseField="0" baseItem="0"/>
    <dataField name="平均值项:X7" fld="7" subtotal="average" baseField="0" baseItem="0"/>
    <dataField name="平均值项:X8" fld="8" subtotal="average" baseField="0" baseItem="0"/>
    <dataField name="平均值项:X9" fld="9" subtotal="average" baseField="0" baseItem="0"/>
    <dataField name="平均值项:X10" fld="10" subtotal="average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workbookViewId="0"/>
  </sheetViews>
  <sheetFormatPr defaultRowHeight="13.8"/>
  <sheetData>
    <row r="1" spans="1:15">
      <c r="A1" s="3" t="s">
        <v>47</v>
      </c>
      <c r="B1" s="3" t="s">
        <v>46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</row>
    <row r="2" spans="1:15">
      <c r="A2" s="3" t="s">
        <v>48</v>
      </c>
      <c r="B2" s="1" t="s">
        <v>0</v>
      </c>
      <c r="C2" s="1">
        <v>1</v>
      </c>
      <c r="D2" s="2">
        <v>1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</row>
    <row r="3" spans="1:15">
      <c r="A3" s="3" t="s">
        <v>48</v>
      </c>
      <c r="B3" s="1" t="s">
        <v>1</v>
      </c>
      <c r="C3" s="1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</row>
    <row r="4" spans="1:15">
      <c r="A4" s="3" t="s">
        <v>48</v>
      </c>
      <c r="B4" s="1" t="s">
        <v>2</v>
      </c>
      <c r="C4" s="1">
        <v>1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</row>
    <row r="5" spans="1:15">
      <c r="A5" s="3" t="s">
        <v>48</v>
      </c>
      <c r="B5" s="1" t="s">
        <v>3</v>
      </c>
      <c r="C5" s="1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</row>
    <row r="6" spans="1:15">
      <c r="A6" s="3" t="s">
        <v>48</v>
      </c>
      <c r="B6" s="1" t="s">
        <v>4</v>
      </c>
      <c r="C6" s="1">
        <v>1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</row>
    <row r="7" spans="1:15">
      <c r="A7" s="3" t="s">
        <v>49</v>
      </c>
      <c r="B7" s="1" t="s">
        <v>5</v>
      </c>
      <c r="C7" s="1">
        <v>1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</row>
    <row r="8" spans="1:15">
      <c r="A8" s="3" t="s">
        <v>49</v>
      </c>
      <c r="B8" s="1" t="s">
        <v>6</v>
      </c>
      <c r="C8" s="1">
        <v>1</v>
      </c>
      <c r="D8" s="2">
        <v>1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1</v>
      </c>
      <c r="O8" s="2">
        <v>0</v>
      </c>
    </row>
    <row r="9" spans="1:15">
      <c r="A9" s="3" t="s">
        <v>49</v>
      </c>
      <c r="B9" s="1" t="s">
        <v>7</v>
      </c>
      <c r="C9" s="1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</row>
    <row r="10" spans="1:15">
      <c r="A10" s="3" t="s">
        <v>50</v>
      </c>
      <c r="B10" s="1" t="s">
        <v>8</v>
      </c>
      <c r="C10" s="1">
        <v>1</v>
      </c>
      <c r="D10" s="2">
        <v>1</v>
      </c>
      <c r="E10" s="2">
        <v>0</v>
      </c>
      <c r="F10" s="2">
        <v>1</v>
      </c>
      <c r="G10" s="2">
        <v>0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1</v>
      </c>
    </row>
    <row r="11" spans="1:15">
      <c r="A11" s="3" t="s">
        <v>50</v>
      </c>
      <c r="B11" s="1" t="s">
        <v>9</v>
      </c>
      <c r="C11" s="1">
        <v>0</v>
      </c>
      <c r="D11" s="2">
        <v>0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</row>
    <row r="12" spans="1:15">
      <c r="A12" s="3" t="s">
        <v>51</v>
      </c>
      <c r="B12" s="1" t="s">
        <v>10</v>
      </c>
      <c r="C12" s="1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3" t="s">
        <v>51</v>
      </c>
      <c r="B13" s="1" t="s">
        <v>11</v>
      </c>
      <c r="C13" s="1">
        <v>1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3" t="s">
        <v>51</v>
      </c>
      <c r="B14" s="1" t="s">
        <v>12</v>
      </c>
      <c r="C14" s="1">
        <v>0</v>
      </c>
      <c r="D14" s="2">
        <v>0</v>
      </c>
      <c r="E14" s="2">
        <v>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3" t="s">
        <v>52</v>
      </c>
      <c r="B15" s="1" t="s">
        <v>13</v>
      </c>
      <c r="C15" s="1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</row>
    <row r="16" spans="1:15">
      <c r="A16" s="3" t="s">
        <v>52</v>
      </c>
      <c r="B16" s="1" t="s">
        <v>14</v>
      </c>
      <c r="C16" s="1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</row>
    <row r="17" spans="1:15">
      <c r="A17" s="3" t="s">
        <v>52</v>
      </c>
      <c r="B17" s="1" t="s">
        <v>15</v>
      </c>
      <c r="C17" s="1">
        <v>1</v>
      </c>
      <c r="D17" s="2">
        <v>1</v>
      </c>
      <c r="E17" s="2">
        <v>1</v>
      </c>
      <c r="F17" s="2">
        <v>0</v>
      </c>
      <c r="G17" s="2">
        <v>1</v>
      </c>
      <c r="H17" s="2">
        <v>1</v>
      </c>
      <c r="I17" s="2">
        <v>0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</row>
    <row r="18" spans="1:15">
      <c r="A18" s="3" t="s">
        <v>52</v>
      </c>
      <c r="B18" s="1" t="s">
        <v>16</v>
      </c>
      <c r="C18" s="1">
        <v>1</v>
      </c>
      <c r="D18" s="2">
        <v>1</v>
      </c>
      <c r="E18" s="2">
        <v>1</v>
      </c>
      <c r="F18" s="2">
        <v>1</v>
      </c>
      <c r="G18" s="2">
        <v>0</v>
      </c>
      <c r="H18" s="2">
        <v>1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</row>
    <row r="19" spans="1:15">
      <c r="A19" s="3" t="s">
        <v>52</v>
      </c>
      <c r="B19" s="1" t="s">
        <v>17</v>
      </c>
      <c r="C19" s="1">
        <v>1</v>
      </c>
      <c r="D19" s="2">
        <v>1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1</v>
      </c>
    </row>
    <row r="20" spans="1:15">
      <c r="A20" s="3" t="s">
        <v>52</v>
      </c>
      <c r="B20" s="1" t="s">
        <v>18</v>
      </c>
      <c r="C20" s="1">
        <v>1</v>
      </c>
      <c r="D20" s="2">
        <v>1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1</v>
      </c>
      <c r="O20" s="2">
        <v>0</v>
      </c>
    </row>
    <row r="21" spans="1:15">
      <c r="A21" s="3" t="s">
        <v>53</v>
      </c>
      <c r="B21" s="1" t="s">
        <v>19</v>
      </c>
      <c r="C21" s="1">
        <v>1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3" t="s">
        <v>53</v>
      </c>
      <c r="B22" s="1" t="s">
        <v>20</v>
      </c>
      <c r="C22" s="1">
        <v>1</v>
      </c>
      <c r="D22" s="2">
        <v>1</v>
      </c>
      <c r="E22" s="2">
        <v>0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</row>
    <row r="23" spans="1:15">
      <c r="A23" s="3" t="s">
        <v>54</v>
      </c>
      <c r="B23" s="1" t="s">
        <v>21</v>
      </c>
      <c r="C23" s="1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</row>
    <row r="24" spans="1:15">
      <c r="A24" s="3" t="s">
        <v>54</v>
      </c>
      <c r="B24" s="1" t="s">
        <v>22</v>
      </c>
      <c r="C24" s="1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</row>
    <row r="25" spans="1:15">
      <c r="A25" s="3" t="s">
        <v>54</v>
      </c>
      <c r="B25" s="1" t="s">
        <v>23</v>
      </c>
      <c r="C25" s="1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1</v>
      </c>
      <c r="L25" s="2">
        <v>0</v>
      </c>
      <c r="M25" s="2">
        <v>0</v>
      </c>
      <c r="N25" s="2">
        <v>1</v>
      </c>
      <c r="O25" s="2">
        <v>0</v>
      </c>
    </row>
    <row r="26" spans="1:15">
      <c r="A26" s="3" t="s">
        <v>54</v>
      </c>
      <c r="B26" s="1" t="s">
        <v>24</v>
      </c>
      <c r="C26" s="1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</row>
    <row r="27" spans="1:15">
      <c r="A27" s="3" t="s">
        <v>55</v>
      </c>
      <c r="B27" s="1" t="s">
        <v>25</v>
      </c>
      <c r="C27" s="1">
        <v>1</v>
      </c>
      <c r="D27" s="2">
        <v>0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0</v>
      </c>
      <c r="O27" s="2">
        <v>1</v>
      </c>
    </row>
    <row r="28" spans="1:15">
      <c r="A28" s="3" t="s">
        <v>55</v>
      </c>
      <c r="B28" s="1" t="s">
        <v>26</v>
      </c>
      <c r="C28" s="1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</row>
    <row r="29" spans="1:15">
      <c r="A29" s="3" t="s">
        <v>55</v>
      </c>
      <c r="B29" s="1" t="s">
        <v>27</v>
      </c>
      <c r="C29" s="1">
        <v>1</v>
      </c>
      <c r="D29" s="2">
        <v>0</v>
      </c>
      <c r="E29" s="2">
        <v>1</v>
      </c>
      <c r="F29" s="2">
        <v>0</v>
      </c>
      <c r="G29" s="2">
        <v>1</v>
      </c>
      <c r="H29" s="2">
        <v>1</v>
      </c>
      <c r="I29" s="2">
        <v>1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0</v>
      </c>
    </row>
    <row r="30" spans="1:15">
      <c r="A30" s="3" t="s">
        <v>55</v>
      </c>
      <c r="B30" s="1" t="s">
        <v>28</v>
      </c>
      <c r="C30" s="1">
        <v>1</v>
      </c>
      <c r="D30" s="2">
        <v>0</v>
      </c>
      <c r="E30" s="2">
        <v>1</v>
      </c>
      <c r="F30" s="2">
        <v>1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0</v>
      </c>
    </row>
    <row r="31" spans="1:15">
      <c r="A31" s="3" t="s">
        <v>56</v>
      </c>
      <c r="B31" s="1" t="s">
        <v>29</v>
      </c>
      <c r="C31" s="1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</row>
    <row r="32" spans="1:15">
      <c r="A32" s="3" t="s">
        <v>56</v>
      </c>
      <c r="B32" s="1" t="s">
        <v>30</v>
      </c>
      <c r="C32" s="1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</row>
    <row r="33" spans="1:15">
      <c r="A33" s="3" t="s">
        <v>56</v>
      </c>
      <c r="B33" s="1" t="s">
        <v>31</v>
      </c>
      <c r="C33" s="1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</row>
    <row r="34" spans="1:15">
      <c r="A34" s="3" t="s">
        <v>56</v>
      </c>
      <c r="B34" s="1" t="s">
        <v>32</v>
      </c>
      <c r="C34" s="1">
        <v>1</v>
      </c>
      <c r="D34" s="2">
        <v>1</v>
      </c>
      <c r="E34" s="2">
        <v>1</v>
      </c>
      <c r="F34" s="2">
        <v>0</v>
      </c>
      <c r="G34" s="2">
        <v>0</v>
      </c>
      <c r="H34" s="2">
        <v>1</v>
      </c>
      <c r="I34" s="2">
        <v>1</v>
      </c>
      <c r="J34" s="2">
        <v>0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</row>
    <row r="35" spans="1:15">
      <c r="A35" s="3"/>
    </row>
    <row r="36" spans="1:15">
      <c r="A36" s="3"/>
    </row>
    <row r="37" spans="1:15">
      <c r="A37" s="3"/>
    </row>
    <row r="38" spans="1:15">
      <c r="A38" s="3"/>
    </row>
    <row r="39" spans="1:15">
      <c r="A39" s="3"/>
    </row>
    <row r="40" spans="1:15">
      <c r="A40" s="3"/>
    </row>
    <row r="41" spans="1:15">
      <c r="A41" s="3"/>
    </row>
    <row r="42" spans="1:15">
      <c r="A42" s="3"/>
    </row>
    <row r="43" spans="1:15">
      <c r="A43" s="3"/>
    </row>
    <row r="44" spans="1:15">
      <c r="A44" s="3"/>
    </row>
    <row r="45" spans="1:15">
      <c r="A45" s="3"/>
    </row>
    <row r="46" spans="1:15">
      <c r="A46" s="3"/>
    </row>
    <row r="47" spans="1:15">
      <c r="A47" s="3"/>
    </row>
    <row r="48" spans="1:15">
      <c r="A48" s="3"/>
    </row>
    <row r="49" spans="1:2">
      <c r="A49" s="3"/>
    </row>
    <row r="50" spans="1:2">
      <c r="A50" s="3"/>
    </row>
    <row r="51" spans="1:2">
      <c r="A51" s="3"/>
      <c r="B51" s="1"/>
    </row>
    <row r="52" spans="1:2">
      <c r="A52" s="3"/>
    </row>
    <row r="53" spans="1:2">
      <c r="A53" s="3"/>
    </row>
    <row r="54" spans="1:2">
      <c r="A54" s="3"/>
    </row>
    <row r="55" spans="1:2">
      <c r="A55" s="3"/>
      <c r="B55" s="1"/>
    </row>
    <row r="56" spans="1:2">
      <c r="A56" s="3"/>
    </row>
    <row r="57" spans="1:2">
      <c r="A57" s="3"/>
    </row>
    <row r="58" spans="1:2">
      <c r="A58" s="3"/>
    </row>
    <row r="59" spans="1:2">
      <c r="A59" s="3"/>
    </row>
    <row r="60" spans="1:2">
      <c r="A60" s="3"/>
    </row>
    <row r="61" spans="1:2">
      <c r="A61" s="3"/>
    </row>
    <row r="62" spans="1:2">
      <c r="A62" s="3"/>
    </row>
    <row r="63" spans="1:2">
      <c r="A63" s="3"/>
    </row>
    <row r="64" spans="1:2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/>
  </sheetViews>
  <sheetFormatPr defaultRowHeight="13.8"/>
  <sheetData>
    <row r="1" spans="1:14" ht="15.6">
      <c r="B1" s="4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70</v>
      </c>
    </row>
    <row r="2" spans="1:14" ht="15.6">
      <c r="A2" s="4" t="s">
        <v>57</v>
      </c>
      <c r="B2" s="5">
        <v>1</v>
      </c>
      <c r="C2" s="5"/>
      <c r="D2" s="5"/>
      <c r="E2" s="5"/>
      <c r="F2" s="5"/>
      <c r="G2" s="5"/>
    </row>
    <row r="3" spans="1:14" ht="15.6">
      <c r="A3" s="4" t="s">
        <v>58</v>
      </c>
      <c r="B3" s="5">
        <v>0.26200000000000001</v>
      </c>
      <c r="C3" s="5">
        <v>1</v>
      </c>
      <c r="D3" s="5"/>
      <c r="E3" s="5"/>
      <c r="F3" s="5"/>
      <c r="G3" s="5"/>
    </row>
    <row r="4" spans="1:14" ht="15.6">
      <c r="A4" s="4" t="s">
        <v>59</v>
      </c>
      <c r="B4" s="5">
        <v>0.44</v>
      </c>
      <c r="C4" s="5">
        <v>5.2400000000000002E-2</v>
      </c>
      <c r="D4" s="5">
        <v>1</v>
      </c>
      <c r="E4" s="5"/>
      <c r="F4" s="5"/>
      <c r="G4" s="5"/>
    </row>
    <row r="5" spans="1:14" ht="15.6">
      <c r="A5" s="4" t="s">
        <v>60</v>
      </c>
      <c r="B5" s="5">
        <v>0.13100000000000001</v>
      </c>
      <c r="C5" s="5">
        <v>-5.2400000000000002E-2</v>
      </c>
      <c r="D5" s="5">
        <v>0.05</v>
      </c>
      <c r="E5" s="5">
        <v>1</v>
      </c>
      <c r="F5" s="5"/>
      <c r="G5" s="5"/>
    </row>
    <row r="6" spans="1:14" ht="15.6">
      <c r="A6" s="4" t="s">
        <v>61</v>
      </c>
      <c r="B6" s="5">
        <v>3.39E-2</v>
      </c>
      <c r="C6" s="5">
        <v>-2.7099999999999999E-2</v>
      </c>
      <c r="D6" s="5">
        <v>0.33600000000000002</v>
      </c>
      <c r="E6" s="5">
        <v>0.51600000000000001</v>
      </c>
      <c r="F6" s="5">
        <v>1</v>
      </c>
      <c r="G6" s="5"/>
    </row>
    <row r="7" spans="1:14" ht="15.6">
      <c r="A7" s="4" t="s">
        <v>62</v>
      </c>
      <c r="B7" s="5">
        <v>0.30599999999999999</v>
      </c>
      <c r="C7" s="5">
        <v>-5.2400000000000002E-2</v>
      </c>
      <c r="D7" s="5">
        <v>0.1</v>
      </c>
      <c r="E7" s="5">
        <v>0.66700000000000004</v>
      </c>
      <c r="F7" s="5">
        <v>0.51600000000000001</v>
      </c>
      <c r="G7" s="5">
        <v>1</v>
      </c>
    </row>
    <row r="8" spans="1:14" ht="15.6">
      <c r="A8" s="4" t="s">
        <v>63</v>
      </c>
      <c r="B8" s="5">
        <v>-1.9E-2</v>
      </c>
      <c r="C8" s="5">
        <v>1.5100000000000001E-2</v>
      </c>
      <c r="D8" s="5">
        <v>0.13</v>
      </c>
      <c r="E8" s="5">
        <v>0.57699999999999996</v>
      </c>
      <c r="F8" s="5">
        <v>0.53400000000000003</v>
      </c>
      <c r="G8" s="5">
        <v>0.59299999999999997</v>
      </c>
      <c r="H8" s="5">
        <v>1</v>
      </c>
      <c r="I8" s="5"/>
      <c r="J8" s="5"/>
      <c r="K8" s="5"/>
      <c r="L8" s="5"/>
      <c r="M8" s="5"/>
    </row>
    <row r="9" spans="1:14" ht="15.6">
      <c r="A9" s="4" t="s">
        <v>64</v>
      </c>
      <c r="B9" s="5">
        <v>0.105</v>
      </c>
      <c r="C9" s="5">
        <v>7.0000000000000007E-2</v>
      </c>
      <c r="D9" s="5">
        <v>1.34E-2</v>
      </c>
      <c r="E9" s="5">
        <v>0.66800000000000004</v>
      </c>
      <c r="F9" s="5">
        <v>0.57499999999999996</v>
      </c>
      <c r="G9" s="5">
        <v>0.46</v>
      </c>
      <c r="H9" s="5">
        <v>0.24399999999999999</v>
      </c>
      <c r="I9" s="5">
        <v>1</v>
      </c>
      <c r="J9" s="5"/>
      <c r="K9" s="5"/>
      <c r="L9" s="5"/>
      <c r="M9" s="5"/>
    </row>
    <row r="10" spans="1:14" ht="15.6">
      <c r="A10" s="4" t="s">
        <v>65</v>
      </c>
      <c r="B10" s="5">
        <v>0.10199999999999999</v>
      </c>
      <c r="C10" s="5">
        <v>-1.2500000000000001E-2</v>
      </c>
      <c r="D10" s="5">
        <v>-4.1799999999999997E-2</v>
      </c>
      <c r="E10" s="5">
        <v>0.59799999999999998</v>
      </c>
      <c r="F10" s="5">
        <v>0.46300000000000002</v>
      </c>
      <c r="G10" s="5">
        <v>0.89600000000000002</v>
      </c>
      <c r="H10" s="5">
        <v>0.69</v>
      </c>
      <c r="I10" s="5">
        <v>0.38300000000000001</v>
      </c>
      <c r="J10" s="5">
        <v>1</v>
      </c>
      <c r="K10" s="5"/>
      <c r="L10" s="5"/>
      <c r="M10" s="5"/>
    </row>
    <row r="11" spans="1:14" ht="15.6">
      <c r="A11" s="4" t="s">
        <v>66</v>
      </c>
      <c r="B11" s="5">
        <v>0.223</v>
      </c>
      <c r="C11" s="5">
        <v>-0.121</v>
      </c>
      <c r="D11" s="5">
        <v>0.17499999999999999</v>
      </c>
      <c r="E11" s="5">
        <v>0.5</v>
      </c>
      <c r="F11" s="5">
        <v>0.47799999999999998</v>
      </c>
      <c r="G11" s="5">
        <v>0.83299999999999996</v>
      </c>
      <c r="H11" s="5">
        <v>0.60599999999999998</v>
      </c>
      <c r="I11" s="5">
        <v>0.45400000000000001</v>
      </c>
      <c r="J11" s="5">
        <v>0.747</v>
      </c>
      <c r="K11" s="5">
        <v>1</v>
      </c>
      <c r="L11" s="5"/>
      <c r="M11" s="5"/>
    </row>
    <row r="12" spans="1:14" ht="15.6">
      <c r="A12" s="4" t="s">
        <v>67</v>
      </c>
      <c r="B12" s="5">
        <v>0.223</v>
      </c>
      <c r="C12" s="5">
        <v>0.22500000000000001</v>
      </c>
      <c r="D12" s="5">
        <v>0.17499999999999999</v>
      </c>
      <c r="E12" s="5">
        <v>0.65</v>
      </c>
      <c r="F12" s="5">
        <v>0.47799999999999998</v>
      </c>
      <c r="G12" s="5">
        <v>0.83299999999999996</v>
      </c>
      <c r="H12" s="5">
        <v>0.60599999999999998</v>
      </c>
      <c r="I12" s="5">
        <v>0.45400000000000001</v>
      </c>
      <c r="J12" s="5">
        <v>0.747</v>
      </c>
      <c r="K12" s="5">
        <v>0.67</v>
      </c>
      <c r="L12" s="5">
        <v>1</v>
      </c>
      <c r="M12" s="5"/>
    </row>
    <row r="13" spans="1:14" ht="15.6">
      <c r="A13" s="4" t="s">
        <v>68</v>
      </c>
      <c r="B13" s="5">
        <v>-4.2900000000000001E-2</v>
      </c>
      <c r="C13" s="5">
        <v>0.14199999999999999</v>
      </c>
      <c r="D13" s="5">
        <v>0.24199999999999999</v>
      </c>
      <c r="E13" s="5">
        <v>9.3299999999999994E-2</v>
      </c>
      <c r="F13" s="5">
        <v>0.193</v>
      </c>
      <c r="G13" s="5">
        <v>0.20200000000000001</v>
      </c>
      <c r="H13" s="5">
        <v>0.48399999999999999</v>
      </c>
      <c r="I13" s="5">
        <v>4.9799999999999997E-2</v>
      </c>
      <c r="J13" s="5">
        <v>0.27300000000000002</v>
      </c>
      <c r="K13" s="5">
        <v>0.39600000000000002</v>
      </c>
      <c r="L13" s="5">
        <v>0.24199999999999999</v>
      </c>
      <c r="M13" s="5">
        <v>1</v>
      </c>
    </row>
    <row r="14" spans="1:14" ht="15.6">
      <c r="A14" s="4" t="s">
        <v>69</v>
      </c>
      <c r="B14" s="5">
        <v>8.0600000000000005E-2</v>
      </c>
      <c r="C14" s="5">
        <v>0.189</v>
      </c>
      <c r="D14" s="5">
        <v>-2.1899999999999999E-2</v>
      </c>
      <c r="E14" s="5">
        <v>0.746</v>
      </c>
      <c r="F14" s="5">
        <v>0.50900000000000001</v>
      </c>
      <c r="G14" s="5">
        <v>0.58499999999999996</v>
      </c>
      <c r="H14" s="5">
        <v>0.62</v>
      </c>
      <c r="I14" s="5">
        <v>0.68</v>
      </c>
      <c r="J14" s="5">
        <v>0.52400000000000002</v>
      </c>
      <c r="K14" s="5">
        <v>0.55700000000000005</v>
      </c>
      <c r="L14" s="5">
        <v>0.70199999999999996</v>
      </c>
      <c r="M14" s="5">
        <v>0.27800000000000002</v>
      </c>
      <c r="N14" s="5">
        <v>1</v>
      </c>
    </row>
    <row r="15" spans="1:14" ht="15.6">
      <c r="A15" s="4"/>
      <c r="B15" s="5"/>
      <c r="C15" s="5"/>
      <c r="D15" s="5"/>
      <c r="E15" s="5"/>
      <c r="F15" s="5"/>
      <c r="G15" s="5"/>
    </row>
    <row r="16" spans="1:14" ht="15.6">
      <c r="A16" s="4"/>
      <c r="G16" s="5"/>
    </row>
    <row r="17" spans="1:7" ht="15.6">
      <c r="A17" s="4"/>
    </row>
    <row r="18" spans="1:7" ht="15.6">
      <c r="A18" s="4" t="s">
        <v>71</v>
      </c>
      <c r="B18" s="8">
        <f>AVERAGE(B3:B14,C4:C14,D5:D14,E6:E14,F7:F14,G8:G14,H9:H14,I10:I14,J11:J14,K12:K14,L13:L14,M14)</f>
        <v>0.34616025641025655</v>
      </c>
    </row>
    <row r="19" spans="1:7" ht="15.6">
      <c r="A19" s="4" t="s">
        <v>72</v>
      </c>
      <c r="B19">
        <f>COUNT(B3:B14,C4:C14,D5:D14,E6:E14,F7:F14,G8:G14,H9:H14,I10:I14,J11:J14,K12:K14,L13:L14,M14)</f>
        <v>78</v>
      </c>
    </row>
    <row r="20" spans="1:7" ht="15.6">
      <c r="A20" s="4"/>
    </row>
    <row r="21" spans="1:7" ht="15.6">
      <c r="A21" s="4"/>
    </row>
    <row r="22" spans="1:7" ht="15.6">
      <c r="A22" s="4"/>
    </row>
    <row r="23" spans="1:7" ht="15.6">
      <c r="A23" s="4"/>
    </row>
    <row r="24" spans="1:7" ht="15.6">
      <c r="A24" s="4"/>
      <c r="B24" s="5"/>
      <c r="C24" s="5"/>
      <c r="D24" s="5"/>
      <c r="E24" s="5"/>
      <c r="F24" s="5"/>
      <c r="G24" s="5"/>
    </row>
    <row r="25" spans="1:7" ht="15.6">
      <c r="A25" s="4"/>
      <c r="B25" s="5"/>
      <c r="C25" s="5"/>
      <c r="D25" s="5"/>
      <c r="E25" s="5"/>
      <c r="F25" s="5"/>
      <c r="G25" s="5"/>
    </row>
    <row r="26" spans="1:7" ht="15.6">
      <c r="A26" s="6"/>
      <c r="B26" s="7"/>
      <c r="C26" s="7"/>
      <c r="D26" s="7"/>
      <c r="E26" s="7"/>
      <c r="F26" s="7"/>
      <c r="G26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"/>
  <sheetViews>
    <sheetView workbookViewId="0"/>
  </sheetViews>
  <sheetFormatPr defaultRowHeight="13.8"/>
  <sheetData>
    <row r="1" spans="1:3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</row>
    <row r="2" spans="1:3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>
        <v>1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</row>
    <row r="4" spans="1:33">
      <c r="A4">
        <v>0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>
        <v>0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0</v>
      </c>
    </row>
    <row r="6" spans="1:33">
      <c r="A6">
        <v>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</row>
    <row r="7" spans="1:33">
      <c r="A7">
        <v>1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>
        <v>1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>
        <v>0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0</v>
      </c>
    </row>
    <row r="10" spans="1:33">
      <c r="A10">
        <v>1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>
      <c r="A11">
        <v>1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>
        <v>1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>
      <c r="A13">
        <v>1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>
      <c r="A14">
        <v>1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3.8"/>
  <sheetData>
    <row r="1" spans="1:3">
      <c r="A1" t="s">
        <v>106</v>
      </c>
      <c r="B1" t="s">
        <v>107</v>
      </c>
      <c r="C1" t="s">
        <v>108</v>
      </c>
    </row>
    <row r="2" spans="1:3">
      <c r="A2">
        <v>0.86</v>
      </c>
      <c r="B2">
        <v>0.83</v>
      </c>
      <c r="C2">
        <v>1</v>
      </c>
    </row>
    <row r="3" spans="1:3">
      <c r="A3">
        <v>0.83</v>
      </c>
      <c r="B3">
        <v>0.62</v>
      </c>
      <c r="C3">
        <v>0.62</v>
      </c>
    </row>
    <row r="4" spans="1:3">
      <c r="A4">
        <v>0.5</v>
      </c>
      <c r="B4">
        <v>1</v>
      </c>
      <c r="C4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3.8"/>
  <sheetData>
    <row r="1" spans="1:3">
      <c r="A1" t="s">
        <v>106</v>
      </c>
      <c r="B1" t="s">
        <v>107</v>
      </c>
      <c r="C1" t="s">
        <v>108</v>
      </c>
    </row>
    <row r="2" spans="1:3">
      <c r="A2">
        <v>0.86</v>
      </c>
      <c r="B2">
        <v>1</v>
      </c>
      <c r="C2">
        <v>1</v>
      </c>
    </row>
    <row r="3" spans="1:3">
      <c r="A3">
        <v>0.83</v>
      </c>
      <c r="B3">
        <v>0.62</v>
      </c>
      <c r="C3">
        <v>0.62</v>
      </c>
    </row>
    <row r="4" spans="1:3">
      <c r="A4">
        <v>0.5</v>
      </c>
      <c r="B4">
        <v>0.4</v>
      </c>
      <c r="C4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3.8"/>
  <sheetData>
    <row r="1" spans="1:3">
      <c r="A1" t="s">
        <v>106</v>
      </c>
      <c r="B1" t="s">
        <v>107</v>
      </c>
      <c r="C1" t="s">
        <v>108</v>
      </c>
    </row>
    <row r="2" spans="1:3">
      <c r="A2">
        <v>0.86</v>
      </c>
      <c r="B2">
        <v>1</v>
      </c>
      <c r="C2">
        <v>0.3</v>
      </c>
    </row>
    <row r="3" spans="1:3">
      <c r="A3">
        <v>1</v>
      </c>
      <c r="B3">
        <v>0.62</v>
      </c>
      <c r="C3">
        <v>1</v>
      </c>
    </row>
    <row r="4" spans="1:3">
      <c r="A4">
        <v>0.5</v>
      </c>
      <c r="B4">
        <v>1</v>
      </c>
      <c r="C4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3.8"/>
  <sheetData>
    <row r="1" spans="1:3">
      <c r="A1" t="s">
        <v>106</v>
      </c>
      <c r="B1" t="s">
        <v>107</v>
      </c>
      <c r="C1" t="s">
        <v>108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0.8</v>
      </c>
      <c r="C3">
        <v>1</v>
      </c>
    </row>
    <row r="4" spans="1:3">
      <c r="A4">
        <v>0.8</v>
      </c>
      <c r="B4">
        <v>1</v>
      </c>
      <c r="C4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24"/>
  <sheetViews>
    <sheetView workbookViewId="0"/>
  </sheetViews>
  <sheetFormatPr defaultRowHeight="13.8"/>
  <sheetData>
    <row r="2" spans="1:14">
      <c r="A2" t="s">
        <v>109</v>
      </c>
      <c r="B2" t="s">
        <v>127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110</v>
      </c>
    </row>
    <row r="4" spans="1:14">
      <c r="A4" t="s">
        <v>117</v>
      </c>
      <c r="B4">
        <v>0.8</v>
      </c>
      <c r="C4">
        <v>0.8</v>
      </c>
      <c r="D4">
        <v>0.8</v>
      </c>
      <c r="E4">
        <v>0.8</v>
      </c>
      <c r="F4">
        <v>1</v>
      </c>
      <c r="G4">
        <v>1</v>
      </c>
      <c r="H4">
        <v>0.8</v>
      </c>
      <c r="I4">
        <v>0.8</v>
      </c>
      <c r="J4">
        <v>0.8</v>
      </c>
      <c r="K4">
        <v>1</v>
      </c>
      <c r="L4">
        <v>1</v>
      </c>
      <c r="M4">
        <v>0.8</v>
      </c>
      <c r="N4">
        <v>0.87</v>
      </c>
    </row>
    <row r="5" spans="1:14">
      <c r="A5" t="s">
        <v>118</v>
      </c>
      <c r="B5">
        <v>0.5</v>
      </c>
      <c r="C5">
        <v>0.5</v>
      </c>
      <c r="D5">
        <v>0.25</v>
      </c>
      <c r="E5">
        <v>0.25</v>
      </c>
      <c r="F5">
        <v>0.25</v>
      </c>
      <c r="G5">
        <v>0.25</v>
      </c>
      <c r="H5">
        <v>0.5</v>
      </c>
      <c r="I5">
        <v>0.75</v>
      </c>
      <c r="J5">
        <v>0.25</v>
      </c>
      <c r="K5">
        <v>0.5</v>
      </c>
      <c r="L5">
        <v>0.5</v>
      </c>
      <c r="M5">
        <v>0.25</v>
      </c>
      <c r="N5">
        <v>0.4</v>
      </c>
    </row>
    <row r="6" spans="1:14">
      <c r="A6" t="s">
        <v>119</v>
      </c>
      <c r="B6">
        <v>0.67</v>
      </c>
      <c r="C6">
        <v>1</v>
      </c>
      <c r="D6">
        <v>1</v>
      </c>
      <c r="E6">
        <v>1</v>
      </c>
      <c r="F6">
        <v>0.67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0.67</v>
      </c>
      <c r="N6">
        <v>0.92</v>
      </c>
    </row>
    <row r="7" spans="1:14">
      <c r="A7" t="s">
        <v>120</v>
      </c>
      <c r="B7">
        <v>0.75</v>
      </c>
      <c r="C7">
        <v>0.5</v>
      </c>
      <c r="D7">
        <v>0.75</v>
      </c>
      <c r="E7">
        <v>0</v>
      </c>
      <c r="F7">
        <v>0.25</v>
      </c>
      <c r="G7">
        <v>0.5</v>
      </c>
      <c r="H7">
        <v>0.5</v>
      </c>
      <c r="I7">
        <v>0.5</v>
      </c>
      <c r="J7">
        <v>0.5</v>
      </c>
      <c r="K7">
        <v>0.75</v>
      </c>
      <c r="L7">
        <v>0.5</v>
      </c>
      <c r="M7">
        <v>0.25</v>
      </c>
      <c r="N7">
        <v>0.48</v>
      </c>
    </row>
    <row r="8" spans="1:14">
      <c r="A8" t="s">
        <v>121</v>
      </c>
      <c r="B8">
        <v>1</v>
      </c>
      <c r="C8">
        <v>1</v>
      </c>
      <c r="D8">
        <v>1</v>
      </c>
      <c r="E8">
        <v>1</v>
      </c>
      <c r="F8">
        <v>0.83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0.83</v>
      </c>
      <c r="N8">
        <v>0.97</v>
      </c>
    </row>
    <row r="9" spans="1:14">
      <c r="A9" t="s">
        <v>122</v>
      </c>
      <c r="B9">
        <v>1</v>
      </c>
      <c r="C9">
        <v>1</v>
      </c>
      <c r="D9">
        <v>1</v>
      </c>
      <c r="E9">
        <v>1</v>
      </c>
      <c r="F9">
        <v>0.75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0.75</v>
      </c>
      <c r="N9">
        <v>0.96</v>
      </c>
    </row>
    <row r="10" spans="1:14">
      <c r="A10" t="s">
        <v>123</v>
      </c>
      <c r="B10">
        <v>0.6</v>
      </c>
      <c r="C10">
        <v>0.8</v>
      </c>
      <c r="D10">
        <v>1</v>
      </c>
      <c r="E10">
        <v>0.6</v>
      </c>
      <c r="F10">
        <v>0.8</v>
      </c>
      <c r="G10">
        <v>1</v>
      </c>
      <c r="H10">
        <v>0.8</v>
      </c>
      <c r="I10">
        <v>1</v>
      </c>
      <c r="J10">
        <v>1</v>
      </c>
      <c r="K10">
        <v>1</v>
      </c>
      <c r="L10">
        <v>1</v>
      </c>
      <c r="M10">
        <v>0.8</v>
      </c>
      <c r="N10">
        <v>0.87</v>
      </c>
    </row>
    <row r="11" spans="1:14">
      <c r="A11" t="s">
        <v>124</v>
      </c>
      <c r="B11">
        <v>1</v>
      </c>
      <c r="C11">
        <v>1</v>
      </c>
      <c r="D11">
        <v>1</v>
      </c>
      <c r="E11">
        <v>1</v>
      </c>
      <c r="F11">
        <v>0.75</v>
      </c>
      <c r="G11">
        <v>1</v>
      </c>
      <c r="H11">
        <v>0.75</v>
      </c>
      <c r="I11">
        <v>0.75</v>
      </c>
      <c r="J11">
        <v>1</v>
      </c>
      <c r="K11">
        <v>1</v>
      </c>
      <c r="L11">
        <v>1</v>
      </c>
      <c r="M11">
        <v>1</v>
      </c>
      <c r="N11">
        <v>0.94</v>
      </c>
    </row>
    <row r="12" spans="1:14">
      <c r="A12" t="s">
        <v>125</v>
      </c>
      <c r="B12">
        <v>0.67</v>
      </c>
      <c r="C12">
        <v>0.67</v>
      </c>
      <c r="D12">
        <v>0.67</v>
      </c>
      <c r="E12">
        <v>0.67</v>
      </c>
      <c r="F12">
        <v>0.67</v>
      </c>
      <c r="G12">
        <v>0.67</v>
      </c>
      <c r="H12">
        <v>0.67</v>
      </c>
      <c r="I12">
        <v>1</v>
      </c>
      <c r="J12">
        <v>0.67</v>
      </c>
      <c r="K12">
        <v>0.67</v>
      </c>
      <c r="L12">
        <v>0.67</v>
      </c>
      <c r="M12">
        <v>0.67</v>
      </c>
      <c r="N12">
        <v>0.7</v>
      </c>
    </row>
    <row r="13" spans="1:14">
      <c r="A13" t="s">
        <v>126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111</v>
      </c>
      <c r="B14">
        <v>7.99</v>
      </c>
      <c r="C14">
        <v>8.27</v>
      </c>
      <c r="D14">
        <v>8.4700000000000006</v>
      </c>
      <c r="E14">
        <v>7.32</v>
      </c>
      <c r="F14">
        <v>6.97</v>
      </c>
      <c r="G14">
        <v>8.42</v>
      </c>
      <c r="H14">
        <v>8.02</v>
      </c>
      <c r="I14">
        <v>8.8000000000000007</v>
      </c>
      <c r="J14">
        <v>8.2200000000000006</v>
      </c>
      <c r="K14">
        <v>8.92</v>
      </c>
      <c r="L14">
        <v>8.67</v>
      </c>
      <c r="M14">
        <v>7.02</v>
      </c>
      <c r="N14">
        <v>8.09</v>
      </c>
    </row>
    <row r="15" spans="1:14">
      <c r="A15" t="s">
        <v>112</v>
      </c>
      <c r="B15">
        <v>9</v>
      </c>
      <c r="C15">
        <v>6</v>
      </c>
      <c r="D15">
        <v>4</v>
      </c>
      <c r="E15">
        <v>10</v>
      </c>
      <c r="F15">
        <v>12</v>
      </c>
      <c r="G15">
        <v>5</v>
      </c>
      <c r="H15">
        <v>8</v>
      </c>
      <c r="I15">
        <v>2</v>
      </c>
      <c r="J15">
        <v>7</v>
      </c>
      <c r="K15">
        <v>1</v>
      </c>
      <c r="L15">
        <v>3</v>
      </c>
      <c r="M15">
        <v>11</v>
      </c>
      <c r="N15" t="s">
        <v>113</v>
      </c>
    </row>
    <row r="16" spans="1:14">
      <c r="A16" t="s">
        <v>114</v>
      </c>
      <c r="B16" t="s">
        <v>115</v>
      </c>
      <c r="C16" t="s">
        <v>115</v>
      </c>
      <c r="D16" t="s">
        <v>115</v>
      </c>
      <c r="E16" t="s">
        <v>115</v>
      </c>
      <c r="F16" t="s">
        <v>116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113</v>
      </c>
    </row>
    <row r="22" spans="2:4">
      <c r="B22">
        <f>B4</f>
        <v>0.8</v>
      </c>
      <c r="C22">
        <f>B7</f>
        <v>0.75</v>
      </c>
      <c r="D22">
        <f>B10</f>
        <v>0.6</v>
      </c>
    </row>
    <row r="23" spans="2:4">
      <c r="B23">
        <f t="shared" ref="B23:B24" si="0">B5</f>
        <v>0.5</v>
      </c>
      <c r="C23">
        <f t="shared" ref="C23:C24" si="1">B8</f>
        <v>1</v>
      </c>
      <c r="D23">
        <f t="shared" ref="D23:D24" si="2">B11</f>
        <v>1</v>
      </c>
    </row>
    <row r="24" spans="2:4">
      <c r="B24">
        <f t="shared" si="0"/>
        <v>0.67</v>
      </c>
      <c r="C24">
        <f t="shared" si="1"/>
        <v>1</v>
      </c>
      <c r="D24">
        <f t="shared" si="2"/>
        <v>0.67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349"/>
  <sheetViews>
    <sheetView topLeftCell="A345" workbookViewId="0">
      <selection activeCell="A349" sqref="A340:A349"/>
    </sheetView>
  </sheetViews>
  <sheetFormatPr defaultRowHeight="13.8"/>
  <cols>
    <col min="2" max="2" width="35.6640625" customWidth="1"/>
  </cols>
  <sheetData>
    <row r="1" spans="1:2">
      <c r="A1" s="40" t="s">
        <v>1045</v>
      </c>
    </row>
    <row r="2" spans="1:2">
      <c r="A2" s="41">
        <v>1</v>
      </c>
      <c r="B2" s="42" t="s">
        <v>957</v>
      </c>
    </row>
    <row r="3" spans="1:2">
      <c r="B3" s="44" t="s">
        <v>958</v>
      </c>
    </row>
    <row r="4" spans="1:2">
      <c r="B4" s="45" t="s">
        <v>1015</v>
      </c>
    </row>
    <row r="5" spans="1:2">
      <c r="B5" s="45" t="s">
        <v>1016</v>
      </c>
    </row>
    <row r="6" spans="1:2">
      <c r="B6" s="44" t="s">
        <v>1017</v>
      </c>
    </row>
    <row r="7" spans="1:2">
      <c r="B7" s="45" t="s">
        <v>1018</v>
      </c>
    </row>
    <row r="8" spans="1:2">
      <c r="B8" s="45" t="s">
        <v>959</v>
      </c>
    </row>
    <row r="9" spans="1:2">
      <c r="B9" s="44" t="s">
        <v>960</v>
      </c>
    </row>
    <row r="10" spans="1:2">
      <c r="B10" s="45" t="s">
        <v>961</v>
      </c>
    </row>
    <row r="11" spans="1:2">
      <c r="B11" s="45" t="s">
        <v>992</v>
      </c>
    </row>
    <row r="12" spans="1:2">
      <c r="A12" s="41">
        <v>2</v>
      </c>
      <c r="B12" s="42" t="s">
        <v>993</v>
      </c>
    </row>
    <row r="13" spans="1:2">
      <c r="B13" s="44" t="s">
        <v>962</v>
      </c>
    </row>
    <row r="14" spans="1:2">
      <c r="B14" s="44" t="s">
        <v>963</v>
      </c>
    </row>
    <row r="15" spans="1:2">
      <c r="B15" s="44" t="s">
        <v>964</v>
      </c>
    </row>
    <row r="16" spans="1:2">
      <c r="B16" s="44" t="s">
        <v>965</v>
      </c>
    </row>
    <row r="17" spans="1:2">
      <c r="B17" s="44" t="s">
        <v>966</v>
      </c>
    </row>
    <row r="18" spans="1:2">
      <c r="A18" s="41">
        <v>3</v>
      </c>
      <c r="B18" s="42" t="s">
        <v>994</v>
      </c>
    </row>
    <row r="19" spans="1:2">
      <c r="B19" s="44" t="s">
        <v>967</v>
      </c>
    </row>
    <row r="20" spans="1:2">
      <c r="B20" s="44" t="s">
        <v>1019</v>
      </c>
    </row>
    <row r="21" spans="1:2">
      <c r="B21" s="44" t="s">
        <v>968</v>
      </c>
    </row>
    <row r="22" spans="1:2">
      <c r="B22" s="44" t="s">
        <v>969</v>
      </c>
    </row>
    <row r="23" spans="1:2">
      <c r="B23" s="44" t="s">
        <v>970</v>
      </c>
    </row>
    <row r="24" spans="1:2">
      <c r="A24" s="41">
        <v>4</v>
      </c>
      <c r="B24" s="42" t="s">
        <v>1020</v>
      </c>
    </row>
    <row r="25" spans="1:2">
      <c r="B25" s="44" t="s">
        <v>971</v>
      </c>
    </row>
    <row r="26" spans="1:2">
      <c r="B26" s="44" t="s">
        <v>966</v>
      </c>
    </row>
    <row r="27" spans="1:2">
      <c r="A27" s="41">
        <v>5</v>
      </c>
      <c r="B27" s="42" t="s">
        <v>1021</v>
      </c>
    </row>
    <row r="28" spans="1:2">
      <c r="B28" s="44" t="s">
        <v>972</v>
      </c>
    </row>
    <row r="29" spans="1:2">
      <c r="B29" s="44" t="s">
        <v>973</v>
      </c>
    </row>
    <row r="30" spans="1:2">
      <c r="B30" s="44" t="s">
        <v>1022</v>
      </c>
    </row>
    <row r="31" spans="1:2">
      <c r="A31" s="41">
        <v>6</v>
      </c>
      <c r="B31" s="42" t="s">
        <v>1277</v>
      </c>
    </row>
    <row r="32" spans="1:2">
      <c r="B32" s="44" t="s">
        <v>974</v>
      </c>
    </row>
    <row r="33" spans="1:2">
      <c r="B33" s="44" t="s">
        <v>1023</v>
      </c>
    </row>
    <row r="34" spans="1:2">
      <c r="A34" s="41">
        <v>7</v>
      </c>
      <c r="B34" s="42" t="s">
        <v>975</v>
      </c>
    </row>
    <row r="35" spans="1:2">
      <c r="B35" s="44" t="s">
        <v>976</v>
      </c>
    </row>
    <row r="36" spans="1:2">
      <c r="B36" s="44" t="s">
        <v>977</v>
      </c>
    </row>
    <row r="37" spans="1:2">
      <c r="B37" s="44" t="s">
        <v>978</v>
      </c>
    </row>
    <row r="38" spans="1:2">
      <c r="B38" s="44" t="s">
        <v>979</v>
      </c>
    </row>
    <row r="39" spans="1:2">
      <c r="B39" s="44" t="s">
        <v>980</v>
      </c>
    </row>
    <row r="40" spans="1:2">
      <c r="B40" s="45" t="s">
        <v>1024</v>
      </c>
    </row>
    <row r="41" spans="1:2">
      <c r="A41" s="41">
        <v>8</v>
      </c>
      <c r="B41" s="42" t="s">
        <v>981</v>
      </c>
    </row>
    <row r="42" spans="1:2">
      <c r="B42" s="44" t="s">
        <v>982</v>
      </c>
    </row>
    <row r="43" spans="1:2">
      <c r="B43" s="44" t="s">
        <v>983</v>
      </c>
    </row>
    <row r="44" spans="1:2">
      <c r="B44" s="44" t="s">
        <v>984</v>
      </c>
    </row>
    <row r="45" spans="1:2">
      <c r="A45" s="41">
        <v>9</v>
      </c>
      <c r="B45" s="42" t="s">
        <v>985</v>
      </c>
    </row>
    <row r="46" spans="1:2">
      <c r="B46" s="44" t="s">
        <v>986</v>
      </c>
    </row>
    <row r="47" spans="1:2">
      <c r="B47" s="44" t="s">
        <v>987</v>
      </c>
    </row>
    <row r="48" spans="1:2">
      <c r="B48" s="44" t="s">
        <v>988</v>
      </c>
    </row>
    <row r="49" spans="1:2">
      <c r="B49" s="44" t="s">
        <v>989</v>
      </c>
    </row>
    <row r="50" spans="1:2">
      <c r="B50" s="44" t="s">
        <v>1025</v>
      </c>
    </row>
    <row r="51" spans="1:2">
      <c r="A51" s="41">
        <v>10</v>
      </c>
      <c r="B51" s="42" t="s">
        <v>1103</v>
      </c>
    </row>
    <row r="52" spans="1:2">
      <c r="B52" s="44" t="s">
        <v>1104</v>
      </c>
    </row>
    <row r="53" spans="1:2">
      <c r="B53" s="44" t="s">
        <v>990</v>
      </c>
    </row>
    <row r="54" spans="1:2">
      <c r="B54" s="44" t="s">
        <v>991</v>
      </c>
    </row>
    <row r="55" spans="1:2">
      <c r="A55" s="40" t="s">
        <v>1044</v>
      </c>
    </row>
    <row r="56" spans="1:2">
      <c r="A56" s="41">
        <v>1</v>
      </c>
      <c r="B56" s="42" t="s">
        <v>995</v>
      </c>
    </row>
    <row r="57" spans="1:2">
      <c r="B57" s="44" t="s">
        <v>1026</v>
      </c>
    </row>
    <row r="58" spans="1:2">
      <c r="B58" s="44" t="s">
        <v>996</v>
      </c>
    </row>
    <row r="59" spans="1:2">
      <c r="B59" s="44" t="s">
        <v>997</v>
      </c>
    </row>
    <row r="60" spans="1:2">
      <c r="A60" s="41">
        <v>2</v>
      </c>
      <c r="B60" s="42" t="s">
        <v>998</v>
      </c>
    </row>
    <row r="61" spans="1:2">
      <c r="B61" s="44" t="s">
        <v>999</v>
      </c>
    </row>
    <row r="62" spans="1:2">
      <c r="B62" s="44" t="s">
        <v>1027</v>
      </c>
    </row>
    <row r="63" spans="1:2">
      <c r="A63" s="41">
        <v>3</v>
      </c>
      <c r="B63" s="42" t="s">
        <v>1000</v>
      </c>
    </row>
    <row r="64" spans="1:2">
      <c r="B64" s="44" t="s">
        <v>1028</v>
      </c>
    </row>
    <row r="65" spans="1:2">
      <c r="B65" s="44" t="s">
        <v>1029</v>
      </c>
    </row>
    <row r="66" spans="1:2">
      <c r="B66" s="44" t="s">
        <v>1001</v>
      </c>
    </row>
    <row r="67" spans="1:2">
      <c r="B67" s="44" t="s">
        <v>1030</v>
      </c>
    </row>
    <row r="68" spans="1:2">
      <c r="B68" s="44" t="s">
        <v>1002</v>
      </c>
    </row>
    <row r="69" spans="1:2">
      <c r="B69" s="44" t="s">
        <v>1031</v>
      </c>
    </row>
    <row r="70" spans="1:2">
      <c r="A70" s="41">
        <v>4</v>
      </c>
      <c r="B70" s="42" t="s">
        <v>1003</v>
      </c>
    </row>
    <row r="71" spans="1:2">
      <c r="B71" s="44" t="s">
        <v>1032</v>
      </c>
    </row>
    <row r="72" spans="1:2">
      <c r="B72" s="44" t="s">
        <v>1004</v>
      </c>
    </row>
    <row r="73" spans="1:2">
      <c r="A73" s="41">
        <v>5</v>
      </c>
      <c r="B73" s="42" t="s">
        <v>1033</v>
      </c>
    </row>
    <row r="74" spans="1:2">
      <c r="B74" s="44" t="s">
        <v>1034</v>
      </c>
    </row>
    <row r="75" spans="1:2">
      <c r="B75" s="44" t="s">
        <v>1035</v>
      </c>
    </row>
    <row r="76" spans="1:2">
      <c r="A76" s="41">
        <v>6</v>
      </c>
      <c r="B76" s="42" t="s">
        <v>1005</v>
      </c>
    </row>
    <row r="77" spans="1:2">
      <c r="B77" s="44" t="s">
        <v>1006</v>
      </c>
    </row>
    <row r="78" spans="1:2">
      <c r="B78" s="44" t="s">
        <v>1007</v>
      </c>
    </row>
    <row r="79" spans="1:2">
      <c r="A79" s="41">
        <v>7</v>
      </c>
      <c r="B79" s="42" t="s">
        <v>1036</v>
      </c>
    </row>
    <row r="80" spans="1:2">
      <c r="B80" s="44" t="s">
        <v>1008</v>
      </c>
    </row>
    <row r="81" spans="1:8">
      <c r="B81" s="44" t="s">
        <v>1037</v>
      </c>
    </row>
    <row r="82" spans="1:8">
      <c r="A82" s="41">
        <v>8</v>
      </c>
      <c r="B82" s="42" t="s">
        <v>1038</v>
      </c>
    </row>
    <row r="83" spans="1:8">
      <c r="B83" s="44" t="s">
        <v>1039</v>
      </c>
    </row>
    <row r="84" spans="1:8">
      <c r="B84" s="44" t="s">
        <v>1009</v>
      </c>
    </row>
    <row r="85" spans="1:8">
      <c r="B85" s="44" t="s">
        <v>1010</v>
      </c>
    </row>
    <row r="86" spans="1:8">
      <c r="B86" s="44" t="s">
        <v>1040</v>
      </c>
    </row>
    <row r="87" spans="1:8">
      <c r="B87" s="44" t="s">
        <v>1011</v>
      </c>
    </row>
    <row r="88" spans="1:8">
      <c r="A88" s="41">
        <v>9</v>
      </c>
      <c r="B88" s="42" t="s">
        <v>1041</v>
      </c>
    </row>
    <row r="89" spans="1:8">
      <c r="B89" s="44" t="s">
        <v>1042</v>
      </c>
    </row>
    <row r="90" spans="1:8">
      <c r="B90" s="44" t="s">
        <v>1012</v>
      </c>
    </row>
    <row r="91" spans="1:8">
      <c r="A91" s="41">
        <v>10</v>
      </c>
      <c r="B91" s="42" t="s">
        <v>1043</v>
      </c>
    </row>
    <row r="92" spans="1:8">
      <c r="B92" s="44" t="s">
        <v>1013</v>
      </c>
    </row>
    <row r="93" spans="1:8">
      <c r="B93" s="44" t="s">
        <v>1014</v>
      </c>
    </row>
    <row r="94" spans="1:8">
      <c r="A94" s="40" t="s">
        <v>1046</v>
      </c>
    </row>
    <row r="95" spans="1:8">
      <c r="A95" s="41">
        <v>1</v>
      </c>
      <c r="B95" s="41" t="s">
        <v>1103</v>
      </c>
      <c r="D95" s="41" t="s">
        <v>1047</v>
      </c>
      <c r="H95" s="42" t="s">
        <v>1048</v>
      </c>
    </row>
    <row r="96" spans="1:8">
      <c r="B96" s="43" t="s">
        <v>1049</v>
      </c>
      <c r="D96" s="43">
        <v>1.1000000000000001</v>
      </c>
    </row>
    <row r="97" spans="1:4">
      <c r="B97" s="43" t="s">
        <v>1050</v>
      </c>
      <c r="D97" s="43">
        <v>1.2</v>
      </c>
    </row>
    <row r="98" spans="1:4">
      <c r="B98" s="43" t="s">
        <v>1051</v>
      </c>
      <c r="D98" s="43">
        <v>1.3</v>
      </c>
    </row>
    <row r="99" spans="1:4">
      <c r="B99" s="43" t="s">
        <v>1052</v>
      </c>
      <c r="D99" s="43">
        <v>1.4</v>
      </c>
    </row>
    <row r="100" spans="1:4">
      <c r="A100" s="41">
        <v>2</v>
      </c>
      <c r="B100" s="41" t="s">
        <v>1054</v>
      </c>
      <c r="D100" s="41" t="s">
        <v>1053</v>
      </c>
    </row>
    <row r="101" spans="1:4">
      <c r="A101" s="41">
        <v>3</v>
      </c>
      <c r="B101" s="41" t="s">
        <v>1056</v>
      </c>
      <c r="D101" s="41" t="s">
        <v>1055</v>
      </c>
    </row>
    <row r="102" spans="1:4">
      <c r="B102" s="43" t="s">
        <v>1057</v>
      </c>
      <c r="D102" s="43">
        <v>3.1</v>
      </c>
    </row>
    <row r="103" spans="1:4">
      <c r="B103" s="43" t="s">
        <v>1058</v>
      </c>
      <c r="D103" s="43">
        <v>3.2</v>
      </c>
    </row>
    <row r="104" spans="1:4">
      <c r="B104" s="43" t="s">
        <v>1059</v>
      </c>
      <c r="D104" s="43">
        <v>3.3</v>
      </c>
    </row>
    <row r="105" spans="1:4">
      <c r="B105" s="43" t="s">
        <v>1060</v>
      </c>
      <c r="D105" s="43">
        <v>3.4</v>
      </c>
    </row>
    <row r="106" spans="1:4">
      <c r="A106" s="41">
        <v>4</v>
      </c>
      <c r="B106" s="41" t="s">
        <v>1062</v>
      </c>
      <c r="D106" s="41" t="s">
        <v>1061</v>
      </c>
    </row>
    <row r="107" spans="1:4">
      <c r="B107" s="43" t="s">
        <v>1063</v>
      </c>
      <c r="D107" s="43">
        <v>4.0999999999999996</v>
      </c>
    </row>
    <row r="108" spans="1:4">
      <c r="B108" s="43" t="s">
        <v>1064</v>
      </c>
      <c r="D108" s="43">
        <v>4.2</v>
      </c>
    </row>
    <row r="109" spans="1:4">
      <c r="B109" s="43" t="s">
        <v>1065</v>
      </c>
      <c r="D109" s="43">
        <v>4.3</v>
      </c>
    </row>
    <row r="110" spans="1:4">
      <c r="B110" s="43" t="s">
        <v>1066</v>
      </c>
      <c r="D110" s="43">
        <v>4.4000000000000004</v>
      </c>
    </row>
    <row r="111" spans="1:4">
      <c r="B111" s="43" t="s">
        <v>1067</v>
      </c>
      <c r="D111" s="43">
        <v>4.5</v>
      </c>
    </row>
    <row r="112" spans="1:4">
      <c r="A112" s="41">
        <v>5</v>
      </c>
      <c r="B112" s="41" t="s">
        <v>1069</v>
      </c>
      <c r="D112" s="41" t="s">
        <v>1068</v>
      </c>
    </row>
    <row r="113" spans="1:9">
      <c r="B113" s="43" t="s">
        <v>1070</v>
      </c>
      <c r="D113" s="43">
        <v>5.0999999999999996</v>
      </c>
    </row>
    <row r="114" spans="1:9">
      <c r="B114" s="43" t="s">
        <v>1071</v>
      </c>
      <c r="D114" s="43">
        <v>5.2</v>
      </c>
    </row>
    <row r="115" spans="1:9">
      <c r="A115" s="41">
        <v>6</v>
      </c>
      <c r="B115" s="41" t="s">
        <v>1073</v>
      </c>
      <c r="D115" s="41" t="s">
        <v>1072</v>
      </c>
    </row>
    <row r="116" spans="1:9">
      <c r="B116" s="43" t="s">
        <v>1074</v>
      </c>
      <c r="D116" s="43">
        <v>6.1</v>
      </c>
    </row>
    <row r="117" spans="1:9">
      <c r="B117" s="43" t="s">
        <v>1075</v>
      </c>
      <c r="D117" s="43">
        <v>6.2</v>
      </c>
    </row>
    <row r="118" spans="1:9">
      <c r="B118" s="43" t="s">
        <v>1076</v>
      </c>
      <c r="D118" s="43">
        <v>6.3</v>
      </c>
    </row>
    <row r="119" spans="1:9">
      <c r="B119" s="43" t="s">
        <v>1077</v>
      </c>
      <c r="D119" s="43">
        <v>6.4</v>
      </c>
    </row>
    <row r="120" spans="1:9">
      <c r="B120" s="43" t="s">
        <v>1078</v>
      </c>
      <c r="D120" s="43">
        <v>6.5</v>
      </c>
    </row>
    <row r="121" spans="1:9">
      <c r="A121" s="41">
        <v>7</v>
      </c>
      <c r="B121" s="41" t="s">
        <v>1080</v>
      </c>
      <c r="D121" s="41" t="s">
        <v>1079</v>
      </c>
    </row>
    <row r="122" spans="1:9">
      <c r="B122" s="43" t="s">
        <v>1081</v>
      </c>
      <c r="D122" s="43">
        <v>7.1</v>
      </c>
    </row>
    <row r="123" spans="1:9">
      <c r="B123" s="43" t="s">
        <v>1082</v>
      </c>
      <c r="D123" s="43">
        <v>7.2</v>
      </c>
    </row>
    <row r="124" spans="1:9">
      <c r="B124" s="43" t="s">
        <v>1083</v>
      </c>
      <c r="D124" s="43">
        <v>7.3</v>
      </c>
    </row>
    <row r="125" spans="1:9">
      <c r="B125" s="43" t="s">
        <v>1084</v>
      </c>
      <c r="D125" s="43">
        <v>7.4</v>
      </c>
    </row>
    <row r="126" spans="1:9">
      <c r="B126" s="43" t="s">
        <v>1085</v>
      </c>
      <c r="D126" s="43">
        <v>7.5</v>
      </c>
    </row>
    <row r="127" spans="1:9">
      <c r="A127" s="41">
        <v>8</v>
      </c>
      <c r="B127" s="41" t="s">
        <v>1106</v>
      </c>
      <c r="D127" s="41" t="s">
        <v>1086</v>
      </c>
      <c r="I127" s="41" t="s">
        <v>1087</v>
      </c>
    </row>
    <row r="128" spans="1:9">
      <c r="B128" s="43" t="s">
        <v>1088</v>
      </c>
      <c r="D128" s="43">
        <v>8.1</v>
      </c>
    </row>
    <row r="129" spans="1:20">
      <c r="B129" s="43" t="s">
        <v>1089</v>
      </c>
      <c r="D129" s="43">
        <v>8.1999999999999993</v>
      </c>
    </row>
    <row r="130" spans="1:20">
      <c r="B130" s="43" t="s">
        <v>1090</v>
      </c>
      <c r="D130" s="43">
        <v>8.3000000000000007</v>
      </c>
    </row>
    <row r="131" spans="1:20">
      <c r="A131" s="41">
        <v>9</v>
      </c>
      <c r="B131" s="41" t="s">
        <v>1092</v>
      </c>
      <c r="D131" s="41" t="s">
        <v>1091</v>
      </c>
    </row>
    <row r="132" spans="1:20">
      <c r="B132" s="43" t="s">
        <v>1093</v>
      </c>
      <c r="D132" s="43">
        <v>9.1</v>
      </c>
    </row>
    <row r="133" spans="1:20">
      <c r="B133" s="43" t="s">
        <v>1094</v>
      </c>
      <c r="D133" s="43">
        <v>9.1999999999999993</v>
      </c>
    </row>
    <row r="134" spans="1:20">
      <c r="A134" s="41">
        <v>10</v>
      </c>
      <c r="B134" s="41" t="s">
        <v>1096</v>
      </c>
      <c r="D134" s="41" t="s">
        <v>1095</v>
      </c>
    </row>
    <row r="135" spans="1:20">
      <c r="B135" s="43" t="s">
        <v>1097</v>
      </c>
      <c r="D135" s="43">
        <v>10.1</v>
      </c>
    </row>
    <row r="136" spans="1:20">
      <c r="B136" s="43" t="s">
        <v>1098</v>
      </c>
      <c r="D136" s="43">
        <v>10.199999999999999</v>
      </c>
    </row>
    <row r="137" spans="1:20">
      <c r="B137" s="43" t="s">
        <v>1099</v>
      </c>
      <c r="D137" s="43">
        <v>10.3</v>
      </c>
    </row>
    <row r="138" spans="1:20">
      <c r="B138" s="43" t="s">
        <v>1100</v>
      </c>
      <c r="D138" s="43">
        <v>10.4</v>
      </c>
    </row>
    <row r="139" spans="1:20">
      <c r="B139" s="43" t="s">
        <v>1101</v>
      </c>
      <c r="D139" s="43">
        <v>10.5</v>
      </c>
    </row>
    <row r="142" spans="1:20">
      <c r="A142" s="40" t="s">
        <v>1107</v>
      </c>
      <c r="B142" s="40" t="s">
        <v>1108</v>
      </c>
      <c r="C142" s="40" t="s">
        <v>1431</v>
      </c>
      <c r="D142" s="40" t="s">
        <v>1432</v>
      </c>
      <c r="E142" s="40" t="s">
        <v>1463</v>
      </c>
      <c r="F142" s="50" t="s">
        <v>1166</v>
      </c>
      <c r="G142" s="50" t="s">
        <v>1167</v>
      </c>
      <c r="H142" s="50" t="s">
        <v>1181</v>
      </c>
      <c r="J142" s="40" t="s">
        <v>1135</v>
      </c>
      <c r="K142" s="40" t="s">
        <v>1177</v>
      </c>
      <c r="L142" s="40" t="s">
        <v>1164</v>
      </c>
      <c r="M142" s="40" t="s">
        <v>1165</v>
      </c>
      <c r="N142" s="40" t="s">
        <v>1464</v>
      </c>
      <c r="O142" s="40" t="s">
        <v>1179</v>
      </c>
      <c r="P142" s="40" t="s">
        <v>1178</v>
      </c>
      <c r="S142" s="40"/>
      <c r="T142" s="40"/>
    </row>
    <row r="143" spans="1:20">
      <c r="A143" s="40" t="s">
        <v>1137</v>
      </c>
      <c r="B143" t="s">
        <v>1109</v>
      </c>
      <c r="C143" s="40">
        <v>4</v>
      </c>
      <c r="D143" s="40">
        <v>4</v>
      </c>
      <c r="E143">
        <v>4</v>
      </c>
      <c r="F143" s="50">
        <v>5</v>
      </c>
      <c r="G143" s="50" t="s">
        <v>1172</v>
      </c>
      <c r="H143" s="50">
        <v>6</v>
      </c>
      <c r="J143" t="s">
        <v>1136</v>
      </c>
      <c r="K143" t="s">
        <v>1109</v>
      </c>
      <c r="L143">
        <f>C143</f>
        <v>4</v>
      </c>
      <c r="M143">
        <f>D143</f>
        <v>4</v>
      </c>
      <c r="N143">
        <f>E143</f>
        <v>4</v>
      </c>
      <c r="O143" s="22">
        <v>1</v>
      </c>
      <c r="P143" s="40">
        <f t="shared" ref="P143:P169" si="0">RANK(O143,$O$143:$O$169)</f>
        <v>1</v>
      </c>
      <c r="S143" s="40"/>
      <c r="T143" s="40"/>
    </row>
    <row r="144" spans="1:20">
      <c r="A144" s="40" t="s">
        <v>1138</v>
      </c>
      <c r="B144" t="s">
        <v>1110</v>
      </c>
      <c r="C144" s="40">
        <v>4</v>
      </c>
      <c r="D144" s="40">
        <v>4</v>
      </c>
      <c r="E144">
        <v>3</v>
      </c>
      <c r="F144" s="50">
        <v>5</v>
      </c>
      <c r="G144" s="50" t="s">
        <v>1173</v>
      </c>
      <c r="H144" s="50">
        <v>7</v>
      </c>
      <c r="J144" t="s">
        <v>1138</v>
      </c>
      <c r="K144" t="s">
        <v>1110</v>
      </c>
      <c r="L144">
        <f t="shared" ref="L144:L169" si="1">C144</f>
        <v>4</v>
      </c>
      <c r="M144">
        <f t="shared" ref="M144:M169" si="2">D144</f>
        <v>4</v>
      </c>
      <c r="N144">
        <f t="shared" ref="N144:N169" si="3">E144</f>
        <v>3</v>
      </c>
      <c r="O144" s="22">
        <v>0.75</v>
      </c>
      <c r="P144" s="40">
        <f t="shared" si="0"/>
        <v>6</v>
      </c>
      <c r="S144" s="40"/>
      <c r="T144" s="40"/>
    </row>
    <row r="145" spans="1:20">
      <c r="A145" s="40" t="s">
        <v>1139</v>
      </c>
      <c r="B145" t="s">
        <v>1111</v>
      </c>
      <c r="C145" s="40">
        <v>3</v>
      </c>
      <c r="D145" s="40">
        <v>3</v>
      </c>
      <c r="E145">
        <v>3</v>
      </c>
      <c r="F145" s="50"/>
      <c r="G145" s="50"/>
      <c r="H145" s="50"/>
      <c r="J145" t="s">
        <v>1139</v>
      </c>
      <c r="K145" t="s">
        <v>1111</v>
      </c>
      <c r="L145">
        <f t="shared" si="1"/>
        <v>3</v>
      </c>
      <c r="M145">
        <f t="shared" si="2"/>
        <v>3</v>
      </c>
      <c r="N145">
        <f t="shared" si="3"/>
        <v>3</v>
      </c>
      <c r="O145" s="22">
        <v>0.41666666666666669</v>
      </c>
      <c r="P145" s="40">
        <f t="shared" si="0"/>
        <v>12</v>
      </c>
      <c r="S145" s="40"/>
      <c r="T145" s="40"/>
    </row>
    <row r="146" spans="1:20">
      <c r="A146" s="40" t="s">
        <v>1140</v>
      </c>
      <c r="B146" t="s">
        <v>1112</v>
      </c>
      <c r="C146" s="40">
        <v>3</v>
      </c>
      <c r="D146" s="40">
        <v>3</v>
      </c>
      <c r="E146">
        <v>3</v>
      </c>
      <c r="F146" s="50"/>
      <c r="G146" s="50"/>
      <c r="H146" s="50"/>
      <c r="J146" t="s">
        <v>1140</v>
      </c>
      <c r="K146" t="s">
        <v>1112</v>
      </c>
      <c r="L146">
        <f t="shared" si="1"/>
        <v>3</v>
      </c>
      <c r="M146">
        <f t="shared" si="2"/>
        <v>3</v>
      </c>
      <c r="N146">
        <f t="shared" si="3"/>
        <v>3</v>
      </c>
      <c r="O146" s="22">
        <v>0.41666666666666669</v>
      </c>
      <c r="P146" s="40">
        <f t="shared" si="0"/>
        <v>12</v>
      </c>
      <c r="S146" s="40"/>
      <c r="T146" s="40"/>
    </row>
    <row r="147" spans="1:20">
      <c r="A147" s="40" t="s">
        <v>1141</v>
      </c>
      <c r="B147" t="s">
        <v>1113</v>
      </c>
      <c r="C147" s="40">
        <v>3</v>
      </c>
      <c r="D147" s="40">
        <v>3</v>
      </c>
      <c r="E147">
        <v>2</v>
      </c>
      <c r="F147" s="50"/>
      <c r="G147" s="50"/>
      <c r="H147" s="50"/>
      <c r="J147" t="s">
        <v>1141</v>
      </c>
      <c r="K147" t="s">
        <v>1113</v>
      </c>
      <c r="L147">
        <f t="shared" si="1"/>
        <v>3</v>
      </c>
      <c r="M147">
        <f t="shared" si="2"/>
        <v>3</v>
      </c>
      <c r="N147">
        <f t="shared" si="3"/>
        <v>2</v>
      </c>
      <c r="O147" s="22">
        <v>0.31451985913875652</v>
      </c>
      <c r="P147" s="40">
        <f t="shared" si="0"/>
        <v>24</v>
      </c>
      <c r="S147" s="40"/>
      <c r="T147" s="40"/>
    </row>
    <row r="148" spans="1:20">
      <c r="A148" s="40" t="s">
        <v>1142</v>
      </c>
      <c r="B148" t="s">
        <v>1114</v>
      </c>
      <c r="C148" s="40">
        <v>4</v>
      </c>
      <c r="D148" s="40">
        <v>4</v>
      </c>
      <c r="E148">
        <v>4</v>
      </c>
      <c r="F148" s="50">
        <v>5</v>
      </c>
      <c r="G148" s="50" t="s">
        <v>1169</v>
      </c>
      <c r="H148" s="50">
        <v>2</v>
      </c>
      <c r="J148" t="s">
        <v>1142</v>
      </c>
      <c r="K148" t="s">
        <v>1114</v>
      </c>
      <c r="L148">
        <f t="shared" si="1"/>
        <v>4</v>
      </c>
      <c r="M148">
        <f t="shared" si="2"/>
        <v>4</v>
      </c>
      <c r="N148">
        <f t="shared" si="3"/>
        <v>4</v>
      </c>
      <c r="O148" s="22">
        <v>1</v>
      </c>
      <c r="P148" s="40">
        <f t="shared" si="0"/>
        <v>1</v>
      </c>
      <c r="S148" s="40"/>
      <c r="T148" s="40"/>
    </row>
    <row r="149" spans="1:20">
      <c r="A149" s="40" t="s">
        <v>1143</v>
      </c>
      <c r="B149" t="s">
        <v>1115</v>
      </c>
      <c r="C149" s="40">
        <v>3</v>
      </c>
      <c r="D149" s="40">
        <v>3</v>
      </c>
      <c r="E149">
        <v>3</v>
      </c>
      <c r="F149" s="50"/>
      <c r="G149" s="50"/>
      <c r="H149" s="50"/>
      <c r="J149" t="s">
        <v>1143</v>
      </c>
      <c r="K149" t="s">
        <v>1115</v>
      </c>
      <c r="L149">
        <f t="shared" si="1"/>
        <v>3</v>
      </c>
      <c r="M149">
        <f t="shared" si="2"/>
        <v>3</v>
      </c>
      <c r="N149">
        <f t="shared" si="3"/>
        <v>3</v>
      </c>
      <c r="O149" s="22">
        <v>0.41666666666666669</v>
      </c>
      <c r="P149" s="40">
        <f t="shared" si="0"/>
        <v>12</v>
      </c>
      <c r="S149" s="40"/>
      <c r="T149" s="40"/>
    </row>
    <row r="150" spans="1:20">
      <c r="A150" s="40" t="s">
        <v>1144</v>
      </c>
      <c r="B150" t="s">
        <v>1116</v>
      </c>
      <c r="C150" s="40">
        <v>3</v>
      </c>
      <c r="D150" s="40">
        <v>3</v>
      </c>
      <c r="E150">
        <v>3</v>
      </c>
      <c r="F150" s="50"/>
      <c r="G150" s="50"/>
      <c r="H150" s="50"/>
      <c r="J150" t="s">
        <v>1144</v>
      </c>
      <c r="K150" t="s">
        <v>1116</v>
      </c>
      <c r="L150">
        <f t="shared" si="1"/>
        <v>3</v>
      </c>
      <c r="M150">
        <f t="shared" si="2"/>
        <v>3</v>
      </c>
      <c r="N150">
        <f t="shared" si="3"/>
        <v>3</v>
      </c>
      <c r="O150" s="22">
        <v>0.41666666666666669</v>
      </c>
      <c r="P150" s="40">
        <f t="shared" si="0"/>
        <v>12</v>
      </c>
      <c r="S150" s="40"/>
      <c r="T150" s="40"/>
    </row>
    <row r="151" spans="1:20">
      <c r="A151" s="40" t="s">
        <v>1145</v>
      </c>
      <c r="B151" t="s">
        <v>1117</v>
      </c>
      <c r="C151" s="40">
        <v>3</v>
      </c>
      <c r="D151" s="40">
        <v>3</v>
      </c>
      <c r="E151">
        <v>4</v>
      </c>
      <c r="F151" s="50"/>
      <c r="G151" s="50"/>
      <c r="H151" s="50"/>
      <c r="J151" t="s">
        <v>1145</v>
      </c>
      <c r="K151" t="s">
        <v>1117</v>
      </c>
      <c r="L151">
        <f t="shared" si="1"/>
        <v>3</v>
      </c>
      <c r="M151">
        <f t="shared" si="2"/>
        <v>3</v>
      </c>
      <c r="N151">
        <f t="shared" si="3"/>
        <v>4</v>
      </c>
      <c r="O151" s="22">
        <v>0.53274858300287342</v>
      </c>
      <c r="P151" s="40">
        <f t="shared" si="0"/>
        <v>11</v>
      </c>
      <c r="S151" s="40"/>
      <c r="T151" s="40"/>
    </row>
    <row r="152" spans="1:20">
      <c r="A152" s="40" t="s">
        <v>1146</v>
      </c>
      <c r="B152" t="s">
        <v>1118</v>
      </c>
      <c r="C152" s="40">
        <v>3</v>
      </c>
      <c r="D152" s="40">
        <v>3</v>
      </c>
      <c r="E152">
        <v>3</v>
      </c>
      <c r="F152" s="50"/>
      <c r="G152" s="50"/>
      <c r="H152" s="50"/>
      <c r="J152" t="s">
        <v>1146</v>
      </c>
      <c r="K152" t="s">
        <v>1118</v>
      </c>
      <c r="L152">
        <f t="shared" si="1"/>
        <v>3</v>
      </c>
      <c r="M152">
        <f t="shared" si="2"/>
        <v>3</v>
      </c>
      <c r="N152">
        <f t="shared" si="3"/>
        <v>3</v>
      </c>
      <c r="O152" s="22">
        <v>0.41666666666666669</v>
      </c>
      <c r="P152" s="40">
        <f t="shared" si="0"/>
        <v>12</v>
      </c>
      <c r="S152" s="40"/>
      <c r="T152" s="40"/>
    </row>
    <row r="153" spans="1:20">
      <c r="A153" s="40" t="s">
        <v>1147</v>
      </c>
      <c r="B153" t="s">
        <v>1119</v>
      </c>
      <c r="C153" s="40">
        <v>3</v>
      </c>
      <c r="D153" s="40">
        <v>3</v>
      </c>
      <c r="E153">
        <v>3</v>
      </c>
      <c r="F153" s="50"/>
      <c r="G153" s="50"/>
      <c r="H153" s="50"/>
      <c r="J153" t="s">
        <v>1147</v>
      </c>
      <c r="K153" t="s">
        <v>1119</v>
      </c>
      <c r="L153">
        <f t="shared" si="1"/>
        <v>3</v>
      </c>
      <c r="M153">
        <f t="shared" si="2"/>
        <v>3</v>
      </c>
      <c r="N153">
        <f t="shared" si="3"/>
        <v>3</v>
      </c>
      <c r="O153" s="22">
        <v>0.41666666666666669</v>
      </c>
      <c r="P153" s="40">
        <f t="shared" si="0"/>
        <v>12</v>
      </c>
      <c r="S153" s="40"/>
      <c r="T153" s="40"/>
    </row>
    <row r="154" spans="1:20">
      <c r="A154" s="40" t="s">
        <v>1148</v>
      </c>
      <c r="B154" t="s">
        <v>1120</v>
      </c>
      <c r="C154" s="40">
        <v>4</v>
      </c>
      <c r="D154" s="40">
        <v>4</v>
      </c>
      <c r="E154">
        <v>4</v>
      </c>
      <c r="F154" s="50">
        <v>5</v>
      </c>
      <c r="G154" s="50" t="s">
        <v>1176</v>
      </c>
      <c r="H154" s="50">
        <v>5</v>
      </c>
      <c r="J154" t="s">
        <v>1148</v>
      </c>
      <c r="K154" t="s">
        <v>1120</v>
      </c>
      <c r="L154">
        <f t="shared" si="1"/>
        <v>4</v>
      </c>
      <c r="M154">
        <f t="shared" si="2"/>
        <v>4</v>
      </c>
      <c r="N154">
        <f t="shared" si="3"/>
        <v>4</v>
      </c>
      <c r="O154" s="22">
        <v>1</v>
      </c>
      <c r="P154" s="40">
        <f t="shared" si="0"/>
        <v>1</v>
      </c>
      <c r="S154" s="40"/>
      <c r="T154" s="40"/>
    </row>
    <row r="155" spans="1:20">
      <c r="A155" s="40" t="s">
        <v>1149</v>
      </c>
      <c r="B155" t="s">
        <v>1121</v>
      </c>
      <c r="C155" s="40">
        <v>3</v>
      </c>
      <c r="D155" s="40">
        <v>3</v>
      </c>
      <c r="E155">
        <v>2</v>
      </c>
      <c r="F155" s="50"/>
      <c r="G155" s="50"/>
      <c r="H155" s="50"/>
      <c r="J155" t="s">
        <v>1149</v>
      </c>
      <c r="K155" t="s">
        <v>1121</v>
      </c>
      <c r="L155">
        <f t="shared" si="1"/>
        <v>3</v>
      </c>
      <c r="M155">
        <f t="shared" si="2"/>
        <v>3</v>
      </c>
      <c r="N155">
        <f t="shared" si="3"/>
        <v>2</v>
      </c>
      <c r="O155" s="22">
        <v>0.31451985913875652</v>
      </c>
      <c r="P155" s="40">
        <f t="shared" si="0"/>
        <v>24</v>
      </c>
      <c r="S155" s="40"/>
      <c r="T155" s="40"/>
    </row>
    <row r="156" spans="1:20">
      <c r="A156" s="40" t="s">
        <v>1150</v>
      </c>
      <c r="B156" t="s">
        <v>1122</v>
      </c>
      <c r="C156" s="40">
        <v>4</v>
      </c>
      <c r="D156" s="40">
        <v>4</v>
      </c>
      <c r="E156">
        <v>3</v>
      </c>
      <c r="F156" s="50">
        <v>5</v>
      </c>
      <c r="G156" s="50" t="s">
        <v>1171</v>
      </c>
      <c r="H156" s="50">
        <v>4</v>
      </c>
      <c r="J156" t="s">
        <v>1150</v>
      </c>
      <c r="K156" t="s">
        <v>1122</v>
      </c>
      <c r="L156">
        <f t="shared" si="1"/>
        <v>4</v>
      </c>
      <c r="M156">
        <f t="shared" si="2"/>
        <v>4</v>
      </c>
      <c r="N156">
        <f t="shared" si="3"/>
        <v>3</v>
      </c>
      <c r="O156" s="22">
        <v>0.75</v>
      </c>
      <c r="P156" s="40">
        <f t="shared" si="0"/>
        <v>6</v>
      </c>
      <c r="S156" s="40"/>
      <c r="T156" s="40"/>
    </row>
    <row r="157" spans="1:20">
      <c r="A157" s="40" t="s">
        <v>1151</v>
      </c>
      <c r="B157" t="s">
        <v>1123</v>
      </c>
      <c r="C157" s="40">
        <v>3</v>
      </c>
      <c r="D157" s="40">
        <v>3</v>
      </c>
      <c r="E157">
        <v>3</v>
      </c>
      <c r="F157" s="50"/>
      <c r="G157" s="50"/>
      <c r="H157" s="50"/>
      <c r="J157" t="s">
        <v>1151</v>
      </c>
      <c r="K157" t="s">
        <v>1123</v>
      </c>
      <c r="L157">
        <f t="shared" si="1"/>
        <v>3</v>
      </c>
      <c r="M157">
        <f t="shared" si="2"/>
        <v>3</v>
      </c>
      <c r="N157">
        <f t="shared" si="3"/>
        <v>3</v>
      </c>
      <c r="O157" s="22">
        <v>0.41666666666666669</v>
      </c>
      <c r="P157" s="40">
        <f t="shared" si="0"/>
        <v>12</v>
      </c>
      <c r="S157" s="40"/>
      <c r="T157" s="40"/>
    </row>
    <row r="158" spans="1:20">
      <c r="A158" s="40" t="s">
        <v>1152</v>
      </c>
      <c r="B158" t="s">
        <v>1124</v>
      </c>
      <c r="C158" s="40">
        <v>2</v>
      </c>
      <c r="D158" s="40">
        <v>3</v>
      </c>
      <c r="E158">
        <v>3</v>
      </c>
      <c r="F158" s="50"/>
      <c r="G158" s="50"/>
      <c r="H158" s="50"/>
      <c r="J158" t="s">
        <v>1152</v>
      </c>
      <c r="K158" t="s">
        <v>1124</v>
      </c>
      <c r="L158">
        <f t="shared" si="1"/>
        <v>2</v>
      </c>
      <c r="M158">
        <f t="shared" si="2"/>
        <v>3</v>
      </c>
      <c r="N158">
        <f t="shared" si="3"/>
        <v>3</v>
      </c>
      <c r="O158" s="22">
        <v>0.31583866001369681</v>
      </c>
      <c r="P158" s="40">
        <f t="shared" si="0"/>
        <v>23</v>
      </c>
      <c r="S158" s="40"/>
      <c r="T158" s="40"/>
    </row>
    <row r="159" spans="1:20">
      <c r="A159" s="40" t="s">
        <v>1153</v>
      </c>
      <c r="B159" t="s">
        <v>1125</v>
      </c>
      <c r="C159" s="40">
        <v>3</v>
      </c>
      <c r="D159" s="40">
        <v>3</v>
      </c>
      <c r="E159">
        <v>3</v>
      </c>
      <c r="F159" s="50"/>
      <c r="G159" s="50"/>
      <c r="H159" s="50"/>
      <c r="J159" t="s">
        <v>1153</v>
      </c>
      <c r="K159" t="s">
        <v>1125</v>
      </c>
      <c r="L159">
        <f t="shared" si="1"/>
        <v>3</v>
      </c>
      <c r="M159">
        <f t="shared" si="2"/>
        <v>3</v>
      </c>
      <c r="N159">
        <f t="shared" si="3"/>
        <v>3</v>
      </c>
      <c r="O159" s="22">
        <v>0.41666666666666669</v>
      </c>
      <c r="P159" s="40">
        <f t="shared" si="0"/>
        <v>12</v>
      </c>
      <c r="S159" s="40"/>
      <c r="T159" s="40"/>
    </row>
    <row r="160" spans="1:20">
      <c r="A160" s="40" t="s">
        <v>1154</v>
      </c>
      <c r="B160" t="s">
        <v>1102</v>
      </c>
      <c r="C160" s="40">
        <v>4</v>
      </c>
      <c r="D160" s="40">
        <v>4</v>
      </c>
      <c r="E160">
        <v>4</v>
      </c>
      <c r="F160" s="50">
        <v>5</v>
      </c>
      <c r="G160" s="50" t="s">
        <v>1180</v>
      </c>
      <c r="H160" s="50">
        <v>1</v>
      </c>
      <c r="J160" t="s">
        <v>1154</v>
      </c>
      <c r="K160" t="s">
        <v>1102</v>
      </c>
      <c r="L160">
        <f t="shared" si="1"/>
        <v>4</v>
      </c>
      <c r="M160">
        <f t="shared" si="2"/>
        <v>4</v>
      </c>
      <c r="N160">
        <f t="shared" si="3"/>
        <v>4</v>
      </c>
      <c r="O160" s="22">
        <v>1</v>
      </c>
      <c r="P160" s="40">
        <f t="shared" si="0"/>
        <v>1</v>
      </c>
      <c r="S160" s="40"/>
      <c r="T160" s="40"/>
    </row>
    <row r="161" spans="1:20">
      <c r="A161" s="40" t="s">
        <v>1155</v>
      </c>
      <c r="B161" t="s">
        <v>1126</v>
      </c>
      <c r="C161" s="40">
        <v>4</v>
      </c>
      <c r="D161" s="40">
        <v>4</v>
      </c>
      <c r="E161">
        <v>3</v>
      </c>
      <c r="F161" s="50">
        <v>5</v>
      </c>
      <c r="G161" s="50" t="s">
        <v>1168</v>
      </c>
      <c r="H161" s="50">
        <v>10</v>
      </c>
      <c r="J161" t="s">
        <v>1155</v>
      </c>
      <c r="K161" t="s">
        <v>1126</v>
      </c>
      <c r="L161">
        <f t="shared" si="1"/>
        <v>4</v>
      </c>
      <c r="M161">
        <f t="shared" si="2"/>
        <v>4</v>
      </c>
      <c r="N161">
        <f t="shared" si="3"/>
        <v>3</v>
      </c>
      <c r="O161" s="22">
        <v>0.75</v>
      </c>
      <c r="P161" s="40">
        <f t="shared" si="0"/>
        <v>6</v>
      </c>
      <c r="S161" s="40"/>
      <c r="T161" s="40"/>
    </row>
    <row r="162" spans="1:20">
      <c r="A162" s="40" t="s">
        <v>1156</v>
      </c>
      <c r="B162" t="s">
        <v>1127</v>
      </c>
      <c r="C162" s="40">
        <v>1</v>
      </c>
      <c r="D162" s="40">
        <v>3</v>
      </c>
      <c r="E162">
        <v>3</v>
      </c>
      <c r="F162" s="50"/>
      <c r="G162" s="50"/>
      <c r="H162" s="50"/>
      <c r="J162" t="s">
        <v>1156</v>
      </c>
      <c r="K162" t="s">
        <v>1127</v>
      </c>
      <c r="L162">
        <f t="shared" si="1"/>
        <v>1</v>
      </c>
      <c r="M162">
        <f t="shared" si="2"/>
        <v>3</v>
      </c>
      <c r="N162">
        <f t="shared" si="3"/>
        <v>3</v>
      </c>
      <c r="O162" s="22">
        <v>0.25</v>
      </c>
      <c r="P162" s="40">
        <f t="shared" si="0"/>
        <v>27</v>
      </c>
      <c r="S162" s="40"/>
      <c r="T162" s="40"/>
    </row>
    <row r="163" spans="1:20">
      <c r="A163" s="40" t="s">
        <v>1157</v>
      </c>
      <c r="B163" t="s">
        <v>1128</v>
      </c>
      <c r="C163" s="40">
        <v>4</v>
      </c>
      <c r="D163" s="40">
        <v>4</v>
      </c>
      <c r="E163">
        <v>3</v>
      </c>
      <c r="F163" s="50">
        <v>5</v>
      </c>
      <c r="G163" s="50" t="s">
        <v>1170</v>
      </c>
      <c r="H163" s="50">
        <v>3</v>
      </c>
      <c r="J163" t="s">
        <v>1157</v>
      </c>
      <c r="K163" t="s">
        <v>1128</v>
      </c>
      <c r="L163">
        <f t="shared" si="1"/>
        <v>4</v>
      </c>
      <c r="M163">
        <f t="shared" si="2"/>
        <v>4</v>
      </c>
      <c r="N163">
        <f t="shared" si="3"/>
        <v>3</v>
      </c>
      <c r="O163" s="22">
        <v>0.75</v>
      </c>
      <c r="P163" s="40">
        <f t="shared" si="0"/>
        <v>6</v>
      </c>
      <c r="S163" s="40"/>
      <c r="T163" s="40"/>
    </row>
    <row r="164" spans="1:20">
      <c r="A164" s="40" t="s">
        <v>1158</v>
      </c>
      <c r="B164" t="s">
        <v>1129</v>
      </c>
      <c r="C164" s="40">
        <v>3</v>
      </c>
      <c r="D164" s="40">
        <v>3</v>
      </c>
      <c r="E164">
        <v>3</v>
      </c>
      <c r="F164" s="50"/>
      <c r="G164" s="50"/>
      <c r="H164" s="50"/>
      <c r="J164" t="s">
        <v>1158</v>
      </c>
      <c r="K164" t="s">
        <v>1129</v>
      </c>
      <c r="L164">
        <f t="shared" si="1"/>
        <v>3</v>
      </c>
      <c r="M164">
        <f t="shared" si="2"/>
        <v>3</v>
      </c>
      <c r="N164">
        <f t="shared" si="3"/>
        <v>3</v>
      </c>
      <c r="O164" s="22">
        <v>0.41666666666666669</v>
      </c>
      <c r="P164" s="40">
        <f t="shared" si="0"/>
        <v>12</v>
      </c>
      <c r="S164" s="40"/>
      <c r="T164" s="40"/>
    </row>
    <row r="165" spans="1:20">
      <c r="A165" s="40" t="s">
        <v>1159</v>
      </c>
      <c r="B165" t="s">
        <v>1130</v>
      </c>
      <c r="C165" s="40">
        <v>3</v>
      </c>
      <c r="D165" s="40">
        <v>3</v>
      </c>
      <c r="E165">
        <v>3</v>
      </c>
      <c r="F165" s="50"/>
      <c r="G165" s="50"/>
      <c r="H165" s="50"/>
      <c r="J165" t="s">
        <v>1159</v>
      </c>
      <c r="K165" t="s">
        <v>1130</v>
      </c>
      <c r="L165">
        <f t="shared" si="1"/>
        <v>3</v>
      </c>
      <c r="M165">
        <f t="shared" si="2"/>
        <v>3</v>
      </c>
      <c r="N165">
        <f t="shared" si="3"/>
        <v>3</v>
      </c>
      <c r="O165" s="22">
        <v>0.41666666666666669</v>
      </c>
      <c r="P165" s="40">
        <f t="shared" si="0"/>
        <v>12</v>
      </c>
      <c r="S165" s="40"/>
      <c r="T165" s="40"/>
    </row>
    <row r="166" spans="1:20">
      <c r="A166" s="40" t="s">
        <v>1160</v>
      </c>
      <c r="B166" t="s">
        <v>1131</v>
      </c>
      <c r="C166" s="40">
        <v>3</v>
      </c>
      <c r="D166" s="40">
        <v>3</v>
      </c>
      <c r="E166">
        <v>3</v>
      </c>
      <c r="F166" s="50"/>
      <c r="G166" s="50"/>
      <c r="H166" s="50"/>
      <c r="J166" t="s">
        <v>1160</v>
      </c>
      <c r="K166" t="s">
        <v>1131</v>
      </c>
      <c r="L166">
        <f t="shared" si="1"/>
        <v>3</v>
      </c>
      <c r="M166">
        <f t="shared" si="2"/>
        <v>3</v>
      </c>
      <c r="N166">
        <f t="shared" si="3"/>
        <v>3</v>
      </c>
      <c r="O166" s="22">
        <v>0.41666666666666669</v>
      </c>
      <c r="P166" s="40">
        <f t="shared" si="0"/>
        <v>12</v>
      </c>
      <c r="S166" s="40"/>
      <c r="T166" s="40"/>
    </row>
    <row r="167" spans="1:20">
      <c r="A167" s="40" t="s">
        <v>1161</v>
      </c>
      <c r="B167" t="s">
        <v>1132</v>
      </c>
      <c r="C167" s="40">
        <v>4</v>
      </c>
      <c r="D167" s="40">
        <v>4</v>
      </c>
      <c r="E167">
        <v>4</v>
      </c>
      <c r="F167" s="50">
        <v>5</v>
      </c>
      <c r="G167" s="50" t="s">
        <v>1174</v>
      </c>
      <c r="H167" s="50">
        <v>8</v>
      </c>
      <c r="J167" t="s">
        <v>1161</v>
      </c>
      <c r="K167" t="s">
        <v>1132</v>
      </c>
      <c r="L167">
        <f t="shared" si="1"/>
        <v>4</v>
      </c>
      <c r="M167">
        <f t="shared" si="2"/>
        <v>4</v>
      </c>
      <c r="N167">
        <f t="shared" si="3"/>
        <v>4</v>
      </c>
      <c r="O167" s="22">
        <v>1</v>
      </c>
      <c r="P167" s="40">
        <f t="shared" si="0"/>
        <v>1</v>
      </c>
      <c r="S167" s="40"/>
      <c r="T167" s="40"/>
    </row>
    <row r="168" spans="1:20">
      <c r="A168" s="40" t="s">
        <v>1162</v>
      </c>
      <c r="B168" t="s">
        <v>1133</v>
      </c>
      <c r="C168" s="40">
        <v>4</v>
      </c>
      <c r="D168" s="40">
        <v>4</v>
      </c>
      <c r="E168">
        <v>3</v>
      </c>
      <c r="F168" s="50">
        <v>5</v>
      </c>
      <c r="G168" s="50" t="s">
        <v>1175</v>
      </c>
      <c r="H168" s="50">
        <v>9</v>
      </c>
      <c r="J168" t="s">
        <v>1162</v>
      </c>
      <c r="K168" t="s">
        <v>1133</v>
      </c>
      <c r="L168">
        <f t="shared" si="1"/>
        <v>4</v>
      </c>
      <c r="M168">
        <f t="shared" si="2"/>
        <v>4</v>
      </c>
      <c r="N168">
        <f t="shared" si="3"/>
        <v>3</v>
      </c>
      <c r="O168" s="22">
        <v>0.75</v>
      </c>
      <c r="P168" s="40">
        <f t="shared" si="0"/>
        <v>6</v>
      </c>
      <c r="S168" s="40"/>
      <c r="T168" s="40"/>
    </row>
    <row r="169" spans="1:20">
      <c r="A169" s="40" t="s">
        <v>1163</v>
      </c>
      <c r="B169" t="s">
        <v>1105</v>
      </c>
      <c r="C169" s="40">
        <v>3</v>
      </c>
      <c r="D169" s="40">
        <v>3</v>
      </c>
      <c r="E169">
        <v>2</v>
      </c>
      <c r="F169" s="50"/>
      <c r="G169" s="50"/>
      <c r="H169" s="50"/>
      <c r="J169" t="s">
        <v>1163</v>
      </c>
      <c r="K169" t="s">
        <v>1105</v>
      </c>
      <c r="L169">
        <f t="shared" si="1"/>
        <v>3</v>
      </c>
      <c r="M169">
        <f t="shared" si="2"/>
        <v>3</v>
      </c>
      <c r="N169">
        <f t="shared" si="3"/>
        <v>2</v>
      </c>
      <c r="O169" s="22">
        <v>0.31451985913875652</v>
      </c>
      <c r="P169" s="40">
        <f t="shared" si="0"/>
        <v>24</v>
      </c>
      <c r="S169" s="40"/>
      <c r="T169" s="40"/>
    </row>
    <row r="171" spans="1:20">
      <c r="A171" s="40" t="s">
        <v>1134</v>
      </c>
    </row>
    <row r="172" spans="1:20">
      <c r="A172" s="40" t="s">
        <v>1274</v>
      </c>
      <c r="B172" s="40" t="s">
        <v>1275</v>
      </c>
      <c r="C172" s="40" t="str">
        <f>C142</f>
        <v>expert1</v>
      </c>
      <c r="D172" s="40" t="str">
        <f>D142</f>
        <v>expert2</v>
      </c>
      <c r="E172" t="s">
        <v>1463</v>
      </c>
      <c r="F172" s="40" t="s">
        <v>1182</v>
      </c>
    </row>
    <row r="173" spans="1:20">
      <c r="A173" s="40" t="s">
        <v>1137</v>
      </c>
      <c r="B173" t="s">
        <v>1109</v>
      </c>
      <c r="F173" s="47">
        <f>$O$143</f>
        <v>1</v>
      </c>
      <c r="G173" s="48">
        <f>F143</f>
        <v>5</v>
      </c>
      <c r="H173" s="40" t="str">
        <f>G143</f>
        <v>释放目的</v>
      </c>
      <c r="I173" s="40">
        <f>H143</f>
        <v>6</v>
      </c>
    </row>
    <row r="174" spans="1:20">
      <c r="A174" s="40" t="s">
        <v>1183</v>
      </c>
      <c r="B174" t="str">
        <f>B3</f>
        <v xml:space="preserve">Development Enterprises </v>
      </c>
      <c r="C174" s="40">
        <v>4</v>
      </c>
      <c r="D174" s="40">
        <v>4</v>
      </c>
      <c r="E174">
        <v>4</v>
      </c>
      <c r="F174" s="47">
        <f>$O$143</f>
        <v>1</v>
      </c>
      <c r="G174" s="48"/>
    </row>
    <row r="175" spans="1:20">
      <c r="A175" s="40" t="s">
        <v>1184</v>
      </c>
      <c r="B175" t="str">
        <f>B6</f>
        <v xml:space="preserve">Municipal and County Construction Departments </v>
      </c>
      <c r="C175" s="40">
        <v>4</v>
      </c>
      <c r="D175" s="40">
        <v>4</v>
      </c>
      <c r="E175">
        <v>4</v>
      </c>
      <c r="F175" s="47">
        <f>$O$143</f>
        <v>1</v>
      </c>
      <c r="G175" s="48"/>
    </row>
    <row r="176" spans="1:20">
      <c r="A176" s="40" t="s">
        <v>1185</v>
      </c>
      <c r="B176" s="40" t="str">
        <f>B9</f>
        <v xml:space="preserve">Commercial Banks </v>
      </c>
      <c r="C176" s="40">
        <v>4</v>
      </c>
      <c r="D176" s="40">
        <v>4</v>
      </c>
      <c r="E176">
        <v>4</v>
      </c>
      <c r="F176" s="47">
        <f>$O$143</f>
        <v>1</v>
      </c>
      <c r="G176" s="48"/>
    </row>
    <row r="177" spans="1:9">
      <c r="A177" s="40" t="s">
        <v>1138</v>
      </c>
      <c r="B177" t="s">
        <v>1110</v>
      </c>
      <c r="F177" s="47">
        <f t="shared" ref="F177:F182" si="4">$O$144</f>
        <v>0.75</v>
      </c>
      <c r="G177" s="48">
        <f>F144</f>
        <v>5</v>
      </c>
      <c r="H177" s="40" t="str">
        <f>G144</f>
        <v>法律责任</v>
      </c>
      <c r="I177" s="40">
        <f>H144</f>
        <v>7</v>
      </c>
    </row>
    <row r="178" spans="1:9">
      <c r="A178" s="40" t="s">
        <v>1186</v>
      </c>
      <c r="B178" t="str">
        <f>B13</f>
        <v xml:space="preserve">Apply for pre-sale permits </v>
      </c>
      <c r="C178" s="40">
        <v>4</v>
      </c>
      <c r="D178" s="40">
        <v>3</v>
      </c>
      <c r="E178">
        <v>4</v>
      </c>
      <c r="F178" s="47">
        <f t="shared" si="4"/>
        <v>0.75</v>
      </c>
      <c r="G178" s="48"/>
    </row>
    <row r="179" spans="1:9">
      <c r="A179" s="40" t="s">
        <v>1187</v>
      </c>
      <c r="B179" t="str">
        <f>B14</f>
        <v xml:space="preserve">Establish supervision accounts </v>
      </c>
      <c r="C179" s="40">
        <v>4</v>
      </c>
      <c r="D179" s="40">
        <v>3</v>
      </c>
      <c r="E179">
        <v>4</v>
      </c>
      <c r="F179" s="47">
        <f t="shared" si="4"/>
        <v>0.75</v>
      </c>
      <c r="G179" s="48"/>
    </row>
    <row r="180" spans="1:9">
      <c r="A180" s="40" t="s">
        <v>1188</v>
      </c>
      <c r="B180" t="str">
        <f>B15</f>
        <v xml:space="preserve">Sign supervision agreements </v>
      </c>
      <c r="C180" s="40">
        <v>4</v>
      </c>
      <c r="D180" s="40">
        <v>4</v>
      </c>
      <c r="E180">
        <v>4</v>
      </c>
      <c r="F180" s="47">
        <f t="shared" si="4"/>
        <v>0.75</v>
      </c>
      <c r="G180" s="48"/>
    </row>
    <row r="181" spans="1:9">
      <c r="A181" s="40" t="s">
        <v>1189</v>
      </c>
      <c r="B181" t="str">
        <f>B16</f>
        <v xml:space="preserve">Comply with fund use nodes </v>
      </c>
      <c r="C181" s="40">
        <v>4</v>
      </c>
      <c r="D181" s="40">
        <v>4</v>
      </c>
      <c r="E181">
        <v>4</v>
      </c>
      <c r="F181" s="47">
        <f t="shared" si="4"/>
        <v>0.75</v>
      </c>
      <c r="G181" s="48"/>
    </row>
    <row r="182" spans="1:9">
      <c r="A182" s="40" t="s">
        <v>1190</v>
      </c>
      <c r="B182" t="str">
        <f>B17</f>
        <v xml:space="preserve">Guaranteeing the delivery of housing </v>
      </c>
      <c r="C182" s="40">
        <v>4</v>
      </c>
      <c r="D182" s="40">
        <v>3</v>
      </c>
      <c r="E182">
        <v>4</v>
      </c>
      <c r="F182" s="47">
        <f t="shared" si="4"/>
        <v>0.75</v>
      </c>
      <c r="G182" s="48"/>
    </row>
    <row r="183" spans="1:9">
      <c r="A183" s="40" t="s">
        <v>1139</v>
      </c>
      <c r="B183" t="s">
        <v>1111</v>
      </c>
      <c r="F183" s="47">
        <f>$O$145</f>
        <v>0.41666666666666669</v>
      </c>
      <c r="G183" s="48">
        <f>F145</f>
        <v>0</v>
      </c>
      <c r="H183" s="40">
        <f>G145</f>
        <v>0</v>
      </c>
      <c r="I183" s="40">
        <f>H145</f>
        <v>0</v>
      </c>
    </row>
    <row r="184" spans="1:9">
      <c r="A184" s="40" t="s">
        <v>1191</v>
      </c>
      <c r="B184" t="str">
        <f>B19</f>
        <v xml:space="preserve">Select commercial banks through bidding </v>
      </c>
      <c r="C184" s="40">
        <v>3</v>
      </c>
      <c r="D184" s="40">
        <v>3</v>
      </c>
      <c r="E184">
        <v>3</v>
      </c>
      <c r="F184" s="47">
        <f>$O$145</f>
        <v>0.41666666666666669</v>
      </c>
      <c r="G184" s="48"/>
    </row>
    <row r="185" spans="1:9">
      <c r="A185" s="40" t="s">
        <v>1192</v>
      </c>
      <c r="B185" t="str">
        <f t="shared" ref="B185" si="5">B20</f>
        <v xml:space="preserve">Formulate supervision implementation rules </v>
      </c>
      <c r="C185" s="40">
        <v>3</v>
      </c>
      <c r="D185" s="40">
        <v>3</v>
      </c>
      <c r="E185">
        <v>3</v>
      </c>
      <c r="F185" s="47">
        <f>$O$145</f>
        <v>0.41666666666666669</v>
      </c>
      <c r="G185" s="48"/>
    </row>
    <row r="186" spans="1:9">
      <c r="A186" s="40" t="s">
        <v>1193</v>
      </c>
      <c r="B186" t="str">
        <f>B23</f>
        <v xml:space="preserve">Handle illegal behaviors </v>
      </c>
      <c r="C186" s="40">
        <v>3</v>
      </c>
      <c r="D186" s="40">
        <v>3</v>
      </c>
      <c r="E186">
        <v>4</v>
      </c>
      <c r="F186" s="47">
        <f>$O$145</f>
        <v>0.41666666666666669</v>
      </c>
      <c r="G186" s="48"/>
    </row>
    <row r="187" spans="1:9">
      <c r="A187" s="40" t="s">
        <v>1140</v>
      </c>
      <c r="B187" t="s">
        <v>1112</v>
      </c>
      <c r="F187" s="47">
        <f>$O$146</f>
        <v>0.41666666666666669</v>
      </c>
      <c r="G187" s="48">
        <f>F146</f>
        <v>0</v>
      </c>
      <c r="H187" s="40">
        <f>G146</f>
        <v>0</v>
      </c>
      <c r="I187" s="40">
        <f>H146</f>
        <v>0</v>
      </c>
    </row>
    <row r="188" spans="1:9">
      <c r="A188" s="40" t="s">
        <v>1194</v>
      </c>
      <c r="B188" t="str">
        <f>B25</f>
        <v xml:space="preserve">Determine the service bank through bidding </v>
      </c>
      <c r="C188" s="40">
        <v>3</v>
      </c>
      <c r="D188" s="40">
        <v>2</v>
      </c>
      <c r="E188">
        <v>3</v>
      </c>
      <c r="F188" s="47">
        <f>$O$146</f>
        <v>0.41666666666666669</v>
      </c>
      <c r="G188" s="48"/>
    </row>
    <row r="189" spans="1:9">
      <c r="A189" s="40" t="s">
        <v>1195</v>
      </c>
      <c r="B189" t="str">
        <f>B26</f>
        <v xml:space="preserve">Guaranteeing the delivery of housing </v>
      </c>
      <c r="C189" s="40">
        <v>3</v>
      </c>
      <c r="D189" s="40">
        <v>3</v>
      </c>
      <c r="E189">
        <v>4</v>
      </c>
      <c r="F189" s="47">
        <f>$O$146</f>
        <v>0.41666666666666669</v>
      </c>
      <c r="G189" s="48"/>
    </row>
    <row r="190" spans="1:9">
      <c r="A190" s="40" t="s">
        <v>1141</v>
      </c>
      <c r="B190" t="s">
        <v>1113</v>
      </c>
      <c r="F190" s="47">
        <f>$O$147</f>
        <v>0.31451985913875652</v>
      </c>
      <c r="G190" s="48">
        <f>F147</f>
        <v>0</v>
      </c>
      <c r="H190" s="40">
        <f>G147</f>
        <v>0</v>
      </c>
      <c r="I190" s="40">
        <f>H147</f>
        <v>0</v>
      </c>
    </row>
    <row r="191" spans="1:9">
      <c r="A191" s="40" t="s">
        <v>1196</v>
      </c>
      <c r="B191" t="str">
        <f>B28</f>
        <v xml:space="preserve">Manage supervision accounts </v>
      </c>
      <c r="C191" s="40">
        <v>3</v>
      </c>
      <c r="D191" s="40">
        <v>2</v>
      </c>
      <c r="E191">
        <v>3</v>
      </c>
      <c r="F191" s="47">
        <f>$O$147</f>
        <v>0.31451985913875652</v>
      </c>
      <c r="G191" s="48"/>
    </row>
    <row r="192" spans="1:9">
      <c r="A192" s="40" t="s">
        <v>1197</v>
      </c>
      <c r="B192" t="str">
        <f>B29</f>
        <v xml:space="preserve">Monitor and allocate funds </v>
      </c>
      <c r="C192" s="40">
        <v>3</v>
      </c>
      <c r="D192" s="40">
        <v>1</v>
      </c>
      <c r="E192">
        <v>3</v>
      </c>
      <c r="F192" s="47">
        <f>$O$147</f>
        <v>0.31451985913875652</v>
      </c>
      <c r="G192" s="48"/>
    </row>
    <row r="193" spans="1:9">
      <c r="A193" s="40" t="s">
        <v>1198</v>
      </c>
      <c r="B193" t="str">
        <f>B30</f>
        <v xml:space="preserve">Conduct regular reconciliation </v>
      </c>
      <c r="C193" s="40">
        <v>3</v>
      </c>
      <c r="D193" s="40">
        <v>1</v>
      </c>
      <c r="E193">
        <v>3</v>
      </c>
      <c r="F193" s="47">
        <f>$O$147</f>
        <v>0.31451985913875652</v>
      </c>
      <c r="G193" s="48"/>
    </row>
    <row r="194" spans="1:9">
      <c r="A194" s="40" t="s">
        <v>1142</v>
      </c>
      <c r="B194" t="s">
        <v>1114</v>
      </c>
      <c r="F194" s="47">
        <f>$O$148</f>
        <v>1</v>
      </c>
      <c r="G194" s="48">
        <f>F148</f>
        <v>5</v>
      </c>
      <c r="H194" s="40" t="str">
        <f>G148</f>
        <v>政策时限,1-3年那个</v>
      </c>
      <c r="I194" s="40">
        <f>H148</f>
        <v>2</v>
      </c>
    </row>
    <row r="195" spans="1:9">
      <c r="A195" s="40" t="s">
        <v>1199</v>
      </c>
      <c r="B195" t="str">
        <f>B32</f>
        <v xml:space="preserve">From the issuance of the "Commercial Housing Pre-sale Permit" </v>
      </c>
      <c r="C195" s="40">
        <v>3</v>
      </c>
      <c r="D195" s="40">
        <v>1</v>
      </c>
      <c r="E195">
        <v>3</v>
      </c>
      <c r="F195" s="47">
        <f>$O$148</f>
        <v>1</v>
      </c>
      <c r="G195" s="48"/>
    </row>
    <row r="196" spans="1:9">
      <c r="A196" s="40" t="s">
        <v>1200</v>
      </c>
      <c r="B196" t="str">
        <f>B33</f>
        <v xml:space="preserve">To the first registration of property rights aŌ er project completion </v>
      </c>
      <c r="C196" s="40">
        <v>3</v>
      </c>
      <c r="D196" s="40">
        <v>1</v>
      </c>
      <c r="E196">
        <v>3</v>
      </c>
      <c r="F196" s="47">
        <f>$O$148</f>
        <v>1</v>
      </c>
      <c r="G196" s="48"/>
    </row>
    <row r="197" spans="1:9">
      <c r="A197" s="40" t="s">
        <v>1143</v>
      </c>
      <c r="B197" t="s">
        <v>1115</v>
      </c>
      <c r="F197" s="47">
        <f t="shared" ref="F197:F202" si="6">$O$149</f>
        <v>0.41666666666666669</v>
      </c>
      <c r="G197" s="48">
        <f>F149</f>
        <v>0</v>
      </c>
      <c r="H197" s="40">
        <f>G149</f>
        <v>0</v>
      </c>
      <c r="I197" s="40">
        <f>H149</f>
        <v>0</v>
      </c>
    </row>
    <row r="198" spans="1:9">
      <c r="A198" s="40" t="s">
        <v>1201</v>
      </c>
      <c r="B198" t="str">
        <f>B35</f>
        <v xml:space="preserve">Deposit </v>
      </c>
      <c r="C198" s="40">
        <v>3</v>
      </c>
      <c r="D198" s="40">
        <v>3</v>
      </c>
      <c r="E198">
        <v>3</v>
      </c>
      <c r="F198" s="47">
        <f t="shared" si="6"/>
        <v>0.41666666666666669</v>
      </c>
      <c r="G198" s="48"/>
    </row>
    <row r="199" spans="1:9">
      <c r="A199" s="40" t="s">
        <v>1202</v>
      </c>
      <c r="B199" t="str">
        <f>B36</f>
        <v xml:space="preserve">Down Payment </v>
      </c>
      <c r="C199" s="40">
        <v>3</v>
      </c>
      <c r="D199" s="40">
        <v>3</v>
      </c>
      <c r="E199">
        <v>3</v>
      </c>
      <c r="F199" s="47">
        <f t="shared" si="6"/>
        <v>0.41666666666666669</v>
      </c>
      <c r="G199" s="48"/>
    </row>
    <row r="200" spans="1:9">
      <c r="A200" s="40" t="s">
        <v>1203</v>
      </c>
      <c r="B200" t="str">
        <f>B37</f>
        <v xml:space="preserve">Housing Provident Fund Loans </v>
      </c>
      <c r="C200" s="40">
        <v>3</v>
      </c>
      <c r="D200" s="40">
        <v>3</v>
      </c>
      <c r="E200">
        <v>3</v>
      </c>
      <c r="F200" s="47">
        <f t="shared" si="6"/>
        <v>0.41666666666666669</v>
      </c>
      <c r="G200" s="48"/>
    </row>
    <row r="201" spans="1:9">
      <c r="A201" s="40" t="s">
        <v>1204</v>
      </c>
      <c r="B201" t="str">
        <f>B38</f>
        <v xml:space="preserve">Mortgage Loans </v>
      </c>
      <c r="C201" s="40">
        <v>3</v>
      </c>
      <c r="D201" s="40">
        <v>3</v>
      </c>
      <c r="E201">
        <v>3</v>
      </c>
      <c r="F201" s="47">
        <f t="shared" si="6"/>
        <v>0.41666666666666669</v>
      </c>
      <c r="G201" s="48"/>
    </row>
    <row r="202" spans="1:9">
      <c r="A202" s="40" t="s">
        <v>1205</v>
      </c>
      <c r="B202" t="str">
        <f>B39</f>
        <v xml:space="preserve">Other Forms of House Purchase Payments </v>
      </c>
      <c r="C202" s="40">
        <v>3</v>
      </c>
      <c r="D202" s="40">
        <v>3</v>
      </c>
      <c r="E202">
        <v>3</v>
      </c>
      <c r="F202" s="47">
        <f t="shared" si="6"/>
        <v>0.41666666666666669</v>
      </c>
      <c r="G202" s="48"/>
    </row>
    <row r="203" spans="1:9">
      <c r="A203" s="40" t="s">
        <v>1144</v>
      </c>
      <c r="B203" t="s">
        <v>1116</v>
      </c>
      <c r="F203" s="47">
        <f>$O$150</f>
        <v>0.41666666666666669</v>
      </c>
      <c r="G203" s="48">
        <f>F150</f>
        <v>0</v>
      </c>
      <c r="H203" s="40">
        <f>G150</f>
        <v>0</v>
      </c>
      <c r="I203" s="40">
        <f>H150</f>
        <v>0</v>
      </c>
    </row>
    <row r="204" spans="1:9">
      <c r="A204" s="40" t="s">
        <v>1206</v>
      </c>
      <c r="B204" t="str">
        <f>B42</f>
        <v xml:space="preserve">Storage </v>
      </c>
      <c r="C204" s="40">
        <v>3</v>
      </c>
      <c r="D204" s="40">
        <v>3</v>
      </c>
      <c r="E204">
        <v>3</v>
      </c>
      <c r="F204" s="47">
        <f>$O$150</f>
        <v>0.41666666666666669</v>
      </c>
      <c r="G204" s="48"/>
    </row>
    <row r="205" spans="1:9">
      <c r="A205" s="40" t="s">
        <v>1207</v>
      </c>
      <c r="B205" t="str">
        <f>B43</f>
        <v xml:space="preserve">Use </v>
      </c>
      <c r="C205" s="40">
        <v>4</v>
      </c>
      <c r="D205" s="40">
        <v>4</v>
      </c>
      <c r="E205">
        <v>4</v>
      </c>
      <c r="F205" s="47">
        <f>$O$150</f>
        <v>0.41666666666666669</v>
      </c>
      <c r="G205" s="48"/>
    </row>
    <row r="206" spans="1:9">
      <c r="A206" s="40" t="s">
        <v>1208</v>
      </c>
      <c r="B206" t="str">
        <f>B44</f>
        <v xml:space="preserve">Presale funds </v>
      </c>
      <c r="C206" s="40">
        <v>3</v>
      </c>
      <c r="D206" s="40">
        <v>3</v>
      </c>
      <c r="E206">
        <v>3</v>
      </c>
      <c r="F206" s="47">
        <f>$O$150</f>
        <v>0.41666666666666669</v>
      </c>
      <c r="G206" s="48"/>
    </row>
    <row r="207" spans="1:9">
      <c r="A207" s="40" t="s">
        <v>1145</v>
      </c>
      <c r="B207" t="s">
        <v>1117</v>
      </c>
      <c r="F207" s="47">
        <f t="shared" ref="F207:F212" si="7">$O$151</f>
        <v>0.53274858300287342</v>
      </c>
      <c r="G207" s="48">
        <f>F151</f>
        <v>0</v>
      </c>
      <c r="H207" s="40">
        <f>G151</f>
        <v>0</v>
      </c>
      <c r="I207" s="40">
        <f>H151</f>
        <v>0</v>
      </c>
    </row>
    <row r="208" spans="1:9">
      <c r="A208" s="40" t="s">
        <v>1209</v>
      </c>
      <c r="B208" t="str">
        <f>B46</f>
        <v xml:space="preserve">Dedicated Account Storage </v>
      </c>
      <c r="C208" s="40">
        <v>2</v>
      </c>
      <c r="D208" s="40">
        <v>3</v>
      </c>
      <c r="E208">
        <v>4</v>
      </c>
      <c r="F208" s="47">
        <f t="shared" si="7"/>
        <v>0.53274858300287342</v>
      </c>
      <c r="G208" s="48"/>
    </row>
    <row r="209" spans="1:9">
      <c r="A209" s="40" t="s">
        <v>1210</v>
      </c>
      <c r="B209" t="str">
        <f>B47</f>
        <v xml:space="preserve">Exclusive Fund Use </v>
      </c>
      <c r="C209" s="40">
        <v>3</v>
      </c>
      <c r="D209" s="40">
        <v>3</v>
      </c>
      <c r="E209">
        <v>3</v>
      </c>
      <c r="F209" s="47">
        <f t="shared" si="7"/>
        <v>0.53274858300287342</v>
      </c>
      <c r="G209" s="48"/>
    </row>
    <row r="210" spans="1:9">
      <c r="A210" s="40" t="s">
        <v>1211</v>
      </c>
      <c r="B210" t="str">
        <f>B48</f>
        <v xml:space="preserve">Full-Process Supervision </v>
      </c>
      <c r="C210" s="40">
        <v>3</v>
      </c>
      <c r="D210" s="40">
        <v>4</v>
      </c>
      <c r="E210">
        <v>3</v>
      </c>
      <c r="F210" s="47">
        <f t="shared" si="7"/>
        <v>0.53274858300287342</v>
      </c>
      <c r="G210" s="48"/>
    </row>
    <row r="211" spans="1:9">
      <c r="A211" s="40" t="s">
        <v>1212</v>
      </c>
      <c r="B211" t="str">
        <f>B49</f>
        <v xml:space="preserve">Node Control </v>
      </c>
      <c r="C211" s="40">
        <v>4</v>
      </c>
      <c r="D211" s="40">
        <v>3</v>
      </c>
      <c r="E211">
        <v>3</v>
      </c>
      <c r="F211" s="47">
        <f t="shared" si="7"/>
        <v>0.53274858300287342</v>
      </c>
      <c r="G211" s="48"/>
    </row>
    <row r="212" spans="1:9">
      <c r="A212" s="40" t="s">
        <v>1213</v>
      </c>
      <c r="B212" t="str">
        <f>B50</f>
        <v xml:space="preserve">Multi-Party Supervision </v>
      </c>
      <c r="C212" s="40">
        <v>2</v>
      </c>
      <c r="D212" s="40">
        <v>4</v>
      </c>
      <c r="E212">
        <v>3</v>
      </c>
      <c r="F212" s="47">
        <f t="shared" si="7"/>
        <v>0.53274858300287342</v>
      </c>
      <c r="G212" s="48"/>
    </row>
    <row r="213" spans="1:9">
      <c r="A213" s="40" t="s">
        <v>1146</v>
      </c>
      <c r="B213" t="s">
        <v>1118</v>
      </c>
      <c r="F213" s="47">
        <f>$O$152</f>
        <v>0.41666666666666669</v>
      </c>
      <c r="G213" s="48">
        <f>F152</f>
        <v>0</v>
      </c>
      <c r="H213" s="40">
        <f>G152</f>
        <v>0</v>
      </c>
      <c r="I213" s="40">
        <f>H152</f>
        <v>0</v>
      </c>
    </row>
    <row r="214" spans="1:9">
      <c r="A214" s="40" t="s">
        <v>1214</v>
      </c>
      <c r="B214" t="str">
        <f>B52</f>
        <v xml:space="preserve">Provincial </v>
      </c>
      <c r="C214" s="40">
        <v>4</v>
      </c>
      <c r="D214" s="40">
        <v>4</v>
      </c>
      <c r="E214">
        <v>4</v>
      </c>
      <c r="F214" s="47">
        <f>$O$152</f>
        <v>0.41666666666666669</v>
      </c>
      <c r="G214" s="48"/>
    </row>
    <row r="215" spans="1:9">
      <c r="A215" s="40" t="s">
        <v>1215</v>
      </c>
      <c r="B215" t="str">
        <f>B53</f>
        <v xml:space="preserve">Municipal </v>
      </c>
      <c r="C215" s="40">
        <v>4</v>
      </c>
      <c r="D215" s="40">
        <v>4</v>
      </c>
      <c r="E215">
        <v>4</v>
      </c>
      <c r="F215" s="47">
        <f>$O$152</f>
        <v>0.41666666666666669</v>
      </c>
      <c r="G215" s="48"/>
    </row>
    <row r="216" spans="1:9">
      <c r="A216" s="40" t="s">
        <v>1216</v>
      </c>
      <c r="B216" t="str">
        <f>B54</f>
        <v>Country</v>
      </c>
      <c r="C216" s="40">
        <v>4</v>
      </c>
      <c r="D216" s="40">
        <v>4</v>
      </c>
      <c r="E216">
        <v>4</v>
      </c>
      <c r="F216" s="47">
        <f>$O$152</f>
        <v>0.41666666666666669</v>
      </c>
      <c r="G216" s="48"/>
    </row>
    <row r="217" spans="1:9">
      <c r="A217" s="40" t="s">
        <v>1147</v>
      </c>
      <c r="B217" t="s">
        <v>1119</v>
      </c>
      <c r="F217" s="47">
        <f>$O$153</f>
        <v>0.41666666666666669</v>
      </c>
      <c r="G217" s="48">
        <f>F153</f>
        <v>0</v>
      </c>
      <c r="H217" s="40">
        <f>G153</f>
        <v>0</v>
      </c>
      <c r="I217" s="40">
        <f>H153</f>
        <v>0</v>
      </c>
    </row>
    <row r="218" spans="1:9">
      <c r="A218" s="40" t="s">
        <v>1217</v>
      </c>
      <c r="B218" t="str">
        <f>B61</f>
        <v xml:space="preserve">Exclusive Use of Funds </v>
      </c>
      <c r="C218" s="40">
        <v>3</v>
      </c>
      <c r="D218" s="40">
        <v>2</v>
      </c>
      <c r="E218">
        <v>3</v>
      </c>
      <c r="F218" s="47">
        <f>$O$153</f>
        <v>0.41666666666666669</v>
      </c>
      <c r="G218" s="48"/>
    </row>
    <row r="219" spans="1:9">
      <c r="A219" s="40" t="s">
        <v>1218</v>
      </c>
      <c r="B219" t="str">
        <f>B62</f>
        <v xml:space="preserve">Prioritize Payments for Construction Costs </v>
      </c>
      <c r="C219" s="40">
        <v>3</v>
      </c>
      <c r="D219" s="40">
        <v>1</v>
      </c>
      <c r="E219">
        <v>3</v>
      </c>
      <c r="F219" s="47">
        <f>$O$153</f>
        <v>0.41666666666666669</v>
      </c>
      <c r="G219" s="48"/>
    </row>
    <row r="220" spans="1:9">
      <c r="A220" s="40" t="s">
        <v>1148</v>
      </c>
      <c r="B220" t="s">
        <v>1120</v>
      </c>
      <c r="F220" s="47">
        <f t="shared" ref="F220:F226" si="8">$O$154</f>
        <v>1</v>
      </c>
      <c r="G220" s="48">
        <f>F154</f>
        <v>5</v>
      </c>
      <c r="H220" s="40" t="str">
        <f>G154</f>
        <v>释放条件</v>
      </c>
      <c r="I220" s="40">
        <f>H154</f>
        <v>5</v>
      </c>
    </row>
    <row r="221" spans="1:9">
      <c r="A221" s="40" t="s">
        <v>1219</v>
      </c>
      <c r="B221" t="str">
        <f t="shared" ref="B221:B226" si="9">B64</f>
        <v xml:space="preserve">Completion of Underground Structure </v>
      </c>
      <c r="C221" s="40">
        <v>4</v>
      </c>
      <c r="D221" s="40">
        <v>4</v>
      </c>
      <c r="E221">
        <v>4</v>
      </c>
      <c r="F221" s="47">
        <f t="shared" si="8"/>
        <v>1</v>
      </c>
      <c r="G221" s="48"/>
    </row>
    <row r="222" spans="1:9">
      <c r="A222" s="40" t="s">
        <v>1220</v>
      </c>
      <c r="B222" t="str">
        <f t="shared" si="9"/>
        <v xml:space="preserve">Structural Division Inspection </v>
      </c>
      <c r="C222" s="40">
        <v>4</v>
      </c>
      <c r="D222" s="40">
        <v>3</v>
      </c>
      <c r="E222">
        <v>4</v>
      </c>
      <c r="F222" s="47">
        <f t="shared" si="8"/>
        <v>1</v>
      </c>
      <c r="G222" s="48"/>
    </row>
    <row r="223" spans="1:9">
      <c r="A223" s="40" t="s">
        <v>1221</v>
      </c>
      <c r="B223" t="str">
        <f t="shared" si="9"/>
        <v xml:space="preserve">Scaffold Removal </v>
      </c>
      <c r="C223" s="40">
        <v>4</v>
      </c>
      <c r="D223" s="40">
        <v>4</v>
      </c>
      <c r="E223">
        <v>4</v>
      </c>
      <c r="F223" s="47">
        <f t="shared" si="8"/>
        <v>1</v>
      </c>
      <c r="G223" s="48"/>
    </row>
    <row r="224" spans="1:9">
      <c r="A224" s="40" t="s">
        <v>1222</v>
      </c>
      <c r="B224" t="str">
        <f t="shared" si="9"/>
        <v xml:space="preserve">Completion Acceptance Filing </v>
      </c>
      <c r="C224" s="40">
        <v>4</v>
      </c>
      <c r="D224" s="40">
        <v>3</v>
      </c>
      <c r="E224">
        <v>4</v>
      </c>
      <c r="F224" s="47">
        <f t="shared" si="8"/>
        <v>1</v>
      </c>
      <c r="G224" s="48"/>
    </row>
    <row r="225" spans="1:9">
      <c r="A225" s="40" t="s">
        <v>1223</v>
      </c>
      <c r="B225" t="str">
        <f t="shared" si="9"/>
        <v xml:space="preserve">Joint Acceptance </v>
      </c>
      <c r="C225" s="40">
        <v>4</v>
      </c>
      <c r="D225" s="40">
        <v>4</v>
      </c>
      <c r="E225">
        <v>4</v>
      </c>
      <c r="F225" s="47">
        <f t="shared" si="8"/>
        <v>1</v>
      </c>
      <c r="G225" s="48"/>
    </row>
    <row r="226" spans="1:9">
      <c r="A226" s="40" t="s">
        <v>1224</v>
      </c>
      <c r="B226" t="str">
        <f t="shared" si="9"/>
        <v xml:space="preserve">First Property Registration </v>
      </c>
      <c r="C226" s="40">
        <v>4</v>
      </c>
      <c r="D226" s="40">
        <v>3</v>
      </c>
      <c r="E226">
        <v>4</v>
      </c>
      <c r="F226" s="47">
        <f t="shared" si="8"/>
        <v>1</v>
      </c>
      <c r="G226" s="48"/>
    </row>
    <row r="227" spans="1:9">
      <c r="A227" s="40" t="s">
        <v>1149</v>
      </c>
      <c r="B227" t="s">
        <v>1121</v>
      </c>
      <c r="F227" s="47">
        <f>$O$155</f>
        <v>0.31451985913875652</v>
      </c>
      <c r="G227" s="48">
        <f>F155</f>
        <v>0</v>
      </c>
      <c r="H227" s="40">
        <f>G155</f>
        <v>0</v>
      </c>
      <c r="I227" s="40">
        <f>H155</f>
        <v>0</v>
      </c>
    </row>
    <row r="228" spans="1:9">
      <c r="A228" s="40" t="s">
        <v>1225</v>
      </c>
      <c r="B228" t="str">
        <f>B71</f>
        <v xml:space="preserve">Verification Process </v>
      </c>
      <c r="C228" s="40">
        <v>4</v>
      </c>
      <c r="D228" s="40">
        <v>3</v>
      </c>
      <c r="E228">
        <v>4</v>
      </c>
      <c r="F228" s="47">
        <f>$O$155</f>
        <v>0.31451985913875652</v>
      </c>
      <c r="G228" s="48"/>
    </row>
    <row r="229" spans="1:9">
      <c r="A229" s="40" t="s">
        <v>1226</v>
      </c>
      <c r="B229" t="str">
        <f>B72</f>
        <v xml:space="preserve">Timely Approval </v>
      </c>
      <c r="C229" s="40">
        <v>3</v>
      </c>
      <c r="D229" s="40">
        <v>3</v>
      </c>
      <c r="E229">
        <v>3</v>
      </c>
      <c r="F229" s="47">
        <f>$O$155</f>
        <v>0.31451985913875652</v>
      </c>
      <c r="G229" s="48"/>
    </row>
    <row r="230" spans="1:9">
      <c r="A230" s="40" t="s">
        <v>1150</v>
      </c>
      <c r="B230" t="s">
        <v>1122</v>
      </c>
      <c r="F230" s="47">
        <f>$O$156</f>
        <v>0.75</v>
      </c>
      <c r="G230" s="48">
        <f>F156</f>
        <v>5</v>
      </c>
      <c r="H230" s="40" t="str">
        <f>G156</f>
        <v>解除监管</v>
      </c>
      <c r="I230" s="40">
        <f>H156</f>
        <v>4</v>
      </c>
    </row>
    <row r="231" spans="1:9">
      <c r="A231" s="40" t="s">
        <v>1227</v>
      </c>
      <c r="B231" t="str">
        <f>B74</f>
        <v xml:space="preserve">Developers' Application Submission of detailed applications for fund use </v>
      </c>
      <c r="C231" s="40">
        <v>3</v>
      </c>
      <c r="D231" s="40">
        <v>2</v>
      </c>
      <c r="E231">
        <v>3</v>
      </c>
      <c r="F231" s="47">
        <f>$O$156</f>
        <v>0.75</v>
      </c>
      <c r="G231" s="48"/>
    </row>
    <row r="232" spans="1:9">
      <c r="A232" s="40" t="s">
        <v>1228</v>
      </c>
      <c r="B232" t="str">
        <f>B75</f>
        <v xml:space="preserve">Verification and Approval Municipal and county departments verify progress and approve disbursement </v>
      </c>
      <c r="C232" s="40">
        <v>4</v>
      </c>
      <c r="D232" s="40">
        <v>2</v>
      </c>
      <c r="E232">
        <v>3</v>
      </c>
      <c r="F232" s="47">
        <f>$O$156</f>
        <v>0.75</v>
      </c>
      <c r="G232" s="48"/>
    </row>
    <row r="233" spans="1:9">
      <c r="A233" s="40" t="s">
        <v>1151</v>
      </c>
      <c r="B233" t="s">
        <v>1123</v>
      </c>
      <c r="F233" s="47">
        <f>$O$157</f>
        <v>0.41666666666666669</v>
      </c>
      <c r="G233" s="48">
        <f>F157</f>
        <v>0</v>
      </c>
      <c r="H233" s="40">
        <f>G157</f>
        <v>0</v>
      </c>
      <c r="I233" s="40">
        <f>H157</f>
        <v>0</v>
      </c>
    </row>
    <row r="234" spans="1:9">
      <c r="A234" s="40" t="s">
        <v>1229</v>
      </c>
      <c r="B234" t="str">
        <f>B77</f>
        <v xml:space="preserve">Usage of Excess Funds </v>
      </c>
      <c r="C234" s="40">
        <v>4</v>
      </c>
      <c r="D234" s="40">
        <v>3</v>
      </c>
      <c r="E234">
        <v>4</v>
      </c>
      <c r="F234" s="47">
        <f>$O$157</f>
        <v>0.41666666666666669</v>
      </c>
      <c r="G234" s="48"/>
    </row>
    <row r="235" spans="1:9">
      <c r="A235" s="40" t="s">
        <v>1230</v>
      </c>
      <c r="B235" t="str">
        <f>B78</f>
        <v xml:space="preserve">Flexible Fund Management </v>
      </c>
      <c r="C235" s="40">
        <v>4</v>
      </c>
      <c r="D235" s="40">
        <v>3</v>
      </c>
      <c r="E235">
        <v>4</v>
      </c>
      <c r="F235" s="47">
        <f>$O$157</f>
        <v>0.41666666666666669</v>
      </c>
      <c r="G235" s="48"/>
    </row>
    <row r="236" spans="1:9">
      <c r="A236" s="40" t="s">
        <v>1152</v>
      </c>
      <c r="B236" t="s">
        <v>1124</v>
      </c>
      <c r="F236" s="47">
        <f t="shared" ref="F236:F241" si="10">$O$158</f>
        <v>0.31583866001369681</v>
      </c>
      <c r="G236" s="48">
        <f>F158</f>
        <v>0</v>
      </c>
      <c r="H236" s="40">
        <f>G158</f>
        <v>0</v>
      </c>
      <c r="I236" s="40">
        <f>H158</f>
        <v>0</v>
      </c>
    </row>
    <row r="237" spans="1:9">
      <c r="A237" s="40" t="s">
        <v>1231</v>
      </c>
      <c r="B237" t="str">
        <f>B83</f>
        <v xml:space="preserve">Construction Suspension </v>
      </c>
      <c r="C237" s="40">
        <v>4</v>
      </c>
      <c r="D237" s="40">
        <v>3</v>
      </c>
      <c r="E237">
        <v>4</v>
      </c>
      <c r="F237" s="47">
        <f t="shared" si="10"/>
        <v>0.31583866001369681</v>
      </c>
      <c r="G237" s="48"/>
    </row>
    <row r="238" spans="1:9">
      <c r="A238" s="40" t="s">
        <v>1232</v>
      </c>
      <c r="B238" t="str">
        <f>B84</f>
        <v xml:space="preserve">Quality Issues </v>
      </c>
      <c r="C238" s="40">
        <v>4</v>
      </c>
      <c r="D238" s="40">
        <v>1</v>
      </c>
      <c r="E238">
        <v>3</v>
      </c>
      <c r="F238" s="47">
        <f t="shared" si="10"/>
        <v>0.31583866001369681</v>
      </c>
      <c r="G238" s="48"/>
    </row>
    <row r="239" spans="1:9">
      <c r="A239" s="40" t="s">
        <v>1233</v>
      </c>
      <c r="B239" t="str">
        <f>B85</f>
        <v xml:space="preserve">Delayed Delivery </v>
      </c>
      <c r="C239" s="40">
        <v>2</v>
      </c>
      <c r="D239" s="40">
        <v>3</v>
      </c>
      <c r="E239">
        <v>3</v>
      </c>
      <c r="F239" s="47">
        <f t="shared" si="10"/>
        <v>0.31583866001369681</v>
      </c>
      <c r="G239" s="48"/>
    </row>
    <row r="240" spans="1:9">
      <c r="A240" s="40" t="s">
        <v>1234</v>
      </c>
      <c r="B240" t="str">
        <f>B86</f>
        <v xml:space="preserve">illegal Construction and Sales </v>
      </c>
      <c r="C240" s="40">
        <v>4</v>
      </c>
      <c r="D240" s="40">
        <v>1</v>
      </c>
      <c r="E240">
        <v>3</v>
      </c>
      <c r="F240" s="47">
        <f t="shared" si="10"/>
        <v>0.31583866001369681</v>
      </c>
      <c r="G240" s="48"/>
    </row>
    <row r="241" spans="1:9">
      <c r="A241" s="40" t="s">
        <v>1235</v>
      </c>
      <c r="B241" t="str">
        <f>B87</f>
        <v xml:space="preserve">Serious Debt and Labor Disputes </v>
      </c>
      <c r="C241" s="40">
        <v>3</v>
      </c>
      <c r="D241" s="40">
        <v>3</v>
      </c>
      <c r="E241">
        <v>3</v>
      </c>
      <c r="F241" s="47">
        <f t="shared" si="10"/>
        <v>0.31583866001369681</v>
      </c>
      <c r="G241" s="48"/>
    </row>
    <row r="242" spans="1:9">
      <c r="A242" s="40" t="s">
        <v>1153</v>
      </c>
      <c r="B242" t="s">
        <v>1125</v>
      </c>
      <c r="F242" s="47">
        <f>$O$159</f>
        <v>0.41666666666666669</v>
      </c>
      <c r="G242" s="48">
        <f>F159</f>
        <v>0</v>
      </c>
      <c r="H242" s="40">
        <f>G159</f>
        <v>0</v>
      </c>
      <c r="I242" s="40">
        <f>H159</f>
        <v>0</v>
      </c>
    </row>
    <row r="243" spans="1:9">
      <c r="A243" s="40" t="s">
        <v>1236</v>
      </c>
      <c r="B243" t="str">
        <f>B89</f>
        <v xml:space="preserve">Integration of Systems </v>
      </c>
      <c r="C243" s="40">
        <v>4</v>
      </c>
      <c r="D243" s="40">
        <v>3</v>
      </c>
      <c r="E243">
        <v>4</v>
      </c>
      <c r="F243" s="47">
        <f>$O$159</f>
        <v>0.41666666666666669</v>
      </c>
      <c r="G243" s="48"/>
    </row>
    <row r="244" spans="1:9">
      <c r="A244" s="40" t="s">
        <v>1237</v>
      </c>
      <c r="B244" t="str">
        <f>B90</f>
        <v xml:space="preserve">Enhanced Monitoring </v>
      </c>
      <c r="C244" s="40">
        <v>4</v>
      </c>
      <c r="D244" s="40">
        <v>3</v>
      </c>
      <c r="E244">
        <v>4</v>
      </c>
      <c r="F244" s="47">
        <f>$O$159</f>
        <v>0.41666666666666669</v>
      </c>
      <c r="G244" s="48"/>
    </row>
    <row r="245" spans="1:9">
      <c r="A245" s="40" t="s">
        <v>1154</v>
      </c>
      <c r="B245" t="s">
        <v>1102</v>
      </c>
      <c r="F245" s="47">
        <f>$O$160</f>
        <v>1</v>
      </c>
      <c r="G245" s="48">
        <f>F160</f>
        <v>5</v>
      </c>
      <c r="H245" s="40" t="str">
        <f>G160</f>
        <v>政策发布机构</v>
      </c>
      <c r="I245" s="40">
        <f>H160</f>
        <v>1</v>
      </c>
    </row>
    <row r="246" spans="1:9">
      <c r="A246" s="40" t="s">
        <v>1239</v>
      </c>
      <c r="B246" t="str">
        <f>B214</f>
        <v xml:space="preserve">Provincial </v>
      </c>
      <c r="C246" s="40">
        <v>4</v>
      </c>
      <c r="D246" s="40">
        <v>3</v>
      </c>
      <c r="E246">
        <v>4</v>
      </c>
      <c r="F246" s="47">
        <f>$O$160</f>
        <v>1</v>
      </c>
      <c r="G246" s="48"/>
    </row>
    <row r="247" spans="1:9">
      <c r="A247" s="40" t="s">
        <v>1240</v>
      </c>
      <c r="B247" t="str">
        <f t="shared" ref="B247:B248" si="11">B215</f>
        <v xml:space="preserve">Municipal </v>
      </c>
      <c r="C247" s="40">
        <v>4</v>
      </c>
      <c r="D247" s="40">
        <v>3</v>
      </c>
      <c r="E247">
        <v>4</v>
      </c>
      <c r="F247" s="47">
        <f>$O$160</f>
        <v>1</v>
      </c>
      <c r="G247" s="48"/>
    </row>
    <row r="248" spans="1:9">
      <c r="A248" s="40" t="s">
        <v>1241</v>
      </c>
      <c r="B248" t="str">
        <f t="shared" si="11"/>
        <v>Country</v>
      </c>
      <c r="C248" s="40">
        <v>4</v>
      </c>
      <c r="D248" s="40">
        <v>3</v>
      </c>
      <c r="E248">
        <v>4</v>
      </c>
      <c r="F248" s="47">
        <f>$O$160</f>
        <v>1</v>
      </c>
      <c r="G248" s="48"/>
    </row>
    <row r="249" spans="1:9">
      <c r="A249" s="40" t="s">
        <v>1242</v>
      </c>
      <c r="B249" t="s">
        <v>1238</v>
      </c>
      <c r="C249" s="40">
        <v>3</v>
      </c>
      <c r="D249" s="40">
        <v>3</v>
      </c>
      <c r="E249">
        <v>3</v>
      </c>
      <c r="F249" s="47">
        <f>$O$160</f>
        <v>1</v>
      </c>
      <c r="G249" s="48"/>
    </row>
    <row r="250" spans="1:9">
      <c r="A250" s="40" t="s">
        <v>1155</v>
      </c>
      <c r="B250" t="s">
        <v>1126</v>
      </c>
      <c r="F250" s="47">
        <f>$O$161</f>
        <v>0.75</v>
      </c>
      <c r="G250" s="48">
        <f>F161</f>
        <v>5</v>
      </c>
      <c r="H250" s="40" t="str">
        <f>G161</f>
        <v>信用等级分类</v>
      </c>
      <c r="I250" s="40">
        <f>H161</f>
        <v>10</v>
      </c>
    </row>
    <row r="251" spans="1:9">
      <c r="A251" s="40" t="s">
        <v>1273</v>
      </c>
      <c r="B251" t="s">
        <v>1126</v>
      </c>
      <c r="C251" s="40">
        <v>3</v>
      </c>
      <c r="D251" s="40">
        <v>3</v>
      </c>
      <c r="E251">
        <v>4</v>
      </c>
      <c r="F251" s="47">
        <f>$O$161</f>
        <v>0.75</v>
      </c>
      <c r="G251" s="48"/>
    </row>
    <row r="252" spans="1:9">
      <c r="A252" s="40" t="s">
        <v>1156</v>
      </c>
      <c r="B252" t="s">
        <v>1127</v>
      </c>
      <c r="F252" s="47">
        <f>$O$162</f>
        <v>0.25</v>
      </c>
      <c r="G252" s="48">
        <f>F162</f>
        <v>0</v>
      </c>
      <c r="H252" s="40">
        <f>G162</f>
        <v>0</v>
      </c>
      <c r="I252" s="40">
        <f>H162</f>
        <v>0</v>
      </c>
    </row>
    <row r="253" spans="1:9">
      <c r="A253" s="40" t="s">
        <v>1243</v>
      </c>
      <c r="B253" t="str">
        <f>B102</f>
        <v xml:space="preserve"> Short Term (1-3 Years)</v>
      </c>
      <c r="C253" s="40">
        <v>4</v>
      </c>
      <c r="D253" s="40">
        <v>4</v>
      </c>
      <c r="E253">
        <v>4</v>
      </c>
      <c r="F253" s="47">
        <f>$O$162</f>
        <v>0.25</v>
      </c>
      <c r="G253" s="48"/>
    </row>
    <row r="254" spans="1:9">
      <c r="A254" s="40" t="s">
        <v>1244</v>
      </c>
      <c r="B254" t="str">
        <f t="shared" ref="B254:B256" si="12">B103</f>
        <v xml:space="preserve"> Medium Term (3-5 Years)</v>
      </c>
      <c r="C254" s="40">
        <v>4</v>
      </c>
      <c r="D254" s="40">
        <v>4</v>
      </c>
      <c r="E254">
        <v>4</v>
      </c>
      <c r="F254" s="47">
        <f>$O$162</f>
        <v>0.25</v>
      </c>
      <c r="G254" s="48"/>
    </row>
    <row r="255" spans="1:9">
      <c r="A255" s="40" t="s">
        <v>1245</v>
      </c>
      <c r="B255" t="str">
        <f t="shared" si="12"/>
        <v xml:space="preserve"> Long Term (Over 5 Years)</v>
      </c>
      <c r="C255" s="40">
        <v>4</v>
      </c>
      <c r="D255" s="40">
        <v>4</v>
      </c>
      <c r="E255">
        <v>4</v>
      </c>
      <c r="F255" s="47">
        <f>$O$162</f>
        <v>0.25</v>
      </c>
      <c r="G255" s="48"/>
    </row>
    <row r="256" spans="1:9">
      <c r="A256" s="40" t="s">
        <v>1246</v>
      </c>
      <c r="B256" t="str">
        <f t="shared" si="12"/>
        <v xml:space="preserve"> No or Incomplete Time Limit</v>
      </c>
      <c r="C256" s="40">
        <v>4</v>
      </c>
      <c r="D256" s="40">
        <v>4</v>
      </c>
      <c r="E256">
        <v>4</v>
      </c>
      <c r="F256" s="47">
        <f>$O$162</f>
        <v>0.25</v>
      </c>
      <c r="G256" s="48"/>
    </row>
    <row r="257" spans="1:9">
      <c r="A257" s="40" t="s">
        <v>1157</v>
      </c>
      <c r="B257" t="s">
        <v>1128</v>
      </c>
      <c r="F257" s="47">
        <f t="shared" ref="F257:F262" si="13">$O$163</f>
        <v>0.75</v>
      </c>
      <c r="G257" s="48">
        <f>F163</f>
        <v>5</v>
      </c>
      <c r="H257" s="40" t="str">
        <f>G163</f>
        <v>监管要求</v>
      </c>
      <c r="I257" s="40">
        <f>H163</f>
        <v>3</v>
      </c>
    </row>
    <row r="258" spans="1:9">
      <c r="A258" s="40" t="s">
        <v>1247</v>
      </c>
      <c r="B258" t="str">
        <f>B107</f>
        <v xml:space="preserve"> Supervision Reserve Fund</v>
      </c>
      <c r="C258" s="40">
        <v>4</v>
      </c>
      <c r="D258" s="40">
        <v>4</v>
      </c>
      <c r="E258">
        <v>4</v>
      </c>
      <c r="F258" s="47">
        <f t="shared" si="13"/>
        <v>0.75</v>
      </c>
      <c r="G258" s="48"/>
    </row>
    <row r="259" spans="1:9">
      <c r="A259" s="40" t="s">
        <v>1248</v>
      </c>
      <c r="B259" t="str">
        <f t="shared" ref="B259:B262" si="14">B108</f>
        <v xml:space="preserve"> Key Supervision</v>
      </c>
      <c r="C259" s="40">
        <v>4</v>
      </c>
      <c r="D259" s="40">
        <v>4</v>
      </c>
      <c r="E259">
        <v>4</v>
      </c>
      <c r="F259" s="47">
        <f t="shared" si="13"/>
        <v>0.75</v>
      </c>
      <c r="G259" s="48"/>
    </row>
    <row r="260" spans="1:9">
      <c r="A260" s="40" t="s">
        <v>1249</v>
      </c>
      <c r="B260" t="str">
        <f t="shared" si="14"/>
        <v xml:space="preserve"> Letter of Credit Substitution</v>
      </c>
      <c r="C260" s="40">
        <v>4</v>
      </c>
      <c r="D260" s="40">
        <v>3</v>
      </c>
      <c r="E260">
        <v>4</v>
      </c>
      <c r="F260" s="47">
        <f t="shared" si="13"/>
        <v>0.75</v>
      </c>
      <c r="G260" s="48"/>
    </row>
    <row r="261" spans="1:9">
      <c r="A261" s="40" t="s">
        <v>1250</v>
      </c>
      <c r="B261" t="str">
        <f t="shared" si="14"/>
        <v xml:space="preserve"> Supervision Ratio</v>
      </c>
      <c r="C261" s="40">
        <v>4</v>
      </c>
      <c r="D261" s="40">
        <v>4</v>
      </c>
      <c r="E261">
        <v>4</v>
      </c>
      <c r="F261" s="47">
        <f t="shared" si="13"/>
        <v>0.75</v>
      </c>
      <c r="G261" s="48"/>
    </row>
    <row r="262" spans="1:9">
      <c r="A262" s="40" t="s">
        <v>1251</v>
      </c>
      <c r="B262" t="str">
        <f t="shared" si="14"/>
        <v xml:space="preserve"> Supplementary Supervision Agreement</v>
      </c>
      <c r="C262" s="40">
        <v>3</v>
      </c>
      <c r="D262" s="40">
        <v>4</v>
      </c>
      <c r="E262">
        <v>4</v>
      </c>
      <c r="F262" s="47">
        <f t="shared" si="13"/>
        <v>0.75</v>
      </c>
      <c r="G262" s="48"/>
    </row>
    <row r="263" spans="1:9">
      <c r="A263" s="40" t="s">
        <v>1158</v>
      </c>
      <c r="B263" t="s">
        <v>1129</v>
      </c>
      <c r="F263" s="47">
        <f>$O$164</f>
        <v>0.41666666666666669</v>
      </c>
      <c r="G263" s="48">
        <f>F164</f>
        <v>0</v>
      </c>
      <c r="H263" s="40">
        <f>G164</f>
        <v>0</v>
      </c>
      <c r="I263" s="40">
        <f>H164</f>
        <v>0</v>
      </c>
    </row>
    <row r="264" spans="1:9">
      <c r="A264" s="40" t="s">
        <v>1252</v>
      </c>
      <c r="B264" t="str">
        <f>B113</f>
        <v xml:space="preserve"> Release after First Property Registration</v>
      </c>
      <c r="C264" s="40">
        <v>3</v>
      </c>
      <c r="D264" s="40">
        <v>1</v>
      </c>
      <c r="E264">
        <v>3</v>
      </c>
      <c r="F264" s="47">
        <f>$O$164</f>
        <v>0.41666666666666669</v>
      </c>
      <c r="G264" s="48"/>
    </row>
    <row r="265" spans="1:9">
      <c r="A265" s="40" t="s">
        <v>1253</v>
      </c>
      <c r="B265" t="str">
        <f>B114</f>
        <v xml:space="preserve"> Release after Completion and Readiness</v>
      </c>
      <c r="C265" s="40">
        <v>3</v>
      </c>
      <c r="D265" s="40">
        <v>1</v>
      </c>
      <c r="E265">
        <v>3</v>
      </c>
      <c r="F265" s="47">
        <f>$O$164</f>
        <v>0.41666666666666669</v>
      </c>
      <c r="G265" s="48"/>
    </row>
    <row r="266" spans="1:9">
      <c r="A266" s="40" t="s">
        <v>1159</v>
      </c>
      <c r="B266" t="s">
        <v>1130</v>
      </c>
      <c r="F266" s="47">
        <f t="shared" ref="F266:F271" si="15">$O$165</f>
        <v>0.41666666666666669</v>
      </c>
      <c r="G266" s="48">
        <f>F165</f>
        <v>0</v>
      </c>
      <c r="H266" s="40">
        <f>G165</f>
        <v>0</v>
      </c>
      <c r="I266" s="40">
        <f>H165</f>
        <v>0</v>
      </c>
    </row>
    <row r="267" spans="1:9">
      <c r="A267" s="40" t="s">
        <v>1254</v>
      </c>
      <c r="B267" t="str">
        <f>B116</f>
        <v xml:space="preserve"> Pre-sale to Two-thirds of the Structure</v>
      </c>
      <c r="C267" s="40">
        <v>4</v>
      </c>
      <c r="D267" s="40">
        <v>4</v>
      </c>
      <c r="E267">
        <v>4</v>
      </c>
      <c r="F267" s="47">
        <f t="shared" si="15"/>
        <v>0.41666666666666669</v>
      </c>
      <c r="G267" s="48"/>
    </row>
    <row r="268" spans="1:9">
      <c r="A268" s="40" t="s">
        <v>1255</v>
      </c>
      <c r="B268" t="str">
        <f t="shared" ref="B268:B271" si="16">B117</f>
        <v xml:space="preserve"> Two-thirds of the Structure to Capping</v>
      </c>
      <c r="C268" s="40">
        <v>4</v>
      </c>
      <c r="D268" s="40">
        <v>4</v>
      </c>
      <c r="E268">
        <v>4</v>
      </c>
      <c r="F268" s="47">
        <f t="shared" si="15"/>
        <v>0.41666666666666669</v>
      </c>
      <c r="G268" s="48"/>
    </row>
    <row r="269" spans="1:9">
      <c r="A269" s="40" t="s">
        <v>1256</v>
      </c>
      <c r="B269" t="str">
        <f t="shared" si="16"/>
        <v xml:space="preserve"> Capping to Exterior Walls</v>
      </c>
      <c r="C269" s="40">
        <v>4</v>
      </c>
      <c r="D269" s="40">
        <v>4</v>
      </c>
      <c r="E269">
        <v>4</v>
      </c>
      <c r="F269" s="47">
        <f t="shared" si="15"/>
        <v>0.41666666666666669</v>
      </c>
      <c r="G269" s="48"/>
    </row>
    <row r="270" spans="1:9">
      <c r="A270" s="40" t="s">
        <v>1257</v>
      </c>
      <c r="B270" t="str">
        <f t="shared" si="16"/>
        <v xml:space="preserve"> Exterior Walls to Completion and Readiness</v>
      </c>
      <c r="C270" s="40">
        <v>4</v>
      </c>
      <c r="D270" s="40">
        <v>4</v>
      </c>
      <c r="E270">
        <v>4</v>
      </c>
      <c r="F270" s="47">
        <f t="shared" si="15"/>
        <v>0.41666666666666669</v>
      </c>
      <c r="G270" s="48"/>
    </row>
    <row r="271" spans="1:9">
      <c r="A271" s="40" t="s">
        <v>1258</v>
      </c>
      <c r="B271" t="str">
        <f t="shared" si="16"/>
        <v xml:space="preserve"> Completion and Readiness to Initial Registration</v>
      </c>
      <c r="C271" s="40">
        <v>4</v>
      </c>
      <c r="D271" s="40">
        <v>3</v>
      </c>
      <c r="E271">
        <v>4</v>
      </c>
      <c r="F271" s="47">
        <f t="shared" si="15"/>
        <v>0.41666666666666669</v>
      </c>
      <c r="G271" s="48"/>
    </row>
    <row r="272" spans="1:9">
      <c r="A272" s="40" t="s">
        <v>1160</v>
      </c>
      <c r="B272" t="s">
        <v>1131</v>
      </c>
      <c r="F272" s="47">
        <f t="shared" ref="F272:F277" si="17">$O$166</f>
        <v>0.41666666666666669</v>
      </c>
      <c r="G272" s="48">
        <f>F166</f>
        <v>0</v>
      </c>
      <c r="H272" s="40">
        <f>G166</f>
        <v>0</v>
      </c>
      <c r="I272" s="40">
        <f>H166</f>
        <v>0</v>
      </c>
    </row>
    <row r="273" spans="1:9">
      <c r="A273" s="40" t="s">
        <v>1259</v>
      </c>
      <c r="B273" t="str">
        <f>B122</f>
        <v xml:space="preserve"> Wages for Migrant Workers</v>
      </c>
      <c r="C273" s="40">
        <v>4</v>
      </c>
      <c r="D273" s="40">
        <v>4</v>
      </c>
      <c r="E273">
        <v>4</v>
      </c>
      <c r="F273" s="47">
        <f t="shared" si="17"/>
        <v>0.41666666666666669</v>
      </c>
      <c r="G273" s="48"/>
    </row>
    <row r="274" spans="1:9">
      <c r="A274" s="40" t="s">
        <v>1260</v>
      </c>
      <c r="B274" t="str">
        <f t="shared" ref="B274:B277" si="18">B123</f>
        <v xml:space="preserve"> Taxes</v>
      </c>
      <c r="C274" s="40">
        <v>1</v>
      </c>
      <c r="D274" s="40">
        <v>3</v>
      </c>
      <c r="E274">
        <v>3</v>
      </c>
      <c r="F274" s="47">
        <f t="shared" si="17"/>
        <v>0.41666666666666669</v>
      </c>
      <c r="G274" s="48"/>
    </row>
    <row r="275" spans="1:9">
      <c r="A275" s="40" t="s">
        <v>1261</v>
      </c>
      <c r="B275" t="str">
        <f t="shared" si="18"/>
        <v xml:space="preserve"> Loan Repayment</v>
      </c>
      <c r="C275" s="40">
        <v>4</v>
      </c>
      <c r="D275" s="40">
        <v>4</v>
      </c>
      <c r="E275">
        <v>4</v>
      </c>
      <c r="F275" s="47">
        <f t="shared" si="17"/>
        <v>0.41666666666666669</v>
      </c>
      <c r="G275" s="48"/>
    </row>
    <row r="276" spans="1:9">
      <c r="A276" s="40" t="s">
        <v>1262</v>
      </c>
      <c r="B276" t="str">
        <f t="shared" si="18"/>
        <v xml:space="preserve"> Refund Preparation Fund</v>
      </c>
      <c r="C276" s="40">
        <v>4</v>
      </c>
      <c r="D276" s="40">
        <v>4</v>
      </c>
      <c r="E276">
        <v>4</v>
      </c>
      <c r="F276" s="47">
        <f t="shared" si="17"/>
        <v>0.41666666666666669</v>
      </c>
      <c r="G276" s="48"/>
    </row>
    <row r="277" spans="1:9">
      <c r="A277" s="40" t="s">
        <v>1263</v>
      </c>
      <c r="B277" t="str">
        <f t="shared" si="18"/>
        <v xml:space="preserve"> Engineering and Material Costs</v>
      </c>
      <c r="C277" s="40">
        <v>4</v>
      </c>
      <c r="D277" s="40">
        <v>4</v>
      </c>
      <c r="E277">
        <v>4</v>
      </c>
      <c r="F277" s="47">
        <f t="shared" si="17"/>
        <v>0.41666666666666669</v>
      </c>
      <c r="G277" s="48"/>
    </row>
    <row r="278" spans="1:9">
      <c r="A278" s="40" t="s">
        <v>1161</v>
      </c>
      <c r="B278" t="s">
        <v>1132</v>
      </c>
      <c r="F278" s="47">
        <f>$O$167</f>
        <v>1</v>
      </c>
      <c r="G278" s="48">
        <f>F167</f>
        <v>5</v>
      </c>
      <c r="H278" s="40" t="str">
        <f>G167</f>
        <v>放宽条件</v>
      </c>
      <c r="I278" s="40">
        <f>H167</f>
        <v>8</v>
      </c>
    </row>
    <row r="279" spans="1:9">
      <c r="A279" s="40" t="s">
        <v>1264</v>
      </c>
      <c r="B279" t="str">
        <f>B132</f>
        <v xml:space="preserve"> Relaxation Conditions</v>
      </c>
      <c r="C279" s="40">
        <v>4</v>
      </c>
      <c r="D279" s="40">
        <v>3</v>
      </c>
      <c r="E279">
        <v>4</v>
      </c>
      <c r="F279" s="47">
        <f>$O$167</f>
        <v>1</v>
      </c>
      <c r="G279" s="48"/>
    </row>
    <row r="280" spans="1:9">
      <c r="A280" s="40" t="s">
        <v>1265</v>
      </c>
      <c r="B280" t="str">
        <f>B133</f>
        <v xml:space="preserve"> Relaxation for Housing Provident Fund</v>
      </c>
      <c r="C280" s="40">
        <v>4</v>
      </c>
      <c r="D280" s="40">
        <v>3</v>
      </c>
      <c r="E280">
        <v>4</v>
      </c>
      <c r="F280" s="47">
        <f>$O$167</f>
        <v>1</v>
      </c>
      <c r="G280" s="48"/>
    </row>
    <row r="281" spans="1:9">
      <c r="A281" s="40" t="s">
        <v>1162</v>
      </c>
      <c r="B281" t="s">
        <v>1133</v>
      </c>
      <c r="F281" s="47">
        <f t="shared" ref="F281:F286" si="19">$O$168</f>
        <v>0.75</v>
      </c>
      <c r="G281" s="48">
        <f>F168</f>
        <v>5</v>
      </c>
      <c r="H281" s="40" t="str">
        <f>G168</f>
        <v>附加担保</v>
      </c>
      <c r="I281" s="40">
        <f>H168</f>
        <v>9</v>
      </c>
    </row>
    <row r="282" spans="1:9">
      <c r="A282" s="40" t="s">
        <v>1266</v>
      </c>
      <c r="B282" t="str">
        <f>B135</f>
        <v xml:space="preserve"> Additional Quality Security</v>
      </c>
      <c r="C282" s="40">
        <v>4</v>
      </c>
      <c r="D282" s="40">
        <v>3</v>
      </c>
      <c r="E282">
        <v>4</v>
      </c>
      <c r="F282" s="47">
        <f t="shared" si="19"/>
        <v>0.75</v>
      </c>
      <c r="G282" s="48"/>
    </row>
    <row r="283" spans="1:9">
      <c r="A283" s="40" t="s">
        <v>1267</v>
      </c>
      <c r="B283" t="str">
        <f>B136</f>
        <v xml:space="preserve"> Increase in Image Progress Requirements</v>
      </c>
      <c r="C283" s="40">
        <v>4</v>
      </c>
      <c r="D283" s="40">
        <v>3</v>
      </c>
      <c r="E283">
        <v>4</v>
      </c>
      <c r="F283" s="47">
        <f t="shared" si="19"/>
        <v>0.75</v>
      </c>
      <c r="G283" s="48"/>
    </row>
    <row r="284" spans="1:9">
      <c r="A284" s="40" t="s">
        <v>1268</v>
      </c>
      <c r="B284" t="str">
        <f>B137</f>
        <v xml:space="preserve"> Additional Security for Delivery Assurance</v>
      </c>
      <c r="C284" s="40">
        <v>4</v>
      </c>
      <c r="D284" s="40">
        <v>3</v>
      </c>
      <c r="E284">
        <v>4</v>
      </c>
      <c r="F284" s="47">
        <f t="shared" si="19"/>
        <v>0.75</v>
      </c>
      <c r="G284" s="48"/>
    </row>
    <row r="285" spans="1:9">
      <c r="A285" s="40" t="s">
        <v>1269</v>
      </c>
      <c r="B285" t="str">
        <f>B138</f>
        <v xml:space="preserve"> Area Difference Security</v>
      </c>
      <c r="C285" s="40">
        <v>4</v>
      </c>
      <c r="D285" s="40">
        <v>3</v>
      </c>
      <c r="E285">
        <v>3</v>
      </c>
      <c r="F285" s="47">
        <f t="shared" si="19"/>
        <v>0.75</v>
      </c>
      <c r="G285" s="48"/>
    </row>
    <row r="286" spans="1:9">
      <c r="A286" s="40" t="s">
        <v>1270</v>
      </c>
      <c r="B286" t="str">
        <f>B139</f>
        <v xml:space="preserve"> Security for General Contractor's Final Payment</v>
      </c>
      <c r="C286" s="40">
        <v>4</v>
      </c>
      <c r="D286" s="40">
        <v>3</v>
      </c>
      <c r="E286">
        <v>3</v>
      </c>
      <c r="F286" s="47">
        <f t="shared" si="19"/>
        <v>0.75</v>
      </c>
      <c r="G286" s="48"/>
    </row>
    <row r="287" spans="1:9">
      <c r="A287" s="40" t="s">
        <v>1163</v>
      </c>
      <c r="B287" t="s">
        <v>1105</v>
      </c>
      <c r="F287" s="47">
        <f>$O$169</f>
        <v>0.31451985913875652</v>
      </c>
      <c r="G287" s="48">
        <f>F169</f>
        <v>0</v>
      </c>
      <c r="H287" s="40">
        <f>G169</f>
        <v>0</v>
      </c>
      <c r="I287" s="40">
        <f>H169</f>
        <v>0</v>
      </c>
    </row>
    <row r="288" spans="1:9">
      <c r="A288" s="40" t="s">
        <v>1271</v>
      </c>
      <c r="B288" t="str">
        <f>B21</f>
        <v xml:space="preserve">Determine supervision quotas </v>
      </c>
      <c r="C288" s="40">
        <v>3</v>
      </c>
      <c r="D288" s="40">
        <v>4</v>
      </c>
      <c r="E288">
        <v>3</v>
      </c>
      <c r="F288" s="47">
        <f>$O$169</f>
        <v>0.31451985913875652</v>
      </c>
      <c r="G288" s="48"/>
    </row>
    <row r="289" spans="1:43">
      <c r="A289" s="40" t="s">
        <v>1272</v>
      </c>
      <c r="B289" t="str">
        <f>B22</f>
        <v xml:space="preserve">Supervise fund use </v>
      </c>
      <c r="C289" s="40">
        <v>3</v>
      </c>
      <c r="D289" s="40">
        <v>4</v>
      </c>
      <c r="E289">
        <v>3</v>
      </c>
      <c r="F289" s="47">
        <f>$O$169</f>
        <v>0.31451985913875652</v>
      </c>
      <c r="G289" s="48"/>
    </row>
    <row r="291" spans="1:43">
      <c r="A291" s="40" t="s">
        <v>1276</v>
      </c>
    </row>
    <row r="292" spans="1:43">
      <c r="A292" s="40" t="s">
        <v>1292</v>
      </c>
      <c r="B292" s="40" t="s">
        <v>1294</v>
      </c>
      <c r="C292" s="40" t="str">
        <f>matrix!B1</f>
        <v>白沙县</v>
      </c>
      <c r="D292" s="40" t="str">
        <f>matrix!C1</f>
        <v>北海市</v>
      </c>
      <c r="E292" s="40" t="str">
        <f>matrix!D1</f>
        <v>北京市</v>
      </c>
      <c r="F292" s="40" t="str">
        <f>matrix!E1</f>
        <v>澄迈县</v>
      </c>
      <c r="G292" s="40" t="str">
        <f>matrix!F1</f>
        <v>儋州市</v>
      </c>
      <c r="H292" s="40" t="str">
        <f>matrix!G1</f>
        <v>定安县</v>
      </c>
      <c r="I292" s="40" t="str">
        <f>matrix!H1</f>
        <v>东方市</v>
      </c>
      <c r="J292" s="40" t="str">
        <f>matrix!I1</f>
        <v>东莞</v>
      </c>
      <c r="K292" s="40" t="str">
        <f>matrix!J1</f>
        <v>东营市</v>
      </c>
      <c r="L292" s="40" t="str">
        <f>matrix!K1</f>
        <v>佛山市</v>
      </c>
      <c r="M292" s="40" t="str">
        <f>matrix!L1</f>
        <v>广州市</v>
      </c>
      <c r="N292" s="40" t="str">
        <f>matrix!M1</f>
        <v>海口市</v>
      </c>
      <c r="O292" s="40" t="str">
        <f>matrix!N1</f>
        <v>合肥市</v>
      </c>
      <c r="P292" s="40" t="str">
        <f>matrix!O1</f>
        <v>惠州</v>
      </c>
      <c r="Q292" s="40" t="str">
        <f>matrix!P1</f>
        <v>九江市</v>
      </c>
      <c r="R292" s="40" t="str">
        <f>matrix!Q1</f>
        <v>兰州</v>
      </c>
      <c r="S292" s="40" t="str">
        <f>matrix!R1</f>
        <v>乐东县</v>
      </c>
      <c r="T292" s="40" t="str">
        <f>matrix!S1</f>
        <v>乐山市</v>
      </c>
      <c r="U292" s="40" t="str">
        <f>matrix!T1</f>
        <v>丽水市</v>
      </c>
      <c r="V292" s="40" t="str">
        <f>matrix!U1</f>
        <v>临高</v>
      </c>
      <c r="W292" s="40" t="str">
        <f>matrix!V1</f>
        <v>陵水</v>
      </c>
      <c r="X292" s="40" t="str">
        <f>matrix!W1</f>
        <v>六安</v>
      </c>
      <c r="Y292" s="40" t="str">
        <f>matrix!X1</f>
        <v>清远市</v>
      </c>
      <c r="Z292" s="40" t="str">
        <f>matrix!Y1</f>
        <v>琼海市</v>
      </c>
      <c r="AA292" s="40" t="str">
        <f>matrix!Z1</f>
        <v>琼中县</v>
      </c>
      <c r="AB292" s="40" t="str">
        <f>matrix!AA1</f>
        <v>汕头市2</v>
      </c>
      <c r="AC292" s="40" t="str">
        <f>matrix!AB1</f>
        <v>上海</v>
      </c>
      <c r="AD292" s="40" t="str">
        <f>matrix!AC1</f>
        <v>上饶</v>
      </c>
      <c r="AE292" s="40" t="str">
        <f>matrix!AD1</f>
        <v>韶关</v>
      </c>
      <c r="AF292" s="40" t="str">
        <f>matrix!AE1</f>
        <v>深圳市</v>
      </c>
      <c r="AG292" s="40" t="str">
        <f>matrix!AF1</f>
        <v>万宁市</v>
      </c>
      <c r="AH292" s="40" t="str">
        <f>matrix!AG1</f>
        <v>文昌市</v>
      </c>
      <c r="AI292" s="40" t="str">
        <f>matrix!AH1</f>
        <v>五指山</v>
      </c>
      <c r="AJ292" s="40" t="str">
        <f>matrix!AI1</f>
        <v>信阳市</v>
      </c>
      <c r="AK292" s="40" t="str">
        <f>matrix!AJ1</f>
        <v>义乌</v>
      </c>
      <c r="AL292" s="40" t="str">
        <f>matrix!AK1</f>
        <v>肇庆市</v>
      </c>
      <c r="AM292" s="40" t="str">
        <f>matrix!AL1</f>
        <v>中山</v>
      </c>
      <c r="AN292" s="40" t="str">
        <f>matrix!AM1</f>
        <v>中卫</v>
      </c>
      <c r="AO292" s="40" t="str">
        <f>matrix!AN1</f>
        <v>珠海市</v>
      </c>
      <c r="AP292" s="40" t="str">
        <f>matrix!AO1</f>
        <v>屯昌县</v>
      </c>
      <c r="AQ292" s="40" t="str">
        <f>matrix!AP1</f>
        <v>昌江县</v>
      </c>
    </row>
    <row r="293" spans="1:43">
      <c r="A293" s="40" t="s">
        <v>1278</v>
      </c>
      <c r="B293" s="40" t="str">
        <f>B245</f>
        <v>Policy Issuing Authorities</v>
      </c>
      <c r="C293" s="40">
        <f>SUM(C294:C296)</f>
        <v>1</v>
      </c>
      <c r="D293" s="40">
        <f t="shared" ref="D293:AQ293" si="20">SUM(D294:D296)</f>
        <v>1</v>
      </c>
      <c r="E293" s="40">
        <f t="shared" si="20"/>
        <v>1</v>
      </c>
      <c r="F293" s="40">
        <f t="shared" si="20"/>
        <v>1</v>
      </c>
      <c r="G293" s="40">
        <f t="shared" si="20"/>
        <v>1</v>
      </c>
      <c r="H293" s="40">
        <f t="shared" si="20"/>
        <v>1</v>
      </c>
      <c r="I293" s="40">
        <f t="shared" si="20"/>
        <v>1</v>
      </c>
      <c r="J293" s="40">
        <f t="shared" si="20"/>
        <v>1</v>
      </c>
      <c r="K293" s="40">
        <f t="shared" si="20"/>
        <v>1</v>
      </c>
      <c r="L293" s="40">
        <f t="shared" si="20"/>
        <v>1</v>
      </c>
      <c r="M293" s="40">
        <f t="shared" si="20"/>
        <v>1</v>
      </c>
      <c r="N293" s="40">
        <f t="shared" si="20"/>
        <v>0</v>
      </c>
      <c r="O293" s="40">
        <f t="shared" si="20"/>
        <v>1</v>
      </c>
      <c r="P293" s="40">
        <f t="shared" si="20"/>
        <v>1</v>
      </c>
      <c r="Q293" s="40">
        <f t="shared" si="20"/>
        <v>1</v>
      </c>
      <c r="R293" s="40">
        <f t="shared" si="20"/>
        <v>1</v>
      </c>
      <c r="S293" s="40">
        <f t="shared" si="20"/>
        <v>1</v>
      </c>
      <c r="T293" s="40">
        <f t="shared" si="20"/>
        <v>1</v>
      </c>
      <c r="U293" s="40">
        <f t="shared" si="20"/>
        <v>1</v>
      </c>
      <c r="V293" s="40">
        <f t="shared" si="20"/>
        <v>1</v>
      </c>
      <c r="W293" s="40">
        <f t="shared" si="20"/>
        <v>2</v>
      </c>
      <c r="X293" s="40">
        <f t="shared" si="20"/>
        <v>1</v>
      </c>
      <c r="Y293" s="40">
        <f t="shared" si="20"/>
        <v>1</v>
      </c>
      <c r="Z293" s="40">
        <f t="shared" si="20"/>
        <v>1</v>
      </c>
      <c r="AA293" s="40">
        <f t="shared" si="20"/>
        <v>1</v>
      </c>
      <c r="AB293" s="40">
        <f t="shared" si="20"/>
        <v>1</v>
      </c>
      <c r="AC293" s="40">
        <f t="shared" si="20"/>
        <v>1</v>
      </c>
      <c r="AD293" s="40">
        <f t="shared" si="20"/>
        <v>1</v>
      </c>
      <c r="AE293" s="40">
        <f t="shared" si="20"/>
        <v>1</v>
      </c>
      <c r="AF293" s="40">
        <f t="shared" si="20"/>
        <v>1</v>
      </c>
      <c r="AG293" s="40">
        <f t="shared" si="20"/>
        <v>1</v>
      </c>
      <c r="AH293" s="40">
        <f t="shared" si="20"/>
        <v>1</v>
      </c>
      <c r="AI293" s="40">
        <f t="shared" si="20"/>
        <v>1</v>
      </c>
      <c r="AJ293" s="40">
        <f t="shared" si="20"/>
        <v>1</v>
      </c>
      <c r="AK293" s="40">
        <f t="shared" si="20"/>
        <v>1</v>
      </c>
      <c r="AL293" s="40">
        <f t="shared" si="20"/>
        <v>1</v>
      </c>
      <c r="AM293" s="40">
        <f t="shared" si="20"/>
        <v>1</v>
      </c>
      <c r="AN293" s="40">
        <f t="shared" si="20"/>
        <v>1</v>
      </c>
      <c r="AO293" s="40">
        <f t="shared" si="20"/>
        <v>1</v>
      </c>
      <c r="AP293" s="40">
        <f t="shared" si="20"/>
        <v>1</v>
      </c>
      <c r="AQ293" s="40">
        <f t="shared" si="20"/>
        <v>1</v>
      </c>
    </row>
    <row r="294" spans="1:43">
      <c r="A294" s="40" t="s">
        <v>1314</v>
      </c>
      <c r="B294" s="40" t="str">
        <f>B246</f>
        <v xml:space="preserve">Provincial </v>
      </c>
      <c r="C294" s="40">
        <f>matrix!B4</f>
        <v>0</v>
      </c>
      <c r="D294" s="40">
        <f>matrix!C4</f>
        <v>0</v>
      </c>
      <c r="E294" s="40">
        <f>matrix!D4</f>
        <v>1</v>
      </c>
      <c r="F294" s="40">
        <f>matrix!E4</f>
        <v>0</v>
      </c>
      <c r="G294" s="40">
        <f>matrix!F4</f>
        <v>0</v>
      </c>
      <c r="H294" s="40">
        <f>matrix!G4</f>
        <v>1</v>
      </c>
      <c r="I294" s="40">
        <f>matrix!H4</f>
        <v>0</v>
      </c>
      <c r="J294" s="40">
        <f>matrix!I4</f>
        <v>0</v>
      </c>
      <c r="K294" s="40">
        <f>matrix!J4</f>
        <v>0</v>
      </c>
      <c r="L294" s="40">
        <f>matrix!K4</f>
        <v>0</v>
      </c>
      <c r="M294" s="40">
        <f>matrix!L4</f>
        <v>0</v>
      </c>
      <c r="N294" s="40">
        <f>matrix!M4</f>
        <v>0</v>
      </c>
      <c r="O294" s="40">
        <f>matrix!N4</f>
        <v>0</v>
      </c>
      <c r="P294" s="40">
        <f>matrix!O4</f>
        <v>0</v>
      </c>
      <c r="Q294" s="40">
        <f>matrix!P4</f>
        <v>0</v>
      </c>
      <c r="R294" s="40">
        <f>matrix!Q4</f>
        <v>0</v>
      </c>
      <c r="S294" s="40">
        <f>matrix!R4</f>
        <v>0</v>
      </c>
      <c r="T294" s="40">
        <f>matrix!S4</f>
        <v>0</v>
      </c>
      <c r="U294" s="40">
        <f>matrix!T4</f>
        <v>1</v>
      </c>
      <c r="V294" s="40">
        <f>matrix!U4</f>
        <v>1</v>
      </c>
      <c r="W294" s="40">
        <f>matrix!V4</f>
        <v>1</v>
      </c>
      <c r="X294" s="40">
        <f>matrix!W4</f>
        <v>0</v>
      </c>
      <c r="Y294" s="40">
        <f>matrix!X4</f>
        <v>0</v>
      </c>
      <c r="Z294" s="40">
        <f>matrix!Y4</f>
        <v>0</v>
      </c>
      <c r="AA294" s="40">
        <f>matrix!Z4</f>
        <v>0</v>
      </c>
      <c r="AB294" s="40">
        <f>matrix!AA4</f>
        <v>0</v>
      </c>
      <c r="AC294" s="40">
        <f>matrix!AB4</f>
        <v>0</v>
      </c>
      <c r="AD294" s="40">
        <f>matrix!AC4</f>
        <v>0</v>
      </c>
      <c r="AE294" s="40">
        <f>matrix!AD4</f>
        <v>0</v>
      </c>
      <c r="AF294" s="40">
        <f>matrix!AE4</f>
        <v>0</v>
      </c>
      <c r="AG294" s="40">
        <f>matrix!AF4</f>
        <v>0</v>
      </c>
      <c r="AH294" s="40">
        <f>matrix!AG4</f>
        <v>1</v>
      </c>
      <c r="AI294" s="40">
        <f>matrix!AH4</f>
        <v>1</v>
      </c>
      <c r="AJ294" s="40">
        <f>matrix!AI4</f>
        <v>0</v>
      </c>
      <c r="AK294" s="40">
        <f>matrix!AJ4</f>
        <v>1</v>
      </c>
      <c r="AL294" s="40">
        <f>matrix!AK4</f>
        <v>0</v>
      </c>
      <c r="AM294" s="40">
        <f>matrix!AL4</f>
        <v>0</v>
      </c>
      <c r="AN294" s="40">
        <f>matrix!AM4</f>
        <v>0</v>
      </c>
      <c r="AO294" s="40">
        <f>matrix!AN4</f>
        <v>0</v>
      </c>
      <c r="AP294" s="40">
        <f>matrix!AO4</f>
        <v>1</v>
      </c>
      <c r="AQ294" s="40">
        <f>matrix!AP4</f>
        <v>1</v>
      </c>
    </row>
    <row r="295" spans="1:43">
      <c r="A295" s="40" t="s">
        <v>1315</v>
      </c>
      <c r="B295" s="40" t="str">
        <f>B247</f>
        <v xml:space="preserve">Municipal </v>
      </c>
      <c r="C295" s="40">
        <f>matrix!B5</f>
        <v>0</v>
      </c>
      <c r="D295" s="40">
        <f>matrix!C5</f>
        <v>1</v>
      </c>
      <c r="E295" s="40">
        <f>matrix!D5</f>
        <v>0</v>
      </c>
      <c r="F295" s="40">
        <f>matrix!E5</f>
        <v>0</v>
      </c>
      <c r="G295" s="40">
        <f>matrix!F5</f>
        <v>1</v>
      </c>
      <c r="H295" s="40">
        <f>matrix!G5</f>
        <v>0</v>
      </c>
      <c r="I295" s="40">
        <f>matrix!H5</f>
        <v>0</v>
      </c>
      <c r="J295" s="40">
        <f>matrix!I5</f>
        <v>1</v>
      </c>
      <c r="K295" s="40">
        <f>matrix!J5</f>
        <v>1</v>
      </c>
      <c r="L295" s="40">
        <f>matrix!K5</f>
        <v>1</v>
      </c>
      <c r="M295" s="40">
        <f>matrix!L5</f>
        <v>1</v>
      </c>
      <c r="N295" s="40">
        <f>matrix!M5</f>
        <v>0</v>
      </c>
      <c r="O295" s="40">
        <f>matrix!N5</f>
        <v>1</v>
      </c>
      <c r="P295" s="40">
        <f>matrix!O5</f>
        <v>1</v>
      </c>
      <c r="Q295" s="40">
        <f>matrix!P5</f>
        <v>1</v>
      </c>
      <c r="R295" s="40">
        <f>matrix!Q5</f>
        <v>1</v>
      </c>
      <c r="S295" s="40">
        <f>matrix!R5</f>
        <v>0</v>
      </c>
      <c r="T295" s="40">
        <f>matrix!S5</f>
        <v>1</v>
      </c>
      <c r="U295" s="40">
        <f>matrix!T5</f>
        <v>0</v>
      </c>
      <c r="V295" s="40">
        <f>matrix!U5</f>
        <v>0</v>
      </c>
      <c r="W295" s="40">
        <f>matrix!V5</f>
        <v>1</v>
      </c>
      <c r="X295" s="40">
        <f>matrix!W5</f>
        <v>1</v>
      </c>
      <c r="Y295" s="40">
        <f>matrix!X5</f>
        <v>1</v>
      </c>
      <c r="Z295" s="40">
        <f>matrix!Y5</f>
        <v>1</v>
      </c>
      <c r="AA295" s="40">
        <f>matrix!Z5</f>
        <v>0</v>
      </c>
      <c r="AB295" s="40">
        <f>matrix!AA5</f>
        <v>1</v>
      </c>
      <c r="AC295" s="40">
        <f>matrix!AB5</f>
        <v>1</v>
      </c>
      <c r="AD295" s="40">
        <f>matrix!AC5</f>
        <v>1</v>
      </c>
      <c r="AE295" s="40">
        <f>matrix!AD5</f>
        <v>1</v>
      </c>
      <c r="AF295" s="40">
        <f>matrix!AE5</f>
        <v>1</v>
      </c>
      <c r="AG295" s="40">
        <f>matrix!AF5</f>
        <v>0</v>
      </c>
      <c r="AH295" s="40">
        <f>matrix!AG5</f>
        <v>0</v>
      </c>
      <c r="AI295" s="40">
        <f>matrix!AH5</f>
        <v>0</v>
      </c>
      <c r="AJ295" s="40">
        <f>matrix!AI5</f>
        <v>1</v>
      </c>
      <c r="AK295" s="40">
        <f>matrix!AJ5</f>
        <v>0</v>
      </c>
      <c r="AL295" s="40">
        <f>matrix!AK5</f>
        <v>1</v>
      </c>
      <c r="AM295" s="40">
        <f>matrix!AL5</f>
        <v>1</v>
      </c>
      <c r="AN295" s="40">
        <f>matrix!AM5</f>
        <v>1</v>
      </c>
      <c r="AO295" s="40">
        <f>matrix!AN5</f>
        <v>1</v>
      </c>
      <c r="AP295" s="40">
        <f>matrix!AO5</f>
        <v>0</v>
      </c>
      <c r="AQ295" s="40">
        <f>matrix!AP5</f>
        <v>0</v>
      </c>
    </row>
    <row r="296" spans="1:43">
      <c r="A296" s="40" t="s">
        <v>1316</v>
      </c>
      <c r="B296" s="40" t="str">
        <f>B248</f>
        <v>Country</v>
      </c>
      <c r="C296" s="40">
        <f>matrix!B6</f>
        <v>1</v>
      </c>
      <c r="D296" s="40">
        <f>matrix!C6</f>
        <v>0</v>
      </c>
      <c r="E296" s="40">
        <f>matrix!D6</f>
        <v>0</v>
      </c>
      <c r="F296" s="40">
        <f>matrix!E6</f>
        <v>1</v>
      </c>
      <c r="G296" s="40">
        <f>matrix!F6</f>
        <v>0</v>
      </c>
      <c r="H296" s="40">
        <f>matrix!G6</f>
        <v>0</v>
      </c>
      <c r="I296" s="40">
        <f>matrix!H6</f>
        <v>1</v>
      </c>
      <c r="J296" s="40">
        <f>matrix!I6</f>
        <v>0</v>
      </c>
      <c r="K296" s="40">
        <f>matrix!J6</f>
        <v>0</v>
      </c>
      <c r="L296" s="40">
        <f>matrix!K6</f>
        <v>0</v>
      </c>
      <c r="M296" s="40">
        <f>matrix!L6</f>
        <v>0</v>
      </c>
      <c r="N296" s="40">
        <f>matrix!M6</f>
        <v>0</v>
      </c>
      <c r="O296" s="40">
        <f>matrix!N6</f>
        <v>0</v>
      </c>
      <c r="P296" s="40">
        <f>matrix!O6</f>
        <v>0</v>
      </c>
      <c r="Q296" s="40">
        <f>matrix!P6</f>
        <v>0</v>
      </c>
      <c r="R296" s="40">
        <f>matrix!Q6</f>
        <v>0</v>
      </c>
      <c r="S296" s="40">
        <f>matrix!R6</f>
        <v>1</v>
      </c>
      <c r="T296" s="40">
        <f>matrix!S6</f>
        <v>0</v>
      </c>
      <c r="U296" s="40">
        <f>matrix!T6</f>
        <v>0</v>
      </c>
      <c r="V296" s="40">
        <f>matrix!U6</f>
        <v>0</v>
      </c>
      <c r="W296" s="40">
        <f>matrix!V6</f>
        <v>0</v>
      </c>
      <c r="X296" s="40">
        <f>matrix!W6</f>
        <v>0</v>
      </c>
      <c r="Y296" s="40">
        <f>matrix!X6</f>
        <v>0</v>
      </c>
      <c r="Z296" s="40">
        <f>matrix!Y6</f>
        <v>0</v>
      </c>
      <c r="AA296" s="40">
        <f>matrix!Z6</f>
        <v>1</v>
      </c>
      <c r="AB296" s="40">
        <f>matrix!AA6</f>
        <v>0</v>
      </c>
      <c r="AC296" s="40">
        <f>matrix!AB6</f>
        <v>0</v>
      </c>
      <c r="AD296" s="40">
        <f>matrix!AC6</f>
        <v>0</v>
      </c>
      <c r="AE296" s="40">
        <f>matrix!AD6</f>
        <v>0</v>
      </c>
      <c r="AF296" s="40">
        <f>matrix!AE6</f>
        <v>0</v>
      </c>
      <c r="AG296" s="40">
        <f>matrix!AF6</f>
        <v>1</v>
      </c>
      <c r="AH296" s="40">
        <f>matrix!AG6</f>
        <v>0</v>
      </c>
      <c r="AI296" s="40">
        <f>matrix!AH6</f>
        <v>0</v>
      </c>
      <c r="AJ296" s="40">
        <f>matrix!AI6</f>
        <v>0</v>
      </c>
      <c r="AK296" s="40">
        <f>matrix!AJ6</f>
        <v>0</v>
      </c>
      <c r="AL296" s="40">
        <f>matrix!AK6</f>
        <v>0</v>
      </c>
      <c r="AM296" s="40">
        <f>matrix!AL6</f>
        <v>0</v>
      </c>
      <c r="AN296" s="40">
        <f>matrix!AM6</f>
        <v>0</v>
      </c>
      <c r="AO296" s="40">
        <f>matrix!AN6</f>
        <v>0</v>
      </c>
      <c r="AP296" s="40">
        <f>matrix!AO6</f>
        <v>0</v>
      </c>
      <c r="AQ296" s="40">
        <f>matrix!AP6</f>
        <v>0</v>
      </c>
    </row>
    <row r="297" spans="1:43">
      <c r="A297" s="40" t="s">
        <v>1279</v>
      </c>
      <c r="B297" s="40" t="str">
        <f>B194</f>
        <v>Supervision Period</v>
      </c>
      <c r="C297" s="40">
        <f>SUM(C298:C301)</f>
        <v>0</v>
      </c>
      <c r="D297" s="40">
        <f t="shared" ref="D297:AQ297" si="21">SUM(D298:D301)</f>
        <v>1</v>
      </c>
      <c r="E297" s="40">
        <f t="shared" si="21"/>
        <v>1</v>
      </c>
      <c r="F297" s="40">
        <f t="shared" si="21"/>
        <v>1</v>
      </c>
      <c r="G297" s="40">
        <f t="shared" si="21"/>
        <v>1</v>
      </c>
      <c r="H297" s="40">
        <f t="shared" si="21"/>
        <v>1</v>
      </c>
      <c r="I297" s="40">
        <f t="shared" si="21"/>
        <v>1</v>
      </c>
      <c r="J297" s="40">
        <f t="shared" si="21"/>
        <v>1</v>
      </c>
      <c r="K297" s="40">
        <f t="shared" si="21"/>
        <v>1</v>
      </c>
      <c r="L297" s="40">
        <f t="shared" si="21"/>
        <v>1</v>
      </c>
      <c r="M297" s="40">
        <f t="shared" si="21"/>
        <v>1</v>
      </c>
      <c r="N297" s="40">
        <f t="shared" si="21"/>
        <v>0</v>
      </c>
      <c r="O297" s="40">
        <f t="shared" si="21"/>
        <v>2</v>
      </c>
      <c r="P297" s="40">
        <f t="shared" si="21"/>
        <v>1</v>
      </c>
      <c r="Q297" s="40">
        <f t="shared" si="21"/>
        <v>1</v>
      </c>
      <c r="R297" s="40">
        <f t="shared" si="21"/>
        <v>1</v>
      </c>
      <c r="S297" s="40">
        <f t="shared" si="21"/>
        <v>1</v>
      </c>
      <c r="T297" s="40">
        <f t="shared" si="21"/>
        <v>1</v>
      </c>
      <c r="U297" s="40">
        <f t="shared" si="21"/>
        <v>1</v>
      </c>
      <c r="V297" s="40">
        <f t="shared" si="21"/>
        <v>1</v>
      </c>
      <c r="W297" s="40">
        <f t="shared" si="21"/>
        <v>1</v>
      </c>
      <c r="X297" s="40">
        <f t="shared" si="21"/>
        <v>1</v>
      </c>
      <c r="Y297" s="40">
        <f t="shared" si="21"/>
        <v>1</v>
      </c>
      <c r="Z297" s="40">
        <f t="shared" si="21"/>
        <v>1</v>
      </c>
      <c r="AA297" s="40">
        <f t="shared" si="21"/>
        <v>1</v>
      </c>
      <c r="AB297" s="40">
        <f t="shared" si="21"/>
        <v>1</v>
      </c>
      <c r="AC297" s="40">
        <f t="shared" si="21"/>
        <v>1</v>
      </c>
      <c r="AD297" s="40">
        <f t="shared" si="21"/>
        <v>1</v>
      </c>
      <c r="AE297" s="40">
        <f t="shared" si="21"/>
        <v>0</v>
      </c>
      <c r="AF297" s="40">
        <f t="shared" si="21"/>
        <v>2</v>
      </c>
      <c r="AG297" s="40">
        <f t="shared" si="21"/>
        <v>1</v>
      </c>
      <c r="AH297" s="40">
        <f t="shared" si="21"/>
        <v>1</v>
      </c>
      <c r="AI297" s="40">
        <f t="shared" si="21"/>
        <v>1</v>
      </c>
      <c r="AJ297" s="40">
        <f t="shared" si="21"/>
        <v>1</v>
      </c>
      <c r="AK297" s="40">
        <f t="shared" si="21"/>
        <v>2</v>
      </c>
      <c r="AL297" s="40">
        <f t="shared" si="21"/>
        <v>1</v>
      </c>
      <c r="AM297" s="40">
        <f t="shared" si="21"/>
        <v>1</v>
      </c>
      <c r="AN297" s="40">
        <f t="shared" si="21"/>
        <v>1</v>
      </c>
      <c r="AO297" s="40">
        <f t="shared" si="21"/>
        <v>1</v>
      </c>
      <c r="AP297" s="40">
        <f t="shared" si="21"/>
        <v>1</v>
      </c>
      <c r="AQ297" s="40">
        <f t="shared" si="21"/>
        <v>1</v>
      </c>
    </row>
    <row r="298" spans="1:43">
      <c r="A298" s="40" t="s">
        <v>1317</v>
      </c>
      <c r="B298" s="40" t="str">
        <f t="shared" ref="B298:B305" si="22">B253</f>
        <v xml:space="preserve"> Short Term (1-3 Years)</v>
      </c>
      <c r="C298" s="40">
        <f>matrix!B10</f>
        <v>0</v>
      </c>
      <c r="D298" s="40">
        <f>matrix!C10</f>
        <v>0</v>
      </c>
      <c r="E298" s="40">
        <f>matrix!D10</f>
        <v>0</v>
      </c>
      <c r="F298" s="40">
        <f>matrix!E10</f>
        <v>0</v>
      </c>
      <c r="G298" s="40">
        <f>matrix!F10</f>
        <v>1</v>
      </c>
      <c r="H298" s="40">
        <f>matrix!G10</f>
        <v>0</v>
      </c>
      <c r="I298" s="40">
        <f>matrix!H10</f>
        <v>0</v>
      </c>
      <c r="J298" s="40">
        <f>matrix!I10</f>
        <v>0</v>
      </c>
      <c r="K298" s="40">
        <f>matrix!J10</f>
        <v>0</v>
      </c>
      <c r="L298" s="40">
        <f>matrix!K10</f>
        <v>0</v>
      </c>
      <c r="M298" s="40">
        <f>matrix!L10</f>
        <v>0</v>
      </c>
      <c r="N298" s="40">
        <f>matrix!M10</f>
        <v>0</v>
      </c>
      <c r="O298" s="40">
        <f>matrix!N10</f>
        <v>2</v>
      </c>
      <c r="P298" s="40">
        <f>matrix!O10</f>
        <v>0</v>
      </c>
      <c r="Q298" s="40">
        <f>matrix!P10</f>
        <v>0</v>
      </c>
      <c r="R298" s="40">
        <f>matrix!Q10</f>
        <v>0</v>
      </c>
      <c r="S298" s="40">
        <f>matrix!R10</f>
        <v>0</v>
      </c>
      <c r="T298" s="40">
        <f>matrix!S10</f>
        <v>0</v>
      </c>
      <c r="U298" s="40">
        <f>matrix!T10</f>
        <v>0</v>
      </c>
      <c r="V298" s="40">
        <f>matrix!U10</f>
        <v>0</v>
      </c>
      <c r="W298" s="40">
        <f>matrix!V10</f>
        <v>0</v>
      </c>
      <c r="X298" s="40">
        <f>matrix!W10</f>
        <v>0</v>
      </c>
      <c r="Y298" s="40">
        <f>matrix!X10</f>
        <v>0</v>
      </c>
      <c r="Z298" s="40">
        <f>matrix!Y10</f>
        <v>0</v>
      </c>
      <c r="AA298" s="40">
        <f>matrix!Z10</f>
        <v>1</v>
      </c>
      <c r="AB298" s="40">
        <f>matrix!AA10</f>
        <v>1</v>
      </c>
      <c r="AC298" s="40">
        <f>matrix!AB10</f>
        <v>0</v>
      </c>
      <c r="AD298" s="40">
        <f>matrix!AC10</f>
        <v>0</v>
      </c>
      <c r="AE298" s="40">
        <f>matrix!AD10</f>
        <v>0</v>
      </c>
      <c r="AF298" s="40">
        <f>matrix!AE10</f>
        <v>1</v>
      </c>
      <c r="AG298" s="40">
        <f>matrix!AF10</f>
        <v>0</v>
      </c>
      <c r="AH298" s="40">
        <f>matrix!AG10</f>
        <v>0</v>
      </c>
      <c r="AI298" s="40">
        <f>matrix!AH10</f>
        <v>0</v>
      </c>
      <c r="AJ298" s="40">
        <f>matrix!AI10</f>
        <v>0</v>
      </c>
      <c r="AK298" s="40">
        <f>matrix!AJ10</f>
        <v>0</v>
      </c>
      <c r="AL298" s="40">
        <f>matrix!AK10</f>
        <v>0</v>
      </c>
      <c r="AM298" s="40">
        <f>matrix!AL10</f>
        <v>0</v>
      </c>
      <c r="AN298" s="40">
        <f>matrix!AM10</f>
        <v>0</v>
      </c>
      <c r="AO298" s="40">
        <f>matrix!AN10</f>
        <v>1</v>
      </c>
      <c r="AP298" s="40">
        <f>matrix!AO10</f>
        <v>0</v>
      </c>
      <c r="AQ298" s="40">
        <f>matrix!AP10</f>
        <v>0</v>
      </c>
    </row>
    <row r="299" spans="1:43">
      <c r="A299" s="40" t="s">
        <v>1318</v>
      </c>
      <c r="B299" s="40" t="str">
        <f t="shared" si="22"/>
        <v xml:space="preserve"> Medium Term (3-5 Years)</v>
      </c>
      <c r="C299" s="40">
        <f>matrix!B11</f>
        <v>0</v>
      </c>
      <c r="D299" s="40">
        <f>matrix!C11</f>
        <v>0</v>
      </c>
      <c r="E299" s="40">
        <f>matrix!D11</f>
        <v>0</v>
      </c>
      <c r="F299" s="40">
        <f>matrix!E11</f>
        <v>0</v>
      </c>
      <c r="G299" s="40">
        <f>matrix!F11</f>
        <v>0</v>
      </c>
      <c r="H299" s="40">
        <f>matrix!G11</f>
        <v>0</v>
      </c>
      <c r="I299" s="40">
        <f>matrix!H11</f>
        <v>1</v>
      </c>
      <c r="J299" s="40">
        <f>matrix!I11</f>
        <v>1</v>
      </c>
      <c r="K299" s="40">
        <f>matrix!J11</f>
        <v>1</v>
      </c>
      <c r="L299" s="40">
        <f>matrix!K11</f>
        <v>1</v>
      </c>
      <c r="M299" s="40">
        <f>matrix!L11</f>
        <v>0</v>
      </c>
      <c r="N299" s="40">
        <f>matrix!M11</f>
        <v>0</v>
      </c>
      <c r="O299" s="40">
        <f>matrix!N11</f>
        <v>0</v>
      </c>
      <c r="P299" s="40">
        <f>matrix!O11</f>
        <v>1</v>
      </c>
      <c r="Q299" s="40">
        <f>matrix!P11</f>
        <v>0</v>
      </c>
      <c r="R299" s="40">
        <f>matrix!Q11</f>
        <v>1</v>
      </c>
      <c r="S299" s="40">
        <f>matrix!R11</f>
        <v>0</v>
      </c>
      <c r="T299" s="40">
        <f>matrix!S11</f>
        <v>0</v>
      </c>
      <c r="U299" s="40">
        <f>matrix!T11</f>
        <v>0</v>
      </c>
      <c r="V299" s="40">
        <f>matrix!U11</f>
        <v>0</v>
      </c>
      <c r="W299" s="40">
        <f>matrix!V11</f>
        <v>0</v>
      </c>
      <c r="X299" s="40">
        <f>matrix!W11</f>
        <v>0</v>
      </c>
      <c r="Y299" s="40">
        <f>matrix!X11</f>
        <v>1</v>
      </c>
      <c r="Z299" s="40">
        <f>matrix!Y11</f>
        <v>0</v>
      </c>
      <c r="AA299" s="40">
        <f>matrix!Z11</f>
        <v>0</v>
      </c>
      <c r="AB299" s="40">
        <f>matrix!AA11</f>
        <v>0</v>
      </c>
      <c r="AC299" s="40">
        <f>matrix!AB11</f>
        <v>0</v>
      </c>
      <c r="AD299" s="40">
        <f>matrix!AC11</f>
        <v>0</v>
      </c>
      <c r="AE299" s="40">
        <f>matrix!AD11</f>
        <v>0</v>
      </c>
      <c r="AF299" s="40">
        <f>matrix!AE11</f>
        <v>0</v>
      </c>
      <c r="AG299" s="40">
        <f>matrix!AF11</f>
        <v>0</v>
      </c>
      <c r="AH299" s="40">
        <f>matrix!AG11</f>
        <v>0</v>
      </c>
      <c r="AI299" s="40">
        <f>matrix!AH11</f>
        <v>0</v>
      </c>
      <c r="AJ299" s="40">
        <f>matrix!AI11</f>
        <v>0</v>
      </c>
      <c r="AK299" s="40">
        <f>matrix!AJ11</f>
        <v>0</v>
      </c>
      <c r="AL299" s="40">
        <f>matrix!AK11</f>
        <v>0</v>
      </c>
      <c r="AM299" s="40">
        <f>matrix!AL11</f>
        <v>1</v>
      </c>
      <c r="AN299" s="40">
        <f>matrix!AM11</f>
        <v>1</v>
      </c>
      <c r="AO299" s="40">
        <f>matrix!AN11</f>
        <v>0</v>
      </c>
      <c r="AP299" s="40">
        <f>matrix!AO11</f>
        <v>0</v>
      </c>
      <c r="AQ299" s="40">
        <f>matrix!AP11</f>
        <v>0</v>
      </c>
    </row>
    <row r="300" spans="1:43">
      <c r="A300" s="40" t="s">
        <v>1319</v>
      </c>
      <c r="B300" s="40" t="str">
        <f t="shared" si="22"/>
        <v xml:space="preserve"> Long Term (Over 5 Years)</v>
      </c>
      <c r="C300" s="40">
        <f>matrix!B12</f>
        <v>0</v>
      </c>
      <c r="D300" s="40">
        <f>matrix!C12</f>
        <v>0</v>
      </c>
      <c r="E300" s="40">
        <f>matrix!D12</f>
        <v>1</v>
      </c>
      <c r="F300" s="40">
        <f>matrix!E12</f>
        <v>0</v>
      </c>
      <c r="G300" s="40">
        <f>matrix!F12</f>
        <v>0</v>
      </c>
      <c r="H300" s="40">
        <f>matrix!G12</f>
        <v>0</v>
      </c>
      <c r="I300" s="40">
        <f>matrix!H12</f>
        <v>0</v>
      </c>
      <c r="J300" s="40">
        <f>matrix!I12</f>
        <v>0</v>
      </c>
      <c r="K300" s="40">
        <f>matrix!J12</f>
        <v>0</v>
      </c>
      <c r="L300" s="40">
        <f>matrix!K12</f>
        <v>0</v>
      </c>
      <c r="M300" s="40">
        <f>matrix!L12</f>
        <v>0</v>
      </c>
      <c r="N300" s="40">
        <f>matrix!M12</f>
        <v>0</v>
      </c>
      <c r="O300" s="40">
        <f>matrix!N12</f>
        <v>0</v>
      </c>
      <c r="P300" s="40">
        <f>matrix!O12</f>
        <v>0</v>
      </c>
      <c r="Q300" s="40">
        <f>matrix!P12</f>
        <v>0</v>
      </c>
      <c r="R300" s="40">
        <f>matrix!Q12</f>
        <v>0</v>
      </c>
      <c r="S300" s="40">
        <f>matrix!R12</f>
        <v>0</v>
      </c>
      <c r="T300" s="40">
        <f>matrix!S12</f>
        <v>1</v>
      </c>
      <c r="U300" s="40">
        <f>matrix!T12</f>
        <v>0</v>
      </c>
      <c r="V300" s="40">
        <f>matrix!U12</f>
        <v>0</v>
      </c>
      <c r="W300" s="40">
        <f>matrix!V12</f>
        <v>0</v>
      </c>
      <c r="X300" s="40">
        <f>matrix!W12</f>
        <v>0</v>
      </c>
      <c r="Y300" s="40">
        <f>matrix!X12</f>
        <v>0</v>
      </c>
      <c r="Z300" s="40">
        <f>matrix!Y12</f>
        <v>0</v>
      </c>
      <c r="AA300" s="40">
        <f>matrix!Z12</f>
        <v>0</v>
      </c>
      <c r="AB300" s="40">
        <f>matrix!AA12</f>
        <v>0</v>
      </c>
      <c r="AC300" s="40">
        <f>matrix!AB12</f>
        <v>1</v>
      </c>
      <c r="AD300" s="40">
        <f>matrix!AC12</f>
        <v>0</v>
      </c>
      <c r="AE300" s="40">
        <f>matrix!AD12</f>
        <v>0</v>
      </c>
      <c r="AF300" s="40">
        <f>matrix!AE12</f>
        <v>1</v>
      </c>
      <c r="AG300" s="40">
        <f>matrix!AF12</f>
        <v>0</v>
      </c>
      <c r="AH300" s="40">
        <f>matrix!AG12</f>
        <v>0</v>
      </c>
      <c r="AI300" s="40">
        <f>matrix!AH12</f>
        <v>0</v>
      </c>
      <c r="AJ300" s="40">
        <f>matrix!AI12</f>
        <v>0</v>
      </c>
      <c r="AK300" s="40">
        <f>matrix!AJ12</f>
        <v>0</v>
      </c>
      <c r="AL300" s="40">
        <f>matrix!AK12</f>
        <v>0</v>
      </c>
      <c r="AM300" s="40">
        <f>matrix!AL12</f>
        <v>0</v>
      </c>
      <c r="AN300" s="40">
        <f>matrix!AM12</f>
        <v>0</v>
      </c>
      <c r="AO300" s="40">
        <f>matrix!AN12</f>
        <v>0</v>
      </c>
      <c r="AP300" s="40">
        <f>matrix!AO12</f>
        <v>0</v>
      </c>
      <c r="AQ300" s="40">
        <f>matrix!AP12</f>
        <v>0</v>
      </c>
    </row>
    <row r="301" spans="1:43">
      <c r="A301" s="40" t="s">
        <v>1320</v>
      </c>
      <c r="B301" s="40" t="str">
        <f t="shared" si="22"/>
        <v xml:space="preserve"> No or Incomplete Time Limit</v>
      </c>
      <c r="C301" s="40">
        <f>matrix!B13</f>
        <v>0</v>
      </c>
      <c r="D301" s="40">
        <f>matrix!C13</f>
        <v>1</v>
      </c>
      <c r="E301" s="40">
        <f>matrix!D13</f>
        <v>0</v>
      </c>
      <c r="F301" s="40">
        <f>matrix!E13</f>
        <v>1</v>
      </c>
      <c r="G301" s="40">
        <f>matrix!F13</f>
        <v>0</v>
      </c>
      <c r="H301" s="40">
        <f>matrix!G13</f>
        <v>1</v>
      </c>
      <c r="I301" s="40">
        <f>matrix!H13</f>
        <v>0</v>
      </c>
      <c r="J301" s="40">
        <f>matrix!I13</f>
        <v>0</v>
      </c>
      <c r="K301" s="40">
        <f>matrix!J13</f>
        <v>0</v>
      </c>
      <c r="L301" s="40">
        <f>matrix!K13</f>
        <v>0</v>
      </c>
      <c r="M301" s="40">
        <f>matrix!L13</f>
        <v>1</v>
      </c>
      <c r="N301" s="40">
        <f>matrix!M13</f>
        <v>0</v>
      </c>
      <c r="O301" s="40">
        <f>matrix!N13</f>
        <v>0</v>
      </c>
      <c r="P301" s="40">
        <f>matrix!O13</f>
        <v>0</v>
      </c>
      <c r="Q301" s="40">
        <f>matrix!P13</f>
        <v>1</v>
      </c>
      <c r="R301" s="40">
        <f>matrix!Q13</f>
        <v>0</v>
      </c>
      <c r="S301" s="40">
        <f>matrix!R13</f>
        <v>1</v>
      </c>
      <c r="T301" s="40">
        <f>matrix!S13</f>
        <v>0</v>
      </c>
      <c r="U301" s="40">
        <f>matrix!T13</f>
        <v>1</v>
      </c>
      <c r="V301" s="40">
        <f>matrix!U13</f>
        <v>1</v>
      </c>
      <c r="W301" s="40">
        <f>matrix!V13</f>
        <v>1</v>
      </c>
      <c r="X301" s="40">
        <f>matrix!W13</f>
        <v>1</v>
      </c>
      <c r="Y301" s="40">
        <f>matrix!X13</f>
        <v>0</v>
      </c>
      <c r="Z301" s="40">
        <f>matrix!Y13</f>
        <v>1</v>
      </c>
      <c r="AA301" s="40">
        <f>matrix!Z13</f>
        <v>0</v>
      </c>
      <c r="AB301" s="40">
        <f>matrix!AA13</f>
        <v>0</v>
      </c>
      <c r="AC301" s="40">
        <f>matrix!AB13</f>
        <v>0</v>
      </c>
      <c r="AD301" s="40">
        <f>matrix!AC13</f>
        <v>1</v>
      </c>
      <c r="AE301" s="40">
        <f>matrix!AD13</f>
        <v>0</v>
      </c>
      <c r="AF301" s="40">
        <f>matrix!AE13</f>
        <v>0</v>
      </c>
      <c r="AG301" s="40">
        <f>matrix!AF13</f>
        <v>1</v>
      </c>
      <c r="AH301" s="40">
        <f>matrix!AG13</f>
        <v>1</v>
      </c>
      <c r="AI301" s="40">
        <f>matrix!AH13</f>
        <v>1</v>
      </c>
      <c r="AJ301" s="40">
        <f>matrix!AI13</f>
        <v>1</v>
      </c>
      <c r="AK301" s="40">
        <f>matrix!AJ13</f>
        <v>2</v>
      </c>
      <c r="AL301" s="40">
        <f>matrix!AK13</f>
        <v>1</v>
      </c>
      <c r="AM301" s="40">
        <f>matrix!AL13</f>
        <v>0</v>
      </c>
      <c r="AN301" s="40">
        <f>matrix!AM13</f>
        <v>0</v>
      </c>
      <c r="AO301" s="40">
        <f>matrix!AN13</f>
        <v>0</v>
      </c>
      <c r="AP301" s="40">
        <f>matrix!AO13</f>
        <v>1</v>
      </c>
      <c r="AQ301" s="40">
        <f>matrix!AP13</f>
        <v>1</v>
      </c>
    </row>
    <row r="302" spans="1:43">
      <c r="A302" s="40" t="s">
        <v>1280</v>
      </c>
      <c r="B302" s="40" t="str">
        <f t="shared" si="22"/>
        <v>Supervision Requirements</v>
      </c>
      <c r="C302" s="40">
        <f>SUM(C303:C305)</f>
        <v>1</v>
      </c>
      <c r="D302" s="40">
        <f t="shared" ref="D302:AQ302" si="23">SUM(D303:D305)</f>
        <v>0</v>
      </c>
      <c r="E302" s="40">
        <f t="shared" si="23"/>
        <v>4</v>
      </c>
      <c r="F302" s="40">
        <f t="shared" si="23"/>
        <v>1</v>
      </c>
      <c r="G302" s="40">
        <f t="shared" si="23"/>
        <v>1</v>
      </c>
      <c r="H302" s="40">
        <f t="shared" si="23"/>
        <v>0</v>
      </c>
      <c r="I302" s="40">
        <f t="shared" si="23"/>
        <v>0</v>
      </c>
      <c r="J302" s="40">
        <f t="shared" si="23"/>
        <v>4</v>
      </c>
      <c r="K302" s="40">
        <f t="shared" si="23"/>
        <v>3</v>
      </c>
      <c r="L302" s="40">
        <f t="shared" si="23"/>
        <v>1</v>
      </c>
      <c r="M302" s="40">
        <f t="shared" si="23"/>
        <v>0</v>
      </c>
      <c r="N302" s="40">
        <f t="shared" si="23"/>
        <v>1</v>
      </c>
      <c r="O302" s="40">
        <f t="shared" si="23"/>
        <v>3</v>
      </c>
      <c r="P302" s="40">
        <f t="shared" si="23"/>
        <v>3</v>
      </c>
      <c r="Q302" s="40">
        <f t="shared" si="23"/>
        <v>4</v>
      </c>
      <c r="R302" s="40">
        <f t="shared" si="23"/>
        <v>1</v>
      </c>
      <c r="S302" s="40">
        <f t="shared" si="23"/>
        <v>0</v>
      </c>
      <c r="T302" s="40">
        <f t="shared" si="23"/>
        <v>1</v>
      </c>
      <c r="U302" s="40">
        <f t="shared" si="23"/>
        <v>1</v>
      </c>
      <c r="V302" s="40">
        <f t="shared" si="23"/>
        <v>2</v>
      </c>
      <c r="W302" s="40">
        <f t="shared" si="23"/>
        <v>0</v>
      </c>
      <c r="X302" s="40">
        <f t="shared" si="23"/>
        <v>3</v>
      </c>
      <c r="Y302" s="40">
        <f t="shared" si="23"/>
        <v>4</v>
      </c>
      <c r="Z302" s="40">
        <f t="shared" si="23"/>
        <v>1</v>
      </c>
      <c r="AA302" s="40">
        <f t="shared" si="23"/>
        <v>2</v>
      </c>
      <c r="AB302" s="40">
        <f t="shared" si="23"/>
        <v>4</v>
      </c>
      <c r="AC302" s="40">
        <f t="shared" si="23"/>
        <v>0</v>
      </c>
      <c r="AD302" s="40">
        <f t="shared" si="23"/>
        <v>5</v>
      </c>
      <c r="AE302" s="40">
        <f t="shared" si="23"/>
        <v>1</v>
      </c>
      <c r="AF302" s="40">
        <f t="shared" si="23"/>
        <v>0</v>
      </c>
      <c r="AG302" s="40">
        <f t="shared" si="23"/>
        <v>0</v>
      </c>
      <c r="AH302" s="40">
        <f t="shared" si="23"/>
        <v>0</v>
      </c>
      <c r="AI302" s="40">
        <f t="shared" si="23"/>
        <v>0</v>
      </c>
      <c r="AJ302" s="40">
        <f t="shared" si="23"/>
        <v>1</v>
      </c>
      <c r="AK302" s="40">
        <f t="shared" si="23"/>
        <v>1</v>
      </c>
      <c r="AL302" s="40">
        <f t="shared" si="23"/>
        <v>0</v>
      </c>
      <c r="AM302" s="40">
        <f t="shared" si="23"/>
        <v>3</v>
      </c>
      <c r="AN302" s="40">
        <f t="shared" si="23"/>
        <v>1</v>
      </c>
      <c r="AO302" s="40">
        <f t="shared" si="23"/>
        <v>1</v>
      </c>
      <c r="AP302" s="40">
        <f t="shared" si="23"/>
        <v>0</v>
      </c>
      <c r="AQ302" s="40">
        <f t="shared" si="23"/>
        <v>1</v>
      </c>
    </row>
    <row r="303" spans="1:43">
      <c r="A303" s="40" t="s">
        <v>1321</v>
      </c>
      <c r="B303" s="40" t="str">
        <f t="shared" si="22"/>
        <v xml:space="preserve"> Supervision Reserve Fund</v>
      </c>
      <c r="C303" s="40">
        <f>matrix!B15</f>
        <v>0</v>
      </c>
      <c r="D303" s="40">
        <f>matrix!C15</f>
        <v>0</v>
      </c>
      <c r="E303" s="40">
        <f>matrix!D15</f>
        <v>0</v>
      </c>
      <c r="F303" s="40">
        <f>matrix!E15</f>
        <v>0</v>
      </c>
      <c r="G303" s="40">
        <f>matrix!F15</f>
        <v>0</v>
      </c>
      <c r="H303" s="40">
        <f>matrix!G15</f>
        <v>0</v>
      </c>
      <c r="I303" s="40">
        <f>matrix!H15</f>
        <v>0</v>
      </c>
      <c r="J303" s="40">
        <f>matrix!I15</f>
        <v>0</v>
      </c>
      <c r="K303" s="40">
        <f>matrix!J15</f>
        <v>0</v>
      </c>
      <c r="L303" s="40">
        <f>matrix!K15</f>
        <v>0</v>
      </c>
      <c r="M303" s="40">
        <f>matrix!L15</f>
        <v>0</v>
      </c>
      <c r="N303" s="40">
        <f>matrix!M15</f>
        <v>0</v>
      </c>
      <c r="O303" s="40">
        <f>matrix!N15</f>
        <v>0</v>
      </c>
      <c r="P303" s="40">
        <f>matrix!O15</f>
        <v>0</v>
      </c>
      <c r="Q303" s="40">
        <f>matrix!P15</f>
        <v>0</v>
      </c>
      <c r="R303" s="40">
        <f>matrix!Q15</f>
        <v>0</v>
      </c>
      <c r="S303" s="40">
        <f>matrix!R15</f>
        <v>0</v>
      </c>
      <c r="T303" s="40">
        <f>matrix!S15</f>
        <v>1</v>
      </c>
      <c r="U303" s="40">
        <f>matrix!T15</f>
        <v>0</v>
      </c>
      <c r="V303" s="40">
        <f>matrix!U15</f>
        <v>0</v>
      </c>
      <c r="W303" s="40">
        <f>matrix!V15</f>
        <v>0</v>
      </c>
      <c r="X303" s="40">
        <f>matrix!W15</f>
        <v>0</v>
      </c>
      <c r="Y303" s="40">
        <f>matrix!X15</f>
        <v>1</v>
      </c>
      <c r="Z303" s="40">
        <f>matrix!Y15</f>
        <v>0</v>
      </c>
      <c r="AA303" s="40">
        <f>matrix!Z15</f>
        <v>0</v>
      </c>
      <c r="AB303" s="40">
        <f>matrix!AA15</f>
        <v>2</v>
      </c>
      <c r="AC303" s="40">
        <f>matrix!AB15</f>
        <v>0</v>
      </c>
      <c r="AD303" s="40">
        <f>matrix!AC15</f>
        <v>0</v>
      </c>
      <c r="AE303" s="40">
        <f>matrix!AD15</f>
        <v>0</v>
      </c>
      <c r="AF303" s="40">
        <f>matrix!AE15</f>
        <v>0</v>
      </c>
      <c r="AG303" s="40">
        <f>matrix!AF15</f>
        <v>0</v>
      </c>
      <c r="AH303" s="40">
        <f>matrix!AG15</f>
        <v>0</v>
      </c>
      <c r="AI303" s="40">
        <f>matrix!AH15</f>
        <v>0</v>
      </c>
      <c r="AJ303" s="40">
        <f>matrix!AI15</f>
        <v>0</v>
      </c>
      <c r="AK303" s="40">
        <f>matrix!AJ15</f>
        <v>0</v>
      </c>
      <c r="AL303" s="40">
        <f>matrix!AK15</f>
        <v>0</v>
      </c>
      <c r="AM303" s="40">
        <f>matrix!AL15</f>
        <v>0</v>
      </c>
      <c r="AN303" s="40">
        <f>matrix!AM15</f>
        <v>0</v>
      </c>
      <c r="AO303" s="40">
        <f>matrix!AN15</f>
        <v>0</v>
      </c>
      <c r="AP303" s="40">
        <f>matrix!AO15</f>
        <v>0</v>
      </c>
      <c r="AQ303" s="40">
        <f>matrix!AP15</f>
        <v>0</v>
      </c>
    </row>
    <row r="304" spans="1:43">
      <c r="A304" s="40" t="s">
        <v>1322</v>
      </c>
      <c r="B304" s="40" t="str">
        <f t="shared" si="22"/>
        <v xml:space="preserve"> Key Supervision</v>
      </c>
      <c r="C304" s="40">
        <f>matrix!B16</f>
        <v>0</v>
      </c>
      <c r="D304" s="40">
        <f>matrix!C16</f>
        <v>0</v>
      </c>
      <c r="E304" s="40">
        <f>matrix!D16</f>
        <v>3</v>
      </c>
      <c r="F304" s="40">
        <f>matrix!E16</f>
        <v>1</v>
      </c>
      <c r="G304" s="40">
        <f>matrix!F16</f>
        <v>1</v>
      </c>
      <c r="H304" s="40">
        <f>matrix!G16</f>
        <v>0</v>
      </c>
      <c r="I304" s="40">
        <f>matrix!H16</f>
        <v>0</v>
      </c>
      <c r="J304" s="40">
        <f>matrix!I16</f>
        <v>1</v>
      </c>
      <c r="K304" s="40">
        <f>matrix!J16</f>
        <v>1</v>
      </c>
      <c r="L304" s="40">
        <f>matrix!K16</f>
        <v>1</v>
      </c>
      <c r="M304" s="40">
        <f>matrix!L16</f>
        <v>0</v>
      </c>
      <c r="N304" s="40">
        <f>matrix!M16</f>
        <v>1</v>
      </c>
      <c r="O304" s="40">
        <f>matrix!N16</f>
        <v>2</v>
      </c>
      <c r="P304" s="40">
        <f>matrix!O16</f>
        <v>2</v>
      </c>
      <c r="Q304" s="40">
        <f>matrix!P16</f>
        <v>3</v>
      </c>
      <c r="R304" s="40">
        <f>matrix!Q16</f>
        <v>1</v>
      </c>
      <c r="S304" s="40">
        <f>matrix!R16</f>
        <v>0</v>
      </c>
      <c r="T304" s="40">
        <f>matrix!S16</f>
        <v>0</v>
      </c>
      <c r="U304" s="40">
        <f>matrix!T16</f>
        <v>1</v>
      </c>
      <c r="V304" s="40">
        <f>matrix!U16</f>
        <v>2</v>
      </c>
      <c r="W304" s="40">
        <f>matrix!V16</f>
        <v>0</v>
      </c>
      <c r="X304" s="40">
        <f>matrix!W16</f>
        <v>2</v>
      </c>
      <c r="Y304" s="40">
        <f>matrix!X16</f>
        <v>3</v>
      </c>
      <c r="Z304" s="40">
        <f>matrix!Y16</f>
        <v>1</v>
      </c>
      <c r="AA304" s="40">
        <f>matrix!Z16</f>
        <v>1</v>
      </c>
      <c r="AB304" s="40">
        <f>matrix!AA16</f>
        <v>2</v>
      </c>
      <c r="AC304" s="40">
        <f>matrix!AB16</f>
        <v>0</v>
      </c>
      <c r="AD304" s="40">
        <f>matrix!AC16</f>
        <v>3</v>
      </c>
      <c r="AE304" s="40">
        <f>matrix!AD16</f>
        <v>1</v>
      </c>
      <c r="AF304" s="40">
        <f>matrix!AE16</f>
        <v>0</v>
      </c>
      <c r="AG304" s="40">
        <f>matrix!AF16</f>
        <v>0</v>
      </c>
      <c r="AH304" s="40">
        <f>matrix!AG16</f>
        <v>0</v>
      </c>
      <c r="AI304" s="40">
        <f>matrix!AH16</f>
        <v>0</v>
      </c>
      <c r="AJ304" s="40">
        <f>matrix!AI16</f>
        <v>1</v>
      </c>
      <c r="AK304" s="40">
        <f>matrix!AJ16</f>
        <v>0</v>
      </c>
      <c r="AL304" s="40">
        <f>matrix!AK16</f>
        <v>0</v>
      </c>
      <c r="AM304" s="40">
        <f>matrix!AL16</f>
        <v>0</v>
      </c>
      <c r="AN304" s="40">
        <f>matrix!AM16</f>
        <v>1</v>
      </c>
      <c r="AO304" s="40">
        <f>matrix!AN16</f>
        <v>1</v>
      </c>
      <c r="AP304" s="40">
        <f>matrix!AO16</f>
        <v>0</v>
      </c>
      <c r="AQ304" s="40">
        <f>matrix!AP16</f>
        <v>0</v>
      </c>
    </row>
    <row r="305" spans="1:43">
      <c r="A305" s="40" t="s">
        <v>1323</v>
      </c>
      <c r="B305" s="40" t="str">
        <f t="shared" si="22"/>
        <v xml:space="preserve"> Letter of Credit Substitution</v>
      </c>
      <c r="C305" s="40">
        <f>matrix!B17</f>
        <v>1</v>
      </c>
      <c r="D305" s="40">
        <f>matrix!C17</f>
        <v>0</v>
      </c>
      <c r="E305" s="40">
        <f>matrix!D17</f>
        <v>1</v>
      </c>
      <c r="F305" s="40">
        <f>matrix!E17</f>
        <v>0</v>
      </c>
      <c r="G305" s="40">
        <f>matrix!F17</f>
        <v>0</v>
      </c>
      <c r="H305" s="40">
        <f>matrix!G17</f>
        <v>0</v>
      </c>
      <c r="I305" s="40">
        <f>matrix!H17</f>
        <v>0</v>
      </c>
      <c r="J305" s="40">
        <f>matrix!I17</f>
        <v>3</v>
      </c>
      <c r="K305" s="40">
        <f>matrix!J17</f>
        <v>2</v>
      </c>
      <c r="L305" s="40">
        <f>matrix!K17</f>
        <v>0</v>
      </c>
      <c r="M305" s="40">
        <f>matrix!L17</f>
        <v>0</v>
      </c>
      <c r="N305" s="40">
        <f>matrix!M17</f>
        <v>0</v>
      </c>
      <c r="O305" s="40">
        <f>matrix!N17</f>
        <v>1</v>
      </c>
      <c r="P305" s="40">
        <f>matrix!O17</f>
        <v>1</v>
      </c>
      <c r="Q305" s="40">
        <f>matrix!P17</f>
        <v>1</v>
      </c>
      <c r="R305" s="40">
        <f>matrix!Q17</f>
        <v>0</v>
      </c>
      <c r="S305" s="40">
        <f>matrix!R17</f>
        <v>0</v>
      </c>
      <c r="T305" s="40">
        <f>matrix!S17</f>
        <v>0</v>
      </c>
      <c r="U305" s="40">
        <f>matrix!T17</f>
        <v>0</v>
      </c>
      <c r="V305" s="40">
        <f>matrix!U17</f>
        <v>0</v>
      </c>
      <c r="W305" s="40">
        <f>matrix!V17</f>
        <v>0</v>
      </c>
      <c r="X305" s="40">
        <f>matrix!W17</f>
        <v>1</v>
      </c>
      <c r="Y305" s="40">
        <f>matrix!X17</f>
        <v>0</v>
      </c>
      <c r="Z305" s="40">
        <f>matrix!Y17</f>
        <v>0</v>
      </c>
      <c r="AA305" s="40">
        <f>matrix!Z17</f>
        <v>1</v>
      </c>
      <c r="AB305" s="40">
        <f>matrix!AA17</f>
        <v>0</v>
      </c>
      <c r="AC305" s="40">
        <f>matrix!AB17</f>
        <v>0</v>
      </c>
      <c r="AD305" s="40">
        <f>matrix!AC17</f>
        <v>2</v>
      </c>
      <c r="AE305" s="40">
        <f>matrix!AD17</f>
        <v>0</v>
      </c>
      <c r="AF305" s="40">
        <f>matrix!AE17</f>
        <v>0</v>
      </c>
      <c r="AG305" s="40">
        <f>matrix!AF17</f>
        <v>0</v>
      </c>
      <c r="AH305" s="40">
        <f>matrix!AG17</f>
        <v>0</v>
      </c>
      <c r="AI305" s="40">
        <f>matrix!AH17</f>
        <v>0</v>
      </c>
      <c r="AJ305" s="40">
        <f>matrix!AI17</f>
        <v>0</v>
      </c>
      <c r="AK305" s="40">
        <f>matrix!AJ17</f>
        <v>1</v>
      </c>
      <c r="AL305" s="40">
        <f>matrix!AK17</f>
        <v>0</v>
      </c>
      <c r="AM305" s="40">
        <f>matrix!AL17</f>
        <v>3</v>
      </c>
      <c r="AN305" s="40">
        <f>matrix!AM17</f>
        <v>0</v>
      </c>
      <c r="AO305" s="40">
        <f>matrix!AN17</f>
        <v>0</v>
      </c>
      <c r="AP305" s="40">
        <f>matrix!AO17</f>
        <v>0</v>
      </c>
      <c r="AQ305" s="40">
        <f>matrix!AP17</f>
        <v>1</v>
      </c>
    </row>
    <row r="306" spans="1:43">
      <c r="A306" s="40" t="s">
        <v>1281</v>
      </c>
      <c r="B306" s="40" t="str">
        <f>B230</f>
        <v>Disbursement Conditions</v>
      </c>
      <c r="C306" s="40">
        <f>SUM(C307:C308)</f>
        <v>1</v>
      </c>
      <c r="D306" s="40">
        <f t="shared" ref="D306:AQ306" si="24">SUM(D307:D308)</f>
        <v>1</v>
      </c>
      <c r="E306" s="40">
        <f t="shared" si="24"/>
        <v>1</v>
      </c>
      <c r="F306" s="40">
        <f t="shared" si="24"/>
        <v>1</v>
      </c>
      <c r="G306" s="40">
        <f t="shared" si="24"/>
        <v>1</v>
      </c>
      <c r="H306" s="40">
        <f t="shared" si="24"/>
        <v>1</v>
      </c>
      <c r="I306" s="40">
        <f t="shared" si="24"/>
        <v>1</v>
      </c>
      <c r="J306" s="40">
        <f t="shared" si="24"/>
        <v>1</v>
      </c>
      <c r="K306" s="40">
        <f t="shared" si="24"/>
        <v>1</v>
      </c>
      <c r="L306" s="40">
        <f t="shared" si="24"/>
        <v>2</v>
      </c>
      <c r="M306" s="40">
        <f t="shared" si="24"/>
        <v>1</v>
      </c>
      <c r="N306" s="40">
        <f t="shared" si="24"/>
        <v>0</v>
      </c>
      <c r="O306" s="40">
        <f t="shared" si="24"/>
        <v>1</v>
      </c>
      <c r="P306" s="40">
        <f t="shared" si="24"/>
        <v>1</v>
      </c>
      <c r="Q306" s="40">
        <f t="shared" si="24"/>
        <v>1</v>
      </c>
      <c r="R306" s="40">
        <f t="shared" si="24"/>
        <v>1</v>
      </c>
      <c r="S306" s="40">
        <f t="shared" si="24"/>
        <v>1</v>
      </c>
      <c r="T306" s="40">
        <f t="shared" si="24"/>
        <v>1</v>
      </c>
      <c r="U306" s="40">
        <f t="shared" si="24"/>
        <v>1</v>
      </c>
      <c r="V306" s="40">
        <f t="shared" si="24"/>
        <v>1</v>
      </c>
      <c r="W306" s="40">
        <f t="shared" si="24"/>
        <v>1</v>
      </c>
      <c r="X306" s="40">
        <f t="shared" si="24"/>
        <v>1</v>
      </c>
      <c r="Y306" s="40">
        <f t="shared" si="24"/>
        <v>0</v>
      </c>
      <c r="Z306" s="40">
        <f t="shared" si="24"/>
        <v>1</v>
      </c>
      <c r="AA306" s="40">
        <f t="shared" si="24"/>
        <v>1</v>
      </c>
      <c r="AB306" s="40">
        <f t="shared" si="24"/>
        <v>0</v>
      </c>
      <c r="AC306" s="40">
        <f t="shared" si="24"/>
        <v>1</v>
      </c>
      <c r="AD306" s="40">
        <f t="shared" si="24"/>
        <v>1</v>
      </c>
      <c r="AE306" s="40">
        <f t="shared" si="24"/>
        <v>1</v>
      </c>
      <c r="AF306" s="40">
        <f t="shared" si="24"/>
        <v>0</v>
      </c>
      <c r="AG306" s="40">
        <f t="shared" si="24"/>
        <v>1</v>
      </c>
      <c r="AH306" s="40">
        <f t="shared" si="24"/>
        <v>1</v>
      </c>
      <c r="AI306" s="40">
        <f t="shared" si="24"/>
        <v>1</v>
      </c>
      <c r="AJ306" s="40">
        <f t="shared" si="24"/>
        <v>1</v>
      </c>
      <c r="AK306" s="40">
        <f t="shared" si="24"/>
        <v>1</v>
      </c>
      <c r="AL306" s="40">
        <f t="shared" si="24"/>
        <v>1</v>
      </c>
      <c r="AM306" s="40">
        <f t="shared" si="24"/>
        <v>2</v>
      </c>
      <c r="AN306" s="40">
        <f t="shared" si="24"/>
        <v>1</v>
      </c>
      <c r="AO306" s="40">
        <f t="shared" si="24"/>
        <v>1</v>
      </c>
      <c r="AP306" s="40">
        <f t="shared" si="24"/>
        <v>1</v>
      </c>
      <c r="AQ306" s="40">
        <f t="shared" si="24"/>
        <v>1</v>
      </c>
    </row>
    <row r="307" spans="1:43">
      <c r="A307" s="40" t="s">
        <v>1324</v>
      </c>
      <c r="B307" s="40" t="str">
        <f>B231</f>
        <v xml:space="preserve">Developers' Application Submission of detailed applications for fund use </v>
      </c>
      <c r="C307" s="40">
        <f>matrix!B21</f>
        <v>1</v>
      </c>
      <c r="D307" s="40">
        <f>matrix!C21</f>
        <v>1</v>
      </c>
      <c r="E307" s="40">
        <f>matrix!D21</f>
        <v>1</v>
      </c>
      <c r="F307" s="40">
        <f>matrix!E21</f>
        <v>1</v>
      </c>
      <c r="G307" s="40">
        <f>matrix!F21</f>
        <v>1</v>
      </c>
      <c r="H307" s="40">
        <f>matrix!G21</f>
        <v>1</v>
      </c>
      <c r="I307" s="40">
        <f>matrix!H21</f>
        <v>1</v>
      </c>
      <c r="J307" s="40">
        <f>matrix!I21</f>
        <v>1</v>
      </c>
      <c r="K307" s="40">
        <f>matrix!J21</f>
        <v>1</v>
      </c>
      <c r="L307" s="40">
        <f>matrix!K21</f>
        <v>2</v>
      </c>
      <c r="M307" s="40">
        <f>matrix!L21</f>
        <v>0</v>
      </c>
      <c r="N307" s="40">
        <f>matrix!M21</f>
        <v>0</v>
      </c>
      <c r="O307" s="40">
        <f>matrix!N21</f>
        <v>0</v>
      </c>
      <c r="P307" s="40">
        <f>matrix!O21</f>
        <v>1</v>
      </c>
      <c r="Q307" s="40">
        <f>matrix!P21</f>
        <v>1</v>
      </c>
      <c r="R307" s="40">
        <f>matrix!Q21</f>
        <v>1</v>
      </c>
      <c r="S307" s="40">
        <f>matrix!R21</f>
        <v>1</v>
      </c>
      <c r="T307" s="40">
        <f>matrix!S21</f>
        <v>1</v>
      </c>
      <c r="U307" s="40">
        <f>matrix!T21</f>
        <v>1</v>
      </c>
      <c r="V307" s="40">
        <f>matrix!U21</f>
        <v>1</v>
      </c>
      <c r="W307" s="40">
        <f>matrix!V21</f>
        <v>1</v>
      </c>
      <c r="X307" s="40">
        <f>matrix!W21</f>
        <v>1</v>
      </c>
      <c r="Y307" s="40">
        <f>matrix!X21</f>
        <v>0</v>
      </c>
      <c r="Z307" s="40">
        <f>matrix!Y21</f>
        <v>1</v>
      </c>
      <c r="AA307" s="40">
        <f>matrix!Z21</f>
        <v>1</v>
      </c>
      <c r="AB307" s="40">
        <f>matrix!AA21</f>
        <v>0</v>
      </c>
      <c r="AC307" s="40">
        <f>matrix!AB21</f>
        <v>0</v>
      </c>
      <c r="AD307" s="40">
        <f>matrix!AC21</f>
        <v>0</v>
      </c>
      <c r="AE307" s="40">
        <f>matrix!AD21</f>
        <v>0</v>
      </c>
      <c r="AF307" s="40">
        <f>matrix!AE21</f>
        <v>0</v>
      </c>
      <c r="AG307" s="40">
        <f>matrix!AF21</f>
        <v>1</v>
      </c>
      <c r="AH307" s="40">
        <f>matrix!AG21</f>
        <v>1</v>
      </c>
      <c r="AI307" s="40">
        <f>matrix!AH21</f>
        <v>1</v>
      </c>
      <c r="AJ307" s="40">
        <f>matrix!AI21</f>
        <v>0</v>
      </c>
      <c r="AK307" s="40">
        <f>matrix!AJ21</f>
        <v>1</v>
      </c>
      <c r="AL307" s="40">
        <f>matrix!AK21</f>
        <v>1</v>
      </c>
      <c r="AM307" s="40">
        <f>matrix!AL21</f>
        <v>2</v>
      </c>
      <c r="AN307" s="40">
        <f>matrix!AM21</f>
        <v>1</v>
      </c>
      <c r="AO307" s="40">
        <f>matrix!AN21</f>
        <v>1</v>
      </c>
      <c r="AP307" s="40">
        <f>matrix!AO21</f>
        <v>1</v>
      </c>
      <c r="AQ307" s="40">
        <f>matrix!AP21</f>
        <v>1</v>
      </c>
    </row>
    <row r="308" spans="1:43">
      <c r="A308" s="40" t="s">
        <v>1325</v>
      </c>
      <c r="B308" s="40" t="str">
        <f>B232</f>
        <v xml:space="preserve">Verification and Approval Municipal and county departments verify progress and approve disbursement </v>
      </c>
      <c r="C308" s="40">
        <f>matrix!B22</f>
        <v>0</v>
      </c>
      <c r="D308" s="40">
        <f>matrix!C22</f>
        <v>0</v>
      </c>
      <c r="E308" s="40">
        <f>matrix!D22</f>
        <v>0</v>
      </c>
      <c r="F308" s="40">
        <f>matrix!E22</f>
        <v>0</v>
      </c>
      <c r="G308" s="40">
        <f>matrix!F22</f>
        <v>0</v>
      </c>
      <c r="H308" s="40">
        <f>matrix!G22</f>
        <v>0</v>
      </c>
      <c r="I308" s="40">
        <f>matrix!H22</f>
        <v>0</v>
      </c>
      <c r="J308" s="40">
        <f>matrix!I22</f>
        <v>0</v>
      </c>
      <c r="K308" s="40">
        <f>matrix!J22</f>
        <v>0</v>
      </c>
      <c r="L308" s="40">
        <f>matrix!K22</f>
        <v>0</v>
      </c>
      <c r="M308" s="40">
        <f>matrix!L22</f>
        <v>1</v>
      </c>
      <c r="N308" s="40">
        <f>matrix!M22</f>
        <v>0</v>
      </c>
      <c r="O308" s="40">
        <f>matrix!N22</f>
        <v>1</v>
      </c>
      <c r="P308" s="40">
        <f>matrix!O22</f>
        <v>0</v>
      </c>
      <c r="Q308" s="40">
        <f>matrix!P22</f>
        <v>0</v>
      </c>
      <c r="R308" s="40">
        <f>matrix!Q22</f>
        <v>0</v>
      </c>
      <c r="S308" s="40">
        <f>matrix!R22</f>
        <v>0</v>
      </c>
      <c r="T308" s="40">
        <f>matrix!S22</f>
        <v>0</v>
      </c>
      <c r="U308" s="40">
        <f>matrix!T22</f>
        <v>0</v>
      </c>
      <c r="V308" s="40">
        <f>matrix!U22</f>
        <v>0</v>
      </c>
      <c r="W308" s="40">
        <f>matrix!V22</f>
        <v>0</v>
      </c>
      <c r="X308" s="40">
        <f>matrix!W22</f>
        <v>0</v>
      </c>
      <c r="Y308" s="40">
        <f>matrix!X22</f>
        <v>0</v>
      </c>
      <c r="Z308" s="40">
        <f>matrix!Y22</f>
        <v>0</v>
      </c>
      <c r="AA308" s="40">
        <f>matrix!Z22</f>
        <v>0</v>
      </c>
      <c r="AB308" s="40">
        <f>matrix!AA22</f>
        <v>0</v>
      </c>
      <c r="AC308" s="40">
        <f>matrix!AB22</f>
        <v>1</v>
      </c>
      <c r="AD308" s="40">
        <f>matrix!AC22</f>
        <v>1</v>
      </c>
      <c r="AE308" s="40">
        <f>matrix!AD22</f>
        <v>1</v>
      </c>
      <c r="AF308" s="40">
        <f>matrix!AE22</f>
        <v>0</v>
      </c>
      <c r="AG308" s="40">
        <f>matrix!AF22</f>
        <v>0</v>
      </c>
      <c r="AH308" s="40">
        <f>matrix!AG22</f>
        <v>0</v>
      </c>
      <c r="AI308" s="40">
        <f>matrix!AH22</f>
        <v>0</v>
      </c>
      <c r="AJ308" s="40">
        <f>matrix!AI22</f>
        <v>1</v>
      </c>
      <c r="AK308" s="40">
        <f>matrix!AJ22</f>
        <v>0</v>
      </c>
      <c r="AL308" s="40">
        <f>matrix!AK22</f>
        <v>0</v>
      </c>
      <c r="AM308" s="40">
        <f>matrix!AL22</f>
        <v>0</v>
      </c>
      <c r="AN308" s="40">
        <f>matrix!AM22</f>
        <v>0</v>
      </c>
      <c r="AO308" s="40">
        <f>matrix!AN22</f>
        <v>0</v>
      </c>
      <c r="AP308" s="40">
        <f>matrix!AO22</f>
        <v>0</v>
      </c>
      <c r="AQ308" s="40">
        <f>matrix!AP22</f>
        <v>0</v>
      </c>
    </row>
    <row r="309" spans="1:43">
      <c r="A309" s="40" t="s">
        <v>1282</v>
      </c>
      <c r="B309" s="40" t="str">
        <f t="shared" ref="B309:B314" si="25">B220</f>
        <v>Fund use Nodes</v>
      </c>
      <c r="C309" s="40">
        <f>SUM(C310:C314)</f>
        <v>4</v>
      </c>
      <c r="D309" s="40">
        <f t="shared" ref="D309:AQ309" si="26">SUM(D310:D314)</f>
        <v>5</v>
      </c>
      <c r="E309" s="40">
        <f t="shared" si="26"/>
        <v>8</v>
      </c>
      <c r="F309" s="40">
        <f t="shared" si="26"/>
        <v>4</v>
      </c>
      <c r="G309" s="40">
        <f t="shared" si="26"/>
        <v>4</v>
      </c>
      <c r="H309" s="40">
        <f t="shared" si="26"/>
        <v>0</v>
      </c>
      <c r="I309" s="40">
        <f t="shared" si="26"/>
        <v>8</v>
      </c>
      <c r="J309" s="40">
        <f t="shared" si="26"/>
        <v>5</v>
      </c>
      <c r="K309" s="40">
        <f t="shared" si="26"/>
        <v>9</v>
      </c>
      <c r="L309" s="40">
        <f t="shared" si="26"/>
        <v>8</v>
      </c>
      <c r="M309" s="40">
        <f t="shared" si="26"/>
        <v>3</v>
      </c>
      <c r="N309" s="40">
        <f t="shared" si="26"/>
        <v>5</v>
      </c>
      <c r="O309" s="40">
        <f t="shared" si="26"/>
        <v>4</v>
      </c>
      <c r="P309" s="40">
        <f t="shared" si="26"/>
        <v>9</v>
      </c>
      <c r="Q309" s="40">
        <f t="shared" si="26"/>
        <v>8</v>
      </c>
      <c r="R309" s="40">
        <f t="shared" si="26"/>
        <v>10</v>
      </c>
      <c r="S309" s="40">
        <f t="shared" si="26"/>
        <v>4</v>
      </c>
      <c r="T309" s="40">
        <f t="shared" si="26"/>
        <v>5</v>
      </c>
      <c r="U309" s="40">
        <f t="shared" si="26"/>
        <v>5</v>
      </c>
      <c r="V309" s="40">
        <f t="shared" si="26"/>
        <v>0</v>
      </c>
      <c r="W309" s="40">
        <f t="shared" si="26"/>
        <v>0</v>
      </c>
      <c r="X309" s="40">
        <f t="shared" si="26"/>
        <v>4</v>
      </c>
      <c r="Y309" s="40">
        <f t="shared" si="26"/>
        <v>4</v>
      </c>
      <c r="Z309" s="40">
        <f t="shared" si="26"/>
        <v>3</v>
      </c>
      <c r="AA309" s="40">
        <f t="shared" si="26"/>
        <v>4</v>
      </c>
      <c r="AB309" s="40">
        <f t="shared" si="26"/>
        <v>5</v>
      </c>
      <c r="AC309" s="40">
        <f t="shared" si="26"/>
        <v>4</v>
      </c>
      <c r="AD309" s="40">
        <f t="shared" si="26"/>
        <v>3</v>
      </c>
      <c r="AE309" s="40">
        <f t="shared" si="26"/>
        <v>4</v>
      </c>
      <c r="AF309" s="40">
        <f t="shared" si="26"/>
        <v>1</v>
      </c>
      <c r="AG309" s="40">
        <f t="shared" si="26"/>
        <v>5</v>
      </c>
      <c r="AH309" s="40">
        <f t="shared" si="26"/>
        <v>5</v>
      </c>
      <c r="AI309" s="40">
        <f t="shared" si="26"/>
        <v>0</v>
      </c>
      <c r="AJ309" s="40">
        <f t="shared" si="26"/>
        <v>5</v>
      </c>
      <c r="AK309" s="40">
        <f t="shared" si="26"/>
        <v>5</v>
      </c>
      <c r="AL309" s="40">
        <f t="shared" si="26"/>
        <v>2</v>
      </c>
      <c r="AM309" s="40">
        <f t="shared" si="26"/>
        <v>6</v>
      </c>
      <c r="AN309" s="40">
        <f t="shared" si="26"/>
        <v>5</v>
      </c>
      <c r="AO309" s="40">
        <f t="shared" si="26"/>
        <v>3</v>
      </c>
      <c r="AP309" s="40">
        <f t="shared" si="26"/>
        <v>0</v>
      </c>
      <c r="AQ309" s="40">
        <f t="shared" si="26"/>
        <v>1</v>
      </c>
    </row>
    <row r="310" spans="1:43">
      <c r="A310" s="40" t="s">
        <v>1326</v>
      </c>
      <c r="B310" s="40" t="str">
        <f t="shared" si="25"/>
        <v xml:space="preserve">Completion of Underground Structure </v>
      </c>
      <c r="C310" s="40">
        <f>matrix!B24</f>
        <v>1</v>
      </c>
      <c r="D310" s="40">
        <f>matrix!C24</f>
        <v>1</v>
      </c>
      <c r="E310" s="40">
        <f>matrix!D24</f>
        <v>2</v>
      </c>
      <c r="F310" s="40">
        <f>matrix!E24</f>
        <v>0</v>
      </c>
      <c r="G310" s="40">
        <f>matrix!F24</f>
        <v>0</v>
      </c>
      <c r="H310" s="40">
        <f>matrix!G24</f>
        <v>0</v>
      </c>
      <c r="I310" s="40">
        <f>matrix!H24</f>
        <v>0</v>
      </c>
      <c r="J310" s="40">
        <f>matrix!I24</f>
        <v>0</v>
      </c>
      <c r="K310" s="40">
        <f>matrix!J24</f>
        <v>1</v>
      </c>
      <c r="L310" s="40">
        <f>matrix!K24</f>
        <v>1</v>
      </c>
      <c r="M310" s="40">
        <f>matrix!L24</f>
        <v>0</v>
      </c>
      <c r="N310" s="40">
        <f>matrix!M24</f>
        <v>1</v>
      </c>
      <c r="O310" s="40">
        <f>matrix!N24</f>
        <v>1</v>
      </c>
      <c r="P310" s="40">
        <f>matrix!O24</f>
        <v>1</v>
      </c>
      <c r="Q310" s="40">
        <f>matrix!P24</f>
        <v>2</v>
      </c>
      <c r="R310" s="40">
        <f>matrix!Q24</f>
        <v>2</v>
      </c>
      <c r="S310" s="40">
        <f>matrix!R24</f>
        <v>0</v>
      </c>
      <c r="T310" s="40">
        <f>matrix!S24</f>
        <v>1</v>
      </c>
      <c r="U310" s="40">
        <f>matrix!T24</f>
        <v>0</v>
      </c>
      <c r="V310" s="40">
        <f>matrix!U24</f>
        <v>0</v>
      </c>
      <c r="W310" s="40">
        <f>matrix!V24</f>
        <v>0</v>
      </c>
      <c r="X310" s="40">
        <f>matrix!W24</f>
        <v>1</v>
      </c>
      <c r="Y310" s="40">
        <f>matrix!X24</f>
        <v>0</v>
      </c>
      <c r="Z310" s="40">
        <f>matrix!Y24</f>
        <v>0</v>
      </c>
      <c r="AA310" s="40">
        <f>matrix!Z24</f>
        <v>1</v>
      </c>
      <c r="AB310" s="40">
        <f>matrix!AA24</f>
        <v>1</v>
      </c>
      <c r="AC310" s="40">
        <f>matrix!AB24</f>
        <v>1</v>
      </c>
      <c r="AD310" s="40">
        <f>matrix!AC24</f>
        <v>0</v>
      </c>
      <c r="AE310" s="40">
        <f>matrix!AD24</f>
        <v>0</v>
      </c>
      <c r="AF310" s="40">
        <f>matrix!AE24</f>
        <v>0</v>
      </c>
      <c r="AG310" s="40">
        <f>matrix!AF24</f>
        <v>0</v>
      </c>
      <c r="AH310" s="40">
        <f>matrix!AG24</f>
        <v>1</v>
      </c>
      <c r="AI310" s="40">
        <f>matrix!AH24</f>
        <v>0</v>
      </c>
      <c r="AJ310" s="40">
        <f>matrix!AI24</f>
        <v>1</v>
      </c>
      <c r="AK310" s="40">
        <f>matrix!AJ24</f>
        <v>0</v>
      </c>
      <c r="AL310" s="40">
        <f>matrix!AK24</f>
        <v>0</v>
      </c>
      <c r="AM310" s="40">
        <f>matrix!AL24</f>
        <v>0</v>
      </c>
      <c r="AN310" s="40">
        <f>matrix!AM24</f>
        <v>1</v>
      </c>
      <c r="AO310" s="40">
        <f>matrix!AN24</f>
        <v>0</v>
      </c>
      <c r="AP310" s="40">
        <f>matrix!AO24</f>
        <v>0</v>
      </c>
      <c r="AQ310" s="40">
        <f>matrix!AP24</f>
        <v>0</v>
      </c>
    </row>
    <row r="311" spans="1:43">
      <c r="A311" s="40" t="s">
        <v>1327</v>
      </c>
      <c r="B311" s="40" t="str">
        <f t="shared" si="25"/>
        <v xml:space="preserve">Structural Division Inspection </v>
      </c>
      <c r="C311" s="40">
        <f>matrix!B25</f>
        <v>1</v>
      </c>
      <c r="D311" s="40">
        <f>matrix!C25</f>
        <v>1</v>
      </c>
      <c r="E311" s="40">
        <f>matrix!D25</f>
        <v>2</v>
      </c>
      <c r="F311" s="40">
        <f>matrix!E25</f>
        <v>1</v>
      </c>
      <c r="G311" s="40">
        <f>matrix!F25</f>
        <v>1</v>
      </c>
      <c r="H311" s="40">
        <f>matrix!G25</f>
        <v>0</v>
      </c>
      <c r="I311" s="40">
        <f>matrix!H25</f>
        <v>2</v>
      </c>
      <c r="J311" s="40">
        <f>matrix!I25</f>
        <v>2</v>
      </c>
      <c r="K311" s="40">
        <f>matrix!J25</f>
        <v>2</v>
      </c>
      <c r="L311" s="40">
        <f>matrix!K25</f>
        <v>2</v>
      </c>
      <c r="M311" s="40">
        <f>matrix!L25</f>
        <v>1</v>
      </c>
      <c r="N311" s="40">
        <f>matrix!M25</f>
        <v>1</v>
      </c>
      <c r="O311" s="40">
        <f>matrix!N25</f>
        <v>1</v>
      </c>
      <c r="P311" s="40">
        <f>matrix!O25</f>
        <v>1</v>
      </c>
      <c r="Q311" s="40">
        <f>matrix!P25</f>
        <v>1</v>
      </c>
      <c r="R311" s="40">
        <f>matrix!Q25</f>
        <v>2</v>
      </c>
      <c r="S311" s="40">
        <f>matrix!R25</f>
        <v>1</v>
      </c>
      <c r="T311" s="40">
        <f>matrix!S25</f>
        <v>1</v>
      </c>
      <c r="U311" s="40">
        <f>matrix!T25</f>
        <v>0</v>
      </c>
      <c r="V311" s="40">
        <f>matrix!U25</f>
        <v>0</v>
      </c>
      <c r="W311" s="40">
        <f>matrix!V25</f>
        <v>0</v>
      </c>
      <c r="X311" s="40">
        <f>matrix!W25</f>
        <v>1</v>
      </c>
      <c r="Y311" s="40">
        <f>matrix!X25</f>
        <v>1</v>
      </c>
      <c r="Z311" s="40">
        <f>matrix!Y25</f>
        <v>0</v>
      </c>
      <c r="AA311" s="40">
        <f>matrix!Z25</f>
        <v>1</v>
      </c>
      <c r="AB311" s="40">
        <f>matrix!AA25</f>
        <v>1</v>
      </c>
      <c r="AC311" s="40">
        <f>matrix!AB25</f>
        <v>1</v>
      </c>
      <c r="AD311" s="40">
        <f>matrix!AC25</f>
        <v>0</v>
      </c>
      <c r="AE311" s="40">
        <f>matrix!AD25</f>
        <v>0</v>
      </c>
      <c r="AF311" s="40">
        <f>matrix!AE25</f>
        <v>0</v>
      </c>
      <c r="AG311" s="40">
        <f>matrix!AF25</f>
        <v>0</v>
      </c>
      <c r="AH311" s="40">
        <f>matrix!AG25</f>
        <v>1</v>
      </c>
      <c r="AI311" s="40">
        <f>matrix!AH25</f>
        <v>0</v>
      </c>
      <c r="AJ311" s="40">
        <f>matrix!AI25</f>
        <v>1</v>
      </c>
      <c r="AK311" s="40">
        <f>matrix!AJ25</f>
        <v>0</v>
      </c>
      <c r="AL311" s="40">
        <f>matrix!AK25</f>
        <v>0</v>
      </c>
      <c r="AM311" s="40">
        <f>matrix!AL25</f>
        <v>1</v>
      </c>
      <c r="AN311" s="40">
        <f>matrix!AM25</f>
        <v>1</v>
      </c>
      <c r="AO311" s="40">
        <f>matrix!AN25</f>
        <v>1</v>
      </c>
      <c r="AP311" s="40">
        <f>matrix!AO25</f>
        <v>0</v>
      </c>
      <c r="AQ311" s="40">
        <f>matrix!AP25</f>
        <v>0</v>
      </c>
    </row>
    <row r="312" spans="1:43">
      <c r="A312" s="40" t="s">
        <v>1328</v>
      </c>
      <c r="B312" s="40" t="str">
        <f t="shared" si="25"/>
        <v xml:space="preserve">Scaffold Removal </v>
      </c>
      <c r="C312" s="40">
        <f>matrix!B26</f>
        <v>1</v>
      </c>
      <c r="D312" s="40">
        <f>matrix!C26</f>
        <v>1</v>
      </c>
      <c r="E312" s="40">
        <f>matrix!D26</f>
        <v>1</v>
      </c>
      <c r="F312" s="40">
        <f>matrix!E26</f>
        <v>0</v>
      </c>
      <c r="G312" s="40">
        <f>matrix!F26</f>
        <v>0</v>
      </c>
      <c r="H312" s="40">
        <f>matrix!G26</f>
        <v>0</v>
      </c>
      <c r="I312" s="40">
        <f>matrix!H26</f>
        <v>2</v>
      </c>
      <c r="J312" s="40">
        <f>matrix!I26</f>
        <v>1</v>
      </c>
      <c r="K312" s="40">
        <f>matrix!J26</f>
        <v>2</v>
      </c>
      <c r="L312" s="40">
        <f>matrix!K26</f>
        <v>2</v>
      </c>
      <c r="M312" s="40">
        <f>matrix!L26</f>
        <v>1</v>
      </c>
      <c r="N312" s="40">
        <f>matrix!M26</f>
        <v>1</v>
      </c>
      <c r="O312" s="40">
        <f>matrix!N26</f>
        <v>1</v>
      </c>
      <c r="P312" s="40">
        <f>matrix!O26</f>
        <v>1</v>
      </c>
      <c r="Q312" s="40">
        <f>matrix!P26</f>
        <v>1</v>
      </c>
      <c r="R312" s="40">
        <f>matrix!Q26</f>
        <v>2</v>
      </c>
      <c r="S312" s="40">
        <f>matrix!R26</f>
        <v>1</v>
      </c>
      <c r="T312" s="40">
        <f>matrix!S26</f>
        <v>1</v>
      </c>
      <c r="U312" s="40">
        <f>matrix!T26</f>
        <v>1</v>
      </c>
      <c r="V312" s="40">
        <f>matrix!U26</f>
        <v>0</v>
      </c>
      <c r="W312" s="40">
        <f>matrix!V26</f>
        <v>0</v>
      </c>
      <c r="X312" s="40">
        <f>matrix!W26</f>
        <v>1</v>
      </c>
      <c r="Y312" s="40">
        <f>matrix!X26</f>
        <v>1</v>
      </c>
      <c r="Z312" s="40">
        <f>matrix!Y26</f>
        <v>1</v>
      </c>
      <c r="AA312" s="40">
        <f>matrix!Z26</f>
        <v>1</v>
      </c>
      <c r="AB312" s="40">
        <f>matrix!AA26</f>
        <v>1</v>
      </c>
      <c r="AC312" s="40">
        <f>matrix!AB26</f>
        <v>1</v>
      </c>
      <c r="AD312" s="40">
        <f>matrix!AC26</f>
        <v>0</v>
      </c>
      <c r="AE312" s="40">
        <f>matrix!AD26</f>
        <v>1</v>
      </c>
      <c r="AF312" s="40">
        <f>matrix!AE26</f>
        <v>0</v>
      </c>
      <c r="AG312" s="40">
        <f>matrix!AF26</f>
        <v>1</v>
      </c>
      <c r="AH312" s="40">
        <f>matrix!AG26</f>
        <v>1</v>
      </c>
      <c r="AI312" s="40">
        <f>matrix!AH26</f>
        <v>0</v>
      </c>
      <c r="AJ312" s="40">
        <f>matrix!AI26</f>
        <v>1</v>
      </c>
      <c r="AK312" s="40">
        <f>matrix!AJ26</f>
        <v>1</v>
      </c>
      <c r="AL312" s="40">
        <f>matrix!AK26</f>
        <v>1</v>
      </c>
      <c r="AM312" s="40">
        <f>matrix!AL26</f>
        <v>2</v>
      </c>
      <c r="AN312" s="40">
        <f>matrix!AM26</f>
        <v>1</v>
      </c>
      <c r="AO312" s="40">
        <f>matrix!AN26</f>
        <v>0</v>
      </c>
      <c r="AP312" s="40">
        <f>matrix!AO26</f>
        <v>0</v>
      </c>
      <c r="AQ312" s="40">
        <f>matrix!AP26</f>
        <v>0</v>
      </c>
    </row>
    <row r="313" spans="1:43">
      <c r="A313" s="40" t="s">
        <v>1329</v>
      </c>
      <c r="B313" s="40" t="str">
        <f t="shared" si="25"/>
        <v xml:space="preserve">Completion Acceptance Filing </v>
      </c>
      <c r="C313" s="40">
        <f>matrix!B27</f>
        <v>0</v>
      </c>
      <c r="D313" s="40">
        <f>matrix!C27</f>
        <v>1</v>
      </c>
      <c r="E313" s="40">
        <f>matrix!D27</f>
        <v>2</v>
      </c>
      <c r="F313" s="40">
        <f>matrix!E27</f>
        <v>1</v>
      </c>
      <c r="G313" s="40">
        <f>matrix!F27</f>
        <v>1</v>
      </c>
      <c r="H313" s="40">
        <f>matrix!G27</f>
        <v>0</v>
      </c>
      <c r="I313" s="40">
        <f>matrix!H27</f>
        <v>2</v>
      </c>
      <c r="J313" s="40">
        <f>matrix!I27</f>
        <v>1</v>
      </c>
      <c r="K313" s="40">
        <f>matrix!J27</f>
        <v>2</v>
      </c>
      <c r="L313" s="40">
        <f>matrix!K27</f>
        <v>2</v>
      </c>
      <c r="M313" s="40">
        <f>matrix!L27</f>
        <v>1</v>
      </c>
      <c r="N313" s="40">
        <f>matrix!M27</f>
        <v>1</v>
      </c>
      <c r="O313" s="40">
        <f>matrix!N27</f>
        <v>1</v>
      </c>
      <c r="P313" s="40">
        <f>matrix!O27</f>
        <v>3</v>
      </c>
      <c r="Q313" s="40">
        <f>matrix!P27</f>
        <v>3</v>
      </c>
      <c r="R313" s="40">
        <f>matrix!Q27</f>
        <v>2</v>
      </c>
      <c r="S313" s="40">
        <f>matrix!R27</f>
        <v>1</v>
      </c>
      <c r="T313" s="40">
        <f>matrix!S27</f>
        <v>1</v>
      </c>
      <c r="U313" s="40">
        <f>matrix!T27</f>
        <v>2</v>
      </c>
      <c r="V313" s="40">
        <f>matrix!U27</f>
        <v>0</v>
      </c>
      <c r="W313" s="40">
        <f>matrix!V27</f>
        <v>0</v>
      </c>
      <c r="X313" s="40">
        <f>matrix!W27</f>
        <v>1</v>
      </c>
      <c r="Y313" s="40">
        <f>matrix!X27</f>
        <v>2</v>
      </c>
      <c r="Z313" s="40">
        <f>matrix!Y27</f>
        <v>1</v>
      </c>
      <c r="AA313" s="40">
        <f>matrix!Z27</f>
        <v>0</v>
      </c>
      <c r="AB313" s="40">
        <f>matrix!AA27</f>
        <v>1</v>
      </c>
      <c r="AC313" s="40">
        <f>matrix!AB27</f>
        <v>1</v>
      </c>
      <c r="AD313" s="40">
        <f>matrix!AC27</f>
        <v>1</v>
      </c>
      <c r="AE313" s="40">
        <f>matrix!AD27</f>
        <v>3</v>
      </c>
      <c r="AF313" s="40">
        <f>matrix!AE27</f>
        <v>0</v>
      </c>
      <c r="AG313" s="40">
        <f>matrix!AF27</f>
        <v>3</v>
      </c>
      <c r="AH313" s="40">
        <f>matrix!AG27</f>
        <v>1</v>
      </c>
      <c r="AI313" s="40">
        <f>matrix!AH27</f>
        <v>0</v>
      </c>
      <c r="AJ313" s="40">
        <f>matrix!AI27</f>
        <v>1</v>
      </c>
      <c r="AK313" s="40">
        <f>matrix!AJ27</f>
        <v>2</v>
      </c>
      <c r="AL313" s="40">
        <f>matrix!AK27</f>
        <v>1</v>
      </c>
      <c r="AM313" s="40">
        <f>matrix!AL27</f>
        <v>1</v>
      </c>
      <c r="AN313" s="40">
        <f>matrix!AM27</f>
        <v>1</v>
      </c>
      <c r="AO313" s="40">
        <f>matrix!AN27</f>
        <v>1</v>
      </c>
      <c r="AP313" s="40">
        <f>matrix!AO27</f>
        <v>0</v>
      </c>
      <c r="AQ313" s="40">
        <f>matrix!AP27</f>
        <v>1</v>
      </c>
    </row>
    <row r="314" spans="1:43">
      <c r="A314" s="40" t="s">
        <v>1330</v>
      </c>
      <c r="B314" s="40" t="str">
        <f t="shared" si="25"/>
        <v xml:space="preserve">Joint Acceptance </v>
      </c>
      <c r="C314" s="40">
        <f>matrix!B28</f>
        <v>1</v>
      </c>
      <c r="D314" s="40">
        <f>matrix!C28</f>
        <v>1</v>
      </c>
      <c r="E314" s="40">
        <f>matrix!D28</f>
        <v>1</v>
      </c>
      <c r="F314" s="40">
        <f>matrix!E28</f>
        <v>2</v>
      </c>
      <c r="G314" s="40">
        <f>matrix!F28</f>
        <v>2</v>
      </c>
      <c r="H314" s="40">
        <f>matrix!G28</f>
        <v>0</v>
      </c>
      <c r="I314" s="40">
        <f>matrix!H28</f>
        <v>2</v>
      </c>
      <c r="J314" s="40">
        <f>matrix!I28</f>
        <v>1</v>
      </c>
      <c r="K314" s="40">
        <f>matrix!J28</f>
        <v>2</v>
      </c>
      <c r="L314" s="40">
        <f>matrix!K28</f>
        <v>1</v>
      </c>
      <c r="M314" s="40">
        <f>matrix!L28</f>
        <v>0</v>
      </c>
      <c r="N314" s="40">
        <f>matrix!M28</f>
        <v>1</v>
      </c>
      <c r="O314" s="40">
        <f>matrix!N28</f>
        <v>0</v>
      </c>
      <c r="P314" s="40">
        <f>matrix!O28</f>
        <v>3</v>
      </c>
      <c r="Q314" s="40">
        <f>matrix!P28</f>
        <v>1</v>
      </c>
      <c r="R314" s="40">
        <f>matrix!Q28</f>
        <v>2</v>
      </c>
      <c r="S314" s="40">
        <f>matrix!R28</f>
        <v>1</v>
      </c>
      <c r="T314" s="40">
        <f>matrix!S28</f>
        <v>1</v>
      </c>
      <c r="U314" s="40">
        <f>matrix!T28</f>
        <v>2</v>
      </c>
      <c r="V314" s="40">
        <f>matrix!U28</f>
        <v>0</v>
      </c>
      <c r="W314" s="40">
        <f>matrix!V28</f>
        <v>0</v>
      </c>
      <c r="X314" s="40">
        <f>matrix!W28</f>
        <v>0</v>
      </c>
      <c r="Y314" s="40">
        <f>matrix!X28</f>
        <v>0</v>
      </c>
      <c r="Z314" s="40">
        <f>matrix!Y28</f>
        <v>1</v>
      </c>
      <c r="AA314" s="40">
        <f>matrix!Z28</f>
        <v>1</v>
      </c>
      <c r="AB314" s="40">
        <f>matrix!AA28</f>
        <v>1</v>
      </c>
      <c r="AC314" s="40">
        <f>matrix!AB28</f>
        <v>0</v>
      </c>
      <c r="AD314" s="40">
        <f>matrix!AC28</f>
        <v>2</v>
      </c>
      <c r="AE314" s="40">
        <f>matrix!AD28</f>
        <v>0</v>
      </c>
      <c r="AF314" s="40">
        <f>matrix!AE28</f>
        <v>1</v>
      </c>
      <c r="AG314" s="40">
        <f>matrix!AF28</f>
        <v>1</v>
      </c>
      <c r="AH314" s="40">
        <f>matrix!AG28</f>
        <v>1</v>
      </c>
      <c r="AI314" s="40">
        <f>matrix!AH28</f>
        <v>0</v>
      </c>
      <c r="AJ314" s="40">
        <f>matrix!AI28</f>
        <v>1</v>
      </c>
      <c r="AK314" s="40">
        <f>matrix!AJ28</f>
        <v>2</v>
      </c>
      <c r="AL314" s="40">
        <f>matrix!AK28</f>
        <v>0</v>
      </c>
      <c r="AM314" s="40">
        <f>matrix!AL28</f>
        <v>2</v>
      </c>
      <c r="AN314" s="40">
        <f>matrix!AM28</f>
        <v>1</v>
      </c>
      <c r="AO314" s="40">
        <f>matrix!AN28</f>
        <v>1</v>
      </c>
      <c r="AP314" s="40">
        <f>matrix!AO28</f>
        <v>0</v>
      </c>
      <c r="AQ314" s="40">
        <f>matrix!AP28</f>
        <v>0</v>
      </c>
    </row>
    <row r="315" spans="1:43">
      <c r="A315" s="40" t="s">
        <v>1283</v>
      </c>
      <c r="B315" s="40" t="str">
        <f t="shared" ref="B315:B324" si="27">B173</f>
        <v>Supervision Objects</v>
      </c>
      <c r="C315" s="40">
        <f>SUM(C316:C318)</f>
        <v>2</v>
      </c>
      <c r="D315" s="40">
        <f t="shared" ref="D315:AQ315" si="28">SUM(D316:D318)</f>
        <v>1</v>
      </c>
      <c r="E315" s="40">
        <f t="shared" si="28"/>
        <v>3</v>
      </c>
      <c r="F315" s="40">
        <f t="shared" si="28"/>
        <v>4</v>
      </c>
      <c r="G315" s="40">
        <f t="shared" si="28"/>
        <v>4</v>
      </c>
      <c r="H315" s="40">
        <f t="shared" si="28"/>
        <v>2</v>
      </c>
      <c r="I315" s="40">
        <f t="shared" si="28"/>
        <v>4</v>
      </c>
      <c r="J315" s="40">
        <f t="shared" si="28"/>
        <v>7</v>
      </c>
      <c r="K315" s="40">
        <f t="shared" si="28"/>
        <v>1</v>
      </c>
      <c r="L315" s="40">
        <f t="shared" si="28"/>
        <v>2</v>
      </c>
      <c r="M315" s="40">
        <f t="shared" si="28"/>
        <v>3</v>
      </c>
      <c r="N315" s="40">
        <f t="shared" si="28"/>
        <v>3</v>
      </c>
      <c r="O315" s="40">
        <f t="shared" si="28"/>
        <v>2</v>
      </c>
      <c r="P315" s="40">
        <f t="shared" si="28"/>
        <v>4</v>
      </c>
      <c r="Q315" s="40">
        <f t="shared" si="28"/>
        <v>5</v>
      </c>
      <c r="R315" s="40">
        <f t="shared" si="28"/>
        <v>3</v>
      </c>
      <c r="S315" s="40">
        <f t="shared" si="28"/>
        <v>1</v>
      </c>
      <c r="T315" s="40">
        <f t="shared" si="28"/>
        <v>2</v>
      </c>
      <c r="U315" s="40">
        <f t="shared" si="28"/>
        <v>2</v>
      </c>
      <c r="V315" s="40">
        <f t="shared" si="28"/>
        <v>4</v>
      </c>
      <c r="W315" s="40">
        <f t="shared" si="28"/>
        <v>2</v>
      </c>
      <c r="X315" s="40">
        <f t="shared" si="28"/>
        <v>2</v>
      </c>
      <c r="Y315" s="40">
        <f t="shared" si="28"/>
        <v>3</v>
      </c>
      <c r="Z315" s="40">
        <f t="shared" si="28"/>
        <v>2</v>
      </c>
      <c r="AA315" s="40">
        <f t="shared" si="28"/>
        <v>2</v>
      </c>
      <c r="AB315" s="40">
        <f t="shared" si="28"/>
        <v>4</v>
      </c>
      <c r="AC315" s="40">
        <f t="shared" si="28"/>
        <v>4</v>
      </c>
      <c r="AD315" s="40">
        <f t="shared" si="28"/>
        <v>0</v>
      </c>
      <c r="AE315" s="40">
        <f t="shared" si="28"/>
        <v>2</v>
      </c>
      <c r="AF315" s="40">
        <f t="shared" si="28"/>
        <v>1</v>
      </c>
      <c r="AG315" s="40">
        <f t="shared" si="28"/>
        <v>3</v>
      </c>
      <c r="AH315" s="40">
        <f t="shared" si="28"/>
        <v>3</v>
      </c>
      <c r="AI315" s="40">
        <f t="shared" si="28"/>
        <v>2</v>
      </c>
      <c r="AJ315" s="40">
        <f t="shared" si="28"/>
        <v>4</v>
      </c>
      <c r="AK315" s="40">
        <f t="shared" si="28"/>
        <v>2</v>
      </c>
      <c r="AL315" s="40">
        <f t="shared" si="28"/>
        <v>3</v>
      </c>
      <c r="AM315" s="40">
        <f t="shared" si="28"/>
        <v>4</v>
      </c>
      <c r="AN315" s="40">
        <f t="shared" si="28"/>
        <v>2</v>
      </c>
      <c r="AO315" s="40">
        <f t="shared" si="28"/>
        <v>5</v>
      </c>
      <c r="AP315" s="40">
        <f t="shared" si="28"/>
        <v>2</v>
      </c>
      <c r="AQ315" s="40">
        <f t="shared" si="28"/>
        <v>4</v>
      </c>
    </row>
    <row r="316" spans="1:43">
      <c r="A316" s="40" t="s">
        <v>1331</v>
      </c>
      <c r="B316" s="40" t="str">
        <f t="shared" si="27"/>
        <v xml:space="preserve">Development Enterprises </v>
      </c>
      <c r="C316" s="40">
        <f>matrix!B30</f>
        <v>1</v>
      </c>
      <c r="D316" s="40">
        <f>matrix!C30</f>
        <v>1</v>
      </c>
      <c r="E316" s="40">
        <f>matrix!D30</f>
        <v>1</v>
      </c>
      <c r="F316" s="40">
        <f>matrix!E30</f>
        <v>2</v>
      </c>
      <c r="G316" s="40">
        <f>matrix!F30</f>
        <v>2</v>
      </c>
      <c r="H316" s="40">
        <f>matrix!G30</f>
        <v>2</v>
      </c>
      <c r="I316" s="40">
        <f>matrix!H30</f>
        <v>2</v>
      </c>
      <c r="J316" s="40">
        <f>matrix!I30</f>
        <v>4</v>
      </c>
      <c r="K316" s="40">
        <f>matrix!J30</f>
        <v>1</v>
      </c>
      <c r="L316" s="40">
        <f>matrix!K30</f>
        <v>1</v>
      </c>
      <c r="M316" s="40">
        <f>matrix!L30</f>
        <v>1</v>
      </c>
      <c r="N316" s="40">
        <f>matrix!M30</f>
        <v>2</v>
      </c>
      <c r="O316" s="40">
        <f>matrix!N30</f>
        <v>1</v>
      </c>
      <c r="P316" s="40">
        <f>matrix!O30</f>
        <v>2</v>
      </c>
      <c r="Q316" s="40">
        <f>matrix!P30</f>
        <v>4</v>
      </c>
      <c r="R316" s="40">
        <f>matrix!Q30</f>
        <v>1</v>
      </c>
      <c r="S316" s="40">
        <f>matrix!R30</f>
        <v>1</v>
      </c>
      <c r="T316" s="40">
        <f>matrix!S30</f>
        <v>2</v>
      </c>
      <c r="U316" s="40">
        <f>matrix!T30</f>
        <v>1</v>
      </c>
      <c r="V316" s="40">
        <f>matrix!U30</f>
        <v>3</v>
      </c>
      <c r="W316" s="40">
        <f>matrix!V30</f>
        <v>2</v>
      </c>
      <c r="X316" s="40">
        <f>matrix!W30</f>
        <v>2</v>
      </c>
      <c r="Y316" s="40">
        <f>matrix!X30</f>
        <v>2</v>
      </c>
      <c r="Z316" s="40">
        <f>matrix!Y30</f>
        <v>1</v>
      </c>
      <c r="AA316" s="40">
        <f>matrix!Z30</f>
        <v>2</v>
      </c>
      <c r="AB316" s="40">
        <f>matrix!AA30</f>
        <v>2</v>
      </c>
      <c r="AC316" s="40">
        <f>matrix!AB30</f>
        <v>2</v>
      </c>
      <c r="AD316" s="40">
        <f>matrix!AC30</f>
        <v>0</v>
      </c>
      <c r="AE316" s="40">
        <f>matrix!AD30</f>
        <v>1</v>
      </c>
      <c r="AF316" s="40">
        <f>matrix!AE30</f>
        <v>1</v>
      </c>
      <c r="AG316" s="40">
        <f>matrix!AF30</f>
        <v>2</v>
      </c>
      <c r="AH316" s="40">
        <f>matrix!AG30</f>
        <v>3</v>
      </c>
      <c r="AI316" s="40">
        <f>matrix!AH30</f>
        <v>2</v>
      </c>
      <c r="AJ316" s="40">
        <f>matrix!AI30</f>
        <v>2</v>
      </c>
      <c r="AK316" s="40">
        <f>matrix!AJ30</f>
        <v>1</v>
      </c>
      <c r="AL316" s="40">
        <f>matrix!AK30</f>
        <v>2</v>
      </c>
      <c r="AM316" s="40">
        <f>matrix!AL30</f>
        <v>2</v>
      </c>
      <c r="AN316" s="40">
        <f>matrix!AM30</f>
        <v>1</v>
      </c>
      <c r="AO316" s="40">
        <f>matrix!AN30</f>
        <v>2</v>
      </c>
      <c r="AP316" s="40">
        <f>matrix!AO30</f>
        <v>2</v>
      </c>
      <c r="AQ316" s="40">
        <f>matrix!AP30</f>
        <v>3</v>
      </c>
    </row>
    <row r="317" spans="1:43">
      <c r="A317" s="40" t="s">
        <v>1332</v>
      </c>
      <c r="B317" s="40" t="str">
        <f t="shared" si="27"/>
        <v xml:space="preserve">Municipal and County Construction Departments </v>
      </c>
      <c r="C317" s="40">
        <f>matrix!B31</f>
        <v>1</v>
      </c>
      <c r="D317" s="40">
        <f>matrix!C31</f>
        <v>0</v>
      </c>
      <c r="E317" s="40">
        <f>matrix!D31</f>
        <v>1</v>
      </c>
      <c r="F317" s="40">
        <f>matrix!E31</f>
        <v>1</v>
      </c>
      <c r="G317" s="40">
        <f>matrix!F31</f>
        <v>2</v>
      </c>
      <c r="H317" s="40">
        <f>matrix!G31</f>
        <v>0</v>
      </c>
      <c r="I317" s="40">
        <f>matrix!H31</f>
        <v>2</v>
      </c>
      <c r="J317" s="40">
        <f>matrix!I31</f>
        <v>3</v>
      </c>
      <c r="K317" s="40">
        <f>matrix!J31</f>
        <v>0</v>
      </c>
      <c r="L317" s="40">
        <f>matrix!K31</f>
        <v>1</v>
      </c>
      <c r="M317" s="40">
        <f>matrix!L31</f>
        <v>2</v>
      </c>
      <c r="N317" s="40">
        <f>matrix!M31</f>
        <v>1</v>
      </c>
      <c r="O317" s="40">
        <f>matrix!N31</f>
        <v>1</v>
      </c>
      <c r="P317" s="40">
        <f>matrix!O31</f>
        <v>2</v>
      </c>
      <c r="Q317" s="40">
        <f>matrix!P31</f>
        <v>1</v>
      </c>
      <c r="R317" s="40">
        <f>matrix!Q31</f>
        <v>2</v>
      </c>
      <c r="S317" s="40">
        <f>matrix!R31</f>
        <v>0</v>
      </c>
      <c r="T317" s="40">
        <f>matrix!S31</f>
        <v>0</v>
      </c>
      <c r="U317" s="40">
        <f>matrix!T31</f>
        <v>1</v>
      </c>
      <c r="V317" s="40">
        <f>matrix!U31</f>
        <v>1</v>
      </c>
      <c r="W317" s="40">
        <f>matrix!V31</f>
        <v>0</v>
      </c>
      <c r="X317" s="40">
        <f>matrix!W31</f>
        <v>0</v>
      </c>
      <c r="Y317" s="40">
        <f>matrix!X31</f>
        <v>1</v>
      </c>
      <c r="Z317" s="40">
        <f>matrix!Y31</f>
        <v>1</v>
      </c>
      <c r="AA317" s="40">
        <f>matrix!Z31</f>
        <v>0</v>
      </c>
      <c r="AB317" s="40">
        <f>matrix!AA31</f>
        <v>1</v>
      </c>
      <c r="AC317" s="40">
        <f>matrix!AB31</f>
        <v>1</v>
      </c>
      <c r="AD317" s="40">
        <f>matrix!AC31</f>
        <v>0</v>
      </c>
      <c r="AE317" s="40">
        <f>matrix!AD31</f>
        <v>1</v>
      </c>
      <c r="AF317" s="40">
        <f>matrix!AE31</f>
        <v>0</v>
      </c>
      <c r="AG317" s="40">
        <f>matrix!AF31</f>
        <v>1</v>
      </c>
      <c r="AH317" s="40">
        <f>matrix!AG31</f>
        <v>0</v>
      </c>
      <c r="AI317" s="40">
        <f>matrix!AH31</f>
        <v>0</v>
      </c>
      <c r="AJ317" s="40">
        <f>matrix!AI31</f>
        <v>2</v>
      </c>
      <c r="AK317" s="40">
        <f>matrix!AJ31</f>
        <v>1</v>
      </c>
      <c r="AL317" s="40">
        <f>matrix!AK31</f>
        <v>1</v>
      </c>
      <c r="AM317" s="40">
        <f>matrix!AL31</f>
        <v>2</v>
      </c>
      <c r="AN317" s="40">
        <f>matrix!AM31</f>
        <v>1</v>
      </c>
      <c r="AO317" s="40">
        <f>matrix!AN31</f>
        <v>2</v>
      </c>
      <c r="AP317" s="40">
        <f>matrix!AO31</f>
        <v>0</v>
      </c>
      <c r="AQ317" s="40">
        <f>matrix!AP31</f>
        <v>0</v>
      </c>
    </row>
    <row r="318" spans="1:43">
      <c r="A318" s="40" t="s">
        <v>1333</v>
      </c>
      <c r="B318" s="40" t="str">
        <f t="shared" si="27"/>
        <v xml:space="preserve">Commercial Banks </v>
      </c>
      <c r="C318" s="40">
        <f>matrix!B32</f>
        <v>0</v>
      </c>
      <c r="D318" s="40">
        <f>matrix!C32</f>
        <v>0</v>
      </c>
      <c r="E318" s="40">
        <f>matrix!D32</f>
        <v>1</v>
      </c>
      <c r="F318" s="40">
        <f>matrix!E32</f>
        <v>1</v>
      </c>
      <c r="G318" s="40">
        <f>matrix!F32</f>
        <v>0</v>
      </c>
      <c r="H318" s="40">
        <f>matrix!G32</f>
        <v>0</v>
      </c>
      <c r="I318" s="40">
        <f>matrix!H32</f>
        <v>0</v>
      </c>
      <c r="J318" s="40">
        <f>matrix!I32</f>
        <v>0</v>
      </c>
      <c r="K318" s="40">
        <f>matrix!J32</f>
        <v>0</v>
      </c>
      <c r="L318" s="40">
        <f>matrix!K32</f>
        <v>0</v>
      </c>
      <c r="M318" s="40">
        <f>matrix!L32</f>
        <v>0</v>
      </c>
      <c r="N318" s="40">
        <f>matrix!M32</f>
        <v>0</v>
      </c>
      <c r="O318" s="40">
        <f>matrix!N32</f>
        <v>0</v>
      </c>
      <c r="P318" s="40">
        <f>matrix!O32</f>
        <v>0</v>
      </c>
      <c r="Q318" s="40">
        <f>matrix!P32</f>
        <v>0</v>
      </c>
      <c r="R318" s="40">
        <f>matrix!Q32</f>
        <v>0</v>
      </c>
      <c r="S318" s="40">
        <f>matrix!R32</f>
        <v>0</v>
      </c>
      <c r="T318" s="40">
        <f>matrix!S32</f>
        <v>0</v>
      </c>
      <c r="U318" s="40">
        <f>matrix!T32</f>
        <v>0</v>
      </c>
      <c r="V318" s="40">
        <f>matrix!U32</f>
        <v>0</v>
      </c>
      <c r="W318" s="40">
        <f>matrix!V32</f>
        <v>0</v>
      </c>
      <c r="X318" s="40">
        <f>matrix!W32</f>
        <v>0</v>
      </c>
      <c r="Y318" s="40">
        <f>matrix!X32</f>
        <v>0</v>
      </c>
      <c r="Z318" s="40">
        <f>matrix!Y32</f>
        <v>0</v>
      </c>
      <c r="AA318" s="40">
        <f>matrix!Z32</f>
        <v>0</v>
      </c>
      <c r="AB318" s="40">
        <f>matrix!AA32</f>
        <v>1</v>
      </c>
      <c r="AC318" s="40">
        <f>matrix!AB32</f>
        <v>1</v>
      </c>
      <c r="AD318" s="40">
        <f>matrix!AC32</f>
        <v>0</v>
      </c>
      <c r="AE318" s="40">
        <f>matrix!AD32</f>
        <v>0</v>
      </c>
      <c r="AF318" s="40">
        <f>matrix!AE32</f>
        <v>0</v>
      </c>
      <c r="AG318" s="40">
        <f>matrix!AF32</f>
        <v>0</v>
      </c>
      <c r="AH318" s="40">
        <f>matrix!AG32</f>
        <v>0</v>
      </c>
      <c r="AI318" s="40">
        <f>matrix!AH32</f>
        <v>0</v>
      </c>
      <c r="AJ318" s="40">
        <f>matrix!AI32</f>
        <v>0</v>
      </c>
      <c r="AK318" s="40">
        <f>matrix!AJ32</f>
        <v>0</v>
      </c>
      <c r="AL318" s="40">
        <f>matrix!AK32</f>
        <v>0</v>
      </c>
      <c r="AM318" s="40">
        <f>matrix!AL32</f>
        <v>0</v>
      </c>
      <c r="AN318" s="40">
        <f>matrix!AM32</f>
        <v>0</v>
      </c>
      <c r="AO318" s="40">
        <f>matrix!AN32</f>
        <v>1</v>
      </c>
      <c r="AP318" s="40">
        <f>matrix!AO32</f>
        <v>0</v>
      </c>
      <c r="AQ318" s="40">
        <f>matrix!AP32</f>
        <v>1</v>
      </c>
    </row>
    <row r="319" spans="1:43">
      <c r="A319" s="40" t="s">
        <v>1284</v>
      </c>
      <c r="B319" s="40" t="str">
        <f t="shared" si="27"/>
        <v>Developer Responsibilities</v>
      </c>
      <c r="C319" s="40">
        <f>SUM(C320:C324)</f>
        <v>0</v>
      </c>
      <c r="D319" s="40">
        <f t="shared" ref="D319:AQ319" si="29">SUM(D320:D324)</f>
        <v>4</v>
      </c>
      <c r="E319" s="40">
        <f t="shared" si="29"/>
        <v>4</v>
      </c>
      <c r="F319" s="40">
        <f t="shared" si="29"/>
        <v>1</v>
      </c>
      <c r="G319" s="40">
        <f t="shared" si="29"/>
        <v>1</v>
      </c>
      <c r="H319" s="40">
        <f t="shared" si="29"/>
        <v>4</v>
      </c>
      <c r="I319" s="40">
        <f t="shared" si="29"/>
        <v>0</v>
      </c>
      <c r="J319" s="40">
        <f t="shared" si="29"/>
        <v>7</v>
      </c>
      <c r="K319" s="40">
        <f t="shared" si="29"/>
        <v>3</v>
      </c>
      <c r="L319" s="40">
        <f t="shared" si="29"/>
        <v>1</v>
      </c>
      <c r="M319" s="40">
        <f t="shared" si="29"/>
        <v>2</v>
      </c>
      <c r="N319" s="40">
        <f t="shared" si="29"/>
        <v>2</v>
      </c>
      <c r="O319" s="40">
        <f t="shared" si="29"/>
        <v>1</v>
      </c>
      <c r="P319" s="40">
        <f t="shared" si="29"/>
        <v>2</v>
      </c>
      <c r="Q319" s="40">
        <f t="shared" si="29"/>
        <v>5</v>
      </c>
      <c r="R319" s="40">
        <f t="shared" si="29"/>
        <v>2</v>
      </c>
      <c r="S319" s="40">
        <f t="shared" si="29"/>
        <v>0</v>
      </c>
      <c r="T319" s="40">
        <f t="shared" si="29"/>
        <v>3</v>
      </c>
      <c r="U319" s="40">
        <f t="shared" si="29"/>
        <v>0</v>
      </c>
      <c r="V319" s="40">
        <f t="shared" si="29"/>
        <v>3</v>
      </c>
      <c r="W319" s="40">
        <f t="shared" si="29"/>
        <v>4</v>
      </c>
      <c r="X319" s="40">
        <f t="shared" si="29"/>
        <v>2</v>
      </c>
      <c r="Y319" s="40">
        <f t="shared" si="29"/>
        <v>4</v>
      </c>
      <c r="Z319" s="40">
        <f t="shared" si="29"/>
        <v>0</v>
      </c>
      <c r="AA319" s="40">
        <f t="shared" si="29"/>
        <v>6</v>
      </c>
      <c r="AB319" s="40">
        <f t="shared" si="29"/>
        <v>3</v>
      </c>
      <c r="AC319" s="40">
        <f t="shared" si="29"/>
        <v>0</v>
      </c>
      <c r="AD319" s="40">
        <f t="shared" si="29"/>
        <v>4</v>
      </c>
      <c r="AE319" s="40">
        <f t="shared" si="29"/>
        <v>1</v>
      </c>
      <c r="AF319" s="40">
        <f t="shared" si="29"/>
        <v>1</v>
      </c>
      <c r="AG319" s="40">
        <f t="shared" si="29"/>
        <v>8</v>
      </c>
      <c r="AH319" s="40">
        <f t="shared" si="29"/>
        <v>4</v>
      </c>
      <c r="AI319" s="40">
        <f t="shared" si="29"/>
        <v>3</v>
      </c>
      <c r="AJ319" s="40">
        <f t="shared" si="29"/>
        <v>2</v>
      </c>
      <c r="AK319" s="40">
        <f t="shared" si="29"/>
        <v>1</v>
      </c>
      <c r="AL319" s="40">
        <f t="shared" si="29"/>
        <v>2</v>
      </c>
      <c r="AM319" s="40">
        <f t="shared" si="29"/>
        <v>7</v>
      </c>
      <c r="AN319" s="40">
        <f t="shared" si="29"/>
        <v>8</v>
      </c>
      <c r="AO319" s="40">
        <f t="shared" si="29"/>
        <v>3</v>
      </c>
      <c r="AP319" s="40">
        <f t="shared" si="29"/>
        <v>3</v>
      </c>
      <c r="AQ319" s="40">
        <f t="shared" si="29"/>
        <v>3</v>
      </c>
    </row>
    <row r="320" spans="1:43">
      <c r="A320" s="40" t="s">
        <v>1334</v>
      </c>
      <c r="B320" s="40" t="str">
        <f t="shared" si="27"/>
        <v xml:space="preserve">Apply for pre-sale permits </v>
      </c>
      <c r="C320" s="40">
        <f>matrix!B36</f>
        <v>0</v>
      </c>
      <c r="D320" s="40">
        <f>matrix!C36</f>
        <v>1</v>
      </c>
      <c r="E320" s="40">
        <f>matrix!D36</f>
        <v>1</v>
      </c>
      <c r="F320" s="40">
        <f>matrix!E36</f>
        <v>1</v>
      </c>
      <c r="G320" s="40">
        <f>matrix!F36</f>
        <v>1</v>
      </c>
      <c r="H320" s="40">
        <f>matrix!G36</f>
        <v>1</v>
      </c>
      <c r="I320" s="40">
        <f>matrix!H36</f>
        <v>0</v>
      </c>
      <c r="J320" s="40">
        <f>matrix!I36</f>
        <v>3</v>
      </c>
      <c r="K320" s="40">
        <f>matrix!J36</f>
        <v>1</v>
      </c>
      <c r="L320" s="40">
        <f>matrix!K36</f>
        <v>0</v>
      </c>
      <c r="M320" s="40">
        <f>matrix!L36</f>
        <v>1</v>
      </c>
      <c r="N320" s="40">
        <f>matrix!M36</f>
        <v>1</v>
      </c>
      <c r="O320" s="40">
        <f>matrix!N36</f>
        <v>0</v>
      </c>
      <c r="P320" s="40">
        <f>matrix!O36</f>
        <v>0</v>
      </c>
      <c r="Q320" s="40">
        <f>matrix!P36</f>
        <v>3</v>
      </c>
      <c r="R320" s="40">
        <f>matrix!Q36</f>
        <v>1</v>
      </c>
      <c r="S320" s="40">
        <f>matrix!R36</f>
        <v>0</v>
      </c>
      <c r="T320" s="40">
        <f>matrix!S36</f>
        <v>1</v>
      </c>
      <c r="U320" s="40">
        <f>matrix!T36</f>
        <v>0</v>
      </c>
      <c r="V320" s="40">
        <f>matrix!U36</f>
        <v>1</v>
      </c>
      <c r="W320" s="40">
        <f>matrix!V36</f>
        <v>1</v>
      </c>
      <c r="X320" s="40">
        <f>matrix!W36</f>
        <v>1</v>
      </c>
      <c r="Y320" s="40">
        <f>matrix!X36</f>
        <v>1</v>
      </c>
      <c r="Z320" s="40">
        <f>matrix!Y36</f>
        <v>0</v>
      </c>
      <c r="AA320" s="40">
        <f>matrix!Z36</f>
        <v>2</v>
      </c>
      <c r="AB320" s="40">
        <f>matrix!AA36</f>
        <v>3</v>
      </c>
      <c r="AC320" s="40">
        <f>matrix!AB36</f>
        <v>0</v>
      </c>
      <c r="AD320" s="40">
        <f>matrix!AC36</f>
        <v>1</v>
      </c>
      <c r="AE320" s="40">
        <f>matrix!AD36</f>
        <v>1</v>
      </c>
      <c r="AF320" s="40">
        <f>matrix!AE36</f>
        <v>1</v>
      </c>
      <c r="AG320" s="40">
        <f>matrix!AF36</f>
        <v>2</v>
      </c>
      <c r="AH320" s="40">
        <f>matrix!AG36</f>
        <v>1</v>
      </c>
      <c r="AI320" s="40">
        <f>matrix!AH36</f>
        <v>1</v>
      </c>
      <c r="AJ320" s="40">
        <f>matrix!AI36</f>
        <v>2</v>
      </c>
      <c r="AK320" s="40">
        <f>matrix!AJ36</f>
        <v>0</v>
      </c>
      <c r="AL320" s="40">
        <f>matrix!AK36</f>
        <v>1</v>
      </c>
      <c r="AM320" s="40">
        <f>matrix!AL36</f>
        <v>4</v>
      </c>
      <c r="AN320" s="40">
        <f>matrix!AM36</f>
        <v>3</v>
      </c>
      <c r="AO320" s="40">
        <f>matrix!AN36</f>
        <v>2</v>
      </c>
      <c r="AP320" s="40">
        <f>matrix!AO36</f>
        <v>1</v>
      </c>
      <c r="AQ320" s="40">
        <f>matrix!AP36</f>
        <v>1</v>
      </c>
    </row>
    <row r="321" spans="1:43">
      <c r="A321" s="40" t="s">
        <v>1335</v>
      </c>
      <c r="B321" s="40" t="str">
        <f t="shared" si="27"/>
        <v xml:space="preserve">Establish supervision accounts </v>
      </c>
      <c r="C321" s="40">
        <f>matrix!B37</f>
        <v>0</v>
      </c>
      <c r="D321" s="40">
        <f>matrix!C37</f>
        <v>1</v>
      </c>
      <c r="E321" s="40">
        <f>matrix!D37</f>
        <v>2</v>
      </c>
      <c r="F321" s="40">
        <f>matrix!E37</f>
        <v>0</v>
      </c>
      <c r="G321" s="40">
        <f>matrix!F37</f>
        <v>0</v>
      </c>
      <c r="H321" s="40">
        <f>matrix!G37</f>
        <v>0</v>
      </c>
      <c r="I321" s="40">
        <f>matrix!H37</f>
        <v>0</v>
      </c>
      <c r="J321" s="40">
        <f>matrix!I37</f>
        <v>1</v>
      </c>
      <c r="K321" s="40">
        <f>matrix!J37</f>
        <v>1</v>
      </c>
      <c r="L321" s="40">
        <f>matrix!K37</f>
        <v>1</v>
      </c>
      <c r="M321" s="40">
        <f>matrix!L37</f>
        <v>1</v>
      </c>
      <c r="N321" s="40">
        <f>matrix!M37</f>
        <v>1</v>
      </c>
      <c r="O321" s="40">
        <f>matrix!N37</f>
        <v>1</v>
      </c>
      <c r="P321" s="40">
        <f>matrix!O37</f>
        <v>2</v>
      </c>
      <c r="Q321" s="40">
        <f>matrix!P37</f>
        <v>2</v>
      </c>
      <c r="R321" s="40">
        <f>matrix!Q37</f>
        <v>1</v>
      </c>
      <c r="S321" s="40">
        <f>matrix!R37</f>
        <v>0</v>
      </c>
      <c r="T321" s="40">
        <f>matrix!S37</f>
        <v>2</v>
      </c>
      <c r="U321" s="40">
        <f>matrix!T37</f>
        <v>0</v>
      </c>
      <c r="V321" s="40">
        <f>matrix!U37</f>
        <v>0</v>
      </c>
      <c r="W321" s="40">
        <f>matrix!V37</f>
        <v>0</v>
      </c>
      <c r="X321" s="40">
        <f>matrix!W37</f>
        <v>1</v>
      </c>
      <c r="Y321" s="40">
        <f>matrix!X37</f>
        <v>1</v>
      </c>
      <c r="Z321" s="40">
        <f>matrix!Y37</f>
        <v>0</v>
      </c>
      <c r="AA321" s="40">
        <f>matrix!Z37</f>
        <v>2</v>
      </c>
      <c r="AB321" s="40">
        <f>matrix!AA37</f>
        <v>0</v>
      </c>
      <c r="AC321" s="40">
        <f>matrix!AB37</f>
        <v>0</v>
      </c>
      <c r="AD321" s="40">
        <f>matrix!AC37</f>
        <v>2</v>
      </c>
      <c r="AE321" s="40">
        <f>matrix!AD37</f>
        <v>0</v>
      </c>
      <c r="AF321" s="40">
        <f>matrix!AE37</f>
        <v>0</v>
      </c>
      <c r="AG321" s="40">
        <f>matrix!AF37</f>
        <v>4</v>
      </c>
      <c r="AH321" s="40">
        <f>matrix!AG37</f>
        <v>0</v>
      </c>
      <c r="AI321" s="40">
        <f>matrix!AH37</f>
        <v>0</v>
      </c>
      <c r="AJ321" s="40">
        <f>matrix!AI37</f>
        <v>0</v>
      </c>
      <c r="AK321" s="40">
        <f>matrix!AJ37</f>
        <v>0</v>
      </c>
      <c r="AL321" s="40">
        <f>matrix!AK37</f>
        <v>1</v>
      </c>
      <c r="AM321" s="40">
        <f>matrix!AL37</f>
        <v>1</v>
      </c>
      <c r="AN321" s="40">
        <f>matrix!AM37</f>
        <v>2</v>
      </c>
      <c r="AO321" s="40">
        <f>matrix!AN37</f>
        <v>1</v>
      </c>
      <c r="AP321" s="40">
        <f>matrix!AO37</f>
        <v>0</v>
      </c>
      <c r="AQ321" s="40">
        <f>matrix!AP37</f>
        <v>0</v>
      </c>
    </row>
    <row r="322" spans="1:43">
      <c r="A322" s="40" t="s">
        <v>1336</v>
      </c>
      <c r="B322" s="40" t="str">
        <f t="shared" si="27"/>
        <v xml:space="preserve">Sign supervision agreements </v>
      </c>
      <c r="C322" s="40">
        <f>matrix!B38</f>
        <v>0</v>
      </c>
      <c r="D322" s="40">
        <f>matrix!C38</f>
        <v>1</v>
      </c>
      <c r="E322" s="40">
        <f>matrix!D38</f>
        <v>0</v>
      </c>
      <c r="F322" s="40">
        <f>matrix!E38</f>
        <v>0</v>
      </c>
      <c r="G322" s="40">
        <f>matrix!F38</f>
        <v>0</v>
      </c>
      <c r="H322" s="40">
        <f>matrix!G38</f>
        <v>1</v>
      </c>
      <c r="I322" s="40">
        <f>matrix!H38</f>
        <v>0</v>
      </c>
      <c r="J322" s="40">
        <f>matrix!I38</f>
        <v>1</v>
      </c>
      <c r="K322" s="40">
        <f>matrix!J38</f>
        <v>0</v>
      </c>
      <c r="L322" s="40">
        <f>matrix!K38</f>
        <v>0</v>
      </c>
      <c r="M322" s="40">
        <f>matrix!L38</f>
        <v>0</v>
      </c>
      <c r="N322" s="40">
        <f>matrix!M38</f>
        <v>0</v>
      </c>
      <c r="O322" s="40">
        <f>matrix!N38</f>
        <v>0</v>
      </c>
      <c r="P322" s="40">
        <f>matrix!O38</f>
        <v>0</v>
      </c>
      <c r="Q322" s="40">
        <f>matrix!P38</f>
        <v>0</v>
      </c>
      <c r="R322" s="40">
        <f>matrix!Q38</f>
        <v>0</v>
      </c>
      <c r="S322" s="40">
        <f>matrix!R38</f>
        <v>0</v>
      </c>
      <c r="T322" s="40">
        <f>matrix!S38</f>
        <v>0</v>
      </c>
      <c r="U322" s="40">
        <f>matrix!T38</f>
        <v>0</v>
      </c>
      <c r="V322" s="40">
        <f>matrix!U38</f>
        <v>1</v>
      </c>
      <c r="W322" s="40">
        <f>matrix!V38</f>
        <v>1</v>
      </c>
      <c r="X322" s="40">
        <f>matrix!W38</f>
        <v>0</v>
      </c>
      <c r="Y322" s="40">
        <f>matrix!X38</f>
        <v>1</v>
      </c>
      <c r="Z322" s="40">
        <f>matrix!Y38</f>
        <v>0</v>
      </c>
      <c r="AA322" s="40">
        <f>matrix!Z38</f>
        <v>1</v>
      </c>
      <c r="AB322" s="40">
        <f>matrix!AA38</f>
        <v>0</v>
      </c>
      <c r="AC322" s="40">
        <f>matrix!AB38</f>
        <v>0</v>
      </c>
      <c r="AD322" s="40">
        <f>matrix!AC38</f>
        <v>0</v>
      </c>
      <c r="AE322" s="40">
        <f>matrix!AD38</f>
        <v>0</v>
      </c>
      <c r="AF322" s="40">
        <f>matrix!AE38</f>
        <v>0</v>
      </c>
      <c r="AG322" s="40">
        <f>matrix!AF38</f>
        <v>1</v>
      </c>
      <c r="AH322" s="40">
        <f>matrix!AG38</f>
        <v>1</v>
      </c>
      <c r="AI322" s="40">
        <f>matrix!AH38</f>
        <v>1</v>
      </c>
      <c r="AJ322" s="40">
        <f>matrix!AI38</f>
        <v>0</v>
      </c>
      <c r="AK322" s="40">
        <f>matrix!AJ38</f>
        <v>0</v>
      </c>
      <c r="AL322" s="40">
        <f>matrix!AK38</f>
        <v>0</v>
      </c>
      <c r="AM322" s="40">
        <f>matrix!AL38</f>
        <v>1</v>
      </c>
      <c r="AN322" s="40">
        <f>matrix!AM38</f>
        <v>1</v>
      </c>
      <c r="AO322" s="40">
        <f>matrix!AN38</f>
        <v>0</v>
      </c>
      <c r="AP322" s="40">
        <f>matrix!AO38</f>
        <v>1</v>
      </c>
      <c r="AQ322" s="40">
        <f>matrix!AP38</f>
        <v>1</v>
      </c>
    </row>
    <row r="323" spans="1:43">
      <c r="A323" s="40" t="s">
        <v>1337</v>
      </c>
      <c r="B323" s="40" t="str">
        <f t="shared" si="27"/>
        <v xml:space="preserve">Comply with fund use nodes </v>
      </c>
      <c r="C323" s="40">
        <f>matrix!B39</f>
        <v>0</v>
      </c>
      <c r="D323" s="40">
        <f>matrix!C39</f>
        <v>0</v>
      </c>
      <c r="E323" s="40">
        <f>matrix!D39</f>
        <v>1</v>
      </c>
      <c r="F323" s="40">
        <f>matrix!E39</f>
        <v>0</v>
      </c>
      <c r="G323" s="40">
        <f>matrix!F39</f>
        <v>0</v>
      </c>
      <c r="H323" s="40">
        <f>matrix!G39</f>
        <v>1</v>
      </c>
      <c r="I323" s="40">
        <f>matrix!H39</f>
        <v>0</v>
      </c>
      <c r="J323" s="40">
        <f>matrix!I39</f>
        <v>1</v>
      </c>
      <c r="K323" s="40">
        <f>matrix!J39</f>
        <v>1</v>
      </c>
      <c r="L323" s="40">
        <f>matrix!K39</f>
        <v>0</v>
      </c>
      <c r="M323" s="40">
        <f>matrix!L39</f>
        <v>0</v>
      </c>
      <c r="N323" s="40">
        <f>matrix!M39</f>
        <v>0</v>
      </c>
      <c r="O323" s="40">
        <f>matrix!N39</f>
        <v>0</v>
      </c>
      <c r="P323" s="40">
        <f>matrix!O39</f>
        <v>0</v>
      </c>
      <c r="Q323" s="40">
        <f>matrix!P39</f>
        <v>0</v>
      </c>
      <c r="R323" s="40">
        <f>matrix!Q39</f>
        <v>0</v>
      </c>
      <c r="S323" s="40">
        <f>matrix!R39</f>
        <v>0</v>
      </c>
      <c r="T323" s="40">
        <f>matrix!S39</f>
        <v>0</v>
      </c>
      <c r="U323" s="40">
        <f>matrix!T39</f>
        <v>0</v>
      </c>
      <c r="V323" s="40">
        <f>matrix!U39</f>
        <v>0</v>
      </c>
      <c r="W323" s="40">
        <f>matrix!V39</f>
        <v>1</v>
      </c>
      <c r="X323" s="40">
        <f>matrix!W39</f>
        <v>0</v>
      </c>
      <c r="Y323" s="40">
        <f>matrix!X39</f>
        <v>0</v>
      </c>
      <c r="Z323" s="40">
        <f>matrix!Y39</f>
        <v>0</v>
      </c>
      <c r="AA323" s="40">
        <f>matrix!Z39</f>
        <v>0</v>
      </c>
      <c r="AB323" s="40">
        <f>matrix!AA39</f>
        <v>0</v>
      </c>
      <c r="AC323" s="40">
        <f>matrix!AB39</f>
        <v>0</v>
      </c>
      <c r="AD323" s="40">
        <f>matrix!AC39</f>
        <v>1</v>
      </c>
      <c r="AE323" s="40">
        <f>matrix!AD39</f>
        <v>0</v>
      </c>
      <c r="AF323" s="40">
        <f>matrix!AE39</f>
        <v>0</v>
      </c>
      <c r="AG323" s="40">
        <f>matrix!AF39</f>
        <v>0</v>
      </c>
      <c r="AH323" s="40">
        <f>matrix!AG39</f>
        <v>1</v>
      </c>
      <c r="AI323" s="40">
        <f>matrix!AH39</f>
        <v>0</v>
      </c>
      <c r="AJ323" s="40">
        <f>matrix!AI39</f>
        <v>0</v>
      </c>
      <c r="AK323" s="40">
        <f>matrix!AJ39</f>
        <v>1</v>
      </c>
      <c r="AL323" s="40">
        <f>matrix!AK39</f>
        <v>0</v>
      </c>
      <c r="AM323" s="40">
        <f>matrix!AL39</f>
        <v>0</v>
      </c>
      <c r="AN323" s="40">
        <f>matrix!AM39</f>
        <v>1</v>
      </c>
      <c r="AO323" s="40">
        <f>matrix!AN39</f>
        <v>0</v>
      </c>
      <c r="AP323" s="40">
        <f>matrix!AO39</f>
        <v>0</v>
      </c>
      <c r="AQ323" s="40">
        <f>matrix!AP39</f>
        <v>0</v>
      </c>
    </row>
    <row r="324" spans="1:43">
      <c r="A324" s="40" t="s">
        <v>1338</v>
      </c>
      <c r="B324" s="40" t="str">
        <f t="shared" si="27"/>
        <v xml:space="preserve">Guaranteeing the delivery of housing </v>
      </c>
      <c r="C324" s="40">
        <f>matrix!B38</f>
        <v>0</v>
      </c>
      <c r="D324" s="40">
        <f>matrix!C38</f>
        <v>1</v>
      </c>
      <c r="E324" s="40">
        <f>matrix!D38</f>
        <v>0</v>
      </c>
      <c r="F324" s="40">
        <f>matrix!E38</f>
        <v>0</v>
      </c>
      <c r="G324" s="40">
        <f>matrix!F38</f>
        <v>0</v>
      </c>
      <c r="H324" s="40">
        <f>matrix!G38</f>
        <v>1</v>
      </c>
      <c r="I324" s="40">
        <f>matrix!H38</f>
        <v>0</v>
      </c>
      <c r="J324" s="40">
        <f>matrix!I38</f>
        <v>1</v>
      </c>
      <c r="K324" s="40">
        <f>matrix!J38</f>
        <v>0</v>
      </c>
      <c r="L324" s="40">
        <f>matrix!K38</f>
        <v>0</v>
      </c>
      <c r="M324" s="40">
        <f>matrix!L38</f>
        <v>0</v>
      </c>
      <c r="N324" s="40">
        <f>matrix!M38</f>
        <v>0</v>
      </c>
      <c r="O324" s="40">
        <f>matrix!N38</f>
        <v>0</v>
      </c>
      <c r="P324" s="40">
        <f>matrix!O38</f>
        <v>0</v>
      </c>
      <c r="Q324" s="40">
        <f>matrix!P38</f>
        <v>0</v>
      </c>
      <c r="R324" s="40">
        <f>matrix!Q38</f>
        <v>0</v>
      </c>
      <c r="S324" s="40">
        <f>matrix!R38</f>
        <v>0</v>
      </c>
      <c r="T324" s="40">
        <f>matrix!S38</f>
        <v>0</v>
      </c>
      <c r="U324" s="40">
        <f>matrix!T38</f>
        <v>0</v>
      </c>
      <c r="V324" s="40">
        <f>matrix!U38</f>
        <v>1</v>
      </c>
      <c r="W324" s="40">
        <f>matrix!V38</f>
        <v>1</v>
      </c>
      <c r="X324" s="40">
        <f>matrix!W38</f>
        <v>0</v>
      </c>
      <c r="Y324" s="40">
        <f>matrix!X38</f>
        <v>1</v>
      </c>
      <c r="Z324" s="40">
        <f>matrix!Y38</f>
        <v>0</v>
      </c>
      <c r="AA324" s="40">
        <f>matrix!Z38</f>
        <v>1</v>
      </c>
      <c r="AB324" s="40">
        <f>matrix!AA38</f>
        <v>0</v>
      </c>
      <c r="AC324" s="40">
        <f>matrix!AB38</f>
        <v>0</v>
      </c>
      <c r="AD324" s="40">
        <f>matrix!AC38</f>
        <v>0</v>
      </c>
      <c r="AE324" s="40">
        <f>matrix!AD38</f>
        <v>0</v>
      </c>
      <c r="AF324" s="40">
        <f>matrix!AE38</f>
        <v>0</v>
      </c>
      <c r="AG324" s="40">
        <f>matrix!AF38</f>
        <v>1</v>
      </c>
      <c r="AH324" s="40">
        <f>matrix!AG38</f>
        <v>1</v>
      </c>
      <c r="AI324" s="40">
        <f>matrix!AH38</f>
        <v>1</v>
      </c>
      <c r="AJ324" s="40">
        <f>matrix!AI38</f>
        <v>0</v>
      </c>
      <c r="AK324" s="40">
        <f>matrix!AJ38</f>
        <v>0</v>
      </c>
      <c r="AL324" s="40">
        <f>matrix!AK38</f>
        <v>0</v>
      </c>
      <c r="AM324" s="40">
        <f>matrix!AL38</f>
        <v>1</v>
      </c>
      <c r="AN324" s="40">
        <f>matrix!AM38</f>
        <v>1</v>
      </c>
      <c r="AO324" s="40">
        <f>matrix!AN38</f>
        <v>0</v>
      </c>
      <c r="AP324" s="40">
        <f>matrix!AO38</f>
        <v>1</v>
      </c>
      <c r="AQ324" s="40">
        <f>matrix!AP38</f>
        <v>1</v>
      </c>
    </row>
    <row r="325" spans="1:43">
      <c r="A325" s="40" t="s">
        <v>1285</v>
      </c>
      <c r="B325" s="40" t="str">
        <f t="shared" ref="B325:B333" si="30">B278</f>
        <v>Relaxation Clauses</v>
      </c>
      <c r="C325" s="40">
        <f>SUM(C326:C327)</f>
        <v>0</v>
      </c>
      <c r="D325" s="40">
        <f t="shared" ref="D325:AQ325" si="31">SUM(D326:D327)</f>
        <v>0</v>
      </c>
      <c r="E325" s="40">
        <f t="shared" si="31"/>
        <v>1</v>
      </c>
      <c r="F325" s="40">
        <f t="shared" si="31"/>
        <v>0</v>
      </c>
      <c r="G325" s="40">
        <f t="shared" si="31"/>
        <v>0</v>
      </c>
      <c r="H325" s="40">
        <f t="shared" si="31"/>
        <v>1</v>
      </c>
      <c r="I325" s="40">
        <f t="shared" si="31"/>
        <v>0</v>
      </c>
      <c r="J325" s="40">
        <f t="shared" si="31"/>
        <v>1</v>
      </c>
      <c r="K325" s="40">
        <f t="shared" si="31"/>
        <v>1</v>
      </c>
      <c r="L325" s="40">
        <f t="shared" si="31"/>
        <v>0</v>
      </c>
      <c r="M325" s="40">
        <f t="shared" si="31"/>
        <v>0</v>
      </c>
      <c r="N325" s="40">
        <f t="shared" si="31"/>
        <v>0</v>
      </c>
      <c r="O325" s="40">
        <f t="shared" si="31"/>
        <v>0</v>
      </c>
      <c r="P325" s="40">
        <f t="shared" si="31"/>
        <v>0</v>
      </c>
      <c r="Q325" s="40">
        <f t="shared" si="31"/>
        <v>0</v>
      </c>
      <c r="R325" s="40">
        <f t="shared" si="31"/>
        <v>0</v>
      </c>
      <c r="S325" s="40">
        <f t="shared" si="31"/>
        <v>0</v>
      </c>
      <c r="T325" s="40">
        <f t="shared" si="31"/>
        <v>0</v>
      </c>
      <c r="U325" s="40">
        <f t="shared" si="31"/>
        <v>0</v>
      </c>
      <c r="V325" s="40">
        <f t="shared" si="31"/>
        <v>0</v>
      </c>
      <c r="W325" s="40">
        <f t="shared" si="31"/>
        <v>1</v>
      </c>
      <c r="X325" s="40">
        <f t="shared" si="31"/>
        <v>0</v>
      </c>
      <c r="Y325" s="40">
        <f t="shared" si="31"/>
        <v>0</v>
      </c>
      <c r="Z325" s="40">
        <f t="shared" si="31"/>
        <v>0</v>
      </c>
      <c r="AA325" s="40">
        <f t="shared" si="31"/>
        <v>0</v>
      </c>
      <c r="AB325" s="40">
        <f t="shared" si="31"/>
        <v>0</v>
      </c>
      <c r="AC325" s="40">
        <f t="shared" si="31"/>
        <v>0</v>
      </c>
      <c r="AD325" s="40">
        <f t="shared" si="31"/>
        <v>1</v>
      </c>
      <c r="AE325" s="40">
        <f t="shared" si="31"/>
        <v>0</v>
      </c>
      <c r="AF325" s="40">
        <f t="shared" si="31"/>
        <v>0</v>
      </c>
      <c r="AG325" s="40">
        <f t="shared" si="31"/>
        <v>0</v>
      </c>
      <c r="AH325" s="40">
        <f t="shared" si="31"/>
        <v>1</v>
      </c>
      <c r="AI325" s="40">
        <f t="shared" si="31"/>
        <v>0</v>
      </c>
      <c r="AJ325" s="40">
        <f t="shared" si="31"/>
        <v>0</v>
      </c>
      <c r="AK325" s="40">
        <f t="shared" si="31"/>
        <v>1</v>
      </c>
      <c r="AL325" s="40">
        <f t="shared" si="31"/>
        <v>0</v>
      </c>
      <c r="AM325" s="40">
        <f t="shared" si="31"/>
        <v>0</v>
      </c>
      <c r="AN325" s="40">
        <f t="shared" si="31"/>
        <v>1</v>
      </c>
      <c r="AO325" s="40">
        <f t="shared" si="31"/>
        <v>0</v>
      </c>
      <c r="AP325" s="40">
        <f t="shared" si="31"/>
        <v>0</v>
      </c>
      <c r="AQ325" s="40">
        <f t="shared" si="31"/>
        <v>1</v>
      </c>
    </row>
    <row r="326" spans="1:43">
      <c r="A326" s="40" t="s">
        <v>1339</v>
      </c>
      <c r="B326" s="40" t="str">
        <f t="shared" si="30"/>
        <v xml:space="preserve"> Relaxation Conditions</v>
      </c>
      <c r="C326" s="40">
        <f>matrix!B40</f>
        <v>0</v>
      </c>
      <c r="D326" s="40">
        <f>matrix!C40</f>
        <v>0</v>
      </c>
      <c r="E326" s="40">
        <f>matrix!D40</f>
        <v>1</v>
      </c>
      <c r="F326" s="40">
        <f>matrix!E40</f>
        <v>0</v>
      </c>
      <c r="G326" s="40">
        <f>matrix!F40</f>
        <v>0</v>
      </c>
      <c r="H326" s="40">
        <f>matrix!G40</f>
        <v>0</v>
      </c>
      <c r="I326" s="40">
        <f>matrix!H40</f>
        <v>0</v>
      </c>
      <c r="J326" s="40">
        <f>matrix!I40</f>
        <v>1</v>
      </c>
      <c r="K326" s="40">
        <f>matrix!J40</f>
        <v>1</v>
      </c>
      <c r="L326" s="40">
        <f>matrix!K40</f>
        <v>0</v>
      </c>
      <c r="M326" s="40">
        <f>matrix!L40</f>
        <v>0</v>
      </c>
      <c r="N326" s="40">
        <f>matrix!M40</f>
        <v>0</v>
      </c>
      <c r="O326" s="40">
        <f>matrix!N40</f>
        <v>0</v>
      </c>
      <c r="P326" s="40">
        <f>matrix!O40</f>
        <v>0</v>
      </c>
      <c r="Q326" s="40">
        <f>matrix!P40</f>
        <v>0</v>
      </c>
      <c r="R326" s="40">
        <f>matrix!Q40</f>
        <v>0</v>
      </c>
      <c r="S326" s="40">
        <f>matrix!R40</f>
        <v>0</v>
      </c>
      <c r="T326" s="40">
        <f>matrix!S40</f>
        <v>0</v>
      </c>
      <c r="U326" s="40">
        <f>matrix!T40</f>
        <v>0</v>
      </c>
      <c r="V326" s="40">
        <f>matrix!U40</f>
        <v>0</v>
      </c>
      <c r="W326" s="40">
        <f>matrix!V40</f>
        <v>0</v>
      </c>
      <c r="X326" s="40">
        <f>matrix!W40</f>
        <v>0</v>
      </c>
      <c r="Y326" s="40">
        <f>matrix!X40</f>
        <v>0</v>
      </c>
      <c r="Z326" s="40">
        <f>matrix!Y40</f>
        <v>0</v>
      </c>
      <c r="AA326" s="40">
        <f>matrix!Z40</f>
        <v>0</v>
      </c>
      <c r="AB326" s="40">
        <f>matrix!AA40</f>
        <v>0</v>
      </c>
      <c r="AC326" s="40">
        <f>matrix!AB40</f>
        <v>0</v>
      </c>
      <c r="AD326" s="40">
        <f>matrix!AC40</f>
        <v>0</v>
      </c>
      <c r="AE326" s="40">
        <f>matrix!AD40</f>
        <v>0</v>
      </c>
      <c r="AF326" s="40">
        <f>matrix!AE40</f>
        <v>0</v>
      </c>
      <c r="AG326" s="40">
        <f>matrix!AF40</f>
        <v>0</v>
      </c>
      <c r="AH326" s="40">
        <f>matrix!AG40</f>
        <v>0</v>
      </c>
      <c r="AI326" s="40">
        <f>matrix!AH40</f>
        <v>0</v>
      </c>
      <c r="AJ326" s="40">
        <f>matrix!AI40</f>
        <v>0</v>
      </c>
      <c r="AK326" s="40">
        <f>matrix!AJ40</f>
        <v>1</v>
      </c>
      <c r="AL326" s="40">
        <f>matrix!AK40</f>
        <v>0</v>
      </c>
      <c r="AM326" s="40">
        <f>matrix!AL40</f>
        <v>0</v>
      </c>
      <c r="AN326" s="40">
        <f>matrix!AM40</f>
        <v>0</v>
      </c>
      <c r="AO326" s="40">
        <f>matrix!AN40</f>
        <v>0</v>
      </c>
      <c r="AP326" s="40">
        <f>matrix!AO40</f>
        <v>0</v>
      </c>
      <c r="AQ326" s="40">
        <f>matrix!AP40</f>
        <v>0</v>
      </c>
    </row>
    <row r="327" spans="1:43">
      <c r="A327" s="40" t="s">
        <v>1340</v>
      </c>
      <c r="B327" s="40" t="str">
        <f t="shared" si="30"/>
        <v xml:space="preserve"> Relaxation for Housing Provident Fund</v>
      </c>
      <c r="C327" s="40">
        <f>matrix!B41</f>
        <v>0</v>
      </c>
      <c r="D327" s="40">
        <f>matrix!C41</f>
        <v>0</v>
      </c>
      <c r="E327" s="40">
        <f>matrix!D41</f>
        <v>0</v>
      </c>
      <c r="F327" s="40">
        <f>matrix!E41</f>
        <v>0</v>
      </c>
      <c r="G327" s="40">
        <f>matrix!F41</f>
        <v>0</v>
      </c>
      <c r="H327" s="40">
        <f>matrix!G41</f>
        <v>1</v>
      </c>
      <c r="I327" s="40">
        <f>matrix!H41</f>
        <v>0</v>
      </c>
      <c r="J327" s="40">
        <f>matrix!I41</f>
        <v>0</v>
      </c>
      <c r="K327" s="40">
        <f>matrix!J41</f>
        <v>0</v>
      </c>
      <c r="L327" s="40">
        <f>matrix!K41</f>
        <v>0</v>
      </c>
      <c r="M327" s="40">
        <f>matrix!L41</f>
        <v>0</v>
      </c>
      <c r="N327" s="40">
        <f>matrix!M41</f>
        <v>0</v>
      </c>
      <c r="O327" s="40">
        <f>matrix!N41</f>
        <v>0</v>
      </c>
      <c r="P327" s="40">
        <f>matrix!O41</f>
        <v>0</v>
      </c>
      <c r="Q327" s="40">
        <f>matrix!P41</f>
        <v>0</v>
      </c>
      <c r="R327" s="40">
        <f>matrix!Q41</f>
        <v>0</v>
      </c>
      <c r="S327" s="40">
        <f>matrix!R41</f>
        <v>0</v>
      </c>
      <c r="T327" s="40">
        <f>matrix!S41</f>
        <v>0</v>
      </c>
      <c r="U327" s="40">
        <f>matrix!T41</f>
        <v>0</v>
      </c>
      <c r="V327" s="40">
        <f>matrix!U41</f>
        <v>0</v>
      </c>
      <c r="W327" s="40">
        <f>matrix!V41</f>
        <v>1</v>
      </c>
      <c r="X327" s="40">
        <f>matrix!W41</f>
        <v>0</v>
      </c>
      <c r="Y327" s="40">
        <f>matrix!X41</f>
        <v>0</v>
      </c>
      <c r="Z327" s="40">
        <f>matrix!Y41</f>
        <v>0</v>
      </c>
      <c r="AA327" s="40">
        <f>matrix!Z41</f>
        <v>0</v>
      </c>
      <c r="AB327" s="40">
        <f>matrix!AA41</f>
        <v>0</v>
      </c>
      <c r="AC327" s="40">
        <f>matrix!AB41</f>
        <v>0</v>
      </c>
      <c r="AD327" s="40">
        <f>matrix!AC41</f>
        <v>1</v>
      </c>
      <c r="AE327" s="40">
        <f>matrix!AD41</f>
        <v>0</v>
      </c>
      <c r="AF327" s="40">
        <f>matrix!AE41</f>
        <v>0</v>
      </c>
      <c r="AG327" s="40">
        <f>matrix!AF41</f>
        <v>0</v>
      </c>
      <c r="AH327" s="40">
        <f>matrix!AG41</f>
        <v>1</v>
      </c>
      <c r="AI327" s="40">
        <f>matrix!AH41</f>
        <v>0</v>
      </c>
      <c r="AJ327" s="40">
        <f>matrix!AI41</f>
        <v>0</v>
      </c>
      <c r="AK327" s="40">
        <f>matrix!AJ41</f>
        <v>0</v>
      </c>
      <c r="AL327" s="40">
        <f>matrix!AK41</f>
        <v>0</v>
      </c>
      <c r="AM327" s="40">
        <f>matrix!AL41</f>
        <v>0</v>
      </c>
      <c r="AN327" s="40">
        <f>matrix!AM41</f>
        <v>1</v>
      </c>
      <c r="AO327" s="40">
        <f>matrix!AN41</f>
        <v>0</v>
      </c>
      <c r="AP327" s="40">
        <f>matrix!AO41</f>
        <v>0</v>
      </c>
      <c r="AQ327" s="40">
        <f>matrix!AP41</f>
        <v>1</v>
      </c>
    </row>
    <row r="328" spans="1:43">
      <c r="A328" s="40" t="s">
        <v>1286</v>
      </c>
      <c r="B328" s="40" t="str">
        <f t="shared" si="30"/>
        <v>Additional Security</v>
      </c>
      <c r="C328" s="40">
        <f>SUM(C329:C333)</f>
        <v>2</v>
      </c>
      <c r="D328" s="40">
        <f t="shared" ref="D328:AQ328" si="32">SUM(D329:D333)</f>
        <v>1</v>
      </c>
      <c r="E328" s="40">
        <f t="shared" si="32"/>
        <v>3</v>
      </c>
      <c r="F328" s="40">
        <f t="shared" si="32"/>
        <v>3</v>
      </c>
      <c r="G328" s="40">
        <f t="shared" si="32"/>
        <v>0</v>
      </c>
      <c r="H328" s="40">
        <f t="shared" si="32"/>
        <v>2</v>
      </c>
      <c r="I328" s="40">
        <f t="shared" si="32"/>
        <v>0</v>
      </c>
      <c r="J328" s="40">
        <f t="shared" si="32"/>
        <v>2</v>
      </c>
      <c r="K328" s="40">
        <f t="shared" si="32"/>
        <v>0</v>
      </c>
      <c r="L328" s="40">
        <f t="shared" si="32"/>
        <v>1</v>
      </c>
      <c r="M328" s="40">
        <f t="shared" si="32"/>
        <v>0</v>
      </c>
      <c r="N328" s="40">
        <f t="shared" si="32"/>
        <v>0</v>
      </c>
      <c r="O328" s="40">
        <f t="shared" si="32"/>
        <v>0</v>
      </c>
      <c r="P328" s="40">
        <f t="shared" si="32"/>
        <v>1</v>
      </c>
      <c r="Q328" s="40">
        <f t="shared" si="32"/>
        <v>0</v>
      </c>
      <c r="R328" s="40">
        <f t="shared" si="32"/>
        <v>2</v>
      </c>
      <c r="S328" s="40">
        <f t="shared" si="32"/>
        <v>0</v>
      </c>
      <c r="T328" s="40">
        <f t="shared" si="32"/>
        <v>2</v>
      </c>
      <c r="U328" s="40">
        <f t="shared" si="32"/>
        <v>0</v>
      </c>
      <c r="V328" s="40">
        <f t="shared" si="32"/>
        <v>2</v>
      </c>
      <c r="W328" s="40">
        <f t="shared" si="32"/>
        <v>2</v>
      </c>
      <c r="X328" s="40">
        <f t="shared" si="32"/>
        <v>2</v>
      </c>
      <c r="Y328" s="40">
        <f t="shared" si="32"/>
        <v>3</v>
      </c>
      <c r="Z328" s="40">
        <f t="shared" si="32"/>
        <v>0</v>
      </c>
      <c r="AA328" s="40">
        <f t="shared" si="32"/>
        <v>2</v>
      </c>
      <c r="AB328" s="40">
        <f t="shared" si="32"/>
        <v>2</v>
      </c>
      <c r="AC328" s="40">
        <f t="shared" si="32"/>
        <v>1</v>
      </c>
      <c r="AD328" s="40">
        <f t="shared" si="32"/>
        <v>1</v>
      </c>
      <c r="AE328" s="40">
        <f t="shared" si="32"/>
        <v>0</v>
      </c>
      <c r="AF328" s="40">
        <f t="shared" si="32"/>
        <v>1</v>
      </c>
      <c r="AG328" s="40">
        <f t="shared" si="32"/>
        <v>0</v>
      </c>
      <c r="AH328" s="40">
        <f t="shared" si="32"/>
        <v>2</v>
      </c>
      <c r="AI328" s="40">
        <f t="shared" si="32"/>
        <v>2</v>
      </c>
      <c r="AJ328" s="40">
        <f t="shared" si="32"/>
        <v>0</v>
      </c>
      <c r="AK328" s="40">
        <f t="shared" si="32"/>
        <v>0</v>
      </c>
      <c r="AL328" s="40">
        <f t="shared" si="32"/>
        <v>3</v>
      </c>
      <c r="AM328" s="40">
        <f t="shared" si="32"/>
        <v>1</v>
      </c>
      <c r="AN328" s="40">
        <f t="shared" si="32"/>
        <v>1</v>
      </c>
      <c r="AO328" s="40">
        <f t="shared" si="32"/>
        <v>0</v>
      </c>
      <c r="AP328" s="40">
        <f t="shared" si="32"/>
        <v>2</v>
      </c>
      <c r="AQ328" s="40">
        <f t="shared" si="32"/>
        <v>2</v>
      </c>
    </row>
    <row r="329" spans="1:43">
      <c r="A329" s="40" t="s">
        <v>1341</v>
      </c>
      <c r="B329" s="40" t="str">
        <f t="shared" si="30"/>
        <v xml:space="preserve"> Additional Quality Security</v>
      </c>
      <c r="C329" s="40">
        <f>matrix!B43</f>
        <v>1</v>
      </c>
      <c r="D329" s="40">
        <f>matrix!C43</f>
        <v>0</v>
      </c>
      <c r="E329" s="40">
        <f>matrix!D43</f>
        <v>2</v>
      </c>
      <c r="F329" s="40">
        <f>matrix!E43</f>
        <v>1</v>
      </c>
      <c r="G329" s="40">
        <f>matrix!F43</f>
        <v>0</v>
      </c>
      <c r="H329" s="40">
        <f>matrix!G43</f>
        <v>1</v>
      </c>
      <c r="I329" s="40">
        <f>matrix!H43</f>
        <v>0</v>
      </c>
      <c r="J329" s="40">
        <f>matrix!I43</f>
        <v>0</v>
      </c>
      <c r="K329" s="40">
        <f>matrix!J43</f>
        <v>0</v>
      </c>
      <c r="L329" s="40">
        <f>matrix!K43</f>
        <v>1</v>
      </c>
      <c r="M329" s="40">
        <f>matrix!L43</f>
        <v>0</v>
      </c>
      <c r="N329" s="40">
        <f>matrix!M43</f>
        <v>0</v>
      </c>
      <c r="O329" s="40">
        <f>matrix!N43</f>
        <v>0</v>
      </c>
      <c r="P329" s="40">
        <f>matrix!O43</f>
        <v>0</v>
      </c>
      <c r="Q329" s="40">
        <f>matrix!P43</f>
        <v>0</v>
      </c>
      <c r="R329" s="40">
        <f>matrix!Q43</f>
        <v>1</v>
      </c>
      <c r="S329" s="40">
        <f>matrix!R43</f>
        <v>0</v>
      </c>
      <c r="T329" s="40">
        <f>matrix!S43</f>
        <v>1</v>
      </c>
      <c r="U329" s="40">
        <f>matrix!T43</f>
        <v>0</v>
      </c>
      <c r="V329" s="40">
        <f>matrix!U43</f>
        <v>1</v>
      </c>
      <c r="W329" s="40">
        <f>matrix!V43</f>
        <v>1</v>
      </c>
      <c r="X329" s="40">
        <f>matrix!W43</f>
        <v>0</v>
      </c>
      <c r="Y329" s="40">
        <f>matrix!X43</f>
        <v>1</v>
      </c>
      <c r="Z329" s="40">
        <f>matrix!Y43</f>
        <v>0</v>
      </c>
      <c r="AA329" s="40">
        <f>matrix!Z43</f>
        <v>1</v>
      </c>
      <c r="AB329" s="40">
        <f>matrix!AA43</f>
        <v>1</v>
      </c>
      <c r="AC329" s="40">
        <f>matrix!AB43</f>
        <v>0</v>
      </c>
      <c r="AD329" s="40">
        <f>matrix!AC43</f>
        <v>0</v>
      </c>
      <c r="AE329" s="40">
        <f>matrix!AD43</f>
        <v>0</v>
      </c>
      <c r="AF329" s="40">
        <f>matrix!AE43</f>
        <v>0</v>
      </c>
      <c r="AG329" s="40">
        <f>matrix!AF43</f>
        <v>0</v>
      </c>
      <c r="AH329" s="40">
        <f>matrix!AG43</f>
        <v>1</v>
      </c>
      <c r="AI329" s="40">
        <f>matrix!AH43</f>
        <v>1</v>
      </c>
      <c r="AJ329" s="40">
        <f>matrix!AI43</f>
        <v>0</v>
      </c>
      <c r="AK329" s="40">
        <f>matrix!AJ43</f>
        <v>0</v>
      </c>
      <c r="AL329" s="40">
        <f>matrix!AK43</f>
        <v>1</v>
      </c>
      <c r="AM329" s="40">
        <f>matrix!AL43</f>
        <v>1</v>
      </c>
      <c r="AN329" s="40">
        <f>matrix!AM43</f>
        <v>0</v>
      </c>
      <c r="AO329" s="40">
        <f>matrix!AN43</f>
        <v>0</v>
      </c>
      <c r="AP329" s="40">
        <f>matrix!AO43</f>
        <v>1</v>
      </c>
      <c r="AQ329" s="40">
        <f>matrix!AP43</f>
        <v>1</v>
      </c>
    </row>
    <row r="330" spans="1:43">
      <c r="A330" s="40" t="s">
        <v>1342</v>
      </c>
      <c r="B330" s="40" t="str">
        <f t="shared" si="30"/>
        <v xml:space="preserve"> Increase in Image Progress Requirements</v>
      </c>
      <c r="C330" s="40">
        <f>matrix!B44</f>
        <v>0</v>
      </c>
      <c r="D330" s="40">
        <f>matrix!C44</f>
        <v>0</v>
      </c>
      <c r="E330" s="40">
        <f>matrix!D44</f>
        <v>0</v>
      </c>
      <c r="F330" s="40">
        <f>matrix!E44</f>
        <v>0</v>
      </c>
      <c r="G330" s="40">
        <f>matrix!F44</f>
        <v>0</v>
      </c>
      <c r="H330" s="40">
        <f>matrix!G44</f>
        <v>0</v>
      </c>
      <c r="I330" s="40">
        <f>matrix!H44</f>
        <v>0</v>
      </c>
      <c r="J330" s="40">
        <f>matrix!I44</f>
        <v>1</v>
      </c>
      <c r="K330" s="40">
        <f>matrix!J44</f>
        <v>0</v>
      </c>
      <c r="L330" s="40">
        <f>matrix!K44</f>
        <v>0</v>
      </c>
      <c r="M330" s="40">
        <f>matrix!L44</f>
        <v>0</v>
      </c>
      <c r="N330" s="40">
        <f>matrix!M44</f>
        <v>0</v>
      </c>
      <c r="O330" s="40">
        <f>matrix!N44</f>
        <v>0</v>
      </c>
      <c r="P330" s="40">
        <f>matrix!O44</f>
        <v>0</v>
      </c>
      <c r="Q330" s="40">
        <f>matrix!P44</f>
        <v>0</v>
      </c>
      <c r="R330" s="40">
        <f>matrix!Q44</f>
        <v>0</v>
      </c>
      <c r="S330" s="40">
        <f>matrix!R44</f>
        <v>0</v>
      </c>
      <c r="T330" s="40">
        <f>matrix!S44</f>
        <v>0</v>
      </c>
      <c r="U330" s="40">
        <f>matrix!T44</f>
        <v>0</v>
      </c>
      <c r="V330" s="40">
        <f>matrix!U44</f>
        <v>0</v>
      </c>
      <c r="W330" s="40">
        <f>matrix!V44</f>
        <v>0</v>
      </c>
      <c r="X330" s="40">
        <f>matrix!W44</f>
        <v>0</v>
      </c>
      <c r="Y330" s="40">
        <f>matrix!X44</f>
        <v>0</v>
      </c>
      <c r="Z330" s="40">
        <f>matrix!Y44</f>
        <v>0</v>
      </c>
      <c r="AA330" s="40">
        <f>matrix!Z44</f>
        <v>0</v>
      </c>
      <c r="AB330" s="40">
        <f>matrix!AA44</f>
        <v>0</v>
      </c>
      <c r="AC330" s="40">
        <f>matrix!AB44</f>
        <v>0</v>
      </c>
      <c r="AD330" s="40">
        <f>matrix!AC44</f>
        <v>0</v>
      </c>
      <c r="AE330" s="40">
        <f>matrix!AD44</f>
        <v>0</v>
      </c>
      <c r="AF330" s="40">
        <f>matrix!AE44</f>
        <v>0</v>
      </c>
      <c r="AG330" s="40">
        <f>matrix!AF44</f>
        <v>0</v>
      </c>
      <c r="AH330" s="40">
        <f>matrix!AG44</f>
        <v>0</v>
      </c>
      <c r="AI330" s="40">
        <f>matrix!AH44</f>
        <v>0</v>
      </c>
      <c r="AJ330" s="40">
        <f>matrix!AI44</f>
        <v>0</v>
      </c>
      <c r="AK330" s="40">
        <f>matrix!AJ44</f>
        <v>0</v>
      </c>
      <c r="AL330" s="40">
        <f>matrix!AK44</f>
        <v>0</v>
      </c>
      <c r="AM330" s="40">
        <f>matrix!AL44</f>
        <v>0</v>
      </c>
      <c r="AN330" s="40">
        <f>matrix!AM44</f>
        <v>0</v>
      </c>
      <c r="AO330" s="40">
        <f>matrix!AN44</f>
        <v>0</v>
      </c>
      <c r="AP330" s="40">
        <f>matrix!AO44</f>
        <v>0</v>
      </c>
      <c r="AQ330" s="40">
        <f>matrix!AP44</f>
        <v>0</v>
      </c>
    </row>
    <row r="331" spans="1:43">
      <c r="A331" s="40" t="s">
        <v>1343</v>
      </c>
      <c r="B331" s="40" t="str">
        <f t="shared" si="30"/>
        <v xml:space="preserve"> Additional Security for Delivery Assurance</v>
      </c>
      <c r="C331" s="40">
        <f>matrix!B45</f>
        <v>1</v>
      </c>
      <c r="D331" s="40">
        <f>matrix!C45</f>
        <v>1</v>
      </c>
      <c r="E331" s="40">
        <f>matrix!D45</f>
        <v>1</v>
      </c>
      <c r="F331" s="40">
        <f>matrix!E45</f>
        <v>1</v>
      </c>
      <c r="G331" s="40">
        <f>matrix!F45</f>
        <v>0</v>
      </c>
      <c r="H331" s="40">
        <f>matrix!G45</f>
        <v>1</v>
      </c>
      <c r="I331" s="40">
        <f>matrix!H45</f>
        <v>0</v>
      </c>
      <c r="J331" s="40">
        <f>matrix!I45</f>
        <v>1</v>
      </c>
      <c r="K331" s="40">
        <f>matrix!J45</f>
        <v>0</v>
      </c>
      <c r="L331" s="40">
        <f>matrix!K45</f>
        <v>0</v>
      </c>
      <c r="M331" s="40">
        <f>matrix!L45</f>
        <v>0</v>
      </c>
      <c r="N331" s="40">
        <f>matrix!M45</f>
        <v>0</v>
      </c>
      <c r="O331" s="40">
        <f>matrix!N45</f>
        <v>0</v>
      </c>
      <c r="P331" s="40">
        <f>matrix!O45</f>
        <v>1</v>
      </c>
      <c r="Q331" s="40">
        <f>matrix!P45</f>
        <v>0</v>
      </c>
      <c r="R331" s="40">
        <f>matrix!Q45</f>
        <v>1</v>
      </c>
      <c r="S331" s="40">
        <f>matrix!R45</f>
        <v>0</v>
      </c>
      <c r="T331" s="40">
        <f>matrix!S45</f>
        <v>1</v>
      </c>
      <c r="U331" s="40">
        <f>matrix!T45</f>
        <v>0</v>
      </c>
      <c r="V331" s="40">
        <f>matrix!U45</f>
        <v>1</v>
      </c>
      <c r="W331" s="40">
        <f>matrix!V45</f>
        <v>1</v>
      </c>
      <c r="X331" s="40">
        <f>matrix!W45</f>
        <v>2</v>
      </c>
      <c r="Y331" s="40">
        <f>matrix!X45</f>
        <v>2</v>
      </c>
      <c r="Z331" s="40">
        <f>matrix!Y45</f>
        <v>0</v>
      </c>
      <c r="AA331" s="40">
        <f>matrix!Z45</f>
        <v>1</v>
      </c>
      <c r="AB331" s="40">
        <f>matrix!AA45</f>
        <v>1</v>
      </c>
      <c r="AC331" s="40">
        <f>matrix!AB45</f>
        <v>0</v>
      </c>
      <c r="AD331" s="40">
        <f>matrix!AC45</f>
        <v>1</v>
      </c>
      <c r="AE331" s="40">
        <f>matrix!AD45</f>
        <v>0</v>
      </c>
      <c r="AF331" s="40">
        <f>matrix!AE45</f>
        <v>1</v>
      </c>
      <c r="AG331" s="40">
        <f>matrix!AF45</f>
        <v>0</v>
      </c>
      <c r="AH331" s="40">
        <f>matrix!AG45</f>
        <v>1</v>
      </c>
      <c r="AI331" s="40">
        <f>matrix!AH45</f>
        <v>1</v>
      </c>
      <c r="AJ331" s="40">
        <f>matrix!AI45</f>
        <v>0</v>
      </c>
      <c r="AK331" s="40">
        <f>matrix!AJ45</f>
        <v>0</v>
      </c>
      <c r="AL331" s="40">
        <f>matrix!AK45</f>
        <v>1</v>
      </c>
      <c r="AM331" s="40">
        <f>matrix!AL45</f>
        <v>0</v>
      </c>
      <c r="AN331" s="40">
        <f>matrix!AM45</f>
        <v>1</v>
      </c>
      <c r="AO331" s="40">
        <f>matrix!AN45</f>
        <v>0</v>
      </c>
      <c r="AP331" s="40">
        <f>matrix!AO45</f>
        <v>1</v>
      </c>
      <c r="AQ331" s="40">
        <f>matrix!AP45</f>
        <v>1</v>
      </c>
    </row>
    <row r="332" spans="1:43">
      <c r="A332" s="40" t="s">
        <v>1344</v>
      </c>
      <c r="B332" s="40" t="str">
        <f t="shared" si="30"/>
        <v xml:space="preserve"> Area Difference Security</v>
      </c>
      <c r="C332" s="40">
        <f>matrix!B46</f>
        <v>0</v>
      </c>
      <c r="D332" s="40">
        <f>matrix!C46</f>
        <v>0</v>
      </c>
      <c r="E332" s="40">
        <f>matrix!D46</f>
        <v>0</v>
      </c>
      <c r="F332" s="40">
        <f>matrix!E46</f>
        <v>1</v>
      </c>
      <c r="G332" s="40">
        <f>matrix!F46</f>
        <v>0</v>
      </c>
      <c r="H332" s="40">
        <f>matrix!G46</f>
        <v>0</v>
      </c>
      <c r="I332" s="40">
        <f>matrix!H46</f>
        <v>0</v>
      </c>
      <c r="J332" s="40">
        <f>matrix!I46</f>
        <v>0</v>
      </c>
      <c r="K332" s="40">
        <f>matrix!J46</f>
        <v>0</v>
      </c>
      <c r="L332" s="40">
        <f>matrix!K46</f>
        <v>0</v>
      </c>
      <c r="M332" s="40">
        <f>matrix!L46</f>
        <v>0</v>
      </c>
      <c r="N332" s="40">
        <f>matrix!M46</f>
        <v>0</v>
      </c>
      <c r="O332" s="40">
        <f>matrix!N46</f>
        <v>0</v>
      </c>
      <c r="P332" s="40">
        <f>matrix!O46</f>
        <v>0</v>
      </c>
      <c r="Q332" s="40">
        <f>matrix!P46</f>
        <v>0</v>
      </c>
      <c r="R332" s="40">
        <f>matrix!Q46</f>
        <v>0</v>
      </c>
      <c r="S332" s="40">
        <f>matrix!R46</f>
        <v>0</v>
      </c>
      <c r="T332" s="40">
        <f>matrix!S46</f>
        <v>0</v>
      </c>
      <c r="U332" s="40">
        <f>matrix!T46</f>
        <v>0</v>
      </c>
      <c r="V332" s="40">
        <f>matrix!U46</f>
        <v>0</v>
      </c>
      <c r="W332" s="40">
        <f>matrix!V46</f>
        <v>0</v>
      </c>
      <c r="X332" s="40">
        <f>matrix!W46</f>
        <v>0</v>
      </c>
      <c r="Y332" s="40">
        <f>matrix!X46</f>
        <v>0</v>
      </c>
      <c r="Z332" s="40">
        <f>matrix!Y46</f>
        <v>0</v>
      </c>
      <c r="AA332" s="40">
        <f>matrix!Z46</f>
        <v>0</v>
      </c>
      <c r="AB332" s="40">
        <f>matrix!AA46</f>
        <v>0</v>
      </c>
      <c r="AC332" s="40">
        <f>matrix!AB46</f>
        <v>1</v>
      </c>
      <c r="AD332" s="40">
        <f>matrix!AC46</f>
        <v>0</v>
      </c>
      <c r="AE332" s="40">
        <f>matrix!AD46</f>
        <v>0</v>
      </c>
      <c r="AF332" s="40">
        <f>matrix!AE46</f>
        <v>0</v>
      </c>
      <c r="AG332" s="40">
        <f>matrix!AF46</f>
        <v>0</v>
      </c>
      <c r="AH332" s="40">
        <f>matrix!AG46</f>
        <v>0</v>
      </c>
      <c r="AI332" s="40">
        <f>matrix!AH46</f>
        <v>0</v>
      </c>
      <c r="AJ332" s="40">
        <f>matrix!AI46</f>
        <v>0</v>
      </c>
      <c r="AK332" s="40">
        <f>matrix!AJ46</f>
        <v>0</v>
      </c>
      <c r="AL332" s="40">
        <f>matrix!AK46</f>
        <v>0</v>
      </c>
      <c r="AM332" s="40">
        <f>matrix!AL46</f>
        <v>0</v>
      </c>
      <c r="AN332" s="40">
        <f>matrix!AM46</f>
        <v>0</v>
      </c>
      <c r="AO332" s="40">
        <f>matrix!AN46</f>
        <v>0</v>
      </c>
      <c r="AP332" s="40">
        <f>matrix!AO46</f>
        <v>0</v>
      </c>
      <c r="AQ332" s="40">
        <f>matrix!AP46</f>
        <v>0</v>
      </c>
    </row>
    <row r="333" spans="1:43">
      <c r="A333" s="40" t="s">
        <v>1345</v>
      </c>
      <c r="B333" s="40" t="str">
        <f t="shared" si="30"/>
        <v xml:space="preserve"> Security for General Contractor's Final Payment</v>
      </c>
      <c r="C333" s="40">
        <f>matrix!B47</f>
        <v>0</v>
      </c>
      <c r="D333" s="40">
        <f>matrix!C47</f>
        <v>0</v>
      </c>
      <c r="E333" s="40">
        <f>matrix!D47</f>
        <v>0</v>
      </c>
      <c r="F333" s="40">
        <f>matrix!E47</f>
        <v>0</v>
      </c>
      <c r="G333" s="40">
        <f>matrix!F47</f>
        <v>0</v>
      </c>
      <c r="H333" s="40">
        <f>matrix!G47</f>
        <v>0</v>
      </c>
      <c r="I333" s="40">
        <f>matrix!H47</f>
        <v>0</v>
      </c>
      <c r="J333" s="40">
        <f>matrix!I47</f>
        <v>0</v>
      </c>
      <c r="K333" s="40">
        <f>matrix!J47</f>
        <v>0</v>
      </c>
      <c r="L333" s="40">
        <f>matrix!K47</f>
        <v>0</v>
      </c>
      <c r="M333" s="40">
        <f>matrix!L47</f>
        <v>0</v>
      </c>
      <c r="N333" s="40">
        <f>matrix!M47</f>
        <v>0</v>
      </c>
      <c r="O333" s="40">
        <f>matrix!N47</f>
        <v>0</v>
      </c>
      <c r="P333" s="40">
        <f>matrix!O47</f>
        <v>0</v>
      </c>
      <c r="Q333" s="40">
        <f>matrix!P47</f>
        <v>0</v>
      </c>
      <c r="R333" s="40">
        <f>matrix!Q47</f>
        <v>0</v>
      </c>
      <c r="S333" s="40">
        <f>matrix!R47</f>
        <v>0</v>
      </c>
      <c r="T333" s="40">
        <f>matrix!S47</f>
        <v>0</v>
      </c>
      <c r="U333" s="40">
        <f>matrix!T47</f>
        <v>0</v>
      </c>
      <c r="V333" s="40">
        <f>matrix!U47</f>
        <v>0</v>
      </c>
      <c r="W333" s="40">
        <f>matrix!V47</f>
        <v>0</v>
      </c>
      <c r="X333" s="40">
        <f>matrix!W47</f>
        <v>0</v>
      </c>
      <c r="Y333" s="40">
        <f>matrix!X47</f>
        <v>0</v>
      </c>
      <c r="Z333" s="40">
        <f>matrix!Y47</f>
        <v>0</v>
      </c>
      <c r="AA333" s="40">
        <f>matrix!Z47</f>
        <v>0</v>
      </c>
      <c r="AB333" s="40">
        <f>matrix!AA47</f>
        <v>0</v>
      </c>
      <c r="AC333" s="40">
        <f>matrix!AB47</f>
        <v>0</v>
      </c>
      <c r="AD333" s="40">
        <f>matrix!AC47</f>
        <v>0</v>
      </c>
      <c r="AE333" s="40">
        <f>matrix!AD47</f>
        <v>0</v>
      </c>
      <c r="AF333" s="40">
        <f>matrix!AE47</f>
        <v>0</v>
      </c>
      <c r="AG333" s="40">
        <f>matrix!AF47</f>
        <v>0</v>
      </c>
      <c r="AH333" s="40">
        <f>matrix!AG47</f>
        <v>0</v>
      </c>
      <c r="AI333" s="40">
        <f>matrix!AH47</f>
        <v>0</v>
      </c>
      <c r="AJ333" s="40">
        <f>matrix!AI47</f>
        <v>0</v>
      </c>
      <c r="AK333" s="40">
        <f>matrix!AJ47</f>
        <v>0</v>
      </c>
      <c r="AL333" s="40">
        <f>matrix!AK47</f>
        <v>1</v>
      </c>
      <c r="AM333" s="40">
        <f>matrix!AL47</f>
        <v>0</v>
      </c>
      <c r="AN333" s="40">
        <f>matrix!AM47</f>
        <v>0</v>
      </c>
      <c r="AO333" s="40">
        <f>matrix!AN47</f>
        <v>0</v>
      </c>
      <c r="AP333" s="40">
        <f>matrix!AO47</f>
        <v>0</v>
      </c>
      <c r="AQ333" s="40">
        <f>matrix!AP47</f>
        <v>0</v>
      </c>
    </row>
    <row r="334" spans="1:43">
      <c r="A334" s="40" t="s">
        <v>1288</v>
      </c>
      <c r="B334" s="40" t="str">
        <f>B250</f>
        <v>Credit Grade Classification</v>
      </c>
      <c r="C334" s="40">
        <f>matrix!B8</f>
        <v>0</v>
      </c>
      <c r="D334" s="40">
        <f>matrix!C8</f>
        <v>0</v>
      </c>
      <c r="E334" s="40">
        <f>matrix!D8</f>
        <v>0</v>
      </c>
      <c r="F334" s="40">
        <f>matrix!E8</f>
        <v>0</v>
      </c>
      <c r="G334" s="40">
        <f>matrix!F8</f>
        <v>0</v>
      </c>
      <c r="H334" s="40">
        <f>matrix!G8</f>
        <v>0</v>
      </c>
      <c r="I334" s="40">
        <f>matrix!H8</f>
        <v>0</v>
      </c>
      <c r="J334" s="40">
        <f>matrix!I8</f>
        <v>1</v>
      </c>
      <c r="K334" s="40">
        <f>matrix!J8</f>
        <v>1</v>
      </c>
      <c r="L334" s="40">
        <f>matrix!K8</f>
        <v>2</v>
      </c>
      <c r="M334" s="40">
        <f>matrix!L8</f>
        <v>0</v>
      </c>
      <c r="N334" s="40">
        <f>matrix!M8</f>
        <v>0</v>
      </c>
      <c r="O334" s="40">
        <f>matrix!N8</f>
        <v>0</v>
      </c>
      <c r="P334" s="40">
        <f>matrix!O8</f>
        <v>0</v>
      </c>
      <c r="Q334" s="40">
        <f>matrix!P8</f>
        <v>0</v>
      </c>
      <c r="R334" s="40">
        <f>matrix!Q8</f>
        <v>1</v>
      </c>
      <c r="S334" s="40">
        <f>matrix!R8</f>
        <v>0</v>
      </c>
      <c r="T334" s="40">
        <f>matrix!S8</f>
        <v>1</v>
      </c>
      <c r="U334" s="40">
        <f>matrix!T8</f>
        <v>0</v>
      </c>
      <c r="V334" s="40">
        <f>matrix!U8</f>
        <v>0</v>
      </c>
      <c r="W334" s="40">
        <f>matrix!V8</f>
        <v>0</v>
      </c>
      <c r="X334" s="40">
        <f>matrix!W8</f>
        <v>0</v>
      </c>
      <c r="Y334" s="40">
        <f>matrix!X8</f>
        <v>1</v>
      </c>
      <c r="Z334" s="40">
        <f>matrix!Y8</f>
        <v>0</v>
      </c>
      <c r="AA334" s="40">
        <f>matrix!Z8</f>
        <v>0</v>
      </c>
      <c r="AB334" s="40">
        <f>matrix!AA8</f>
        <v>0</v>
      </c>
      <c r="AC334" s="40">
        <f>matrix!AB8</f>
        <v>0</v>
      </c>
      <c r="AD334" s="40">
        <f>matrix!AC8</f>
        <v>0</v>
      </c>
      <c r="AE334" s="40">
        <f>matrix!AD8</f>
        <v>1</v>
      </c>
      <c r="AF334" s="40">
        <f>matrix!AE8</f>
        <v>0</v>
      </c>
      <c r="AG334" s="40">
        <f>matrix!AF8</f>
        <v>0</v>
      </c>
      <c r="AH334" s="40">
        <f>matrix!AG8</f>
        <v>0</v>
      </c>
      <c r="AI334" s="40">
        <f>matrix!AH8</f>
        <v>0</v>
      </c>
      <c r="AJ334" s="40">
        <f>matrix!AI8</f>
        <v>0</v>
      </c>
      <c r="AK334" s="40">
        <f>matrix!AJ8</f>
        <v>0</v>
      </c>
      <c r="AL334" s="40">
        <f>matrix!AK8</f>
        <v>1</v>
      </c>
      <c r="AM334" s="40">
        <f>matrix!AL8</f>
        <v>1</v>
      </c>
      <c r="AN334" s="40">
        <f>matrix!AM8</f>
        <v>1</v>
      </c>
      <c r="AO334" s="40">
        <f>matrix!AN8</f>
        <v>0</v>
      </c>
      <c r="AP334" s="40">
        <f>matrix!AO8</f>
        <v>0</v>
      </c>
      <c r="AQ334" s="40">
        <f>matrix!AP8</f>
        <v>0</v>
      </c>
    </row>
    <row r="339" spans="1:2">
      <c r="A339" s="40" t="str">
        <f>A292</f>
        <v>Main Indicators and Variables</v>
      </c>
      <c r="B339" s="40" t="str">
        <f>B292</f>
        <v>Sub Indicators and Variables</v>
      </c>
    </row>
    <row r="340" spans="1:2">
      <c r="A340" s="53" t="s">
        <v>1295</v>
      </c>
      <c r="B340" s="54" t="s">
        <v>1310</v>
      </c>
    </row>
    <row r="341" spans="1:2">
      <c r="A341" s="53" t="s">
        <v>1296</v>
      </c>
      <c r="B341" s="54" t="s">
        <v>1311</v>
      </c>
    </row>
    <row r="342" spans="1:2">
      <c r="A342" s="53" t="s">
        <v>1297</v>
      </c>
      <c r="B342" s="54" t="s">
        <v>1312</v>
      </c>
    </row>
    <row r="343" spans="1:2">
      <c r="A343" s="53" t="s">
        <v>1298</v>
      </c>
      <c r="B343" s="54" t="s">
        <v>1313</v>
      </c>
    </row>
    <row r="344" spans="1:2">
      <c r="A344" s="53" t="s">
        <v>1299</v>
      </c>
      <c r="B344" s="54" t="s">
        <v>1300</v>
      </c>
    </row>
    <row r="345" spans="1:2">
      <c r="A345" s="53" t="s">
        <v>1301</v>
      </c>
      <c r="B345" s="54" t="s">
        <v>1302</v>
      </c>
    </row>
    <row r="346" spans="1:2">
      <c r="A346" s="53" t="s">
        <v>1303</v>
      </c>
      <c r="B346" s="54" t="s">
        <v>1304</v>
      </c>
    </row>
    <row r="347" spans="1:2">
      <c r="A347" s="53" t="s">
        <v>1305</v>
      </c>
      <c r="B347" s="54" t="s">
        <v>1306</v>
      </c>
    </row>
    <row r="348" spans="1:2">
      <c r="A348" s="53" t="s">
        <v>1307</v>
      </c>
      <c r="B348" s="54" t="s">
        <v>1308</v>
      </c>
    </row>
    <row r="349" spans="1:2">
      <c r="A349" s="53" t="s">
        <v>1309</v>
      </c>
      <c r="B349" s="54"/>
    </row>
  </sheetData>
  <autoFilter ref="A172:AQ289" xr:uid="{00000000-0001-0000-0800-000000000000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360"/>
  <sheetViews>
    <sheetView topLeftCell="D300" workbookViewId="0">
      <selection activeCell="S315" sqref="S315"/>
    </sheetView>
  </sheetViews>
  <sheetFormatPr defaultRowHeight="13.8"/>
  <sheetData>
    <row r="1" spans="1:46" ht="14.4">
      <c r="B1" t="s">
        <v>1278</v>
      </c>
      <c r="E1" t="s">
        <v>1279</v>
      </c>
      <c r="I1" t="s">
        <v>1280</v>
      </c>
      <c r="L1" t="s">
        <v>1281</v>
      </c>
      <c r="N1" t="s">
        <v>1282</v>
      </c>
      <c r="S1" t="s">
        <v>1283</v>
      </c>
      <c r="V1" t="s">
        <v>1284</v>
      </c>
      <c r="AA1" t="s">
        <v>1285</v>
      </c>
      <c r="AC1" t="s">
        <v>1286</v>
      </c>
      <c r="AL1" s="52" t="s">
        <v>1374</v>
      </c>
      <c r="AM1" s="52" t="s">
        <v>1375</v>
      </c>
    </row>
    <row r="2" spans="1:46">
      <c r="A2" s="49"/>
      <c r="B2" s="49" t="s">
        <v>1314</v>
      </c>
      <c r="C2" s="49" t="s">
        <v>1315</v>
      </c>
      <c r="D2" s="49" t="s">
        <v>1316</v>
      </c>
      <c r="E2" s="49" t="s">
        <v>1317</v>
      </c>
      <c r="F2" s="49" t="s">
        <v>1318</v>
      </c>
      <c r="G2" s="49" t="s">
        <v>1319</v>
      </c>
      <c r="H2" s="49" t="s">
        <v>1320</v>
      </c>
      <c r="I2" s="49" t="s">
        <v>1321</v>
      </c>
      <c r="J2" s="49" t="s">
        <v>1322</v>
      </c>
      <c r="K2" s="49" t="s">
        <v>1323</v>
      </c>
      <c r="L2" s="49" t="s">
        <v>1324</v>
      </c>
      <c r="M2" s="49" t="s">
        <v>1325</v>
      </c>
      <c r="N2" s="49" t="s">
        <v>1326</v>
      </c>
      <c r="O2" s="49" t="s">
        <v>1327</v>
      </c>
      <c r="P2" s="49" t="s">
        <v>1328</v>
      </c>
      <c r="Q2" s="49" t="s">
        <v>1329</v>
      </c>
      <c r="R2" s="49" t="s">
        <v>1330</v>
      </c>
      <c r="S2" s="49" t="s">
        <v>1331</v>
      </c>
      <c r="T2" s="49" t="s">
        <v>1332</v>
      </c>
      <c r="U2" s="49" t="s">
        <v>1333</v>
      </c>
      <c r="V2" s="49" t="s">
        <v>1334</v>
      </c>
      <c r="W2" s="49" t="s">
        <v>1335</v>
      </c>
      <c r="X2" s="49" t="s">
        <v>1336</v>
      </c>
      <c r="Y2" s="49" t="s">
        <v>1337</v>
      </c>
      <c r="Z2" s="49" t="s">
        <v>1338</v>
      </c>
      <c r="AA2" s="49" t="s">
        <v>1339</v>
      </c>
      <c r="AB2" s="49" t="s">
        <v>1340</v>
      </c>
      <c r="AC2" s="49" t="s">
        <v>1341</v>
      </c>
      <c r="AD2" s="49" t="s">
        <v>1342</v>
      </c>
      <c r="AE2" s="49" t="s">
        <v>1343</v>
      </c>
      <c r="AF2" s="49" t="s">
        <v>1344</v>
      </c>
      <c r="AG2" s="49" t="s">
        <v>1345</v>
      </c>
      <c r="AH2" s="49" t="s">
        <v>1287</v>
      </c>
      <c r="AL2" t="s">
        <v>1291</v>
      </c>
      <c r="AM2" t="s">
        <v>1291</v>
      </c>
    </row>
    <row r="3" spans="1:46">
      <c r="A3" s="49" t="s">
        <v>33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L3" t="s">
        <v>1293</v>
      </c>
      <c r="AM3" t="s">
        <v>1293</v>
      </c>
    </row>
    <row r="4" spans="1:46">
      <c r="A4" s="49" t="s">
        <v>34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L4" t="s">
        <v>1376</v>
      </c>
      <c r="AM4" t="s">
        <v>1377</v>
      </c>
      <c r="AN4" t="s">
        <v>1378</v>
      </c>
      <c r="AO4" t="s">
        <v>1376</v>
      </c>
      <c r="AP4" t="s">
        <v>1377</v>
      </c>
      <c r="AQ4" t="s">
        <v>1378</v>
      </c>
      <c r="AR4" t="s">
        <v>1376</v>
      </c>
      <c r="AS4" t="s">
        <v>1377</v>
      </c>
      <c r="AT4" t="s">
        <v>1378</v>
      </c>
    </row>
    <row r="5" spans="1:46">
      <c r="A5" s="49" t="s">
        <v>35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3</v>
      </c>
      <c r="K5">
        <v>1</v>
      </c>
      <c r="L5">
        <v>1</v>
      </c>
      <c r="M5">
        <v>0</v>
      </c>
      <c r="N5">
        <v>2</v>
      </c>
      <c r="O5">
        <v>2</v>
      </c>
      <c r="P5">
        <v>1</v>
      </c>
      <c r="Q5">
        <v>2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>
        <v>0</v>
      </c>
      <c r="Y5">
        <v>1</v>
      </c>
      <c r="Z5">
        <v>0</v>
      </c>
      <c r="AA5">
        <v>1</v>
      </c>
      <c r="AB5">
        <v>0</v>
      </c>
      <c r="AC5">
        <v>2</v>
      </c>
      <c r="AD5">
        <v>0</v>
      </c>
      <c r="AE5">
        <v>1</v>
      </c>
      <c r="AF5">
        <v>0</v>
      </c>
      <c r="AG5">
        <v>0</v>
      </c>
      <c r="AH5">
        <v>0</v>
      </c>
      <c r="AL5" t="s">
        <v>871</v>
      </c>
      <c r="AM5" t="s">
        <v>1379</v>
      </c>
      <c r="AN5" t="s">
        <v>33</v>
      </c>
      <c r="AO5" t="s">
        <v>885</v>
      </c>
      <c r="AP5" t="s">
        <v>1380</v>
      </c>
      <c r="AQ5" t="s">
        <v>1347</v>
      </c>
      <c r="AR5" t="s">
        <v>899</v>
      </c>
      <c r="AS5" t="s">
        <v>1381</v>
      </c>
      <c r="AT5" t="s">
        <v>1361</v>
      </c>
    </row>
    <row r="6" spans="1:46">
      <c r="A6" s="49" t="s">
        <v>36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</v>
      </c>
      <c r="S6">
        <v>2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L6" t="s">
        <v>872</v>
      </c>
      <c r="AM6" t="s">
        <v>1382</v>
      </c>
      <c r="AN6" t="s">
        <v>34</v>
      </c>
      <c r="AO6" t="s">
        <v>886</v>
      </c>
      <c r="AP6" t="s">
        <v>1383</v>
      </c>
      <c r="AQ6" t="s">
        <v>1348</v>
      </c>
      <c r="AR6" t="s">
        <v>900</v>
      </c>
      <c r="AS6" t="s">
        <v>1384</v>
      </c>
      <c r="AT6" t="s">
        <v>1362</v>
      </c>
    </row>
    <row r="7" spans="1:46">
      <c r="A7" s="49" t="s">
        <v>37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1</v>
      </c>
      <c r="R7">
        <v>2</v>
      </c>
      <c r="S7">
        <v>2</v>
      </c>
      <c r="T7">
        <v>2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L7" t="s">
        <v>873</v>
      </c>
      <c r="AM7" t="s">
        <v>1385</v>
      </c>
      <c r="AN7" t="s">
        <v>35</v>
      </c>
      <c r="AO7" t="s">
        <v>887</v>
      </c>
      <c r="AP7" t="s">
        <v>1386</v>
      </c>
      <c r="AQ7" t="s">
        <v>1349</v>
      </c>
      <c r="AR7" t="s">
        <v>901</v>
      </c>
      <c r="AS7" t="s">
        <v>1387</v>
      </c>
      <c r="AT7" t="s">
        <v>1363</v>
      </c>
    </row>
    <row r="8" spans="1:46">
      <c r="A8" s="49" t="s">
        <v>38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L8" t="s">
        <v>874</v>
      </c>
      <c r="AM8" t="s">
        <v>1388</v>
      </c>
      <c r="AN8" t="s">
        <v>36</v>
      </c>
      <c r="AO8" t="s">
        <v>888</v>
      </c>
      <c r="AP8" t="s">
        <v>1389</v>
      </c>
      <c r="AQ8" t="s">
        <v>1350</v>
      </c>
      <c r="AR8" t="s">
        <v>902</v>
      </c>
      <c r="AS8" t="s">
        <v>1390</v>
      </c>
      <c r="AT8" t="s">
        <v>1364</v>
      </c>
    </row>
    <row r="9" spans="1:46">
      <c r="A9" s="49" t="s">
        <v>39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L9" t="s">
        <v>875</v>
      </c>
      <c r="AM9" t="s">
        <v>1391</v>
      </c>
      <c r="AN9" t="s">
        <v>37</v>
      </c>
      <c r="AO9" t="s">
        <v>889</v>
      </c>
      <c r="AP9" t="s">
        <v>1392</v>
      </c>
      <c r="AQ9" t="s">
        <v>1351</v>
      </c>
      <c r="AR9" t="s">
        <v>903</v>
      </c>
      <c r="AS9" t="s">
        <v>1393</v>
      </c>
      <c r="AT9" t="s">
        <v>1365</v>
      </c>
    </row>
    <row r="10" spans="1:46">
      <c r="A10" s="49" t="s">
        <v>40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3</v>
      </c>
      <c r="L10">
        <v>1</v>
      </c>
      <c r="M10">
        <v>0</v>
      </c>
      <c r="N10">
        <v>0</v>
      </c>
      <c r="O10">
        <v>2</v>
      </c>
      <c r="P10">
        <v>1</v>
      </c>
      <c r="Q10">
        <v>1</v>
      </c>
      <c r="R10">
        <v>1</v>
      </c>
      <c r="S10">
        <v>4</v>
      </c>
      <c r="T10">
        <v>3</v>
      </c>
      <c r="U10">
        <v>0</v>
      </c>
      <c r="V10">
        <v>3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L10" t="s">
        <v>876</v>
      </c>
      <c r="AM10" t="s">
        <v>1394</v>
      </c>
      <c r="AN10" t="s">
        <v>38</v>
      </c>
      <c r="AO10" t="s">
        <v>890</v>
      </c>
      <c r="AP10" t="s">
        <v>1395</v>
      </c>
      <c r="AQ10" t="s">
        <v>1352</v>
      </c>
      <c r="AR10" t="s">
        <v>904</v>
      </c>
      <c r="AS10" t="s">
        <v>1396</v>
      </c>
      <c r="AT10" t="s">
        <v>1366</v>
      </c>
    </row>
    <row r="11" spans="1:46">
      <c r="A11" s="49" t="s">
        <v>41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2</v>
      </c>
      <c r="L11">
        <v>1</v>
      </c>
      <c r="M11">
        <v>0</v>
      </c>
      <c r="N11">
        <v>1</v>
      </c>
      <c r="O11">
        <v>2</v>
      </c>
      <c r="P11">
        <v>2</v>
      </c>
      <c r="Q11">
        <v>2</v>
      </c>
      <c r="R11">
        <v>2</v>
      </c>
      <c r="S11">
        <v>1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L11" t="s">
        <v>877</v>
      </c>
      <c r="AM11" t="s">
        <v>1397</v>
      </c>
      <c r="AN11" t="s">
        <v>39</v>
      </c>
      <c r="AO11" t="s">
        <v>891</v>
      </c>
      <c r="AP11" t="s">
        <v>1398</v>
      </c>
      <c r="AQ11" t="s">
        <v>1353</v>
      </c>
      <c r="AR11" t="s">
        <v>905</v>
      </c>
      <c r="AS11" t="s">
        <v>1399</v>
      </c>
      <c r="AT11" t="s">
        <v>1367</v>
      </c>
    </row>
    <row r="12" spans="1:46">
      <c r="A12" s="49" t="s">
        <v>42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2</v>
      </c>
      <c r="M12">
        <v>0</v>
      </c>
      <c r="N12">
        <v>1</v>
      </c>
      <c r="O12">
        <v>2</v>
      </c>
      <c r="P12">
        <v>2</v>
      </c>
      <c r="Q12">
        <v>2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2</v>
      </c>
      <c r="AL12" t="s">
        <v>878</v>
      </c>
      <c r="AM12" t="s">
        <v>1400</v>
      </c>
      <c r="AN12" t="s">
        <v>40</v>
      </c>
      <c r="AO12" t="s">
        <v>892</v>
      </c>
      <c r="AP12" t="s">
        <v>1401</v>
      </c>
      <c r="AQ12" t="s">
        <v>1354</v>
      </c>
      <c r="AR12" t="s">
        <v>906</v>
      </c>
      <c r="AS12" t="s">
        <v>1402</v>
      </c>
      <c r="AT12" t="s">
        <v>1368</v>
      </c>
    </row>
    <row r="13" spans="1:46">
      <c r="A13" s="49" t="s">
        <v>43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  <c r="R13">
        <v>0</v>
      </c>
      <c r="S13">
        <v>1</v>
      </c>
      <c r="T13">
        <v>2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L13" t="s">
        <v>879</v>
      </c>
      <c r="AM13" t="s">
        <v>1403</v>
      </c>
      <c r="AN13" t="s">
        <v>41</v>
      </c>
      <c r="AO13" t="s">
        <v>893</v>
      </c>
      <c r="AP13" t="s">
        <v>1404</v>
      </c>
      <c r="AQ13" t="s">
        <v>1355</v>
      </c>
      <c r="AR13" t="s">
        <v>907</v>
      </c>
      <c r="AS13" t="s">
        <v>1405</v>
      </c>
      <c r="AT13" t="s">
        <v>1369</v>
      </c>
    </row>
    <row r="14" spans="1:46">
      <c r="A14" s="49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2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L14" t="s">
        <v>880</v>
      </c>
      <c r="AM14" t="s">
        <v>1406</v>
      </c>
      <c r="AN14" t="s">
        <v>42</v>
      </c>
      <c r="AO14" t="s">
        <v>894</v>
      </c>
      <c r="AP14" t="s">
        <v>1407</v>
      </c>
      <c r="AQ14" t="s">
        <v>1356</v>
      </c>
      <c r="AR14" t="s">
        <v>908</v>
      </c>
      <c r="AS14" t="s">
        <v>1408</v>
      </c>
      <c r="AT14" t="s">
        <v>1370</v>
      </c>
    </row>
    <row r="15" spans="1:46">
      <c r="A15" s="49" t="s">
        <v>45</v>
      </c>
      <c r="B15">
        <v>0</v>
      </c>
      <c r="C15">
        <v>1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2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L15" t="s">
        <v>881</v>
      </c>
      <c r="AM15" t="s">
        <v>1409</v>
      </c>
      <c r="AN15" t="s">
        <v>43</v>
      </c>
      <c r="AO15" t="s">
        <v>895</v>
      </c>
      <c r="AP15" t="s">
        <v>1410</v>
      </c>
      <c r="AQ15" t="s">
        <v>1357</v>
      </c>
      <c r="AR15" t="s">
        <v>909</v>
      </c>
      <c r="AS15" t="s">
        <v>1411</v>
      </c>
      <c r="AT15" t="s">
        <v>1371</v>
      </c>
    </row>
    <row r="16" spans="1:46">
      <c r="A16" s="49" t="s">
        <v>1346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2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3</v>
      </c>
      <c r="R16">
        <v>3</v>
      </c>
      <c r="S16">
        <v>2</v>
      </c>
      <c r="T16">
        <v>2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L16" t="s">
        <v>882</v>
      </c>
      <c r="AM16" t="s">
        <v>1412</v>
      </c>
      <c r="AN16" t="s">
        <v>44</v>
      </c>
      <c r="AO16" t="s">
        <v>896</v>
      </c>
      <c r="AP16" t="s">
        <v>1413</v>
      </c>
      <c r="AQ16" t="s">
        <v>1358</v>
      </c>
      <c r="AR16" t="s">
        <v>910</v>
      </c>
      <c r="AS16" t="s">
        <v>1414</v>
      </c>
      <c r="AT16" t="s">
        <v>1372</v>
      </c>
    </row>
    <row r="17" spans="1:46">
      <c r="A17" s="49" t="s">
        <v>1347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3</v>
      </c>
      <c r="K17">
        <v>1</v>
      </c>
      <c r="L17">
        <v>1</v>
      </c>
      <c r="M17">
        <v>0</v>
      </c>
      <c r="N17">
        <v>2</v>
      </c>
      <c r="O17">
        <v>1</v>
      </c>
      <c r="P17">
        <v>1</v>
      </c>
      <c r="Q17">
        <v>3</v>
      </c>
      <c r="R17">
        <v>1</v>
      </c>
      <c r="S17">
        <v>4</v>
      </c>
      <c r="T17">
        <v>1</v>
      </c>
      <c r="U17">
        <v>0</v>
      </c>
      <c r="V17">
        <v>3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L17" t="s">
        <v>883</v>
      </c>
      <c r="AM17" t="s">
        <v>1415</v>
      </c>
      <c r="AN17" t="s">
        <v>45</v>
      </c>
      <c r="AO17" t="s">
        <v>897</v>
      </c>
      <c r="AP17" t="s">
        <v>1416</v>
      </c>
      <c r="AQ17" t="s">
        <v>1359</v>
      </c>
      <c r="AR17" t="s">
        <v>1289</v>
      </c>
      <c r="AS17" t="s">
        <v>1417</v>
      </c>
      <c r="AT17" t="s">
        <v>1373</v>
      </c>
    </row>
    <row r="18" spans="1:46">
      <c r="A18" s="49" t="s">
        <v>1348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2</v>
      </c>
      <c r="O18">
        <v>2</v>
      </c>
      <c r="P18">
        <v>2</v>
      </c>
      <c r="Q18">
        <v>2</v>
      </c>
      <c r="R18">
        <v>2</v>
      </c>
      <c r="S18">
        <v>1</v>
      </c>
      <c r="T18">
        <v>2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1</v>
      </c>
      <c r="AL18" t="s">
        <v>884</v>
      </c>
      <c r="AM18" t="s">
        <v>1418</v>
      </c>
      <c r="AN18" t="s">
        <v>1346</v>
      </c>
      <c r="AO18" t="s">
        <v>898</v>
      </c>
      <c r="AP18" t="s">
        <v>1419</v>
      </c>
      <c r="AQ18" t="s">
        <v>1360</v>
      </c>
    </row>
    <row r="19" spans="1:46">
      <c r="A19" s="49" t="s">
        <v>1349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46">
      <c r="A20" s="49" t="s">
        <v>1350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2</v>
      </c>
      <c r="T20">
        <v>0</v>
      </c>
      <c r="U20">
        <v>0</v>
      </c>
      <c r="V20">
        <v>1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1</v>
      </c>
    </row>
    <row r="21" spans="1:46">
      <c r="A21" s="49" t="s">
        <v>1351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2</v>
      </c>
      <c r="R21">
        <v>2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46">
      <c r="A22" s="49" t="s">
        <v>1352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</row>
    <row r="23" spans="1:46">
      <c r="A23" s="49" t="s">
        <v>1353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</row>
    <row r="24" spans="1:46">
      <c r="A24" s="49" t="s">
        <v>1354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2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2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0</v>
      </c>
      <c r="AG24">
        <v>0</v>
      </c>
      <c r="AH24">
        <v>0</v>
      </c>
    </row>
    <row r="25" spans="1:46">
      <c r="A25" s="49" t="s">
        <v>1355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3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2</v>
      </c>
      <c r="R25">
        <v>0</v>
      </c>
      <c r="S25">
        <v>2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2</v>
      </c>
      <c r="AF25">
        <v>0</v>
      </c>
      <c r="AG25">
        <v>0</v>
      </c>
      <c r="AH25">
        <v>1</v>
      </c>
    </row>
    <row r="26" spans="1:46">
      <c r="A26" s="49" t="s">
        <v>1356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46">
      <c r="A27" s="49" t="s">
        <v>1357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2</v>
      </c>
      <c r="T27">
        <v>0</v>
      </c>
      <c r="U27">
        <v>0</v>
      </c>
      <c r="V27">
        <v>2</v>
      </c>
      <c r="W27">
        <v>2</v>
      </c>
      <c r="X27">
        <v>1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</row>
    <row r="28" spans="1:46">
      <c r="A28" s="49" t="s">
        <v>1358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</row>
    <row r="29" spans="1:46">
      <c r="A29" s="49" t="s">
        <v>1359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2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</row>
    <row r="30" spans="1:46">
      <c r="A30" s="49" t="s">
        <v>1360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3</v>
      </c>
      <c r="K30">
        <v>2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1</v>
      </c>
      <c r="W30">
        <v>2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</row>
    <row r="31" spans="1:46">
      <c r="A31" s="49" t="s">
        <v>1361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3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</row>
    <row r="32" spans="1:46">
      <c r="A32" s="49" t="s">
        <v>1362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</row>
    <row r="33" spans="1:34">
      <c r="A33" s="49" t="s">
        <v>1363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3</v>
      </c>
      <c r="R33">
        <v>1</v>
      </c>
      <c r="S33">
        <v>2</v>
      </c>
      <c r="T33">
        <v>1</v>
      </c>
      <c r="U33">
        <v>0</v>
      </c>
      <c r="V33">
        <v>2</v>
      </c>
      <c r="W33">
        <v>4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 s="49" t="s">
        <v>1364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3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</row>
    <row r="35" spans="1:34">
      <c r="A35" s="49" t="s">
        <v>1365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</row>
    <row r="36" spans="1:34">
      <c r="A36" s="49" t="s">
        <v>1366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2</v>
      </c>
      <c r="T36">
        <v>2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 s="49" t="s">
        <v>1367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2</v>
      </c>
      <c r="R37">
        <v>2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 s="49" t="s">
        <v>1368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2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1</v>
      </c>
    </row>
    <row r="39" spans="1:34">
      <c r="A39" s="49" t="s">
        <v>1369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3</v>
      </c>
      <c r="L39">
        <v>2</v>
      </c>
      <c r="M39">
        <v>0</v>
      </c>
      <c r="N39">
        <v>0</v>
      </c>
      <c r="O39">
        <v>1</v>
      </c>
      <c r="P39">
        <v>2</v>
      </c>
      <c r="Q39">
        <v>1</v>
      </c>
      <c r="R39">
        <v>2</v>
      </c>
      <c r="S39">
        <v>2</v>
      </c>
      <c r="T39">
        <v>2</v>
      </c>
      <c r="U39">
        <v>0</v>
      </c>
      <c r="V39">
        <v>4</v>
      </c>
      <c r="W39">
        <v>1</v>
      </c>
      <c r="X39">
        <v>1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</row>
    <row r="40" spans="1:34">
      <c r="A40" s="49" t="s">
        <v>1370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3</v>
      </c>
      <c r="W40">
        <v>2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</row>
    <row r="41" spans="1:34">
      <c r="A41" s="49" t="s">
        <v>1371</v>
      </c>
      <c r="B41">
        <v>0</v>
      </c>
      <c r="C41">
        <v>1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  <c r="S41">
        <v>2</v>
      </c>
      <c r="T41">
        <v>2</v>
      </c>
      <c r="U41">
        <v>1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 s="49" t="s">
        <v>1372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</row>
    <row r="43" spans="1:34">
      <c r="A43" s="49" t="s">
        <v>1373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3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</row>
    <row r="45" spans="1:34">
      <c r="B45" s="51" t="str">
        <f>B1</f>
        <v>X1</v>
      </c>
      <c r="C45" s="51">
        <f t="shared" ref="C45:AG45" si="0">C1</f>
        <v>0</v>
      </c>
      <c r="D45" s="51">
        <f t="shared" si="0"/>
        <v>0</v>
      </c>
      <c r="E45" s="51" t="str">
        <f t="shared" si="0"/>
        <v>X2</v>
      </c>
      <c r="F45" s="51">
        <f t="shared" si="0"/>
        <v>0</v>
      </c>
      <c r="G45" s="51">
        <f t="shared" si="0"/>
        <v>0</v>
      </c>
      <c r="H45" s="51">
        <f t="shared" si="0"/>
        <v>0</v>
      </c>
      <c r="I45" s="51" t="str">
        <f t="shared" si="0"/>
        <v>X3</v>
      </c>
      <c r="J45" s="51">
        <f t="shared" si="0"/>
        <v>0</v>
      </c>
      <c r="K45" s="51">
        <f t="shared" si="0"/>
        <v>0</v>
      </c>
      <c r="L45" s="51" t="str">
        <f t="shared" si="0"/>
        <v>X4</v>
      </c>
      <c r="M45" s="51">
        <f t="shared" si="0"/>
        <v>0</v>
      </c>
      <c r="N45" s="51" t="str">
        <f t="shared" si="0"/>
        <v>X5</v>
      </c>
      <c r="O45" s="51">
        <f t="shared" si="0"/>
        <v>0</v>
      </c>
      <c r="P45" s="51">
        <f t="shared" si="0"/>
        <v>0</v>
      </c>
      <c r="Q45" s="51">
        <f t="shared" si="0"/>
        <v>0</v>
      </c>
      <c r="R45" s="51">
        <f t="shared" si="0"/>
        <v>0</v>
      </c>
      <c r="S45" s="51" t="str">
        <f t="shared" si="0"/>
        <v>X6</v>
      </c>
      <c r="T45" s="51">
        <f t="shared" si="0"/>
        <v>0</v>
      </c>
      <c r="U45" s="51">
        <f t="shared" si="0"/>
        <v>0</v>
      </c>
      <c r="V45" s="51" t="str">
        <f t="shared" si="0"/>
        <v>X7</v>
      </c>
      <c r="W45" s="51">
        <f t="shared" si="0"/>
        <v>0</v>
      </c>
      <c r="X45" s="51">
        <f t="shared" si="0"/>
        <v>0</v>
      </c>
      <c r="Y45" s="51">
        <f t="shared" si="0"/>
        <v>0</v>
      </c>
      <c r="Z45" s="51">
        <f t="shared" si="0"/>
        <v>0</v>
      </c>
      <c r="AA45" s="51" t="str">
        <f t="shared" si="0"/>
        <v>X8</v>
      </c>
      <c r="AB45" s="51">
        <f t="shared" si="0"/>
        <v>0</v>
      </c>
      <c r="AC45" s="51" t="str">
        <f t="shared" si="0"/>
        <v>X9</v>
      </c>
      <c r="AD45" s="51">
        <f t="shared" si="0"/>
        <v>0</v>
      </c>
      <c r="AE45" s="51">
        <f t="shared" si="0"/>
        <v>0</v>
      </c>
      <c r="AF45" s="51">
        <f t="shared" si="0"/>
        <v>0</v>
      </c>
      <c r="AG45" s="51">
        <f t="shared" si="0"/>
        <v>0</v>
      </c>
      <c r="AH45" s="51" t="str">
        <f>AH2</f>
        <v>X10</v>
      </c>
    </row>
    <row r="46" spans="1:34">
      <c r="A46" t="str">
        <f>A3</f>
        <v>P1</v>
      </c>
      <c r="B46">
        <f>B3/COUNT($B3:$D3)</f>
        <v>0</v>
      </c>
      <c r="C46">
        <f t="shared" ref="C46:D46" si="1">C3/COUNT($B3:$D3)</f>
        <v>0</v>
      </c>
      <c r="D46">
        <f t="shared" si="1"/>
        <v>0.33333333333333331</v>
      </c>
      <c r="E46">
        <f>E3/COUNT($E3:$H3)</f>
        <v>0</v>
      </c>
      <c r="F46">
        <f t="shared" ref="F46:H46" si="2">F3/COUNT($E3:$H3)</f>
        <v>0</v>
      </c>
      <c r="G46">
        <f t="shared" si="2"/>
        <v>0</v>
      </c>
      <c r="H46">
        <f t="shared" si="2"/>
        <v>0</v>
      </c>
      <c r="I46">
        <f>I3/COUNT($I3:$K3)</f>
        <v>0</v>
      </c>
      <c r="J46">
        <f t="shared" ref="J46:K46" si="3">J3/COUNT($I3:$K3)</f>
        <v>0</v>
      </c>
      <c r="K46">
        <f t="shared" si="3"/>
        <v>0.33333333333333331</v>
      </c>
      <c r="L46">
        <f>L3/COUNT($L3:$M3)</f>
        <v>0.5</v>
      </c>
      <c r="M46">
        <f>M3/COUNT($L3:$M3)</f>
        <v>0</v>
      </c>
      <c r="N46">
        <f>N3/COUNT($N3:$R3)</f>
        <v>0.2</v>
      </c>
      <c r="O46">
        <f t="shared" ref="O46:R46" si="4">O3/COUNT($N3:$R3)</f>
        <v>0.2</v>
      </c>
      <c r="P46">
        <f t="shared" si="4"/>
        <v>0.2</v>
      </c>
      <c r="Q46">
        <f t="shared" si="4"/>
        <v>0</v>
      </c>
      <c r="R46">
        <f t="shared" si="4"/>
        <v>0.2</v>
      </c>
      <c r="S46">
        <f>S3/COUNT($S3:$U3)</f>
        <v>0.33333333333333331</v>
      </c>
      <c r="T46">
        <f t="shared" ref="T46:U46" si="5">T3/COUNT($S3:$U3)</f>
        <v>0.33333333333333331</v>
      </c>
      <c r="U46">
        <f t="shared" si="5"/>
        <v>0</v>
      </c>
      <c r="V46">
        <f>V3/COUNT($V3:$Z3)</f>
        <v>0</v>
      </c>
      <c r="W46">
        <f t="shared" ref="W46:Z46" si="6">W3/COUNT($V3:$Z3)</f>
        <v>0</v>
      </c>
      <c r="X46">
        <f t="shared" si="6"/>
        <v>0</v>
      </c>
      <c r="Y46">
        <f t="shared" si="6"/>
        <v>0</v>
      </c>
      <c r="Z46">
        <f t="shared" si="6"/>
        <v>0</v>
      </c>
      <c r="AA46">
        <f>AA3/COUNT($AA3:$AB3)</f>
        <v>0</v>
      </c>
      <c r="AB46">
        <f>AB3/COUNT($AA3:$AB3)</f>
        <v>0</v>
      </c>
      <c r="AC46">
        <f>AC3/COUNT($AC3:$AG3)</f>
        <v>0.2</v>
      </c>
      <c r="AD46">
        <f t="shared" ref="AD46:AG46" si="7">AD3/COUNT($AC3:$AG3)</f>
        <v>0</v>
      </c>
      <c r="AE46">
        <f t="shared" si="7"/>
        <v>0.2</v>
      </c>
      <c r="AF46">
        <f t="shared" si="7"/>
        <v>0</v>
      </c>
      <c r="AG46">
        <f t="shared" si="7"/>
        <v>0</v>
      </c>
      <c r="AH46">
        <f>AH3</f>
        <v>0</v>
      </c>
    </row>
    <row r="47" spans="1:34">
      <c r="A47" t="str">
        <f t="shared" ref="A47:A85" si="8">A4</f>
        <v>P2</v>
      </c>
      <c r="B47">
        <f t="shared" ref="B47:D47" si="9">B4/COUNT($B4:$D4)</f>
        <v>0</v>
      </c>
      <c r="C47">
        <f t="shared" si="9"/>
        <v>0.33333333333333331</v>
      </c>
      <c r="D47">
        <f t="shared" si="9"/>
        <v>0</v>
      </c>
      <c r="E47">
        <f t="shared" ref="E47:H47" si="10">E4/COUNT($E4:$H4)</f>
        <v>0</v>
      </c>
      <c r="F47">
        <f t="shared" si="10"/>
        <v>0</v>
      </c>
      <c r="G47">
        <f t="shared" si="10"/>
        <v>0</v>
      </c>
      <c r="H47">
        <f t="shared" si="10"/>
        <v>0.25</v>
      </c>
      <c r="I47">
        <f t="shared" ref="I47:K47" si="11">I4/COUNT($I4:$K4)</f>
        <v>0</v>
      </c>
      <c r="J47">
        <f t="shared" si="11"/>
        <v>0</v>
      </c>
      <c r="K47">
        <f t="shared" si="11"/>
        <v>0</v>
      </c>
      <c r="L47">
        <f t="shared" ref="L47:M47" si="12">L4/COUNT($L4:$M4)</f>
        <v>0.5</v>
      </c>
      <c r="M47">
        <f t="shared" si="12"/>
        <v>0</v>
      </c>
      <c r="N47">
        <f t="shared" ref="N47:R47" si="13">N4/COUNT($N4:$R4)</f>
        <v>0.2</v>
      </c>
      <c r="O47">
        <f t="shared" si="13"/>
        <v>0.2</v>
      </c>
      <c r="P47">
        <f t="shared" si="13"/>
        <v>0.2</v>
      </c>
      <c r="Q47">
        <f t="shared" si="13"/>
        <v>0.2</v>
      </c>
      <c r="R47">
        <f t="shared" si="13"/>
        <v>0.2</v>
      </c>
      <c r="S47">
        <f t="shared" ref="S47:U47" si="14">S4/COUNT($S4:$U4)</f>
        <v>0.33333333333333331</v>
      </c>
      <c r="T47">
        <f t="shared" si="14"/>
        <v>0</v>
      </c>
      <c r="U47">
        <f t="shared" si="14"/>
        <v>0</v>
      </c>
      <c r="V47">
        <f t="shared" ref="V47:Z47" si="15">V4/COUNT($V4:$Z4)</f>
        <v>0.2</v>
      </c>
      <c r="W47">
        <f t="shared" si="15"/>
        <v>0.2</v>
      </c>
      <c r="X47">
        <f t="shared" si="15"/>
        <v>0.2</v>
      </c>
      <c r="Y47">
        <f t="shared" si="15"/>
        <v>0</v>
      </c>
      <c r="Z47">
        <f t="shared" si="15"/>
        <v>0.2</v>
      </c>
      <c r="AA47">
        <f t="shared" ref="AA47:AB47" si="16">AA4/COUNT($AA4:$AB4)</f>
        <v>0</v>
      </c>
      <c r="AB47">
        <f t="shared" si="16"/>
        <v>0</v>
      </c>
      <c r="AC47">
        <f t="shared" ref="AC47:AG47" si="17">AC4/COUNT($AC4:$AG4)</f>
        <v>0</v>
      </c>
      <c r="AD47">
        <f t="shared" si="17"/>
        <v>0</v>
      </c>
      <c r="AE47">
        <f t="shared" si="17"/>
        <v>0.2</v>
      </c>
      <c r="AF47">
        <f t="shared" si="17"/>
        <v>0</v>
      </c>
      <c r="AG47">
        <f t="shared" si="17"/>
        <v>0</v>
      </c>
      <c r="AH47">
        <f t="shared" ref="AH47:AH86" si="18">AH4</f>
        <v>0</v>
      </c>
    </row>
    <row r="48" spans="1:34">
      <c r="A48" t="str">
        <f t="shared" si="8"/>
        <v>P3</v>
      </c>
      <c r="B48">
        <f t="shared" ref="B48:D48" si="19">B5/COUNT($B5:$D5)</f>
        <v>0.33333333333333331</v>
      </c>
      <c r="C48">
        <f t="shared" si="19"/>
        <v>0</v>
      </c>
      <c r="D48">
        <f t="shared" si="19"/>
        <v>0</v>
      </c>
      <c r="E48">
        <f t="shared" ref="E48:H48" si="20">E5/COUNT($E5:$H5)</f>
        <v>0</v>
      </c>
      <c r="F48">
        <f t="shared" si="20"/>
        <v>0</v>
      </c>
      <c r="G48">
        <f t="shared" si="20"/>
        <v>0.25</v>
      </c>
      <c r="H48">
        <f t="shared" si="20"/>
        <v>0</v>
      </c>
      <c r="I48">
        <f t="shared" ref="I48:K48" si="21">I5/COUNT($I5:$K5)</f>
        <v>0</v>
      </c>
      <c r="J48">
        <f t="shared" si="21"/>
        <v>1</v>
      </c>
      <c r="K48">
        <f t="shared" si="21"/>
        <v>0.33333333333333331</v>
      </c>
      <c r="L48">
        <f t="shared" ref="L48:M48" si="22">L5/COUNT($L5:$M5)</f>
        <v>0.5</v>
      </c>
      <c r="M48">
        <f t="shared" si="22"/>
        <v>0</v>
      </c>
      <c r="N48">
        <f t="shared" ref="N48:R48" si="23">N5/COUNT($N5:$R5)</f>
        <v>0.4</v>
      </c>
      <c r="O48">
        <f t="shared" si="23"/>
        <v>0.4</v>
      </c>
      <c r="P48">
        <f t="shared" si="23"/>
        <v>0.2</v>
      </c>
      <c r="Q48">
        <f t="shared" si="23"/>
        <v>0.4</v>
      </c>
      <c r="R48">
        <f t="shared" si="23"/>
        <v>0.2</v>
      </c>
      <c r="S48">
        <f t="shared" ref="S48:U48" si="24">S5/COUNT($S5:$U5)</f>
        <v>0.33333333333333331</v>
      </c>
      <c r="T48">
        <f t="shared" si="24"/>
        <v>0.33333333333333331</v>
      </c>
      <c r="U48">
        <f t="shared" si="24"/>
        <v>0.33333333333333331</v>
      </c>
      <c r="V48">
        <f t="shared" ref="V48:Z48" si="25">V5/COUNT($V5:$Z5)</f>
        <v>0.2</v>
      </c>
      <c r="W48">
        <f t="shared" si="25"/>
        <v>0.4</v>
      </c>
      <c r="X48">
        <f t="shared" si="25"/>
        <v>0</v>
      </c>
      <c r="Y48">
        <f t="shared" si="25"/>
        <v>0.2</v>
      </c>
      <c r="Z48">
        <f t="shared" si="25"/>
        <v>0</v>
      </c>
      <c r="AA48">
        <f t="shared" ref="AA48:AB48" si="26">AA5/COUNT($AA5:$AB5)</f>
        <v>0.5</v>
      </c>
      <c r="AB48">
        <f t="shared" si="26"/>
        <v>0</v>
      </c>
      <c r="AC48">
        <f t="shared" ref="AC48:AG48" si="27">AC5/COUNT($AC5:$AG5)</f>
        <v>0.4</v>
      </c>
      <c r="AD48">
        <f t="shared" si="27"/>
        <v>0</v>
      </c>
      <c r="AE48">
        <f t="shared" si="27"/>
        <v>0.2</v>
      </c>
      <c r="AF48">
        <f t="shared" si="27"/>
        <v>0</v>
      </c>
      <c r="AG48">
        <f t="shared" si="27"/>
        <v>0</v>
      </c>
      <c r="AH48">
        <f t="shared" si="18"/>
        <v>0</v>
      </c>
    </row>
    <row r="49" spans="1:34">
      <c r="A49" t="str">
        <f t="shared" si="8"/>
        <v>P4</v>
      </c>
      <c r="B49">
        <f t="shared" ref="B49:D49" si="28">B6/COUNT($B6:$D6)</f>
        <v>0</v>
      </c>
      <c r="C49">
        <f t="shared" si="28"/>
        <v>0</v>
      </c>
      <c r="D49">
        <f t="shared" si="28"/>
        <v>0.33333333333333331</v>
      </c>
      <c r="E49">
        <f t="shared" ref="E49:H49" si="29">E6/COUNT($E6:$H6)</f>
        <v>0</v>
      </c>
      <c r="F49">
        <f t="shared" si="29"/>
        <v>0</v>
      </c>
      <c r="G49">
        <f t="shared" si="29"/>
        <v>0</v>
      </c>
      <c r="H49">
        <f t="shared" si="29"/>
        <v>0.25</v>
      </c>
      <c r="I49">
        <f t="shared" ref="I49:K49" si="30">I6/COUNT($I6:$K6)</f>
        <v>0</v>
      </c>
      <c r="J49">
        <f t="shared" si="30"/>
        <v>0.33333333333333331</v>
      </c>
      <c r="K49">
        <f t="shared" si="30"/>
        <v>0</v>
      </c>
      <c r="L49">
        <f t="shared" ref="L49:M49" si="31">L6/COUNT($L6:$M6)</f>
        <v>0.5</v>
      </c>
      <c r="M49">
        <f t="shared" si="31"/>
        <v>0</v>
      </c>
      <c r="N49">
        <f t="shared" ref="N49:R49" si="32">N6/COUNT($N6:$R6)</f>
        <v>0</v>
      </c>
      <c r="O49">
        <f t="shared" si="32"/>
        <v>0.2</v>
      </c>
      <c r="P49">
        <f t="shared" si="32"/>
        <v>0</v>
      </c>
      <c r="Q49">
        <f t="shared" si="32"/>
        <v>0.2</v>
      </c>
      <c r="R49">
        <f t="shared" si="32"/>
        <v>0.4</v>
      </c>
      <c r="S49">
        <f t="shared" ref="S49:U49" si="33">S6/COUNT($S6:$U6)</f>
        <v>0.66666666666666663</v>
      </c>
      <c r="T49">
        <f t="shared" si="33"/>
        <v>0.33333333333333331</v>
      </c>
      <c r="U49">
        <f t="shared" si="33"/>
        <v>0.33333333333333331</v>
      </c>
      <c r="V49">
        <f t="shared" ref="V49:Z49" si="34">V6/COUNT($V6:$Z6)</f>
        <v>0.2</v>
      </c>
      <c r="W49">
        <f t="shared" si="34"/>
        <v>0</v>
      </c>
      <c r="X49">
        <f t="shared" si="34"/>
        <v>0</v>
      </c>
      <c r="Y49">
        <f t="shared" si="34"/>
        <v>0</v>
      </c>
      <c r="Z49">
        <f t="shared" si="34"/>
        <v>0</v>
      </c>
      <c r="AA49">
        <f t="shared" ref="AA49:AB49" si="35">AA6/COUNT($AA6:$AB6)</f>
        <v>0</v>
      </c>
      <c r="AB49">
        <f t="shared" si="35"/>
        <v>0</v>
      </c>
      <c r="AC49">
        <f t="shared" ref="AC49:AG49" si="36">AC6/COUNT($AC6:$AG6)</f>
        <v>0.2</v>
      </c>
      <c r="AD49">
        <f t="shared" si="36"/>
        <v>0</v>
      </c>
      <c r="AE49">
        <f t="shared" si="36"/>
        <v>0.2</v>
      </c>
      <c r="AF49">
        <f t="shared" si="36"/>
        <v>0.2</v>
      </c>
      <c r="AG49">
        <f t="shared" si="36"/>
        <v>0</v>
      </c>
      <c r="AH49">
        <f t="shared" si="18"/>
        <v>0</v>
      </c>
    </row>
    <row r="50" spans="1:34">
      <c r="A50" t="str">
        <f t="shared" si="8"/>
        <v>P5</v>
      </c>
      <c r="B50">
        <f t="shared" ref="B50:D50" si="37">B7/COUNT($B7:$D7)</f>
        <v>0</v>
      </c>
      <c r="C50">
        <f t="shared" si="37"/>
        <v>0.33333333333333331</v>
      </c>
      <c r="D50">
        <f t="shared" si="37"/>
        <v>0</v>
      </c>
      <c r="E50">
        <f t="shared" ref="E50:H50" si="38">E7/COUNT($E7:$H7)</f>
        <v>0.25</v>
      </c>
      <c r="F50">
        <f t="shared" si="38"/>
        <v>0</v>
      </c>
      <c r="G50">
        <f t="shared" si="38"/>
        <v>0</v>
      </c>
      <c r="H50">
        <f t="shared" si="38"/>
        <v>0</v>
      </c>
      <c r="I50">
        <f t="shared" ref="I50:K50" si="39">I7/COUNT($I7:$K7)</f>
        <v>0</v>
      </c>
      <c r="J50">
        <f t="shared" si="39"/>
        <v>0.33333333333333331</v>
      </c>
      <c r="K50">
        <f t="shared" si="39"/>
        <v>0</v>
      </c>
      <c r="L50">
        <f t="shared" ref="L50:M50" si="40">L7/COUNT($L7:$M7)</f>
        <v>0.5</v>
      </c>
      <c r="M50">
        <f t="shared" si="40"/>
        <v>0</v>
      </c>
      <c r="N50">
        <f t="shared" ref="N50:R50" si="41">N7/COUNT($N7:$R7)</f>
        <v>0</v>
      </c>
      <c r="O50">
        <f t="shared" si="41"/>
        <v>0.2</v>
      </c>
      <c r="P50">
        <f t="shared" si="41"/>
        <v>0</v>
      </c>
      <c r="Q50">
        <f t="shared" si="41"/>
        <v>0.2</v>
      </c>
      <c r="R50">
        <f t="shared" si="41"/>
        <v>0.4</v>
      </c>
      <c r="S50">
        <f t="shared" ref="S50:U50" si="42">S7/COUNT($S7:$U7)</f>
        <v>0.66666666666666663</v>
      </c>
      <c r="T50">
        <f t="shared" si="42"/>
        <v>0.66666666666666663</v>
      </c>
      <c r="U50">
        <f t="shared" si="42"/>
        <v>0</v>
      </c>
      <c r="V50">
        <f t="shared" ref="V50:Z50" si="43">V7/COUNT($V7:$Z7)</f>
        <v>0.2</v>
      </c>
      <c r="W50">
        <f t="shared" si="43"/>
        <v>0</v>
      </c>
      <c r="X50">
        <f t="shared" si="43"/>
        <v>0</v>
      </c>
      <c r="Y50">
        <f t="shared" si="43"/>
        <v>0</v>
      </c>
      <c r="Z50">
        <f t="shared" si="43"/>
        <v>0</v>
      </c>
      <c r="AA50">
        <f t="shared" ref="AA50:AB50" si="44">AA7/COUNT($AA7:$AB7)</f>
        <v>0</v>
      </c>
      <c r="AB50">
        <f t="shared" si="44"/>
        <v>0</v>
      </c>
      <c r="AC50">
        <f t="shared" ref="AC50:AG50" si="45">AC7/COUNT($AC7:$AG7)</f>
        <v>0</v>
      </c>
      <c r="AD50">
        <f t="shared" si="45"/>
        <v>0</v>
      </c>
      <c r="AE50">
        <f t="shared" si="45"/>
        <v>0</v>
      </c>
      <c r="AF50">
        <f t="shared" si="45"/>
        <v>0</v>
      </c>
      <c r="AG50">
        <f t="shared" si="45"/>
        <v>0</v>
      </c>
      <c r="AH50">
        <f t="shared" si="18"/>
        <v>0</v>
      </c>
    </row>
    <row r="51" spans="1:34">
      <c r="A51" t="str">
        <f t="shared" si="8"/>
        <v>P6</v>
      </c>
      <c r="B51">
        <f t="shared" ref="B51:D51" si="46">B8/COUNT($B8:$D8)</f>
        <v>0.33333333333333331</v>
      </c>
      <c r="C51">
        <f t="shared" si="46"/>
        <v>0</v>
      </c>
      <c r="D51">
        <f t="shared" si="46"/>
        <v>0</v>
      </c>
      <c r="E51">
        <f t="shared" ref="E51:H51" si="47">E8/COUNT($E8:$H8)</f>
        <v>0</v>
      </c>
      <c r="F51">
        <f t="shared" si="47"/>
        <v>0</v>
      </c>
      <c r="G51">
        <f t="shared" si="47"/>
        <v>0</v>
      </c>
      <c r="H51">
        <f t="shared" si="47"/>
        <v>0.25</v>
      </c>
      <c r="I51">
        <f t="shared" ref="I51:K51" si="48">I8/COUNT($I8:$K8)</f>
        <v>0</v>
      </c>
      <c r="J51">
        <f t="shared" si="48"/>
        <v>0</v>
      </c>
      <c r="K51">
        <f t="shared" si="48"/>
        <v>0</v>
      </c>
      <c r="L51">
        <f t="shared" ref="L51:M51" si="49">L8/COUNT($L8:$M8)</f>
        <v>0.5</v>
      </c>
      <c r="M51">
        <f t="shared" si="49"/>
        <v>0</v>
      </c>
      <c r="N51">
        <f t="shared" ref="N51:R51" si="50">N8/COUNT($N8:$R8)</f>
        <v>0</v>
      </c>
      <c r="O51">
        <f t="shared" si="50"/>
        <v>0</v>
      </c>
      <c r="P51">
        <f t="shared" si="50"/>
        <v>0</v>
      </c>
      <c r="Q51">
        <f t="shared" si="50"/>
        <v>0</v>
      </c>
      <c r="R51">
        <f t="shared" si="50"/>
        <v>0</v>
      </c>
      <c r="S51">
        <f t="shared" ref="S51:U51" si="51">S8/COUNT($S8:$U8)</f>
        <v>0.66666666666666663</v>
      </c>
      <c r="T51">
        <f t="shared" si="51"/>
        <v>0</v>
      </c>
      <c r="U51">
        <f t="shared" si="51"/>
        <v>0</v>
      </c>
      <c r="V51">
        <f t="shared" ref="V51:Z51" si="52">V8/COUNT($V8:$Z8)</f>
        <v>0.2</v>
      </c>
      <c r="W51">
        <f t="shared" si="52"/>
        <v>0</v>
      </c>
      <c r="X51">
        <f t="shared" si="52"/>
        <v>0.2</v>
      </c>
      <c r="Y51">
        <f t="shared" si="52"/>
        <v>0.2</v>
      </c>
      <c r="Z51">
        <f t="shared" si="52"/>
        <v>0.2</v>
      </c>
      <c r="AA51">
        <f t="shared" ref="AA51:AB51" si="53">AA8/COUNT($AA8:$AB8)</f>
        <v>0</v>
      </c>
      <c r="AB51">
        <f t="shared" si="53"/>
        <v>0.5</v>
      </c>
      <c r="AC51">
        <f t="shared" ref="AC51:AG51" si="54">AC8/COUNT($AC8:$AG8)</f>
        <v>0.2</v>
      </c>
      <c r="AD51">
        <f t="shared" si="54"/>
        <v>0</v>
      </c>
      <c r="AE51">
        <f t="shared" si="54"/>
        <v>0.2</v>
      </c>
      <c r="AF51">
        <f t="shared" si="54"/>
        <v>0</v>
      </c>
      <c r="AG51">
        <f t="shared" si="54"/>
        <v>0</v>
      </c>
      <c r="AH51">
        <f t="shared" si="18"/>
        <v>0</v>
      </c>
    </row>
    <row r="52" spans="1:34">
      <c r="A52" t="str">
        <f t="shared" si="8"/>
        <v>P7</v>
      </c>
      <c r="B52">
        <f t="shared" ref="B52:D52" si="55">B9/COUNT($B9:$D9)</f>
        <v>0</v>
      </c>
      <c r="C52">
        <f t="shared" si="55"/>
        <v>0</v>
      </c>
      <c r="D52">
        <f t="shared" si="55"/>
        <v>0.33333333333333331</v>
      </c>
      <c r="E52">
        <f t="shared" ref="E52:H52" si="56">E9/COUNT($E9:$H9)</f>
        <v>0</v>
      </c>
      <c r="F52">
        <f t="shared" si="56"/>
        <v>0.25</v>
      </c>
      <c r="G52">
        <f t="shared" si="56"/>
        <v>0</v>
      </c>
      <c r="H52">
        <f t="shared" si="56"/>
        <v>0</v>
      </c>
      <c r="I52">
        <f t="shared" ref="I52:K52" si="57">I9/COUNT($I9:$K9)</f>
        <v>0</v>
      </c>
      <c r="J52">
        <f t="shared" si="57"/>
        <v>0</v>
      </c>
      <c r="K52">
        <f t="shared" si="57"/>
        <v>0</v>
      </c>
      <c r="L52">
        <f t="shared" ref="L52:M52" si="58">L9/COUNT($L9:$M9)</f>
        <v>0.5</v>
      </c>
      <c r="M52">
        <f t="shared" si="58"/>
        <v>0</v>
      </c>
      <c r="N52">
        <f t="shared" ref="N52:R52" si="59">N9/COUNT($N9:$R9)</f>
        <v>0</v>
      </c>
      <c r="O52">
        <f t="shared" si="59"/>
        <v>0.4</v>
      </c>
      <c r="P52">
        <f t="shared" si="59"/>
        <v>0.4</v>
      </c>
      <c r="Q52">
        <f t="shared" si="59"/>
        <v>0.4</v>
      </c>
      <c r="R52">
        <f t="shared" si="59"/>
        <v>0.4</v>
      </c>
      <c r="S52">
        <f t="shared" ref="S52:U52" si="60">S9/COUNT($S9:$U9)</f>
        <v>0.66666666666666663</v>
      </c>
      <c r="T52">
        <f t="shared" si="60"/>
        <v>0.66666666666666663</v>
      </c>
      <c r="U52">
        <f t="shared" si="60"/>
        <v>0</v>
      </c>
      <c r="V52">
        <f t="shared" ref="V52:Z52" si="61">V9/COUNT($V9:$Z9)</f>
        <v>0</v>
      </c>
      <c r="W52">
        <f t="shared" si="61"/>
        <v>0</v>
      </c>
      <c r="X52">
        <f t="shared" si="61"/>
        <v>0</v>
      </c>
      <c r="Y52">
        <f t="shared" si="61"/>
        <v>0</v>
      </c>
      <c r="Z52">
        <f t="shared" si="61"/>
        <v>0</v>
      </c>
      <c r="AA52">
        <f t="shared" ref="AA52:AB52" si="62">AA9/COUNT($AA9:$AB9)</f>
        <v>0</v>
      </c>
      <c r="AB52">
        <f t="shared" si="62"/>
        <v>0</v>
      </c>
      <c r="AC52">
        <f t="shared" ref="AC52:AG52" si="63">AC9/COUNT($AC9:$AG9)</f>
        <v>0</v>
      </c>
      <c r="AD52">
        <f t="shared" si="63"/>
        <v>0</v>
      </c>
      <c r="AE52">
        <f t="shared" si="63"/>
        <v>0</v>
      </c>
      <c r="AF52">
        <f t="shared" si="63"/>
        <v>0</v>
      </c>
      <c r="AG52">
        <f t="shared" si="63"/>
        <v>0</v>
      </c>
      <c r="AH52">
        <f t="shared" si="18"/>
        <v>0</v>
      </c>
    </row>
    <row r="53" spans="1:34">
      <c r="A53" t="str">
        <f t="shared" si="8"/>
        <v>P8</v>
      </c>
      <c r="B53">
        <f t="shared" ref="B53:D53" si="64">B10/COUNT($B10:$D10)</f>
        <v>0</v>
      </c>
      <c r="C53">
        <f t="shared" si="64"/>
        <v>0.33333333333333331</v>
      </c>
      <c r="D53">
        <f t="shared" si="64"/>
        <v>0</v>
      </c>
      <c r="E53">
        <f t="shared" ref="E53:H53" si="65">E10/COUNT($E10:$H10)</f>
        <v>0</v>
      </c>
      <c r="F53">
        <f t="shared" si="65"/>
        <v>0.25</v>
      </c>
      <c r="G53">
        <f t="shared" si="65"/>
        <v>0</v>
      </c>
      <c r="H53">
        <f t="shared" si="65"/>
        <v>0</v>
      </c>
      <c r="I53">
        <f t="shared" ref="I53:K53" si="66">I10/COUNT($I10:$K10)</f>
        <v>0</v>
      </c>
      <c r="J53">
        <f t="shared" si="66"/>
        <v>0.33333333333333331</v>
      </c>
      <c r="K53">
        <f t="shared" si="66"/>
        <v>1</v>
      </c>
      <c r="L53">
        <f t="shared" ref="L53:M53" si="67">L10/COUNT($L10:$M10)</f>
        <v>0.5</v>
      </c>
      <c r="M53">
        <f t="shared" si="67"/>
        <v>0</v>
      </c>
      <c r="N53">
        <f t="shared" ref="N53:R53" si="68">N10/COUNT($N10:$R10)</f>
        <v>0</v>
      </c>
      <c r="O53">
        <f t="shared" si="68"/>
        <v>0.4</v>
      </c>
      <c r="P53">
        <f t="shared" si="68"/>
        <v>0.2</v>
      </c>
      <c r="Q53">
        <f t="shared" si="68"/>
        <v>0.2</v>
      </c>
      <c r="R53">
        <f t="shared" si="68"/>
        <v>0.2</v>
      </c>
      <c r="S53">
        <f t="shared" ref="S53:U53" si="69">S10/COUNT($S10:$U10)</f>
        <v>1.3333333333333333</v>
      </c>
      <c r="T53">
        <f t="shared" si="69"/>
        <v>1</v>
      </c>
      <c r="U53">
        <f t="shared" si="69"/>
        <v>0</v>
      </c>
      <c r="V53">
        <f t="shared" ref="V53:Z53" si="70">V10/COUNT($V10:$Z10)</f>
        <v>0.6</v>
      </c>
      <c r="W53">
        <f t="shared" si="70"/>
        <v>0.2</v>
      </c>
      <c r="X53">
        <f t="shared" si="70"/>
        <v>0.2</v>
      </c>
      <c r="Y53">
        <f t="shared" si="70"/>
        <v>0.2</v>
      </c>
      <c r="Z53">
        <f t="shared" si="70"/>
        <v>0.2</v>
      </c>
      <c r="AA53">
        <f t="shared" ref="AA53:AB53" si="71">AA10/COUNT($AA10:$AB10)</f>
        <v>0.5</v>
      </c>
      <c r="AB53">
        <f t="shared" si="71"/>
        <v>0</v>
      </c>
      <c r="AC53">
        <f t="shared" ref="AC53:AG53" si="72">AC10/COUNT($AC10:$AG10)</f>
        <v>0</v>
      </c>
      <c r="AD53">
        <f t="shared" si="72"/>
        <v>0.2</v>
      </c>
      <c r="AE53">
        <f t="shared" si="72"/>
        <v>0.2</v>
      </c>
      <c r="AF53">
        <f t="shared" si="72"/>
        <v>0</v>
      </c>
      <c r="AG53">
        <f t="shared" si="72"/>
        <v>0</v>
      </c>
      <c r="AH53">
        <f t="shared" si="18"/>
        <v>1</v>
      </c>
    </row>
    <row r="54" spans="1:34">
      <c r="A54" t="str">
        <f t="shared" si="8"/>
        <v>P9</v>
      </c>
      <c r="B54">
        <f t="shared" ref="B54:D54" si="73">B11/COUNT($B11:$D11)</f>
        <v>0</v>
      </c>
      <c r="C54">
        <f t="shared" si="73"/>
        <v>0.33333333333333331</v>
      </c>
      <c r="D54">
        <f t="shared" si="73"/>
        <v>0</v>
      </c>
      <c r="E54">
        <f t="shared" ref="E54:H54" si="74">E11/COUNT($E11:$H11)</f>
        <v>0</v>
      </c>
      <c r="F54">
        <f t="shared" si="74"/>
        <v>0.25</v>
      </c>
      <c r="G54">
        <f t="shared" si="74"/>
        <v>0</v>
      </c>
      <c r="H54">
        <f t="shared" si="74"/>
        <v>0</v>
      </c>
      <c r="I54">
        <f t="shared" ref="I54:K54" si="75">I11/COUNT($I11:$K11)</f>
        <v>0</v>
      </c>
      <c r="J54">
        <f t="shared" si="75"/>
        <v>0.33333333333333331</v>
      </c>
      <c r="K54">
        <f t="shared" si="75"/>
        <v>0.66666666666666663</v>
      </c>
      <c r="L54">
        <f t="shared" ref="L54:M54" si="76">L11/COUNT($L11:$M11)</f>
        <v>0.5</v>
      </c>
      <c r="M54">
        <f t="shared" si="76"/>
        <v>0</v>
      </c>
      <c r="N54">
        <f t="shared" ref="N54:R54" si="77">N11/COUNT($N11:$R11)</f>
        <v>0.2</v>
      </c>
      <c r="O54">
        <f t="shared" si="77"/>
        <v>0.4</v>
      </c>
      <c r="P54">
        <f t="shared" si="77"/>
        <v>0.4</v>
      </c>
      <c r="Q54">
        <f t="shared" si="77"/>
        <v>0.4</v>
      </c>
      <c r="R54">
        <f t="shared" si="77"/>
        <v>0.4</v>
      </c>
      <c r="S54">
        <f t="shared" ref="S54:U54" si="78">S11/COUNT($S11:$U11)</f>
        <v>0.33333333333333331</v>
      </c>
      <c r="T54">
        <f t="shared" si="78"/>
        <v>0</v>
      </c>
      <c r="U54">
        <f t="shared" si="78"/>
        <v>0</v>
      </c>
      <c r="V54">
        <f t="shared" ref="V54:Z54" si="79">V11/COUNT($V11:$Z11)</f>
        <v>0.2</v>
      </c>
      <c r="W54">
        <f t="shared" si="79"/>
        <v>0.2</v>
      </c>
      <c r="X54">
        <f t="shared" si="79"/>
        <v>0</v>
      </c>
      <c r="Y54">
        <f t="shared" si="79"/>
        <v>0.2</v>
      </c>
      <c r="Z54">
        <f t="shared" si="79"/>
        <v>0</v>
      </c>
      <c r="AA54">
        <f t="shared" ref="AA54:AB54" si="80">AA11/COUNT($AA11:$AB11)</f>
        <v>0.5</v>
      </c>
      <c r="AB54">
        <f t="shared" si="80"/>
        <v>0</v>
      </c>
      <c r="AC54">
        <f t="shared" ref="AC54:AG54" si="81">AC11/COUNT($AC11:$AG11)</f>
        <v>0</v>
      </c>
      <c r="AD54">
        <f t="shared" si="81"/>
        <v>0</v>
      </c>
      <c r="AE54">
        <f t="shared" si="81"/>
        <v>0</v>
      </c>
      <c r="AF54">
        <f t="shared" si="81"/>
        <v>0</v>
      </c>
      <c r="AG54">
        <f t="shared" si="81"/>
        <v>0</v>
      </c>
      <c r="AH54">
        <f t="shared" si="18"/>
        <v>1</v>
      </c>
    </row>
    <row r="55" spans="1:34">
      <c r="A55" t="str">
        <f t="shared" si="8"/>
        <v>P10</v>
      </c>
      <c r="B55">
        <f t="shared" ref="B55:D55" si="82">B12/COUNT($B12:$D12)</f>
        <v>0</v>
      </c>
      <c r="C55">
        <f t="shared" si="82"/>
        <v>0.33333333333333331</v>
      </c>
      <c r="D55">
        <f t="shared" si="82"/>
        <v>0</v>
      </c>
      <c r="E55">
        <f t="shared" ref="E55:H55" si="83">E12/COUNT($E12:$H12)</f>
        <v>0</v>
      </c>
      <c r="F55">
        <f t="shared" si="83"/>
        <v>0.25</v>
      </c>
      <c r="G55">
        <f t="shared" si="83"/>
        <v>0</v>
      </c>
      <c r="H55">
        <f t="shared" si="83"/>
        <v>0</v>
      </c>
      <c r="I55">
        <f t="shared" ref="I55:K55" si="84">I12/COUNT($I12:$K12)</f>
        <v>0</v>
      </c>
      <c r="J55">
        <f t="shared" si="84"/>
        <v>0.33333333333333331</v>
      </c>
      <c r="K55">
        <f t="shared" si="84"/>
        <v>0</v>
      </c>
      <c r="L55">
        <f t="shared" ref="L55:M55" si="85">L12/COUNT($L12:$M12)</f>
        <v>1</v>
      </c>
      <c r="M55">
        <f t="shared" si="85"/>
        <v>0</v>
      </c>
      <c r="N55">
        <f t="shared" ref="N55:R55" si="86">N12/COUNT($N12:$R12)</f>
        <v>0.2</v>
      </c>
      <c r="O55">
        <f t="shared" si="86"/>
        <v>0.4</v>
      </c>
      <c r="P55">
        <f t="shared" si="86"/>
        <v>0.4</v>
      </c>
      <c r="Q55">
        <f t="shared" si="86"/>
        <v>0.4</v>
      </c>
      <c r="R55">
        <f t="shared" si="86"/>
        <v>0.2</v>
      </c>
      <c r="S55">
        <f t="shared" ref="S55:U55" si="87">S12/COUNT($S12:$U12)</f>
        <v>0.33333333333333331</v>
      </c>
      <c r="T55">
        <f t="shared" si="87"/>
        <v>0.33333333333333331</v>
      </c>
      <c r="U55">
        <f t="shared" si="87"/>
        <v>0</v>
      </c>
      <c r="V55">
        <f t="shared" ref="V55:Z55" si="88">V12/COUNT($V12:$Z12)</f>
        <v>0</v>
      </c>
      <c r="W55">
        <f t="shared" si="88"/>
        <v>0.2</v>
      </c>
      <c r="X55">
        <f t="shared" si="88"/>
        <v>0</v>
      </c>
      <c r="Y55">
        <f t="shared" si="88"/>
        <v>0</v>
      </c>
      <c r="Z55">
        <f t="shared" si="88"/>
        <v>0</v>
      </c>
      <c r="AA55">
        <f t="shared" ref="AA55:AB55" si="89">AA12/COUNT($AA12:$AB12)</f>
        <v>0</v>
      </c>
      <c r="AB55">
        <f t="shared" si="89"/>
        <v>0</v>
      </c>
      <c r="AC55">
        <f t="shared" ref="AC55:AG55" si="90">AC12/COUNT($AC12:$AG12)</f>
        <v>0.2</v>
      </c>
      <c r="AD55">
        <f t="shared" si="90"/>
        <v>0</v>
      </c>
      <c r="AE55">
        <f t="shared" si="90"/>
        <v>0</v>
      </c>
      <c r="AF55">
        <f t="shared" si="90"/>
        <v>0</v>
      </c>
      <c r="AG55">
        <f t="shared" si="90"/>
        <v>0</v>
      </c>
      <c r="AH55">
        <f t="shared" si="18"/>
        <v>2</v>
      </c>
    </row>
    <row r="56" spans="1:34">
      <c r="A56" t="str">
        <f t="shared" si="8"/>
        <v>P11</v>
      </c>
      <c r="B56">
        <f t="shared" ref="B56:D56" si="91">B13/COUNT($B13:$D13)</f>
        <v>0</v>
      </c>
      <c r="C56">
        <f t="shared" si="91"/>
        <v>0.33333333333333331</v>
      </c>
      <c r="D56">
        <f t="shared" si="91"/>
        <v>0</v>
      </c>
      <c r="E56">
        <f t="shared" ref="E56:H56" si="92">E13/COUNT($E13:$H13)</f>
        <v>0</v>
      </c>
      <c r="F56">
        <f t="shared" si="92"/>
        <v>0</v>
      </c>
      <c r="G56">
        <f t="shared" si="92"/>
        <v>0</v>
      </c>
      <c r="H56">
        <f t="shared" si="92"/>
        <v>0.25</v>
      </c>
      <c r="I56">
        <f t="shared" ref="I56:K56" si="93">I13/COUNT($I13:$K13)</f>
        <v>0</v>
      </c>
      <c r="J56">
        <f t="shared" si="93"/>
        <v>0</v>
      </c>
      <c r="K56">
        <f t="shared" si="93"/>
        <v>0</v>
      </c>
      <c r="L56">
        <f t="shared" ref="L56:M56" si="94">L13/COUNT($L13:$M13)</f>
        <v>0</v>
      </c>
      <c r="M56">
        <f t="shared" si="94"/>
        <v>0.5</v>
      </c>
      <c r="N56">
        <f t="shared" ref="N56:R56" si="95">N13/COUNT($N13:$R13)</f>
        <v>0</v>
      </c>
      <c r="O56">
        <f t="shared" si="95"/>
        <v>0.2</v>
      </c>
      <c r="P56">
        <f t="shared" si="95"/>
        <v>0.2</v>
      </c>
      <c r="Q56">
        <f t="shared" si="95"/>
        <v>0.2</v>
      </c>
      <c r="R56">
        <f t="shared" si="95"/>
        <v>0</v>
      </c>
      <c r="S56">
        <f t="shared" ref="S56:U56" si="96">S13/COUNT($S13:$U13)</f>
        <v>0.33333333333333331</v>
      </c>
      <c r="T56">
        <f t="shared" si="96"/>
        <v>0.66666666666666663</v>
      </c>
      <c r="U56">
        <f t="shared" si="96"/>
        <v>0</v>
      </c>
      <c r="V56">
        <f t="shared" ref="V56:Z56" si="97">V13/COUNT($V13:$Z13)</f>
        <v>0.2</v>
      </c>
      <c r="W56">
        <f t="shared" si="97"/>
        <v>0.2</v>
      </c>
      <c r="X56">
        <f t="shared" si="97"/>
        <v>0</v>
      </c>
      <c r="Y56">
        <f t="shared" si="97"/>
        <v>0</v>
      </c>
      <c r="Z56">
        <f t="shared" si="97"/>
        <v>0</v>
      </c>
      <c r="AA56">
        <f t="shared" ref="AA56:AB56" si="98">AA13/COUNT($AA13:$AB13)</f>
        <v>0</v>
      </c>
      <c r="AB56">
        <f t="shared" si="98"/>
        <v>0</v>
      </c>
      <c r="AC56">
        <f t="shared" ref="AC56:AG56" si="99">AC13/COUNT($AC13:$AG13)</f>
        <v>0</v>
      </c>
      <c r="AD56">
        <f t="shared" si="99"/>
        <v>0</v>
      </c>
      <c r="AE56">
        <f t="shared" si="99"/>
        <v>0</v>
      </c>
      <c r="AF56">
        <f t="shared" si="99"/>
        <v>0</v>
      </c>
      <c r="AG56">
        <f t="shared" si="99"/>
        <v>0</v>
      </c>
      <c r="AH56">
        <f t="shared" si="18"/>
        <v>0</v>
      </c>
    </row>
    <row r="57" spans="1:34">
      <c r="A57" t="str">
        <f t="shared" si="8"/>
        <v>P12</v>
      </c>
      <c r="B57">
        <f t="shared" ref="B57:D57" si="100">B14/COUNT($B14:$D14)</f>
        <v>0</v>
      </c>
      <c r="C57">
        <f t="shared" si="100"/>
        <v>0</v>
      </c>
      <c r="D57">
        <f t="shared" si="100"/>
        <v>0</v>
      </c>
      <c r="E57">
        <f t="shared" ref="E57:H57" si="101">E14/COUNT($E14:$H14)</f>
        <v>0</v>
      </c>
      <c r="F57">
        <f t="shared" si="101"/>
        <v>0</v>
      </c>
      <c r="G57">
        <f t="shared" si="101"/>
        <v>0</v>
      </c>
      <c r="H57">
        <f t="shared" si="101"/>
        <v>0</v>
      </c>
      <c r="I57">
        <f t="shared" ref="I57:K57" si="102">I14/COUNT($I14:$K14)</f>
        <v>0</v>
      </c>
      <c r="J57">
        <f t="shared" si="102"/>
        <v>0.33333333333333331</v>
      </c>
      <c r="K57">
        <f t="shared" si="102"/>
        <v>0</v>
      </c>
      <c r="L57">
        <f t="shared" ref="L57:M57" si="103">L14/COUNT($L14:$M14)</f>
        <v>0</v>
      </c>
      <c r="M57">
        <f t="shared" si="103"/>
        <v>0</v>
      </c>
      <c r="N57">
        <f t="shared" ref="N57:R57" si="104">N14/COUNT($N14:$R14)</f>
        <v>0.2</v>
      </c>
      <c r="O57">
        <f t="shared" si="104"/>
        <v>0.2</v>
      </c>
      <c r="P57">
        <f t="shared" si="104"/>
        <v>0.2</v>
      </c>
      <c r="Q57">
        <f t="shared" si="104"/>
        <v>0.2</v>
      </c>
      <c r="R57">
        <f t="shared" si="104"/>
        <v>0.2</v>
      </c>
      <c r="S57">
        <f t="shared" ref="S57:U57" si="105">S14/COUNT($S14:$U14)</f>
        <v>0.66666666666666663</v>
      </c>
      <c r="T57">
        <f t="shared" si="105"/>
        <v>0.33333333333333331</v>
      </c>
      <c r="U57">
        <f t="shared" si="105"/>
        <v>0</v>
      </c>
      <c r="V57">
        <f t="shared" ref="V57:Z57" si="106">V14/COUNT($V14:$Z14)</f>
        <v>0.2</v>
      </c>
      <c r="W57">
        <f t="shared" si="106"/>
        <v>0.2</v>
      </c>
      <c r="X57">
        <f t="shared" si="106"/>
        <v>0</v>
      </c>
      <c r="Y57">
        <f t="shared" si="106"/>
        <v>0</v>
      </c>
      <c r="Z57">
        <f t="shared" si="106"/>
        <v>0</v>
      </c>
      <c r="AA57">
        <f t="shared" ref="AA57:AB57" si="107">AA14/COUNT($AA14:$AB14)</f>
        <v>0</v>
      </c>
      <c r="AB57">
        <f t="shared" si="107"/>
        <v>0</v>
      </c>
      <c r="AC57">
        <f t="shared" ref="AC57:AG57" si="108">AC14/COUNT($AC14:$AG14)</f>
        <v>0</v>
      </c>
      <c r="AD57">
        <f t="shared" si="108"/>
        <v>0</v>
      </c>
      <c r="AE57">
        <f t="shared" si="108"/>
        <v>0</v>
      </c>
      <c r="AF57">
        <f t="shared" si="108"/>
        <v>0</v>
      </c>
      <c r="AG57">
        <f t="shared" si="108"/>
        <v>0</v>
      </c>
      <c r="AH57">
        <f t="shared" si="18"/>
        <v>0</v>
      </c>
    </row>
    <row r="58" spans="1:34">
      <c r="A58" t="str">
        <f t="shared" si="8"/>
        <v>P13</v>
      </c>
      <c r="B58">
        <f t="shared" ref="B58:D58" si="109">B15/COUNT($B15:$D15)</f>
        <v>0</v>
      </c>
      <c r="C58">
        <f t="shared" si="109"/>
        <v>0.33333333333333331</v>
      </c>
      <c r="D58">
        <f t="shared" si="109"/>
        <v>0</v>
      </c>
      <c r="E58">
        <f t="shared" ref="E58:H58" si="110">E15/COUNT($E15:$H15)</f>
        <v>0.5</v>
      </c>
      <c r="F58">
        <f t="shared" si="110"/>
        <v>0</v>
      </c>
      <c r="G58">
        <f t="shared" si="110"/>
        <v>0</v>
      </c>
      <c r="H58">
        <f t="shared" si="110"/>
        <v>0</v>
      </c>
      <c r="I58">
        <f t="shared" ref="I58:K58" si="111">I15/COUNT($I15:$K15)</f>
        <v>0</v>
      </c>
      <c r="J58">
        <f t="shared" si="111"/>
        <v>0.66666666666666663</v>
      </c>
      <c r="K58">
        <f t="shared" si="111"/>
        <v>0.33333333333333331</v>
      </c>
      <c r="L58">
        <f t="shared" ref="L58:M58" si="112">L15/COUNT($L15:$M15)</f>
        <v>0</v>
      </c>
      <c r="M58">
        <f t="shared" si="112"/>
        <v>0.5</v>
      </c>
      <c r="N58">
        <f t="shared" ref="N58:R58" si="113">N15/COUNT($N15:$R15)</f>
        <v>0.2</v>
      </c>
      <c r="O58">
        <f t="shared" si="113"/>
        <v>0.2</v>
      </c>
      <c r="P58">
        <f t="shared" si="113"/>
        <v>0.2</v>
      </c>
      <c r="Q58">
        <f t="shared" si="113"/>
        <v>0.2</v>
      </c>
      <c r="R58">
        <f t="shared" si="113"/>
        <v>0</v>
      </c>
      <c r="S58">
        <f t="shared" ref="S58:U58" si="114">S15/COUNT($S15:$U15)</f>
        <v>0.33333333333333331</v>
      </c>
      <c r="T58">
        <f t="shared" si="114"/>
        <v>0.33333333333333331</v>
      </c>
      <c r="U58">
        <f t="shared" si="114"/>
        <v>0</v>
      </c>
      <c r="V58">
        <f t="shared" ref="V58:Z58" si="115">V15/COUNT($V15:$Z15)</f>
        <v>0</v>
      </c>
      <c r="W58">
        <f t="shared" si="115"/>
        <v>0.2</v>
      </c>
      <c r="X58">
        <f t="shared" si="115"/>
        <v>0</v>
      </c>
      <c r="Y58">
        <f t="shared" si="115"/>
        <v>0</v>
      </c>
      <c r="Z58">
        <f t="shared" si="115"/>
        <v>0</v>
      </c>
      <c r="AA58">
        <f t="shared" ref="AA58:AB58" si="116">AA15/COUNT($AA15:$AB15)</f>
        <v>0</v>
      </c>
      <c r="AB58">
        <f t="shared" si="116"/>
        <v>0</v>
      </c>
      <c r="AC58">
        <f t="shared" ref="AC58:AG58" si="117">AC15/COUNT($AC15:$AG15)</f>
        <v>0</v>
      </c>
      <c r="AD58">
        <f t="shared" si="117"/>
        <v>0</v>
      </c>
      <c r="AE58">
        <f t="shared" si="117"/>
        <v>0</v>
      </c>
      <c r="AF58">
        <f t="shared" si="117"/>
        <v>0</v>
      </c>
      <c r="AG58">
        <f t="shared" si="117"/>
        <v>0</v>
      </c>
      <c r="AH58">
        <f t="shared" si="18"/>
        <v>0</v>
      </c>
    </row>
    <row r="59" spans="1:34">
      <c r="A59" t="str">
        <f t="shared" si="8"/>
        <v>P14</v>
      </c>
      <c r="B59">
        <f t="shared" ref="B59:D59" si="118">B16/COUNT($B16:$D16)</f>
        <v>0</v>
      </c>
      <c r="C59">
        <f t="shared" si="118"/>
        <v>0.33333333333333331</v>
      </c>
      <c r="D59">
        <f t="shared" si="118"/>
        <v>0</v>
      </c>
      <c r="E59">
        <f t="shared" ref="E59:H59" si="119">E16/COUNT($E16:$H16)</f>
        <v>0</v>
      </c>
      <c r="F59">
        <f t="shared" si="119"/>
        <v>0.25</v>
      </c>
      <c r="G59">
        <f t="shared" si="119"/>
        <v>0</v>
      </c>
      <c r="H59">
        <f t="shared" si="119"/>
        <v>0</v>
      </c>
      <c r="I59">
        <f t="shared" ref="I59:K59" si="120">I16/COUNT($I16:$K16)</f>
        <v>0</v>
      </c>
      <c r="J59">
        <f t="shared" si="120"/>
        <v>0.66666666666666663</v>
      </c>
      <c r="K59">
        <f t="shared" si="120"/>
        <v>0.33333333333333331</v>
      </c>
      <c r="L59">
        <f t="shared" ref="L59:M59" si="121">L16/COUNT($L16:$M16)</f>
        <v>0.5</v>
      </c>
      <c r="M59">
        <f t="shared" si="121"/>
        <v>0</v>
      </c>
      <c r="N59">
        <f t="shared" ref="N59:R59" si="122">N16/COUNT($N16:$R16)</f>
        <v>0.2</v>
      </c>
      <c r="O59">
        <f t="shared" si="122"/>
        <v>0.2</v>
      </c>
      <c r="P59">
        <f t="shared" si="122"/>
        <v>0.2</v>
      </c>
      <c r="Q59">
        <f t="shared" si="122"/>
        <v>0.6</v>
      </c>
      <c r="R59">
        <f t="shared" si="122"/>
        <v>0.6</v>
      </c>
      <c r="S59">
        <f t="shared" ref="S59:U59" si="123">S16/COUNT($S16:$U16)</f>
        <v>0.66666666666666663</v>
      </c>
      <c r="T59">
        <f t="shared" si="123"/>
        <v>0.66666666666666663</v>
      </c>
      <c r="U59">
        <f t="shared" si="123"/>
        <v>0</v>
      </c>
      <c r="V59">
        <f t="shared" ref="V59:Z59" si="124">V16/COUNT($V16:$Z16)</f>
        <v>0</v>
      </c>
      <c r="W59">
        <f t="shared" si="124"/>
        <v>0.4</v>
      </c>
      <c r="X59">
        <f t="shared" si="124"/>
        <v>0</v>
      </c>
      <c r="Y59">
        <f t="shared" si="124"/>
        <v>0</v>
      </c>
      <c r="Z59">
        <f t="shared" si="124"/>
        <v>0</v>
      </c>
      <c r="AA59">
        <f t="shared" ref="AA59:AB59" si="125">AA16/COUNT($AA16:$AB16)</f>
        <v>0</v>
      </c>
      <c r="AB59">
        <f t="shared" si="125"/>
        <v>0</v>
      </c>
      <c r="AC59">
        <f t="shared" ref="AC59:AG59" si="126">AC16/COUNT($AC16:$AG16)</f>
        <v>0</v>
      </c>
      <c r="AD59">
        <f t="shared" si="126"/>
        <v>0</v>
      </c>
      <c r="AE59">
        <f t="shared" si="126"/>
        <v>0.2</v>
      </c>
      <c r="AF59">
        <f t="shared" si="126"/>
        <v>0</v>
      </c>
      <c r="AG59">
        <f t="shared" si="126"/>
        <v>0</v>
      </c>
      <c r="AH59">
        <f t="shared" si="18"/>
        <v>0</v>
      </c>
    </row>
    <row r="60" spans="1:34">
      <c r="A60" t="str">
        <f t="shared" si="8"/>
        <v>P15</v>
      </c>
      <c r="B60">
        <f t="shared" ref="B60:D60" si="127">B17/COUNT($B17:$D17)</f>
        <v>0</v>
      </c>
      <c r="C60">
        <f t="shared" si="127"/>
        <v>0.33333333333333331</v>
      </c>
      <c r="D60">
        <f t="shared" si="127"/>
        <v>0</v>
      </c>
      <c r="E60">
        <f t="shared" ref="E60:H60" si="128">E17/COUNT($E17:$H17)</f>
        <v>0</v>
      </c>
      <c r="F60">
        <f t="shared" si="128"/>
        <v>0</v>
      </c>
      <c r="G60">
        <f t="shared" si="128"/>
        <v>0</v>
      </c>
      <c r="H60">
        <f t="shared" si="128"/>
        <v>0.25</v>
      </c>
      <c r="I60">
        <f t="shared" ref="I60:K60" si="129">I17/COUNT($I17:$K17)</f>
        <v>0</v>
      </c>
      <c r="J60">
        <f t="shared" si="129"/>
        <v>1</v>
      </c>
      <c r="K60">
        <f t="shared" si="129"/>
        <v>0.33333333333333331</v>
      </c>
      <c r="L60">
        <f t="shared" ref="L60:M60" si="130">L17/COUNT($L17:$M17)</f>
        <v>0.5</v>
      </c>
      <c r="M60">
        <f t="shared" si="130"/>
        <v>0</v>
      </c>
      <c r="N60">
        <f t="shared" ref="N60:R60" si="131">N17/COUNT($N17:$R17)</f>
        <v>0.4</v>
      </c>
      <c r="O60">
        <f t="shared" si="131"/>
        <v>0.2</v>
      </c>
      <c r="P60">
        <f t="shared" si="131"/>
        <v>0.2</v>
      </c>
      <c r="Q60">
        <f t="shared" si="131"/>
        <v>0.6</v>
      </c>
      <c r="R60">
        <f t="shared" si="131"/>
        <v>0.2</v>
      </c>
      <c r="S60">
        <f t="shared" ref="S60:U60" si="132">S17/COUNT($S17:$U17)</f>
        <v>1.3333333333333333</v>
      </c>
      <c r="T60">
        <f t="shared" si="132"/>
        <v>0.33333333333333331</v>
      </c>
      <c r="U60">
        <f t="shared" si="132"/>
        <v>0</v>
      </c>
      <c r="V60">
        <f t="shared" ref="V60:Z60" si="133">V17/COUNT($V17:$Z17)</f>
        <v>0.6</v>
      </c>
      <c r="W60">
        <f t="shared" si="133"/>
        <v>0.4</v>
      </c>
      <c r="X60">
        <f t="shared" si="133"/>
        <v>0</v>
      </c>
      <c r="Y60">
        <f t="shared" si="133"/>
        <v>0</v>
      </c>
      <c r="Z60">
        <f t="shared" si="133"/>
        <v>0</v>
      </c>
      <c r="AA60">
        <f t="shared" ref="AA60:AB60" si="134">AA17/COUNT($AA17:$AB17)</f>
        <v>0</v>
      </c>
      <c r="AB60">
        <f t="shared" si="134"/>
        <v>0</v>
      </c>
      <c r="AC60">
        <f t="shared" ref="AC60:AG60" si="135">AC17/COUNT($AC17:$AG17)</f>
        <v>0</v>
      </c>
      <c r="AD60">
        <f t="shared" si="135"/>
        <v>0</v>
      </c>
      <c r="AE60">
        <f t="shared" si="135"/>
        <v>0</v>
      </c>
      <c r="AF60">
        <f t="shared" si="135"/>
        <v>0</v>
      </c>
      <c r="AG60">
        <f t="shared" si="135"/>
        <v>0</v>
      </c>
      <c r="AH60">
        <f t="shared" si="18"/>
        <v>0</v>
      </c>
    </row>
    <row r="61" spans="1:34">
      <c r="A61" t="str">
        <f t="shared" si="8"/>
        <v>P16</v>
      </c>
      <c r="B61">
        <f t="shared" ref="B61:D61" si="136">B18/COUNT($B18:$D18)</f>
        <v>0</v>
      </c>
      <c r="C61">
        <f t="shared" si="136"/>
        <v>0.33333333333333331</v>
      </c>
      <c r="D61">
        <f t="shared" si="136"/>
        <v>0</v>
      </c>
      <c r="E61">
        <f t="shared" ref="E61:H61" si="137">E18/COUNT($E18:$H18)</f>
        <v>0</v>
      </c>
      <c r="F61">
        <f t="shared" si="137"/>
        <v>0.25</v>
      </c>
      <c r="G61">
        <f t="shared" si="137"/>
        <v>0</v>
      </c>
      <c r="H61">
        <f t="shared" si="137"/>
        <v>0</v>
      </c>
      <c r="I61">
        <f t="shared" ref="I61:K61" si="138">I18/COUNT($I18:$K18)</f>
        <v>0</v>
      </c>
      <c r="J61">
        <f t="shared" si="138"/>
        <v>0.33333333333333331</v>
      </c>
      <c r="K61">
        <f t="shared" si="138"/>
        <v>0</v>
      </c>
      <c r="L61">
        <f t="shared" ref="L61:M61" si="139">L18/COUNT($L18:$M18)</f>
        <v>0.5</v>
      </c>
      <c r="M61">
        <f t="shared" si="139"/>
        <v>0</v>
      </c>
      <c r="N61">
        <f t="shared" ref="N61:R61" si="140">N18/COUNT($N18:$R18)</f>
        <v>0.4</v>
      </c>
      <c r="O61">
        <f t="shared" si="140"/>
        <v>0.4</v>
      </c>
      <c r="P61">
        <f t="shared" si="140"/>
        <v>0.4</v>
      </c>
      <c r="Q61">
        <f t="shared" si="140"/>
        <v>0.4</v>
      </c>
      <c r="R61">
        <f t="shared" si="140"/>
        <v>0.4</v>
      </c>
      <c r="S61">
        <f t="shared" ref="S61:U61" si="141">S18/COUNT($S18:$U18)</f>
        <v>0.33333333333333331</v>
      </c>
      <c r="T61">
        <f t="shared" si="141"/>
        <v>0.66666666666666663</v>
      </c>
      <c r="U61">
        <f t="shared" si="141"/>
        <v>0</v>
      </c>
      <c r="V61">
        <f t="shared" ref="V61:Z61" si="142">V18/COUNT($V18:$Z18)</f>
        <v>0.2</v>
      </c>
      <c r="W61">
        <f t="shared" si="142"/>
        <v>0.2</v>
      </c>
      <c r="X61">
        <f t="shared" si="142"/>
        <v>0</v>
      </c>
      <c r="Y61">
        <f t="shared" si="142"/>
        <v>0</v>
      </c>
      <c r="Z61">
        <f t="shared" si="142"/>
        <v>0</v>
      </c>
      <c r="AA61">
        <f t="shared" ref="AA61:AB61" si="143">AA18/COUNT($AA18:$AB18)</f>
        <v>0</v>
      </c>
      <c r="AB61">
        <f t="shared" si="143"/>
        <v>0</v>
      </c>
      <c r="AC61">
        <f t="shared" ref="AC61:AG61" si="144">AC18/COUNT($AC18:$AG18)</f>
        <v>0.2</v>
      </c>
      <c r="AD61">
        <f t="shared" si="144"/>
        <v>0</v>
      </c>
      <c r="AE61">
        <f t="shared" si="144"/>
        <v>0.2</v>
      </c>
      <c r="AF61">
        <f t="shared" si="144"/>
        <v>0</v>
      </c>
      <c r="AG61">
        <f t="shared" si="144"/>
        <v>0</v>
      </c>
      <c r="AH61">
        <f t="shared" si="18"/>
        <v>1</v>
      </c>
    </row>
    <row r="62" spans="1:34">
      <c r="A62" t="str">
        <f t="shared" si="8"/>
        <v>P17</v>
      </c>
      <c r="B62">
        <f t="shared" ref="B62:D62" si="145">B19/COUNT($B19:$D19)</f>
        <v>0</v>
      </c>
      <c r="C62">
        <f t="shared" si="145"/>
        <v>0</v>
      </c>
      <c r="D62">
        <f t="shared" si="145"/>
        <v>0.33333333333333331</v>
      </c>
      <c r="E62">
        <f t="shared" ref="E62:H62" si="146">E19/COUNT($E19:$H19)</f>
        <v>0</v>
      </c>
      <c r="F62">
        <f t="shared" si="146"/>
        <v>0</v>
      </c>
      <c r="G62">
        <f t="shared" si="146"/>
        <v>0</v>
      </c>
      <c r="H62">
        <f t="shared" si="146"/>
        <v>0.25</v>
      </c>
      <c r="I62">
        <f t="shared" ref="I62:K62" si="147">I19/COUNT($I19:$K19)</f>
        <v>0</v>
      </c>
      <c r="J62">
        <f t="shared" si="147"/>
        <v>0</v>
      </c>
      <c r="K62">
        <f t="shared" si="147"/>
        <v>0</v>
      </c>
      <c r="L62">
        <f t="shared" ref="L62:M62" si="148">L19/COUNT($L19:$M19)</f>
        <v>0.5</v>
      </c>
      <c r="M62">
        <f t="shared" si="148"/>
        <v>0</v>
      </c>
      <c r="N62">
        <f t="shared" ref="N62:R62" si="149">N19/COUNT($N19:$R19)</f>
        <v>0</v>
      </c>
      <c r="O62">
        <f t="shared" si="149"/>
        <v>0.2</v>
      </c>
      <c r="P62">
        <f t="shared" si="149"/>
        <v>0.2</v>
      </c>
      <c r="Q62">
        <f t="shared" si="149"/>
        <v>0.2</v>
      </c>
      <c r="R62">
        <f t="shared" si="149"/>
        <v>0.2</v>
      </c>
      <c r="S62">
        <f t="shared" ref="S62:U62" si="150">S19/COUNT($S19:$U19)</f>
        <v>0.33333333333333331</v>
      </c>
      <c r="T62">
        <f t="shared" si="150"/>
        <v>0</v>
      </c>
      <c r="U62">
        <f t="shared" si="150"/>
        <v>0</v>
      </c>
      <c r="V62">
        <f t="shared" ref="V62:Z62" si="151">V19/COUNT($V19:$Z19)</f>
        <v>0</v>
      </c>
      <c r="W62">
        <f t="shared" si="151"/>
        <v>0</v>
      </c>
      <c r="X62">
        <f t="shared" si="151"/>
        <v>0</v>
      </c>
      <c r="Y62">
        <f t="shared" si="151"/>
        <v>0</v>
      </c>
      <c r="Z62">
        <f t="shared" si="151"/>
        <v>0</v>
      </c>
      <c r="AA62">
        <f t="shared" ref="AA62:AB62" si="152">AA19/COUNT($AA19:$AB19)</f>
        <v>0</v>
      </c>
      <c r="AB62">
        <f t="shared" si="152"/>
        <v>0</v>
      </c>
      <c r="AC62">
        <f t="shared" ref="AC62:AG62" si="153">AC19/COUNT($AC19:$AG19)</f>
        <v>0</v>
      </c>
      <c r="AD62">
        <f t="shared" si="153"/>
        <v>0</v>
      </c>
      <c r="AE62">
        <f t="shared" si="153"/>
        <v>0</v>
      </c>
      <c r="AF62">
        <f t="shared" si="153"/>
        <v>0</v>
      </c>
      <c r="AG62">
        <f t="shared" si="153"/>
        <v>0</v>
      </c>
      <c r="AH62">
        <f t="shared" si="18"/>
        <v>0</v>
      </c>
    </row>
    <row r="63" spans="1:34">
      <c r="A63" t="str">
        <f t="shared" si="8"/>
        <v>P18</v>
      </c>
      <c r="B63">
        <f t="shared" ref="B63:D63" si="154">B20/COUNT($B20:$D20)</f>
        <v>0</v>
      </c>
      <c r="C63">
        <f t="shared" si="154"/>
        <v>0.33333333333333331</v>
      </c>
      <c r="D63">
        <f t="shared" si="154"/>
        <v>0</v>
      </c>
      <c r="E63">
        <f t="shared" ref="E63:H63" si="155">E20/COUNT($E20:$H20)</f>
        <v>0</v>
      </c>
      <c r="F63">
        <f t="shared" si="155"/>
        <v>0</v>
      </c>
      <c r="G63">
        <f t="shared" si="155"/>
        <v>0.25</v>
      </c>
      <c r="H63">
        <f t="shared" si="155"/>
        <v>0</v>
      </c>
      <c r="I63">
        <f t="shared" ref="I63:K63" si="156">I20/COUNT($I20:$K20)</f>
        <v>0.33333333333333331</v>
      </c>
      <c r="J63">
        <f t="shared" si="156"/>
        <v>0</v>
      </c>
      <c r="K63">
        <f t="shared" si="156"/>
        <v>0</v>
      </c>
      <c r="L63">
        <f t="shared" ref="L63:M63" si="157">L20/COUNT($L20:$M20)</f>
        <v>0.5</v>
      </c>
      <c r="M63">
        <f t="shared" si="157"/>
        <v>0</v>
      </c>
      <c r="N63">
        <f t="shared" ref="N63:R63" si="158">N20/COUNT($N20:$R20)</f>
        <v>0.2</v>
      </c>
      <c r="O63">
        <f t="shared" si="158"/>
        <v>0.2</v>
      </c>
      <c r="P63">
        <f t="shared" si="158"/>
        <v>0.2</v>
      </c>
      <c r="Q63">
        <f t="shared" si="158"/>
        <v>0.2</v>
      </c>
      <c r="R63">
        <f t="shared" si="158"/>
        <v>0.2</v>
      </c>
      <c r="S63">
        <f t="shared" ref="S63:U63" si="159">S20/COUNT($S20:$U20)</f>
        <v>0.66666666666666663</v>
      </c>
      <c r="T63">
        <f t="shared" si="159"/>
        <v>0</v>
      </c>
      <c r="U63">
        <f t="shared" si="159"/>
        <v>0</v>
      </c>
      <c r="V63">
        <f t="shared" ref="V63:Z63" si="160">V20/COUNT($V20:$Z20)</f>
        <v>0.2</v>
      </c>
      <c r="W63">
        <f t="shared" si="160"/>
        <v>0.4</v>
      </c>
      <c r="X63">
        <f t="shared" si="160"/>
        <v>0</v>
      </c>
      <c r="Y63">
        <f t="shared" si="160"/>
        <v>0</v>
      </c>
      <c r="Z63">
        <f t="shared" si="160"/>
        <v>0</v>
      </c>
      <c r="AA63">
        <f t="shared" ref="AA63:AB63" si="161">AA20/COUNT($AA20:$AB20)</f>
        <v>0</v>
      </c>
      <c r="AB63">
        <f t="shared" si="161"/>
        <v>0</v>
      </c>
      <c r="AC63">
        <f t="shared" ref="AC63:AG63" si="162">AC20/COUNT($AC20:$AG20)</f>
        <v>0.2</v>
      </c>
      <c r="AD63">
        <f t="shared" si="162"/>
        <v>0</v>
      </c>
      <c r="AE63">
        <f t="shared" si="162"/>
        <v>0.2</v>
      </c>
      <c r="AF63">
        <f t="shared" si="162"/>
        <v>0</v>
      </c>
      <c r="AG63">
        <f t="shared" si="162"/>
        <v>0</v>
      </c>
      <c r="AH63">
        <f t="shared" si="18"/>
        <v>1</v>
      </c>
    </row>
    <row r="64" spans="1:34">
      <c r="A64" t="str">
        <f t="shared" si="8"/>
        <v>P19</v>
      </c>
      <c r="B64">
        <f t="shared" ref="B64:D64" si="163">B21/COUNT($B21:$D21)</f>
        <v>0.33333333333333331</v>
      </c>
      <c r="C64">
        <f t="shared" si="163"/>
        <v>0</v>
      </c>
      <c r="D64">
        <f t="shared" si="163"/>
        <v>0</v>
      </c>
      <c r="E64">
        <f t="shared" ref="E64:H64" si="164">E21/COUNT($E21:$H21)</f>
        <v>0</v>
      </c>
      <c r="F64">
        <f t="shared" si="164"/>
        <v>0</v>
      </c>
      <c r="G64">
        <f t="shared" si="164"/>
        <v>0</v>
      </c>
      <c r="H64">
        <f t="shared" si="164"/>
        <v>0.25</v>
      </c>
      <c r="I64">
        <f t="shared" ref="I64:K64" si="165">I21/COUNT($I21:$K21)</f>
        <v>0</v>
      </c>
      <c r="J64">
        <f t="shared" si="165"/>
        <v>0.33333333333333331</v>
      </c>
      <c r="K64">
        <f t="shared" si="165"/>
        <v>0</v>
      </c>
      <c r="L64">
        <f t="shared" ref="L64:M64" si="166">L21/COUNT($L21:$M21)</f>
        <v>0.5</v>
      </c>
      <c r="M64">
        <f t="shared" si="166"/>
        <v>0</v>
      </c>
      <c r="N64">
        <f t="shared" ref="N64:R64" si="167">N21/COUNT($N21:$R21)</f>
        <v>0</v>
      </c>
      <c r="O64">
        <f t="shared" si="167"/>
        <v>0</v>
      </c>
      <c r="P64">
        <f t="shared" si="167"/>
        <v>0.2</v>
      </c>
      <c r="Q64">
        <f t="shared" si="167"/>
        <v>0.4</v>
      </c>
      <c r="R64">
        <f t="shared" si="167"/>
        <v>0.4</v>
      </c>
      <c r="S64">
        <f t="shared" ref="S64:U64" si="168">S21/COUNT($S21:$U21)</f>
        <v>0.33333333333333331</v>
      </c>
      <c r="T64">
        <f t="shared" si="168"/>
        <v>0.33333333333333331</v>
      </c>
      <c r="U64">
        <f t="shared" si="168"/>
        <v>0</v>
      </c>
      <c r="V64">
        <f t="shared" ref="V64:Z64" si="169">V21/COUNT($V21:$Z21)</f>
        <v>0</v>
      </c>
      <c r="W64">
        <f t="shared" si="169"/>
        <v>0</v>
      </c>
      <c r="X64">
        <f t="shared" si="169"/>
        <v>0</v>
      </c>
      <c r="Y64">
        <f t="shared" si="169"/>
        <v>0</v>
      </c>
      <c r="Z64">
        <f t="shared" si="169"/>
        <v>0</v>
      </c>
      <c r="AA64">
        <f t="shared" ref="AA64:AB64" si="170">AA21/COUNT($AA21:$AB21)</f>
        <v>0</v>
      </c>
      <c r="AB64">
        <f t="shared" si="170"/>
        <v>0</v>
      </c>
      <c r="AC64">
        <f t="shared" ref="AC64:AG64" si="171">AC21/COUNT($AC21:$AG21)</f>
        <v>0</v>
      </c>
      <c r="AD64">
        <f t="shared" si="171"/>
        <v>0</v>
      </c>
      <c r="AE64">
        <f t="shared" si="171"/>
        <v>0</v>
      </c>
      <c r="AF64">
        <f t="shared" si="171"/>
        <v>0</v>
      </c>
      <c r="AG64">
        <f t="shared" si="171"/>
        <v>0</v>
      </c>
      <c r="AH64">
        <f t="shared" si="18"/>
        <v>0</v>
      </c>
    </row>
    <row r="65" spans="1:34">
      <c r="A65" t="str">
        <f t="shared" si="8"/>
        <v>P20</v>
      </c>
      <c r="B65">
        <f t="shared" ref="B65:D65" si="172">B22/COUNT($B22:$D22)</f>
        <v>0.33333333333333331</v>
      </c>
      <c r="C65">
        <f t="shared" si="172"/>
        <v>0</v>
      </c>
      <c r="D65">
        <f t="shared" si="172"/>
        <v>0</v>
      </c>
      <c r="E65">
        <f t="shared" ref="E65:H65" si="173">E22/COUNT($E22:$H22)</f>
        <v>0</v>
      </c>
      <c r="F65">
        <f t="shared" si="173"/>
        <v>0</v>
      </c>
      <c r="G65">
        <f t="shared" si="173"/>
        <v>0</v>
      </c>
      <c r="H65">
        <f t="shared" si="173"/>
        <v>0.25</v>
      </c>
      <c r="I65">
        <f t="shared" ref="I65:K65" si="174">I22/COUNT($I22:$K22)</f>
        <v>0</v>
      </c>
      <c r="J65">
        <f t="shared" si="174"/>
        <v>0.66666666666666663</v>
      </c>
      <c r="K65">
        <f t="shared" si="174"/>
        <v>0</v>
      </c>
      <c r="L65">
        <f t="shared" ref="L65:M65" si="175">L22/COUNT($L22:$M22)</f>
        <v>0.5</v>
      </c>
      <c r="M65">
        <f t="shared" si="175"/>
        <v>0</v>
      </c>
      <c r="N65">
        <f t="shared" ref="N65:R65" si="176">N22/COUNT($N22:$R22)</f>
        <v>0</v>
      </c>
      <c r="O65">
        <f t="shared" si="176"/>
        <v>0</v>
      </c>
      <c r="P65">
        <f t="shared" si="176"/>
        <v>0</v>
      </c>
      <c r="Q65">
        <f t="shared" si="176"/>
        <v>0</v>
      </c>
      <c r="R65">
        <f t="shared" si="176"/>
        <v>0</v>
      </c>
      <c r="S65">
        <f t="shared" ref="S65:U65" si="177">S22/COUNT($S22:$U22)</f>
        <v>1</v>
      </c>
      <c r="T65">
        <f t="shared" si="177"/>
        <v>0.33333333333333331</v>
      </c>
      <c r="U65">
        <f t="shared" si="177"/>
        <v>0</v>
      </c>
      <c r="V65">
        <f t="shared" ref="V65:Z65" si="178">V22/COUNT($V22:$Z22)</f>
        <v>0.2</v>
      </c>
      <c r="W65">
        <f t="shared" si="178"/>
        <v>0</v>
      </c>
      <c r="X65">
        <f t="shared" si="178"/>
        <v>0.2</v>
      </c>
      <c r="Y65">
        <f t="shared" si="178"/>
        <v>0</v>
      </c>
      <c r="Z65">
        <f t="shared" si="178"/>
        <v>0.2</v>
      </c>
      <c r="AA65">
        <f t="shared" ref="AA65:AB65" si="179">AA22/COUNT($AA22:$AB22)</f>
        <v>0</v>
      </c>
      <c r="AB65">
        <f t="shared" si="179"/>
        <v>0</v>
      </c>
      <c r="AC65">
        <f t="shared" ref="AC65:AG65" si="180">AC22/COUNT($AC22:$AG22)</f>
        <v>0.2</v>
      </c>
      <c r="AD65">
        <f t="shared" si="180"/>
        <v>0</v>
      </c>
      <c r="AE65">
        <f t="shared" si="180"/>
        <v>0.2</v>
      </c>
      <c r="AF65">
        <f t="shared" si="180"/>
        <v>0</v>
      </c>
      <c r="AG65">
        <f t="shared" si="180"/>
        <v>0</v>
      </c>
      <c r="AH65">
        <f t="shared" si="18"/>
        <v>0</v>
      </c>
    </row>
    <row r="66" spans="1:34">
      <c r="A66" t="str">
        <f t="shared" si="8"/>
        <v>P21</v>
      </c>
      <c r="B66">
        <f t="shared" ref="B66:D66" si="181">B23/COUNT($B23:$D23)</f>
        <v>0.33333333333333331</v>
      </c>
      <c r="C66">
        <f t="shared" si="181"/>
        <v>0.33333333333333331</v>
      </c>
      <c r="D66">
        <f t="shared" si="181"/>
        <v>0</v>
      </c>
      <c r="E66">
        <f t="shared" ref="E66:H66" si="182">E23/COUNT($E23:$H23)</f>
        <v>0</v>
      </c>
      <c r="F66">
        <f t="shared" si="182"/>
        <v>0</v>
      </c>
      <c r="G66">
        <f t="shared" si="182"/>
        <v>0</v>
      </c>
      <c r="H66">
        <f t="shared" si="182"/>
        <v>0.25</v>
      </c>
      <c r="I66">
        <f t="shared" ref="I66:K66" si="183">I23/COUNT($I23:$K23)</f>
        <v>0</v>
      </c>
      <c r="J66">
        <f t="shared" si="183"/>
        <v>0</v>
      </c>
      <c r="K66">
        <f t="shared" si="183"/>
        <v>0</v>
      </c>
      <c r="L66">
        <f t="shared" ref="L66:M66" si="184">L23/COUNT($L23:$M23)</f>
        <v>0.5</v>
      </c>
      <c r="M66">
        <f t="shared" si="184"/>
        <v>0</v>
      </c>
      <c r="N66">
        <f t="shared" ref="N66:R66" si="185">N23/COUNT($N23:$R23)</f>
        <v>0</v>
      </c>
      <c r="O66">
        <f t="shared" si="185"/>
        <v>0</v>
      </c>
      <c r="P66">
        <f t="shared" si="185"/>
        <v>0</v>
      </c>
      <c r="Q66">
        <f t="shared" si="185"/>
        <v>0</v>
      </c>
      <c r="R66">
        <f t="shared" si="185"/>
        <v>0</v>
      </c>
      <c r="S66">
        <f t="shared" ref="S66:U66" si="186">S23/COUNT($S23:$U23)</f>
        <v>0.66666666666666663</v>
      </c>
      <c r="T66">
        <f t="shared" si="186"/>
        <v>0</v>
      </c>
      <c r="U66">
        <f t="shared" si="186"/>
        <v>0</v>
      </c>
      <c r="V66">
        <f t="shared" ref="V66:Z66" si="187">V23/COUNT($V23:$Z23)</f>
        <v>0.2</v>
      </c>
      <c r="W66">
        <f t="shared" si="187"/>
        <v>0</v>
      </c>
      <c r="X66">
        <f t="shared" si="187"/>
        <v>0.2</v>
      </c>
      <c r="Y66">
        <f t="shared" si="187"/>
        <v>0.2</v>
      </c>
      <c r="Z66">
        <f t="shared" si="187"/>
        <v>0.2</v>
      </c>
      <c r="AA66">
        <f t="shared" ref="AA66:AB66" si="188">AA23/COUNT($AA23:$AB23)</f>
        <v>0</v>
      </c>
      <c r="AB66">
        <f t="shared" si="188"/>
        <v>0.5</v>
      </c>
      <c r="AC66">
        <f t="shared" ref="AC66:AG66" si="189">AC23/COUNT($AC23:$AG23)</f>
        <v>0.2</v>
      </c>
      <c r="AD66">
        <f t="shared" si="189"/>
        <v>0</v>
      </c>
      <c r="AE66">
        <f t="shared" si="189"/>
        <v>0.2</v>
      </c>
      <c r="AF66">
        <f t="shared" si="189"/>
        <v>0</v>
      </c>
      <c r="AG66">
        <f t="shared" si="189"/>
        <v>0</v>
      </c>
      <c r="AH66">
        <f t="shared" si="18"/>
        <v>0</v>
      </c>
    </row>
    <row r="67" spans="1:34">
      <c r="A67" t="str">
        <f t="shared" si="8"/>
        <v>P22</v>
      </c>
      <c r="B67">
        <f t="shared" ref="B67:D67" si="190">B24/COUNT($B24:$D24)</f>
        <v>0</v>
      </c>
      <c r="C67">
        <f t="shared" si="190"/>
        <v>0.33333333333333331</v>
      </c>
      <c r="D67">
        <f t="shared" si="190"/>
        <v>0</v>
      </c>
      <c r="E67">
        <f t="shared" ref="E67:H67" si="191">E24/COUNT($E24:$H24)</f>
        <v>0</v>
      </c>
      <c r="F67">
        <f t="shared" si="191"/>
        <v>0</v>
      </c>
      <c r="G67">
        <f t="shared" si="191"/>
        <v>0</v>
      </c>
      <c r="H67">
        <f t="shared" si="191"/>
        <v>0.25</v>
      </c>
      <c r="I67">
        <f t="shared" ref="I67:K67" si="192">I24/COUNT($I24:$K24)</f>
        <v>0</v>
      </c>
      <c r="J67">
        <f t="shared" si="192"/>
        <v>0.66666666666666663</v>
      </c>
      <c r="K67">
        <f t="shared" si="192"/>
        <v>0.33333333333333331</v>
      </c>
      <c r="L67">
        <f t="shared" ref="L67:M67" si="193">L24/COUNT($L24:$M24)</f>
        <v>0.5</v>
      </c>
      <c r="M67">
        <f t="shared" si="193"/>
        <v>0</v>
      </c>
      <c r="N67">
        <f t="shared" ref="N67:R67" si="194">N24/COUNT($N24:$R24)</f>
        <v>0.2</v>
      </c>
      <c r="O67">
        <f t="shared" si="194"/>
        <v>0.2</v>
      </c>
      <c r="P67">
        <f t="shared" si="194"/>
        <v>0.2</v>
      </c>
      <c r="Q67">
        <f t="shared" si="194"/>
        <v>0.2</v>
      </c>
      <c r="R67">
        <f t="shared" si="194"/>
        <v>0</v>
      </c>
      <c r="S67">
        <f t="shared" ref="S67:U67" si="195">S24/COUNT($S24:$U24)</f>
        <v>0.66666666666666663</v>
      </c>
      <c r="T67">
        <f t="shared" si="195"/>
        <v>0</v>
      </c>
      <c r="U67">
        <f t="shared" si="195"/>
        <v>0</v>
      </c>
      <c r="V67">
        <f t="shared" ref="V67:Z67" si="196">V24/COUNT($V24:$Z24)</f>
        <v>0.2</v>
      </c>
      <c r="W67">
        <f t="shared" si="196"/>
        <v>0.2</v>
      </c>
      <c r="X67">
        <f t="shared" si="196"/>
        <v>0</v>
      </c>
      <c r="Y67">
        <f t="shared" si="196"/>
        <v>0</v>
      </c>
      <c r="Z67">
        <f t="shared" si="196"/>
        <v>0</v>
      </c>
      <c r="AA67">
        <f t="shared" ref="AA67:AB67" si="197">AA24/COUNT($AA24:$AB24)</f>
        <v>0</v>
      </c>
      <c r="AB67">
        <f t="shared" si="197"/>
        <v>0</v>
      </c>
      <c r="AC67">
        <f t="shared" ref="AC67:AG67" si="198">AC24/COUNT($AC24:$AG24)</f>
        <v>0</v>
      </c>
      <c r="AD67">
        <f t="shared" si="198"/>
        <v>0</v>
      </c>
      <c r="AE67">
        <f t="shared" si="198"/>
        <v>0.4</v>
      </c>
      <c r="AF67">
        <f t="shared" si="198"/>
        <v>0</v>
      </c>
      <c r="AG67">
        <f t="shared" si="198"/>
        <v>0</v>
      </c>
      <c r="AH67">
        <f t="shared" si="18"/>
        <v>0</v>
      </c>
    </row>
    <row r="68" spans="1:34">
      <c r="A68" t="str">
        <f t="shared" si="8"/>
        <v>P23</v>
      </c>
      <c r="B68">
        <f t="shared" ref="B68:D68" si="199">B25/COUNT($B25:$D25)</f>
        <v>0</v>
      </c>
      <c r="C68">
        <f t="shared" si="199"/>
        <v>0.33333333333333331</v>
      </c>
      <c r="D68">
        <f t="shared" si="199"/>
        <v>0</v>
      </c>
      <c r="E68">
        <f t="shared" ref="E68:H68" si="200">E25/COUNT($E25:$H25)</f>
        <v>0</v>
      </c>
      <c r="F68">
        <f t="shared" si="200"/>
        <v>0.25</v>
      </c>
      <c r="G68">
        <f t="shared" si="200"/>
        <v>0</v>
      </c>
      <c r="H68">
        <f t="shared" si="200"/>
        <v>0</v>
      </c>
      <c r="I68">
        <f t="shared" ref="I68:K68" si="201">I25/COUNT($I25:$K25)</f>
        <v>0.33333333333333331</v>
      </c>
      <c r="J68">
        <f t="shared" si="201"/>
        <v>1</v>
      </c>
      <c r="K68">
        <f t="shared" si="201"/>
        <v>0</v>
      </c>
      <c r="L68">
        <f t="shared" ref="L68:M68" si="202">L25/COUNT($L25:$M25)</f>
        <v>0</v>
      </c>
      <c r="M68">
        <f t="shared" si="202"/>
        <v>0</v>
      </c>
      <c r="N68">
        <f t="shared" ref="N68:R68" si="203">N25/COUNT($N25:$R25)</f>
        <v>0</v>
      </c>
      <c r="O68">
        <f t="shared" si="203"/>
        <v>0.2</v>
      </c>
      <c r="P68">
        <f t="shared" si="203"/>
        <v>0.2</v>
      </c>
      <c r="Q68">
        <f t="shared" si="203"/>
        <v>0.4</v>
      </c>
      <c r="R68">
        <f t="shared" si="203"/>
        <v>0</v>
      </c>
      <c r="S68">
        <f t="shared" ref="S68:U68" si="204">S25/COUNT($S25:$U25)</f>
        <v>0.66666666666666663</v>
      </c>
      <c r="T68">
        <f t="shared" si="204"/>
        <v>0.33333333333333331</v>
      </c>
      <c r="U68">
        <f t="shared" si="204"/>
        <v>0</v>
      </c>
      <c r="V68">
        <f t="shared" ref="V68:Z68" si="205">V25/COUNT($V25:$Z25)</f>
        <v>0.2</v>
      </c>
      <c r="W68">
        <f t="shared" si="205"/>
        <v>0.2</v>
      </c>
      <c r="X68">
        <f t="shared" si="205"/>
        <v>0.2</v>
      </c>
      <c r="Y68">
        <f t="shared" si="205"/>
        <v>0</v>
      </c>
      <c r="Z68">
        <f t="shared" si="205"/>
        <v>0.2</v>
      </c>
      <c r="AA68">
        <f t="shared" ref="AA68:AB68" si="206">AA25/COUNT($AA25:$AB25)</f>
        <v>0</v>
      </c>
      <c r="AB68">
        <f t="shared" si="206"/>
        <v>0</v>
      </c>
      <c r="AC68">
        <f t="shared" ref="AC68:AG68" si="207">AC25/COUNT($AC25:$AG25)</f>
        <v>0.2</v>
      </c>
      <c r="AD68">
        <f t="shared" si="207"/>
        <v>0</v>
      </c>
      <c r="AE68">
        <f t="shared" si="207"/>
        <v>0.4</v>
      </c>
      <c r="AF68">
        <f t="shared" si="207"/>
        <v>0</v>
      </c>
      <c r="AG68">
        <f t="shared" si="207"/>
        <v>0</v>
      </c>
      <c r="AH68">
        <f t="shared" si="18"/>
        <v>1</v>
      </c>
    </row>
    <row r="69" spans="1:34">
      <c r="A69" t="str">
        <f t="shared" si="8"/>
        <v>P24</v>
      </c>
      <c r="B69">
        <f t="shared" ref="B69:D69" si="208">B26/COUNT($B26:$D26)</f>
        <v>0</v>
      </c>
      <c r="C69">
        <f t="shared" si="208"/>
        <v>0.33333333333333331</v>
      </c>
      <c r="D69">
        <f t="shared" si="208"/>
        <v>0</v>
      </c>
      <c r="E69">
        <f t="shared" ref="E69:H69" si="209">E26/COUNT($E26:$H26)</f>
        <v>0</v>
      </c>
      <c r="F69">
        <f t="shared" si="209"/>
        <v>0</v>
      </c>
      <c r="G69">
        <f t="shared" si="209"/>
        <v>0</v>
      </c>
      <c r="H69">
        <f t="shared" si="209"/>
        <v>0.25</v>
      </c>
      <c r="I69">
        <f t="shared" ref="I69:K69" si="210">I26/COUNT($I26:$K26)</f>
        <v>0</v>
      </c>
      <c r="J69">
        <f t="shared" si="210"/>
        <v>0.33333333333333331</v>
      </c>
      <c r="K69">
        <f t="shared" si="210"/>
        <v>0</v>
      </c>
      <c r="L69">
        <f t="shared" ref="L69:M69" si="211">L26/COUNT($L26:$M26)</f>
        <v>0.5</v>
      </c>
      <c r="M69">
        <f t="shared" si="211"/>
        <v>0</v>
      </c>
      <c r="N69">
        <f t="shared" ref="N69:R69" si="212">N26/COUNT($N26:$R26)</f>
        <v>0</v>
      </c>
      <c r="O69">
        <f t="shared" si="212"/>
        <v>0</v>
      </c>
      <c r="P69">
        <f t="shared" si="212"/>
        <v>0.2</v>
      </c>
      <c r="Q69">
        <f t="shared" si="212"/>
        <v>0.2</v>
      </c>
      <c r="R69">
        <f t="shared" si="212"/>
        <v>0.2</v>
      </c>
      <c r="S69">
        <f t="shared" ref="S69:U69" si="213">S26/COUNT($S26:$U26)</f>
        <v>0.33333333333333331</v>
      </c>
      <c r="T69">
        <f t="shared" si="213"/>
        <v>0.33333333333333331</v>
      </c>
      <c r="U69">
        <f t="shared" si="213"/>
        <v>0</v>
      </c>
      <c r="V69">
        <f t="shared" ref="V69:Z69" si="214">V26/COUNT($V26:$Z26)</f>
        <v>0</v>
      </c>
      <c r="W69">
        <f t="shared" si="214"/>
        <v>0</v>
      </c>
      <c r="X69">
        <f t="shared" si="214"/>
        <v>0</v>
      </c>
      <c r="Y69">
        <f t="shared" si="214"/>
        <v>0</v>
      </c>
      <c r="Z69">
        <f t="shared" si="214"/>
        <v>0</v>
      </c>
      <c r="AA69">
        <f t="shared" ref="AA69:AB69" si="215">AA26/COUNT($AA26:$AB26)</f>
        <v>0</v>
      </c>
      <c r="AB69">
        <f t="shared" si="215"/>
        <v>0</v>
      </c>
      <c r="AC69">
        <f t="shared" ref="AC69:AG69" si="216">AC26/COUNT($AC26:$AG26)</f>
        <v>0</v>
      </c>
      <c r="AD69">
        <f t="shared" si="216"/>
        <v>0</v>
      </c>
      <c r="AE69">
        <f t="shared" si="216"/>
        <v>0</v>
      </c>
      <c r="AF69">
        <f t="shared" si="216"/>
        <v>0</v>
      </c>
      <c r="AG69">
        <f t="shared" si="216"/>
        <v>0</v>
      </c>
      <c r="AH69">
        <f t="shared" si="18"/>
        <v>0</v>
      </c>
    </row>
    <row r="70" spans="1:34">
      <c r="A70" t="str">
        <f t="shared" si="8"/>
        <v>P25</v>
      </c>
      <c r="B70">
        <f t="shared" ref="B70:D70" si="217">B27/COUNT($B27:$D27)</f>
        <v>0</v>
      </c>
      <c r="C70">
        <f t="shared" si="217"/>
        <v>0</v>
      </c>
      <c r="D70">
        <f t="shared" si="217"/>
        <v>0.33333333333333331</v>
      </c>
      <c r="E70">
        <f t="shared" ref="E70:H70" si="218">E27/COUNT($E27:$H27)</f>
        <v>0.25</v>
      </c>
      <c r="F70">
        <f t="shared" si="218"/>
        <v>0</v>
      </c>
      <c r="G70">
        <f t="shared" si="218"/>
        <v>0</v>
      </c>
      <c r="H70">
        <f t="shared" si="218"/>
        <v>0</v>
      </c>
      <c r="I70">
        <f t="shared" ref="I70:K70" si="219">I27/COUNT($I27:$K27)</f>
        <v>0</v>
      </c>
      <c r="J70">
        <f t="shared" si="219"/>
        <v>0.33333333333333331</v>
      </c>
      <c r="K70">
        <f t="shared" si="219"/>
        <v>0.33333333333333331</v>
      </c>
      <c r="L70">
        <f t="shared" ref="L70:M70" si="220">L27/COUNT($L27:$M27)</f>
        <v>0.5</v>
      </c>
      <c r="M70">
        <f t="shared" si="220"/>
        <v>0</v>
      </c>
      <c r="N70">
        <f t="shared" ref="N70:R70" si="221">N27/COUNT($N27:$R27)</f>
        <v>0.2</v>
      </c>
      <c r="O70">
        <f t="shared" si="221"/>
        <v>0.2</v>
      </c>
      <c r="P70">
        <f t="shared" si="221"/>
        <v>0.2</v>
      </c>
      <c r="Q70">
        <f t="shared" si="221"/>
        <v>0</v>
      </c>
      <c r="R70">
        <f t="shared" si="221"/>
        <v>0.2</v>
      </c>
      <c r="S70">
        <f t="shared" ref="S70:U70" si="222">S27/COUNT($S27:$U27)</f>
        <v>0.66666666666666663</v>
      </c>
      <c r="T70">
        <f t="shared" si="222"/>
        <v>0</v>
      </c>
      <c r="U70">
        <f t="shared" si="222"/>
        <v>0</v>
      </c>
      <c r="V70">
        <f t="shared" ref="V70:Z70" si="223">V27/COUNT($V27:$Z27)</f>
        <v>0.4</v>
      </c>
      <c r="W70">
        <f t="shared" si="223"/>
        <v>0.4</v>
      </c>
      <c r="X70">
        <f t="shared" si="223"/>
        <v>0.2</v>
      </c>
      <c r="Y70">
        <f t="shared" si="223"/>
        <v>0</v>
      </c>
      <c r="Z70">
        <f t="shared" si="223"/>
        <v>0.2</v>
      </c>
      <c r="AA70">
        <f t="shared" ref="AA70:AB70" si="224">AA27/COUNT($AA27:$AB27)</f>
        <v>0</v>
      </c>
      <c r="AB70">
        <f t="shared" si="224"/>
        <v>0</v>
      </c>
      <c r="AC70">
        <f t="shared" ref="AC70:AG70" si="225">AC27/COUNT($AC27:$AG27)</f>
        <v>0.2</v>
      </c>
      <c r="AD70">
        <f t="shared" si="225"/>
        <v>0</v>
      </c>
      <c r="AE70">
        <f t="shared" si="225"/>
        <v>0.2</v>
      </c>
      <c r="AF70">
        <f t="shared" si="225"/>
        <v>0</v>
      </c>
      <c r="AG70">
        <f t="shared" si="225"/>
        <v>0</v>
      </c>
      <c r="AH70">
        <f t="shared" si="18"/>
        <v>0</v>
      </c>
    </row>
    <row r="71" spans="1:34">
      <c r="A71" t="str">
        <f t="shared" si="8"/>
        <v>P26</v>
      </c>
      <c r="B71">
        <f t="shared" ref="B71:D71" si="226">B28/COUNT($B28:$D28)</f>
        <v>0</v>
      </c>
      <c r="C71">
        <f t="shared" si="226"/>
        <v>0.33333333333333331</v>
      </c>
      <c r="D71">
        <f t="shared" si="226"/>
        <v>0</v>
      </c>
      <c r="E71">
        <f t="shared" ref="E71:H71" si="227">E28/COUNT($E28:$H28)</f>
        <v>0.25</v>
      </c>
      <c r="F71">
        <f t="shared" si="227"/>
        <v>0</v>
      </c>
      <c r="G71">
        <f t="shared" si="227"/>
        <v>0</v>
      </c>
      <c r="H71">
        <f t="shared" si="227"/>
        <v>0</v>
      </c>
      <c r="I71">
        <f t="shared" ref="I71:K71" si="228">I28/COUNT($I28:$K28)</f>
        <v>0.66666666666666663</v>
      </c>
      <c r="J71">
        <f t="shared" si="228"/>
        <v>0.66666666666666663</v>
      </c>
      <c r="K71">
        <f t="shared" si="228"/>
        <v>0</v>
      </c>
      <c r="L71">
        <f t="shared" ref="L71:M71" si="229">L28/COUNT($L28:$M28)</f>
        <v>0</v>
      </c>
      <c r="M71">
        <f t="shared" si="229"/>
        <v>0</v>
      </c>
      <c r="N71">
        <f t="shared" ref="N71:R71" si="230">N28/COUNT($N28:$R28)</f>
        <v>0.2</v>
      </c>
      <c r="O71">
        <f t="shared" si="230"/>
        <v>0.2</v>
      </c>
      <c r="P71">
        <f t="shared" si="230"/>
        <v>0.2</v>
      </c>
      <c r="Q71">
        <f t="shared" si="230"/>
        <v>0.2</v>
      </c>
      <c r="R71">
        <f t="shared" si="230"/>
        <v>0.2</v>
      </c>
      <c r="S71">
        <f t="shared" ref="S71:U71" si="231">S28/COUNT($S28:$U28)</f>
        <v>0.66666666666666663</v>
      </c>
      <c r="T71">
        <f t="shared" si="231"/>
        <v>0.33333333333333331</v>
      </c>
      <c r="U71">
        <f t="shared" si="231"/>
        <v>0.33333333333333331</v>
      </c>
      <c r="V71">
        <f t="shared" ref="V71:Z71" si="232">V28/COUNT($V28:$Z28)</f>
        <v>0.6</v>
      </c>
      <c r="W71">
        <f t="shared" si="232"/>
        <v>0</v>
      </c>
      <c r="X71">
        <f t="shared" si="232"/>
        <v>0</v>
      </c>
      <c r="Y71">
        <f t="shared" si="232"/>
        <v>0</v>
      </c>
      <c r="Z71">
        <f t="shared" si="232"/>
        <v>0</v>
      </c>
      <c r="AA71">
        <f t="shared" ref="AA71:AB71" si="233">AA28/COUNT($AA28:$AB28)</f>
        <v>0</v>
      </c>
      <c r="AB71">
        <f t="shared" si="233"/>
        <v>0</v>
      </c>
      <c r="AC71">
        <f t="shared" ref="AC71:AG71" si="234">AC28/COUNT($AC28:$AG28)</f>
        <v>0.2</v>
      </c>
      <c r="AD71">
        <f t="shared" si="234"/>
        <v>0</v>
      </c>
      <c r="AE71">
        <f t="shared" si="234"/>
        <v>0.2</v>
      </c>
      <c r="AF71">
        <f t="shared" si="234"/>
        <v>0</v>
      </c>
      <c r="AG71">
        <f t="shared" si="234"/>
        <v>0</v>
      </c>
      <c r="AH71">
        <f t="shared" si="18"/>
        <v>0</v>
      </c>
    </row>
    <row r="72" spans="1:34">
      <c r="A72" t="str">
        <f t="shared" si="8"/>
        <v>P27</v>
      </c>
      <c r="B72">
        <f t="shared" ref="B72:D72" si="235">B29/COUNT($B29:$D29)</f>
        <v>0</v>
      </c>
      <c r="C72">
        <f t="shared" si="235"/>
        <v>0.33333333333333331</v>
      </c>
      <c r="D72">
        <f t="shared" si="235"/>
        <v>0</v>
      </c>
      <c r="E72">
        <f t="shared" ref="E72:H72" si="236">E29/COUNT($E29:$H29)</f>
        <v>0</v>
      </c>
      <c r="F72">
        <f t="shared" si="236"/>
        <v>0</v>
      </c>
      <c r="G72">
        <f t="shared" si="236"/>
        <v>0.25</v>
      </c>
      <c r="H72">
        <f t="shared" si="236"/>
        <v>0</v>
      </c>
      <c r="I72">
        <f t="shared" ref="I72:K72" si="237">I29/COUNT($I29:$K29)</f>
        <v>0</v>
      </c>
      <c r="J72">
        <f t="shared" si="237"/>
        <v>0</v>
      </c>
      <c r="K72">
        <f t="shared" si="237"/>
        <v>0</v>
      </c>
      <c r="L72">
        <f t="shared" ref="L72:M72" si="238">L29/COUNT($L29:$M29)</f>
        <v>0</v>
      </c>
      <c r="M72">
        <f t="shared" si="238"/>
        <v>0.5</v>
      </c>
      <c r="N72">
        <f t="shared" ref="N72:R72" si="239">N29/COUNT($N29:$R29)</f>
        <v>0.2</v>
      </c>
      <c r="O72">
        <f t="shared" si="239"/>
        <v>0.2</v>
      </c>
      <c r="P72">
        <f t="shared" si="239"/>
        <v>0.2</v>
      </c>
      <c r="Q72">
        <f t="shared" si="239"/>
        <v>0.2</v>
      </c>
      <c r="R72">
        <f t="shared" si="239"/>
        <v>0</v>
      </c>
      <c r="S72">
        <f t="shared" ref="S72:U72" si="240">S29/COUNT($S29:$U29)</f>
        <v>0.66666666666666663</v>
      </c>
      <c r="T72">
        <f t="shared" si="240"/>
        <v>0.33333333333333331</v>
      </c>
      <c r="U72">
        <f t="shared" si="240"/>
        <v>0.33333333333333331</v>
      </c>
      <c r="V72">
        <f t="shared" ref="V72:Z72" si="241">V29/COUNT($V29:$Z29)</f>
        <v>0</v>
      </c>
      <c r="W72">
        <f t="shared" si="241"/>
        <v>0</v>
      </c>
      <c r="X72">
        <f t="shared" si="241"/>
        <v>0</v>
      </c>
      <c r="Y72">
        <f t="shared" si="241"/>
        <v>0</v>
      </c>
      <c r="Z72">
        <f t="shared" si="241"/>
        <v>0</v>
      </c>
      <c r="AA72">
        <f t="shared" ref="AA72:AB72" si="242">AA29/COUNT($AA29:$AB29)</f>
        <v>0</v>
      </c>
      <c r="AB72">
        <f t="shared" si="242"/>
        <v>0</v>
      </c>
      <c r="AC72">
        <f t="shared" ref="AC72:AG72" si="243">AC29/COUNT($AC29:$AG29)</f>
        <v>0</v>
      </c>
      <c r="AD72">
        <f t="shared" si="243"/>
        <v>0</v>
      </c>
      <c r="AE72">
        <f t="shared" si="243"/>
        <v>0</v>
      </c>
      <c r="AF72">
        <f t="shared" si="243"/>
        <v>0.2</v>
      </c>
      <c r="AG72">
        <f t="shared" si="243"/>
        <v>0</v>
      </c>
      <c r="AH72">
        <f t="shared" si="18"/>
        <v>0</v>
      </c>
    </row>
    <row r="73" spans="1:34">
      <c r="A73" t="str">
        <f>A30</f>
        <v>P28</v>
      </c>
      <c r="B73">
        <f t="shared" ref="B73:D73" si="244">B30/COUNT($B30:$D30)</f>
        <v>0</v>
      </c>
      <c r="C73">
        <f t="shared" si="244"/>
        <v>0.33333333333333331</v>
      </c>
      <c r="D73">
        <f t="shared" si="244"/>
        <v>0</v>
      </c>
      <c r="E73">
        <f t="shared" ref="E73:H73" si="245">E30/COUNT($E30:$H30)</f>
        <v>0</v>
      </c>
      <c r="F73">
        <f t="shared" si="245"/>
        <v>0</v>
      </c>
      <c r="G73">
        <f t="shared" si="245"/>
        <v>0</v>
      </c>
      <c r="H73">
        <f t="shared" si="245"/>
        <v>0.25</v>
      </c>
      <c r="I73">
        <f t="shared" ref="I73:K73" si="246">I30/COUNT($I30:$K30)</f>
        <v>0</v>
      </c>
      <c r="J73">
        <f t="shared" si="246"/>
        <v>1</v>
      </c>
      <c r="K73">
        <f t="shared" si="246"/>
        <v>0.66666666666666663</v>
      </c>
      <c r="L73">
        <f t="shared" ref="L73:M73" si="247">L30/COUNT($L30:$M30)</f>
        <v>0</v>
      </c>
      <c r="M73">
        <f t="shared" si="247"/>
        <v>0.5</v>
      </c>
      <c r="N73">
        <f t="shared" ref="N73:R73" si="248">N30/COUNT($N30:$R30)</f>
        <v>0</v>
      </c>
      <c r="O73">
        <f t="shared" si="248"/>
        <v>0</v>
      </c>
      <c r="P73">
        <f t="shared" si="248"/>
        <v>0</v>
      </c>
      <c r="Q73">
        <f t="shared" si="248"/>
        <v>0.2</v>
      </c>
      <c r="R73">
        <f t="shared" si="248"/>
        <v>0.4</v>
      </c>
      <c r="S73">
        <f t="shared" ref="S73:U73" si="249">S30/COUNT($S30:$U30)</f>
        <v>0</v>
      </c>
      <c r="T73">
        <f t="shared" si="249"/>
        <v>0</v>
      </c>
      <c r="U73">
        <f t="shared" si="249"/>
        <v>0</v>
      </c>
      <c r="V73">
        <f t="shared" ref="V73:Z73" si="250">V30/COUNT($V30:$Z30)</f>
        <v>0.2</v>
      </c>
      <c r="W73">
        <f t="shared" si="250"/>
        <v>0.4</v>
      </c>
      <c r="X73">
        <f t="shared" si="250"/>
        <v>0</v>
      </c>
      <c r="Y73">
        <f t="shared" si="250"/>
        <v>0.2</v>
      </c>
      <c r="Z73">
        <f t="shared" si="250"/>
        <v>0</v>
      </c>
      <c r="AA73">
        <f t="shared" ref="AA73:AB73" si="251">AA30/COUNT($AA30:$AB30)</f>
        <v>0</v>
      </c>
      <c r="AB73">
        <f t="shared" si="251"/>
        <v>0.5</v>
      </c>
      <c r="AC73">
        <f t="shared" ref="AC73:AG73" si="252">AC30/COUNT($AC30:$AG30)</f>
        <v>0</v>
      </c>
      <c r="AD73">
        <f t="shared" si="252"/>
        <v>0</v>
      </c>
      <c r="AE73">
        <f t="shared" si="252"/>
        <v>0.2</v>
      </c>
      <c r="AF73">
        <f t="shared" si="252"/>
        <v>0</v>
      </c>
      <c r="AG73">
        <f t="shared" si="252"/>
        <v>0</v>
      </c>
      <c r="AH73">
        <f t="shared" si="18"/>
        <v>0</v>
      </c>
    </row>
    <row r="74" spans="1:34">
      <c r="A74" t="str">
        <f t="shared" si="8"/>
        <v>P29</v>
      </c>
      <c r="B74">
        <f t="shared" ref="B74:D74" si="253">B31/COUNT($B31:$D31)</f>
        <v>0</v>
      </c>
      <c r="C74">
        <f t="shared" si="253"/>
        <v>0.33333333333333331</v>
      </c>
      <c r="D74">
        <f t="shared" si="253"/>
        <v>0</v>
      </c>
      <c r="E74">
        <f t="shared" ref="E74:H74" si="254">E31/COUNT($E31:$H31)</f>
        <v>0</v>
      </c>
      <c r="F74">
        <f t="shared" si="254"/>
        <v>0</v>
      </c>
      <c r="G74">
        <f t="shared" si="254"/>
        <v>0</v>
      </c>
      <c r="H74">
        <f t="shared" si="254"/>
        <v>0</v>
      </c>
      <c r="I74">
        <f t="shared" ref="I74:K74" si="255">I31/COUNT($I31:$K31)</f>
        <v>0</v>
      </c>
      <c r="J74">
        <f t="shared" si="255"/>
        <v>0.33333333333333331</v>
      </c>
      <c r="K74">
        <f t="shared" si="255"/>
        <v>0</v>
      </c>
      <c r="L74">
        <f t="shared" ref="L74:M74" si="256">L31/COUNT($L31:$M31)</f>
        <v>0</v>
      </c>
      <c r="M74">
        <f t="shared" si="256"/>
        <v>0.5</v>
      </c>
      <c r="N74">
        <f t="shared" ref="N74:R74" si="257">N31/COUNT($N31:$R31)</f>
        <v>0</v>
      </c>
      <c r="O74">
        <f t="shared" si="257"/>
        <v>0</v>
      </c>
      <c r="P74">
        <f t="shared" si="257"/>
        <v>0.2</v>
      </c>
      <c r="Q74">
        <f t="shared" si="257"/>
        <v>0.6</v>
      </c>
      <c r="R74">
        <f t="shared" si="257"/>
        <v>0</v>
      </c>
      <c r="S74">
        <f t="shared" ref="S74:U74" si="258">S31/COUNT($S31:$U31)</f>
        <v>0.33333333333333331</v>
      </c>
      <c r="T74">
        <f t="shared" si="258"/>
        <v>0.33333333333333331</v>
      </c>
      <c r="U74">
        <f t="shared" si="258"/>
        <v>0</v>
      </c>
      <c r="V74">
        <f t="shared" ref="V74:Z74" si="259">V31/COUNT($V31:$Z31)</f>
        <v>0.2</v>
      </c>
      <c r="W74">
        <f t="shared" si="259"/>
        <v>0</v>
      </c>
      <c r="X74">
        <f t="shared" si="259"/>
        <v>0</v>
      </c>
      <c r="Y74">
        <f t="shared" si="259"/>
        <v>0</v>
      </c>
      <c r="Z74">
        <f t="shared" si="259"/>
        <v>0</v>
      </c>
      <c r="AA74">
        <f t="shared" ref="AA74:AB74" si="260">AA31/COUNT($AA31:$AB31)</f>
        <v>0</v>
      </c>
      <c r="AB74">
        <f t="shared" si="260"/>
        <v>0</v>
      </c>
      <c r="AC74">
        <f t="shared" ref="AC74:AG74" si="261">AC31/COUNT($AC31:$AG31)</f>
        <v>0</v>
      </c>
      <c r="AD74">
        <f t="shared" si="261"/>
        <v>0</v>
      </c>
      <c r="AE74">
        <f t="shared" si="261"/>
        <v>0</v>
      </c>
      <c r="AF74">
        <f t="shared" si="261"/>
        <v>0</v>
      </c>
      <c r="AG74">
        <f t="shared" si="261"/>
        <v>0</v>
      </c>
      <c r="AH74">
        <f t="shared" si="18"/>
        <v>1</v>
      </c>
    </row>
    <row r="75" spans="1:34">
      <c r="A75" t="str">
        <f t="shared" si="8"/>
        <v>P30</v>
      </c>
      <c r="B75">
        <f t="shared" ref="B75:D75" si="262">B32/COUNT($B32:$D32)</f>
        <v>0</v>
      </c>
      <c r="C75">
        <f t="shared" si="262"/>
        <v>0.33333333333333331</v>
      </c>
      <c r="D75">
        <f t="shared" si="262"/>
        <v>0</v>
      </c>
      <c r="E75">
        <f t="shared" ref="E75:H75" si="263">E32/COUNT($E32:$H32)</f>
        <v>0.25</v>
      </c>
      <c r="F75">
        <f t="shared" si="263"/>
        <v>0</v>
      </c>
      <c r="G75">
        <f t="shared" si="263"/>
        <v>0.25</v>
      </c>
      <c r="H75">
        <f t="shared" si="263"/>
        <v>0</v>
      </c>
      <c r="I75">
        <f t="shared" ref="I75:K75" si="264">I32/COUNT($I32:$K32)</f>
        <v>0</v>
      </c>
      <c r="J75">
        <f t="shared" si="264"/>
        <v>0</v>
      </c>
      <c r="K75">
        <f t="shared" si="264"/>
        <v>0</v>
      </c>
      <c r="L75">
        <f t="shared" ref="L75:M75" si="265">L32/COUNT($L32:$M32)</f>
        <v>0</v>
      </c>
      <c r="M75">
        <f t="shared" si="265"/>
        <v>0</v>
      </c>
      <c r="N75">
        <f t="shared" ref="N75:R75" si="266">N32/COUNT($N32:$R32)</f>
        <v>0</v>
      </c>
      <c r="O75">
        <f t="shared" si="266"/>
        <v>0</v>
      </c>
      <c r="P75">
        <f t="shared" si="266"/>
        <v>0</v>
      </c>
      <c r="Q75">
        <f t="shared" si="266"/>
        <v>0</v>
      </c>
      <c r="R75">
        <f t="shared" si="266"/>
        <v>0.2</v>
      </c>
      <c r="S75">
        <f t="shared" ref="S75:U75" si="267">S32/COUNT($S32:$U32)</f>
        <v>0.33333333333333331</v>
      </c>
      <c r="T75">
        <f t="shared" si="267"/>
        <v>0</v>
      </c>
      <c r="U75">
        <f t="shared" si="267"/>
        <v>0</v>
      </c>
      <c r="V75">
        <f t="shared" ref="V75:Z75" si="268">V32/COUNT($V32:$Z32)</f>
        <v>0.2</v>
      </c>
      <c r="W75">
        <f t="shared" si="268"/>
        <v>0</v>
      </c>
      <c r="X75">
        <f t="shared" si="268"/>
        <v>0</v>
      </c>
      <c r="Y75">
        <f t="shared" si="268"/>
        <v>0</v>
      </c>
      <c r="Z75">
        <f t="shared" si="268"/>
        <v>0</v>
      </c>
      <c r="AA75">
        <f t="shared" ref="AA75:AB75" si="269">AA32/COUNT($AA32:$AB32)</f>
        <v>0</v>
      </c>
      <c r="AB75">
        <f t="shared" si="269"/>
        <v>0</v>
      </c>
      <c r="AC75">
        <f t="shared" ref="AC75:AG75" si="270">AC32/COUNT($AC32:$AG32)</f>
        <v>0</v>
      </c>
      <c r="AD75">
        <f t="shared" si="270"/>
        <v>0</v>
      </c>
      <c r="AE75">
        <f t="shared" si="270"/>
        <v>0.2</v>
      </c>
      <c r="AF75">
        <f t="shared" si="270"/>
        <v>0</v>
      </c>
      <c r="AG75">
        <f t="shared" si="270"/>
        <v>0</v>
      </c>
      <c r="AH75">
        <f t="shared" si="18"/>
        <v>0</v>
      </c>
    </row>
    <row r="76" spans="1:34">
      <c r="A76" t="str">
        <f t="shared" si="8"/>
        <v>P31</v>
      </c>
      <c r="B76">
        <f t="shared" ref="B76:D76" si="271">B33/COUNT($B33:$D33)</f>
        <v>0</v>
      </c>
      <c r="C76">
        <f t="shared" si="271"/>
        <v>0</v>
      </c>
      <c r="D76">
        <f t="shared" si="271"/>
        <v>0.33333333333333331</v>
      </c>
      <c r="E76">
        <f t="shared" ref="E76:H76" si="272">E33/COUNT($E33:$H33)</f>
        <v>0</v>
      </c>
      <c r="F76">
        <f t="shared" si="272"/>
        <v>0</v>
      </c>
      <c r="G76">
        <f t="shared" si="272"/>
        <v>0</v>
      </c>
      <c r="H76">
        <f t="shared" si="272"/>
        <v>0.25</v>
      </c>
      <c r="I76">
        <f t="shared" ref="I76:K76" si="273">I33/COUNT($I33:$K33)</f>
        <v>0</v>
      </c>
      <c r="J76">
        <f t="shared" si="273"/>
        <v>0</v>
      </c>
      <c r="K76">
        <f t="shared" si="273"/>
        <v>0</v>
      </c>
      <c r="L76">
        <f t="shared" ref="L76:M76" si="274">L33/COUNT($L33:$M33)</f>
        <v>0.5</v>
      </c>
      <c r="M76">
        <f t="shared" si="274"/>
        <v>0</v>
      </c>
      <c r="N76">
        <f t="shared" ref="N76:R76" si="275">N33/COUNT($N33:$R33)</f>
        <v>0</v>
      </c>
      <c r="O76">
        <f t="shared" si="275"/>
        <v>0</v>
      </c>
      <c r="P76">
        <f t="shared" si="275"/>
        <v>0.2</v>
      </c>
      <c r="Q76">
        <f t="shared" si="275"/>
        <v>0.6</v>
      </c>
      <c r="R76">
        <f t="shared" si="275"/>
        <v>0.2</v>
      </c>
      <c r="S76">
        <f t="shared" ref="S76:U76" si="276">S33/COUNT($S33:$U33)</f>
        <v>0.66666666666666663</v>
      </c>
      <c r="T76">
        <f t="shared" si="276"/>
        <v>0.33333333333333331</v>
      </c>
      <c r="U76">
        <f t="shared" si="276"/>
        <v>0</v>
      </c>
      <c r="V76">
        <f t="shared" ref="V76:Z76" si="277">V33/COUNT($V33:$Z33)</f>
        <v>0.4</v>
      </c>
      <c r="W76">
        <f t="shared" si="277"/>
        <v>0.8</v>
      </c>
      <c r="X76">
        <f t="shared" si="277"/>
        <v>0.2</v>
      </c>
      <c r="Y76">
        <f t="shared" si="277"/>
        <v>0</v>
      </c>
      <c r="Z76">
        <f t="shared" si="277"/>
        <v>0.2</v>
      </c>
      <c r="AA76">
        <f t="shared" ref="AA76:AB76" si="278">AA33/COUNT($AA33:$AB33)</f>
        <v>0</v>
      </c>
      <c r="AB76">
        <f t="shared" si="278"/>
        <v>0</v>
      </c>
      <c r="AC76">
        <f t="shared" ref="AC76:AG76" si="279">AC33/COUNT($AC33:$AG33)</f>
        <v>0</v>
      </c>
      <c r="AD76">
        <f t="shared" si="279"/>
        <v>0</v>
      </c>
      <c r="AE76">
        <f t="shared" si="279"/>
        <v>0</v>
      </c>
      <c r="AF76">
        <f t="shared" si="279"/>
        <v>0</v>
      </c>
      <c r="AG76">
        <f t="shared" si="279"/>
        <v>0</v>
      </c>
      <c r="AH76">
        <f t="shared" si="18"/>
        <v>0</v>
      </c>
    </row>
    <row r="77" spans="1:34">
      <c r="A77" t="str">
        <f t="shared" si="8"/>
        <v>P32</v>
      </c>
      <c r="B77">
        <f t="shared" ref="B77:D77" si="280">B34/COUNT($B34:$D34)</f>
        <v>0.33333333333333331</v>
      </c>
      <c r="C77">
        <f t="shared" si="280"/>
        <v>0</v>
      </c>
      <c r="D77">
        <f t="shared" si="280"/>
        <v>0</v>
      </c>
      <c r="E77">
        <f t="shared" ref="E77:H77" si="281">E34/COUNT($E34:$H34)</f>
        <v>0</v>
      </c>
      <c r="F77">
        <f t="shared" si="281"/>
        <v>0</v>
      </c>
      <c r="G77">
        <f t="shared" si="281"/>
        <v>0</v>
      </c>
      <c r="H77">
        <f t="shared" si="281"/>
        <v>0.25</v>
      </c>
      <c r="I77">
        <f t="shared" ref="I77:K77" si="282">I34/COUNT($I34:$K34)</f>
        <v>0</v>
      </c>
      <c r="J77">
        <f t="shared" si="282"/>
        <v>0</v>
      </c>
      <c r="K77">
        <f t="shared" si="282"/>
        <v>0</v>
      </c>
      <c r="L77">
        <f t="shared" ref="L77:M77" si="283">L34/COUNT($L34:$M34)</f>
        <v>0.5</v>
      </c>
      <c r="M77">
        <f t="shared" si="283"/>
        <v>0</v>
      </c>
      <c r="N77">
        <f t="shared" ref="N77:R77" si="284">N34/COUNT($N34:$R34)</f>
        <v>0.2</v>
      </c>
      <c r="O77">
        <f t="shared" si="284"/>
        <v>0.2</v>
      </c>
      <c r="P77">
        <f t="shared" si="284"/>
        <v>0.2</v>
      </c>
      <c r="Q77">
        <f t="shared" si="284"/>
        <v>0.2</v>
      </c>
      <c r="R77">
        <f t="shared" si="284"/>
        <v>0.2</v>
      </c>
      <c r="S77">
        <f t="shared" ref="S77:U77" si="285">S34/COUNT($S34:$U34)</f>
        <v>1</v>
      </c>
      <c r="T77">
        <f t="shared" si="285"/>
        <v>0</v>
      </c>
      <c r="U77">
        <f t="shared" si="285"/>
        <v>0</v>
      </c>
      <c r="V77">
        <f t="shared" ref="V77:Z77" si="286">V34/COUNT($V34:$Z34)</f>
        <v>0.2</v>
      </c>
      <c r="W77">
        <f t="shared" si="286"/>
        <v>0</v>
      </c>
      <c r="X77">
        <f t="shared" si="286"/>
        <v>0.2</v>
      </c>
      <c r="Y77">
        <f t="shared" si="286"/>
        <v>0.2</v>
      </c>
      <c r="Z77">
        <f t="shared" si="286"/>
        <v>0.2</v>
      </c>
      <c r="AA77">
        <f t="shared" ref="AA77:AB77" si="287">AA34/COUNT($AA34:$AB34)</f>
        <v>0</v>
      </c>
      <c r="AB77">
        <f t="shared" si="287"/>
        <v>0.5</v>
      </c>
      <c r="AC77">
        <f t="shared" ref="AC77:AG77" si="288">AC34/COUNT($AC34:$AG34)</f>
        <v>0.2</v>
      </c>
      <c r="AD77">
        <f t="shared" si="288"/>
        <v>0</v>
      </c>
      <c r="AE77">
        <f t="shared" si="288"/>
        <v>0.2</v>
      </c>
      <c r="AF77">
        <f t="shared" si="288"/>
        <v>0</v>
      </c>
      <c r="AG77">
        <f t="shared" si="288"/>
        <v>0</v>
      </c>
      <c r="AH77">
        <f t="shared" si="18"/>
        <v>0</v>
      </c>
    </row>
    <row r="78" spans="1:34">
      <c r="A78" t="str">
        <f t="shared" si="8"/>
        <v>P33</v>
      </c>
      <c r="B78">
        <f t="shared" ref="B78:D78" si="289">B35/COUNT($B35:$D35)</f>
        <v>0.33333333333333331</v>
      </c>
      <c r="C78">
        <f t="shared" si="289"/>
        <v>0</v>
      </c>
      <c r="D78">
        <f t="shared" si="289"/>
        <v>0</v>
      </c>
      <c r="E78">
        <f t="shared" ref="E78:H78" si="290">E35/COUNT($E35:$H35)</f>
        <v>0</v>
      </c>
      <c r="F78">
        <f t="shared" si="290"/>
        <v>0</v>
      </c>
      <c r="G78">
        <f t="shared" si="290"/>
        <v>0</v>
      </c>
      <c r="H78">
        <f t="shared" si="290"/>
        <v>0.25</v>
      </c>
      <c r="I78">
        <f t="shared" ref="I78:K78" si="291">I35/COUNT($I35:$K35)</f>
        <v>0</v>
      </c>
      <c r="J78">
        <f t="shared" si="291"/>
        <v>0</v>
      </c>
      <c r="K78">
        <f t="shared" si="291"/>
        <v>0</v>
      </c>
      <c r="L78">
        <f t="shared" ref="L78:M78" si="292">L35/COUNT($L35:$M35)</f>
        <v>0.5</v>
      </c>
      <c r="M78">
        <f t="shared" si="292"/>
        <v>0</v>
      </c>
      <c r="N78">
        <f t="shared" ref="N78:R78" si="293">N35/COUNT($N35:$R35)</f>
        <v>0</v>
      </c>
      <c r="O78">
        <f t="shared" si="293"/>
        <v>0</v>
      </c>
      <c r="P78">
        <f t="shared" si="293"/>
        <v>0</v>
      </c>
      <c r="Q78">
        <f t="shared" si="293"/>
        <v>0</v>
      </c>
      <c r="R78">
        <f t="shared" si="293"/>
        <v>0</v>
      </c>
      <c r="S78">
        <f t="shared" ref="S78:U78" si="294">S35/COUNT($S35:$U35)</f>
        <v>0.66666666666666663</v>
      </c>
      <c r="T78">
        <f t="shared" si="294"/>
        <v>0</v>
      </c>
      <c r="U78">
        <f t="shared" si="294"/>
        <v>0</v>
      </c>
      <c r="V78">
        <f t="shared" ref="V78:Z78" si="295">V35/COUNT($V35:$Z35)</f>
        <v>0.2</v>
      </c>
      <c r="W78">
        <f t="shared" si="295"/>
        <v>0</v>
      </c>
      <c r="X78">
        <f t="shared" si="295"/>
        <v>0.2</v>
      </c>
      <c r="Y78">
        <f t="shared" si="295"/>
        <v>0</v>
      </c>
      <c r="Z78">
        <f t="shared" si="295"/>
        <v>0.2</v>
      </c>
      <c r="AA78">
        <f t="shared" ref="AA78:AB78" si="296">AA35/COUNT($AA35:$AB35)</f>
        <v>0</v>
      </c>
      <c r="AB78">
        <f t="shared" si="296"/>
        <v>0</v>
      </c>
      <c r="AC78">
        <f t="shared" ref="AC78:AG78" si="297">AC35/COUNT($AC35:$AG35)</f>
        <v>0.2</v>
      </c>
      <c r="AD78">
        <f t="shared" si="297"/>
        <v>0</v>
      </c>
      <c r="AE78">
        <f t="shared" si="297"/>
        <v>0.2</v>
      </c>
      <c r="AF78">
        <f t="shared" si="297"/>
        <v>0</v>
      </c>
      <c r="AG78">
        <f t="shared" si="297"/>
        <v>0</v>
      </c>
      <c r="AH78">
        <f t="shared" si="18"/>
        <v>0</v>
      </c>
    </row>
    <row r="79" spans="1:34">
      <c r="A79" t="str">
        <f t="shared" si="8"/>
        <v>P34</v>
      </c>
      <c r="B79">
        <f t="shared" ref="B79:D79" si="298">B36/COUNT($B36:$D36)</f>
        <v>0</v>
      </c>
      <c r="C79">
        <f t="shared" si="298"/>
        <v>0.33333333333333331</v>
      </c>
      <c r="D79">
        <f t="shared" si="298"/>
        <v>0</v>
      </c>
      <c r="E79">
        <f t="shared" ref="E79:H79" si="299">E36/COUNT($E36:$H36)</f>
        <v>0</v>
      </c>
      <c r="F79">
        <f t="shared" si="299"/>
        <v>0</v>
      </c>
      <c r="G79">
        <f t="shared" si="299"/>
        <v>0</v>
      </c>
      <c r="H79">
        <f t="shared" si="299"/>
        <v>0.25</v>
      </c>
      <c r="I79">
        <f t="shared" ref="I79:K79" si="300">I36/COUNT($I36:$K36)</f>
        <v>0</v>
      </c>
      <c r="J79">
        <f t="shared" si="300"/>
        <v>0.33333333333333331</v>
      </c>
      <c r="K79">
        <f t="shared" si="300"/>
        <v>0</v>
      </c>
      <c r="L79">
        <f t="shared" ref="L79:M79" si="301">L36/COUNT($L36:$M36)</f>
        <v>0</v>
      </c>
      <c r="M79">
        <f t="shared" si="301"/>
        <v>0.5</v>
      </c>
      <c r="N79">
        <f t="shared" ref="N79:R79" si="302">N36/COUNT($N36:$R36)</f>
        <v>0.2</v>
      </c>
      <c r="O79">
        <f t="shared" si="302"/>
        <v>0.2</v>
      </c>
      <c r="P79">
        <f t="shared" si="302"/>
        <v>0.2</v>
      </c>
      <c r="Q79">
        <f t="shared" si="302"/>
        <v>0.2</v>
      </c>
      <c r="R79">
        <f t="shared" si="302"/>
        <v>0.2</v>
      </c>
      <c r="S79">
        <f t="shared" ref="S79:U79" si="303">S36/COUNT($S36:$U36)</f>
        <v>0.66666666666666663</v>
      </c>
      <c r="T79">
        <f t="shared" si="303"/>
        <v>0.66666666666666663</v>
      </c>
      <c r="U79">
        <f t="shared" si="303"/>
        <v>0</v>
      </c>
      <c r="V79">
        <f t="shared" ref="V79:Z79" si="304">V36/COUNT($V36:$Z36)</f>
        <v>0.4</v>
      </c>
      <c r="W79">
        <f t="shared" si="304"/>
        <v>0</v>
      </c>
      <c r="X79">
        <f t="shared" si="304"/>
        <v>0</v>
      </c>
      <c r="Y79">
        <f t="shared" si="304"/>
        <v>0</v>
      </c>
      <c r="Z79">
        <f t="shared" si="304"/>
        <v>0</v>
      </c>
      <c r="AA79">
        <f t="shared" ref="AA79:AB79" si="305">AA36/COUNT($AA36:$AB36)</f>
        <v>0</v>
      </c>
      <c r="AB79">
        <f t="shared" si="305"/>
        <v>0</v>
      </c>
      <c r="AC79">
        <f t="shared" ref="AC79:AG79" si="306">AC36/COUNT($AC36:$AG36)</f>
        <v>0</v>
      </c>
      <c r="AD79">
        <f t="shared" si="306"/>
        <v>0</v>
      </c>
      <c r="AE79">
        <f t="shared" si="306"/>
        <v>0</v>
      </c>
      <c r="AF79">
        <f t="shared" si="306"/>
        <v>0</v>
      </c>
      <c r="AG79">
        <f t="shared" si="306"/>
        <v>0</v>
      </c>
      <c r="AH79">
        <f t="shared" si="18"/>
        <v>0</v>
      </c>
    </row>
    <row r="80" spans="1:34">
      <c r="A80" t="str">
        <f t="shared" si="8"/>
        <v>P35</v>
      </c>
      <c r="B80">
        <f t="shared" ref="B80:D80" si="307">B37/COUNT($B37:$D37)</f>
        <v>0.33333333333333331</v>
      </c>
      <c r="C80">
        <f t="shared" si="307"/>
        <v>0</v>
      </c>
      <c r="D80">
        <f t="shared" si="307"/>
        <v>0</v>
      </c>
      <c r="E80">
        <f t="shared" ref="E80:H80" si="308">E37/COUNT($E37:$H37)</f>
        <v>0</v>
      </c>
      <c r="F80">
        <f t="shared" si="308"/>
        <v>0</v>
      </c>
      <c r="G80">
        <f t="shared" si="308"/>
        <v>0</v>
      </c>
      <c r="H80">
        <f t="shared" si="308"/>
        <v>0.5</v>
      </c>
      <c r="I80">
        <f t="shared" ref="I80:K80" si="309">I37/COUNT($I37:$K37)</f>
        <v>0</v>
      </c>
      <c r="J80">
        <f t="shared" si="309"/>
        <v>0</v>
      </c>
      <c r="K80">
        <f t="shared" si="309"/>
        <v>0.33333333333333331</v>
      </c>
      <c r="L80">
        <f t="shared" ref="L80:M80" si="310">L37/COUNT($L37:$M37)</f>
        <v>0.5</v>
      </c>
      <c r="M80">
        <f t="shared" si="310"/>
        <v>0</v>
      </c>
      <c r="N80">
        <f t="shared" ref="N80:R80" si="311">N37/COUNT($N37:$R37)</f>
        <v>0</v>
      </c>
      <c r="O80">
        <f t="shared" si="311"/>
        <v>0</v>
      </c>
      <c r="P80">
        <f t="shared" si="311"/>
        <v>0.2</v>
      </c>
      <c r="Q80">
        <f t="shared" si="311"/>
        <v>0.4</v>
      </c>
      <c r="R80">
        <f t="shared" si="311"/>
        <v>0.4</v>
      </c>
      <c r="S80">
        <f t="shared" ref="S80:U80" si="312">S37/COUNT($S37:$U37)</f>
        <v>0.33333333333333331</v>
      </c>
      <c r="T80">
        <f t="shared" si="312"/>
        <v>0.33333333333333331</v>
      </c>
      <c r="U80">
        <f t="shared" si="312"/>
        <v>0</v>
      </c>
      <c r="V80">
        <f t="shared" ref="V80:Z80" si="313">V37/COUNT($V37:$Z37)</f>
        <v>0</v>
      </c>
      <c r="W80">
        <f t="shared" si="313"/>
        <v>0</v>
      </c>
      <c r="X80">
        <f t="shared" si="313"/>
        <v>0</v>
      </c>
      <c r="Y80">
        <f t="shared" si="313"/>
        <v>0.2</v>
      </c>
      <c r="Z80">
        <f t="shared" si="313"/>
        <v>0</v>
      </c>
      <c r="AA80">
        <f t="shared" ref="AA80:AB80" si="314">AA37/COUNT($AA37:$AB37)</f>
        <v>0.5</v>
      </c>
      <c r="AB80">
        <f t="shared" si="314"/>
        <v>0</v>
      </c>
      <c r="AC80">
        <f t="shared" ref="AC80:AG80" si="315">AC37/COUNT($AC37:$AG37)</f>
        <v>0</v>
      </c>
      <c r="AD80">
        <f t="shared" si="315"/>
        <v>0</v>
      </c>
      <c r="AE80">
        <f t="shared" si="315"/>
        <v>0</v>
      </c>
      <c r="AF80">
        <f t="shared" si="315"/>
        <v>0</v>
      </c>
      <c r="AG80">
        <f t="shared" si="315"/>
        <v>0</v>
      </c>
      <c r="AH80">
        <f t="shared" si="18"/>
        <v>0</v>
      </c>
    </row>
    <row r="81" spans="1:37">
      <c r="A81" t="str">
        <f t="shared" si="8"/>
        <v>P36</v>
      </c>
      <c r="B81">
        <f t="shared" ref="B81:D81" si="316">B38/COUNT($B38:$D38)</f>
        <v>0</v>
      </c>
      <c r="C81">
        <f t="shared" si="316"/>
        <v>0.33333333333333331</v>
      </c>
      <c r="D81">
        <f t="shared" si="316"/>
        <v>0</v>
      </c>
      <c r="E81">
        <f t="shared" ref="E81:H81" si="317">E38/COUNT($E38:$H38)</f>
        <v>0</v>
      </c>
      <c r="F81">
        <f t="shared" si="317"/>
        <v>0</v>
      </c>
      <c r="G81">
        <f t="shared" si="317"/>
        <v>0</v>
      </c>
      <c r="H81">
        <f t="shared" si="317"/>
        <v>0.25</v>
      </c>
      <c r="I81">
        <f t="shared" ref="I81:K81" si="318">I38/COUNT($I38:$K38)</f>
        <v>0</v>
      </c>
      <c r="J81">
        <f t="shared" si="318"/>
        <v>0</v>
      </c>
      <c r="K81">
        <f t="shared" si="318"/>
        <v>0</v>
      </c>
      <c r="L81">
        <f t="shared" ref="L81:M81" si="319">L38/COUNT($L38:$M38)</f>
        <v>0.5</v>
      </c>
      <c r="M81">
        <f t="shared" si="319"/>
        <v>0</v>
      </c>
      <c r="N81">
        <f t="shared" ref="N81:R81" si="320">N38/COUNT($N38:$R38)</f>
        <v>0</v>
      </c>
      <c r="O81">
        <f t="shared" si="320"/>
        <v>0</v>
      </c>
      <c r="P81">
        <f t="shared" si="320"/>
        <v>0.2</v>
      </c>
      <c r="Q81">
        <f t="shared" si="320"/>
        <v>0.2</v>
      </c>
      <c r="R81">
        <f t="shared" si="320"/>
        <v>0</v>
      </c>
      <c r="S81">
        <f t="shared" ref="S81:U81" si="321">S38/COUNT($S38:$U38)</f>
        <v>0.66666666666666663</v>
      </c>
      <c r="T81">
        <f t="shared" si="321"/>
        <v>0.33333333333333331</v>
      </c>
      <c r="U81">
        <f t="shared" si="321"/>
        <v>0</v>
      </c>
      <c r="V81">
        <f t="shared" ref="V81:Z81" si="322">V38/COUNT($V38:$Z38)</f>
        <v>0.2</v>
      </c>
      <c r="W81">
        <f t="shared" si="322"/>
        <v>0.2</v>
      </c>
      <c r="X81">
        <f t="shared" si="322"/>
        <v>0</v>
      </c>
      <c r="Y81">
        <f t="shared" si="322"/>
        <v>0</v>
      </c>
      <c r="Z81">
        <f t="shared" si="322"/>
        <v>0</v>
      </c>
      <c r="AA81">
        <f t="shared" ref="AA81:AB81" si="323">AA38/COUNT($AA38:$AB38)</f>
        <v>0</v>
      </c>
      <c r="AB81">
        <f t="shared" si="323"/>
        <v>0</v>
      </c>
      <c r="AC81">
        <f t="shared" ref="AC81:AG81" si="324">AC38/COUNT($AC38:$AG38)</f>
        <v>0.2</v>
      </c>
      <c r="AD81">
        <f t="shared" si="324"/>
        <v>0</v>
      </c>
      <c r="AE81">
        <f t="shared" si="324"/>
        <v>0.2</v>
      </c>
      <c r="AF81">
        <f t="shared" si="324"/>
        <v>0</v>
      </c>
      <c r="AG81">
        <f t="shared" si="324"/>
        <v>0.2</v>
      </c>
      <c r="AH81">
        <f t="shared" si="18"/>
        <v>1</v>
      </c>
    </row>
    <row r="82" spans="1:37">
      <c r="A82" t="str">
        <f t="shared" si="8"/>
        <v>P37</v>
      </c>
      <c r="B82">
        <f t="shared" ref="B82:D82" si="325">B39/COUNT($B39:$D39)</f>
        <v>0</v>
      </c>
      <c r="C82">
        <f t="shared" si="325"/>
        <v>0.33333333333333331</v>
      </c>
      <c r="D82">
        <f t="shared" si="325"/>
        <v>0</v>
      </c>
      <c r="E82">
        <f t="shared" ref="E82:H82" si="326">E39/COUNT($E39:$H39)</f>
        <v>0</v>
      </c>
      <c r="F82">
        <f t="shared" si="326"/>
        <v>0.25</v>
      </c>
      <c r="G82">
        <f t="shared" si="326"/>
        <v>0</v>
      </c>
      <c r="H82">
        <f t="shared" si="326"/>
        <v>0</v>
      </c>
      <c r="I82">
        <f t="shared" ref="I82:K82" si="327">I39/COUNT($I39:$K39)</f>
        <v>0</v>
      </c>
      <c r="J82">
        <f t="shared" si="327"/>
        <v>0</v>
      </c>
      <c r="K82">
        <f t="shared" si="327"/>
        <v>1</v>
      </c>
      <c r="L82">
        <f t="shared" ref="L82:M82" si="328">L39/COUNT($L39:$M39)</f>
        <v>1</v>
      </c>
      <c r="M82">
        <f t="shared" si="328"/>
        <v>0</v>
      </c>
      <c r="N82">
        <f t="shared" ref="N82:R82" si="329">N39/COUNT($N39:$R39)</f>
        <v>0</v>
      </c>
      <c r="O82">
        <f t="shared" si="329"/>
        <v>0.2</v>
      </c>
      <c r="P82">
        <f t="shared" si="329"/>
        <v>0.4</v>
      </c>
      <c r="Q82">
        <f t="shared" si="329"/>
        <v>0.2</v>
      </c>
      <c r="R82">
        <f t="shared" si="329"/>
        <v>0.4</v>
      </c>
      <c r="S82">
        <f t="shared" ref="S82:U82" si="330">S39/COUNT($S39:$U39)</f>
        <v>0.66666666666666663</v>
      </c>
      <c r="T82">
        <f t="shared" si="330"/>
        <v>0.66666666666666663</v>
      </c>
      <c r="U82">
        <f t="shared" si="330"/>
        <v>0</v>
      </c>
      <c r="V82">
        <f t="shared" ref="V82:Z82" si="331">V39/COUNT($V39:$Z39)</f>
        <v>0.8</v>
      </c>
      <c r="W82">
        <f t="shared" si="331"/>
        <v>0.2</v>
      </c>
      <c r="X82">
        <f t="shared" si="331"/>
        <v>0.2</v>
      </c>
      <c r="Y82">
        <f t="shared" si="331"/>
        <v>0</v>
      </c>
      <c r="Z82">
        <f t="shared" si="331"/>
        <v>0.2</v>
      </c>
      <c r="AA82">
        <f t="shared" ref="AA82:AB82" si="332">AA39/COUNT($AA39:$AB39)</f>
        <v>0</v>
      </c>
      <c r="AB82">
        <f t="shared" si="332"/>
        <v>0</v>
      </c>
      <c r="AC82">
        <f t="shared" ref="AC82:AG82" si="333">AC39/COUNT($AC39:$AG39)</f>
        <v>0.2</v>
      </c>
      <c r="AD82">
        <f t="shared" si="333"/>
        <v>0</v>
      </c>
      <c r="AE82">
        <f t="shared" si="333"/>
        <v>0</v>
      </c>
      <c r="AF82">
        <f t="shared" si="333"/>
        <v>0</v>
      </c>
      <c r="AG82">
        <f t="shared" si="333"/>
        <v>0</v>
      </c>
      <c r="AH82">
        <f t="shared" si="18"/>
        <v>1</v>
      </c>
    </row>
    <row r="83" spans="1:37">
      <c r="A83" t="str">
        <f t="shared" si="8"/>
        <v>P38</v>
      </c>
      <c r="B83">
        <f t="shared" ref="B83:D83" si="334">B40/COUNT($B40:$D40)</f>
        <v>0</v>
      </c>
      <c r="C83">
        <f t="shared" si="334"/>
        <v>0.33333333333333331</v>
      </c>
      <c r="D83">
        <f t="shared" si="334"/>
        <v>0</v>
      </c>
      <c r="E83">
        <f t="shared" ref="E83:H83" si="335">E40/COUNT($E40:$H40)</f>
        <v>0</v>
      </c>
      <c r="F83">
        <f t="shared" si="335"/>
        <v>0.25</v>
      </c>
      <c r="G83">
        <f t="shared" si="335"/>
        <v>0</v>
      </c>
      <c r="H83">
        <f t="shared" si="335"/>
        <v>0</v>
      </c>
      <c r="I83">
        <f t="shared" ref="I83:K83" si="336">I40/COUNT($I40:$K40)</f>
        <v>0</v>
      </c>
      <c r="J83">
        <f t="shared" si="336"/>
        <v>0.33333333333333331</v>
      </c>
      <c r="K83">
        <f t="shared" si="336"/>
        <v>0</v>
      </c>
      <c r="L83">
        <f t="shared" ref="L83:M83" si="337">L40/COUNT($L40:$M40)</f>
        <v>0.5</v>
      </c>
      <c r="M83">
        <f t="shared" si="337"/>
        <v>0</v>
      </c>
      <c r="N83">
        <f t="shared" ref="N83:R83" si="338">N40/COUNT($N40:$R40)</f>
        <v>0.2</v>
      </c>
      <c r="O83">
        <f t="shared" si="338"/>
        <v>0.2</v>
      </c>
      <c r="P83">
        <f t="shared" si="338"/>
        <v>0.2</v>
      </c>
      <c r="Q83">
        <f t="shared" si="338"/>
        <v>0.2</v>
      </c>
      <c r="R83">
        <f t="shared" si="338"/>
        <v>0.2</v>
      </c>
      <c r="S83">
        <f t="shared" ref="S83:U83" si="339">S40/COUNT($S40:$U40)</f>
        <v>0.33333333333333331</v>
      </c>
      <c r="T83">
        <f t="shared" si="339"/>
        <v>0.33333333333333331</v>
      </c>
      <c r="U83">
        <f t="shared" si="339"/>
        <v>0</v>
      </c>
      <c r="V83">
        <f t="shared" ref="V83:Z83" si="340">V40/COUNT($V40:$Z40)</f>
        <v>0.6</v>
      </c>
      <c r="W83">
        <f t="shared" si="340"/>
        <v>0.4</v>
      </c>
      <c r="X83">
        <f t="shared" si="340"/>
        <v>0.2</v>
      </c>
      <c r="Y83">
        <f t="shared" si="340"/>
        <v>0.2</v>
      </c>
      <c r="Z83">
        <f t="shared" si="340"/>
        <v>0.2</v>
      </c>
      <c r="AA83">
        <f t="shared" ref="AA83:AB83" si="341">AA40/COUNT($AA40:$AB40)</f>
        <v>0</v>
      </c>
      <c r="AB83">
        <f t="shared" si="341"/>
        <v>0.5</v>
      </c>
      <c r="AC83">
        <f t="shared" ref="AC83:AG83" si="342">AC40/COUNT($AC40:$AG40)</f>
        <v>0</v>
      </c>
      <c r="AD83">
        <f t="shared" si="342"/>
        <v>0</v>
      </c>
      <c r="AE83">
        <f t="shared" si="342"/>
        <v>0.2</v>
      </c>
      <c r="AF83">
        <f t="shared" si="342"/>
        <v>0</v>
      </c>
      <c r="AG83">
        <f t="shared" si="342"/>
        <v>0</v>
      </c>
      <c r="AH83">
        <f t="shared" si="18"/>
        <v>1</v>
      </c>
    </row>
    <row r="84" spans="1:37">
      <c r="A84" t="str">
        <f t="shared" si="8"/>
        <v>P39</v>
      </c>
      <c r="B84">
        <f t="shared" ref="B84:D84" si="343">B41/COUNT($B41:$D41)</f>
        <v>0</v>
      </c>
      <c r="C84">
        <f t="shared" si="343"/>
        <v>0.33333333333333331</v>
      </c>
      <c r="D84">
        <f t="shared" si="343"/>
        <v>0</v>
      </c>
      <c r="E84">
        <f t="shared" ref="E84:H84" si="344">E41/COUNT($E41:$H41)</f>
        <v>0.25</v>
      </c>
      <c r="F84">
        <f t="shared" si="344"/>
        <v>0</v>
      </c>
      <c r="G84">
        <f t="shared" si="344"/>
        <v>0</v>
      </c>
      <c r="H84">
        <f t="shared" si="344"/>
        <v>0</v>
      </c>
      <c r="I84">
        <f t="shared" ref="I84:K84" si="345">I41/COUNT($I41:$K41)</f>
        <v>0</v>
      </c>
      <c r="J84">
        <f t="shared" si="345"/>
        <v>0.33333333333333331</v>
      </c>
      <c r="K84">
        <f t="shared" si="345"/>
        <v>0</v>
      </c>
      <c r="L84">
        <f t="shared" ref="L84:M84" si="346">L41/COUNT($L41:$M41)</f>
        <v>0.5</v>
      </c>
      <c r="M84">
        <f t="shared" si="346"/>
        <v>0</v>
      </c>
      <c r="N84">
        <f t="shared" ref="N84:R84" si="347">N41/COUNT($N41:$R41)</f>
        <v>0</v>
      </c>
      <c r="O84">
        <f t="shared" si="347"/>
        <v>0.2</v>
      </c>
      <c r="P84">
        <f t="shared" si="347"/>
        <v>0</v>
      </c>
      <c r="Q84">
        <f t="shared" si="347"/>
        <v>0.2</v>
      </c>
      <c r="R84">
        <f t="shared" si="347"/>
        <v>0.2</v>
      </c>
      <c r="S84">
        <f t="shared" ref="S84:U84" si="348">S41/COUNT($S41:$U41)</f>
        <v>0.66666666666666663</v>
      </c>
      <c r="T84">
        <f t="shared" si="348"/>
        <v>0.66666666666666663</v>
      </c>
      <c r="U84">
        <f t="shared" si="348"/>
        <v>0.33333333333333331</v>
      </c>
      <c r="V84">
        <f t="shared" ref="V84:Z84" si="349">V41/COUNT($V41:$Z41)</f>
        <v>0.4</v>
      </c>
      <c r="W84">
        <f t="shared" si="349"/>
        <v>0.2</v>
      </c>
      <c r="X84">
        <f t="shared" si="349"/>
        <v>0</v>
      </c>
      <c r="Y84">
        <f t="shared" si="349"/>
        <v>0</v>
      </c>
      <c r="Z84">
        <f t="shared" si="349"/>
        <v>0</v>
      </c>
      <c r="AA84">
        <f t="shared" ref="AA84:AB84" si="350">AA41/COUNT($AA41:$AB41)</f>
        <v>0</v>
      </c>
      <c r="AB84">
        <f t="shared" si="350"/>
        <v>0</v>
      </c>
      <c r="AC84">
        <f t="shared" ref="AC84:AG84" si="351">AC41/COUNT($AC41:$AG41)</f>
        <v>0</v>
      </c>
      <c r="AD84">
        <f t="shared" si="351"/>
        <v>0</v>
      </c>
      <c r="AE84">
        <f t="shared" si="351"/>
        <v>0</v>
      </c>
      <c r="AF84">
        <f t="shared" si="351"/>
        <v>0</v>
      </c>
      <c r="AG84">
        <f t="shared" si="351"/>
        <v>0</v>
      </c>
      <c r="AH84">
        <f t="shared" si="18"/>
        <v>0</v>
      </c>
    </row>
    <row r="85" spans="1:37">
      <c r="A85" t="str">
        <f t="shared" si="8"/>
        <v>P40</v>
      </c>
      <c r="B85">
        <f t="shared" ref="B85:D85" si="352">B42/COUNT($B42:$D42)</f>
        <v>0.33333333333333331</v>
      </c>
      <c r="C85">
        <f t="shared" si="352"/>
        <v>0</v>
      </c>
      <c r="D85">
        <f t="shared" si="352"/>
        <v>0</v>
      </c>
      <c r="E85">
        <f t="shared" ref="E85:H85" si="353">E42/COUNT($E42:$H42)</f>
        <v>0</v>
      </c>
      <c r="F85">
        <f t="shared" si="353"/>
        <v>0</v>
      </c>
      <c r="G85">
        <f t="shared" si="353"/>
        <v>0</v>
      </c>
      <c r="H85">
        <f t="shared" si="353"/>
        <v>0.25</v>
      </c>
      <c r="I85">
        <f t="shared" ref="I85:K85" si="354">I42/COUNT($I42:$K42)</f>
        <v>0</v>
      </c>
      <c r="J85">
        <f t="shared" si="354"/>
        <v>0</v>
      </c>
      <c r="K85">
        <f t="shared" si="354"/>
        <v>0</v>
      </c>
      <c r="L85">
        <f t="shared" ref="L85:M85" si="355">L42/COUNT($L42:$M42)</f>
        <v>0.5</v>
      </c>
      <c r="M85">
        <f t="shared" si="355"/>
        <v>0</v>
      </c>
      <c r="N85">
        <f t="shared" ref="N85:R85" si="356">N42/COUNT($N42:$R42)</f>
        <v>0</v>
      </c>
      <c r="O85">
        <f t="shared" si="356"/>
        <v>0</v>
      </c>
      <c r="P85">
        <f t="shared" si="356"/>
        <v>0</v>
      </c>
      <c r="Q85">
        <f t="shared" si="356"/>
        <v>0</v>
      </c>
      <c r="R85">
        <f t="shared" si="356"/>
        <v>0</v>
      </c>
      <c r="S85">
        <f t="shared" ref="S85:U85" si="357">S42/COUNT($S42:$U42)</f>
        <v>0.66666666666666663</v>
      </c>
      <c r="T85">
        <f t="shared" si="357"/>
        <v>0</v>
      </c>
      <c r="U85">
        <f t="shared" si="357"/>
        <v>0</v>
      </c>
      <c r="V85">
        <f t="shared" ref="V85:Z85" si="358">V42/COUNT($V42:$Z42)</f>
        <v>0.2</v>
      </c>
      <c r="W85">
        <f t="shared" si="358"/>
        <v>0</v>
      </c>
      <c r="X85">
        <f t="shared" si="358"/>
        <v>0.2</v>
      </c>
      <c r="Y85">
        <f t="shared" si="358"/>
        <v>0</v>
      </c>
      <c r="Z85">
        <f t="shared" si="358"/>
        <v>0.2</v>
      </c>
      <c r="AA85">
        <f t="shared" ref="AA85:AB85" si="359">AA42/COUNT($AA42:$AB42)</f>
        <v>0</v>
      </c>
      <c r="AB85">
        <f t="shared" si="359"/>
        <v>0</v>
      </c>
      <c r="AC85">
        <f t="shared" ref="AC85:AG85" si="360">AC42/COUNT($AC42:$AG42)</f>
        <v>0.2</v>
      </c>
      <c r="AD85">
        <f t="shared" si="360"/>
        <v>0</v>
      </c>
      <c r="AE85">
        <f t="shared" si="360"/>
        <v>0.2</v>
      </c>
      <c r="AF85">
        <f t="shared" si="360"/>
        <v>0</v>
      </c>
      <c r="AG85">
        <f t="shared" si="360"/>
        <v>0</v>
      </c>
      <c r="AH85">
        <f t="shared" si="18"/>
        <v>0</v>
      </c>
    </row>
    <row r="86" spans="1:37">
      <c r="A86" t="str">
        <f>A43</f>
        <v>P41</v>
      </c>
      <c r="B86">
        <f t="shared" ref="B86:D86" si="361">B43/COUNT($B43:$D43)</f>
        <v>0.33333333333333331</v>
      </c>
      <c r="C86">
        <f t="shared" si="361"/>
        <v>0</v>
      </c>
      <c r="D86">
        <f t="shared" si="361"/>
        <v>0</v>
      </c>
      <c r="E86">
        <f t="shared" ref="E86:H86" si="362">E43/COUNT($E43:$H43)</f>
        <v>0</v>
      </c>
      <c r="F86">
        <f t="shared" si="362"/>
        <v>0</v>
      </c>
      <c r="G86">
        <f t="shared" si="362"/>
        <v>0</v>
      </c>
      <c r="H86">
        <f t="shared" si="362"/>
        <v>0.25</v>
      </c>
      <c r="I86">
        <f t="shared" ref="I86:K86" si="363">I43/COUNT($I43:$K43)</f>
        <v>0</v>
      </c>
      <c r="J86">
        <f t="shared" si="363"/>
        <v>0</v>
      </c>
      <c r="K86">
        <f t="shared" si="363"/>
        <v>0.33333333333333331</v>
      </c>
      <c r="L86">
        <f t="shared" ref="L86:M86" si="364">L43/COUNT($L43:$M43)</f>
        <v>0.5</v>
      </c>
      <c r="M86">
        <f t="shared" si="364"/>
        <v>0</v>
      </c>
      <c r="N86">
        <f t="shared" ref="N86:R86" si="365">N43/COUNT($N43:$R43)</f>
        <v>0</v>
      </c>
      <c r="O86">
        <f t="shared" si="365"/>
        <v>0</v>
      </c>
      <c r="P86">
        <f t="shared" si="365"/>
        <v>0</v>
      </c>
      <c r="Q86">
        <f t="shared" si="365"/>
        <v>0.2</v>
      </c>
      <c r="R86">
        <f t="shared" si="365"/>
        <v>0</v>
      </c>
      <c r="S86">
        <f t="shared" ref="S86:U86" si="366">S43/COUNT($S43:$U43)</f>
        <v>1</v>
      </c>
      <c r="T86">
        <f t="shared" si="366"/>
        <v>0</v>
      </c>
      <c r="U86">
        <f t="shared" si="366"/>
        <v>0.33333333333333331</v>
      </c>
      <c r="V86">
        <f t="shared" ref="V86:Z86" si="367">V43/COUNT($V43:$Z43)</f>
        <v>0.2</v>
      </c>
      <c r="W86">
        <f t="shared" si="367"/>
        <v>0</v>
      </c>
      <c r="X86">
        <f t="shared" si="367"/>
        <v>0.2</v>
      </c>
      <c r="Y86">
        <f t="shared" si="367"/>
        <v>0</v>
      </c>
      <c r="Z86">
        <f t="shared" si="367"/>
        <v>0.2</v>
      </c>
      <c r="AA86">
        <f t="shared" ref="AA86:AB86" si="368">AA43/COUNT($AA43:$AB43)</f>
        <v>0</v>
      </c>
      <c r="AB86">
        <f t="shared" si="368"/>
        <v>0.5</v>
      </c>
      <c r="AC86">
        <f t="shared" ref="AC86:AG86" si="369">AC43/COUNT($AC43:$AG43)</f>
        <v>0.2</v>
      </c>
      <c r="AD86">
        <f t="shared" si="369"/>
        <v>0</v>
      </c>
      <c r="AE86">
        <f t="shared" si="369"/>
        <v>0.2</v>
      </c>
      <c r="AF86">
        <f t="shared" si="369"/>
        <v>0</v>
      </c>
      <c r="AG86">
        <f t="shared" si="369"/>
        <v>0</v>
      </c>
      <c r="AH86">
        <f t="shared" si="18"/>
        <v>0</v>
      </c>
    </row>
    <row r="88" spans="1:37">
      <c r="B88" t="str">
        <f>B45</f>
        <v>X1</v>
      </c>
      <c r="C88">
        <f t="shared" ref="C88:AH88" si="370">C45</f>
        <v>0</v>
      </c>
      <c r="D88">
        <f t="shared" si="370"/>
        <v>0</v>
      </c>
      <c r="E88" t="str">
        <f t="shared" si="370"/>
        <v>X2</v>
      </c>
      <c r="F88">
        <f t="shared" si="370"/>
        <v>0</v>
      </c>
      <c r="G88">
        <f t="shared" si="370"/>
        <v>0</v>
      </c>
      <c r="H88">
        <f t="shared" si="370"/>
        <v>0</v>
      </c>
      <c r="I88" t="str">
        <f t="shared" si="370"/>
        <v>X3</v>
      </c>
      <c r="J88">
        <f t="shared" si="370"/>
        <v>0</v>
      </c>
      <c r="K88">
        <f t="shared" si="370"/>
        <v>0</v>
      </c>
      <c r="L88" t="str">
        <f t="shared" si="370"/>
        <v>X4</v>
      </c>
      <c r="M88">
        <f t="shared" si="370"/>
        <v>0</v>
      </c>
      <c r="N88" t="str">
        <f t="shared" si="370"/>
        <v>X5</v>
      </c>
      <c r="O88">
        <f t="shared" si="370"/>
        <v>0</v>
      </c>
      <c r="P88">
        <f t="shared" si="370"/>
        <v>0</v>
      </c>
      <c r="Q88">
        <f t="shared" si="370"/>
        <v>0</v>
      </c>
      <c r="R88">
        <f t="shared" si="370"/>
        <v>0</v>
      </c>
      <c r="S88" t="str">
        <f t="shared" si="370"/>
        <v>X6</v>
      </c>
      <c r="T88">
        <f t="shared" si="370"/>
        <v>0</v>
      </c>
      <c r="U88">
        <f t="shared" si="370"/>
        <v>0</v>
      </c>
      <c r="V88" t="str">
        <f t="shared" si="370"/>
        <v>X7</v>
      </c>
      <c r="W88">
        <f t="shared" si="370"/>
        <v>0</v>
      </c>
      <c r="X88">
        <f t="shared" si="370"/>
        <v>0</v>
      </c>
      <c r="Y88">
        <f t="shared" si="370"/>
        <v>0</v>
      </c>
      <c r="Z88">
        <f t="shared" si="370"/>
        <v>0</v>
      </c>
      <c r="AA88" t="str">
        <f t="shared" si="370"/>
        <v>X8</v>
      </c>
      <c r="AB88">
        <f t="shared" si="370"/>
        <v>0</v>
      </c>
      <c r="AC88" t="str">
        <f t="shared" si="370"/>
        <v>X9</v>
      </c>
      <c r="AD88">
        <f t="shared" si="370"/>
        <v>0</v>
      </c>
      <c r="AE88">
        <f t="shared" si="370"/>
        <v>0</v>
      </c>
      <c r="AF88">
        <f t="shared" si="370"/>
        <v>0</v>
      </c>
      <c r="AG88">
        <f t="shared" si="370"/>
        <v>0</v>
      </c>
      <c r="AH88" t="str">
        <f t="shared" si="370"/>
        <v>X10</v>
      </c>
      <c r="AI88" t="s">
        <v>1424</v>
      </c>
    </row>
    <row r="89" spans="1:37">
      <c r="A89" t="str">
        <f>A46</f>
        <v>P1</v>
      </c>
      <c r="B89">
        <f>SUM(B46:D46)</f>
        <v>0.33333333333333331</v>
      </c>
      <c r="E89">
        <f>SUM(E46:H46)</f>
        <v>0</v>
      </c>
      <c r="I89">
        <f>SUM(I46:K46)</f>
        <v>0.33333333333333331</v>
      </c>
      <c r="L89">
        <f>SUM(L46:M46)</f>
        <v>0.5</v>
      </c>
      <c r="N89">
        <f>SUM(N46:R46)</f>
        <v>0.8</v>
      </c>
      <c r="S89">
        <f>SUM(S46:U46)</f>
        <v>0.66666666666666663</v>
      </c>
      <c r="V89">
        <f>SUM(V46:Z46)</f>
        <v>0</v>
      </c>
      <c r="AA89">
        <f>SUM(AA46:AB46)</f>
        <v>0</v>
      </c>
      <c r="AC89">
        <f>SUM(AC46:AG46)</f>
        <v>0.4</v>
      </c>
      <c r="AH89">
        <f>AH46</f>
        <v>0</v>
      </c>
      <c r="AI89" s="8">
        <f>SUM(B89:AH89)</f>
        <v>3.0333333333333332</v>
      </c>
      <c r="AJ89" s="8"/>
      <c r="AK89" s="8"/>
    </row>
    <row r="90" spans="1:37">
      <c r="A90" t="str">
        <f t="shared" ref="A90:A129" si="371">A47</f>
        <v>P2</v>
      </c>
      <c r="B90">
        <f t="shared" ref="B90:B129" si="372">SUM(B47:D47)</f>
        <v>0.33333333333333331</v>
      </c>
      <c r="E90">
        <f t="shared" ref="E90:E129" si="373">SUM(E47:H47)</f>
        <v>0.25</v>
      </c>
      <c r="I90">
        <f t="shared" ref="I90:I129" si="374">SUM(I47:K47)</f>
        <v>0</v>
      </c>
      <c r="L90">
        <f t="shared" ref="L90:L129" si="375">SUM(L47:M47)</f>
        <v>0.5</v>
      </c>
      <c r="N90">
        <f t="shared" ref="N90:N129" si="376">SUM(N47:R47)</f>
        <v>1</v>
      </c>
      <c r="S90">
        <f t="shared" ref="S90:S129" si="377">SUM(S47:U47)</f>
        <v>0.33333333333333331</v>
      </c>
      <c r="V90">
        <f t="shared" ref="V90:V129" si="378">SUM(V47:Z47)</f>
        <v>0.8</v>
      </c>
      <c r="AA90">
        <f t="shared" ref="AA90:AA129" si="379">SUM(AA47:AB47)</f>
        <v>0</v>
      </c>
      <c r="AC90">
        <f t="shared" ref="AC90:AC129" si="380">SUM(AC47:AG47)</f>
        <v>0.2</v>
      </c>
      <c r="AH90">
        <f t="shared" ref="AH90:AH129" si="381">AH47</f>
        <v>0</v>
      </c>
      <c r="AI90" s="8">
        <f t="shared" ref="AI90:AI129" si="382">SUM(B90:AH90)</f>
        <v>3.416666666666667</v>
      </c>
      <c r="AJ90" s="8"/>
      <c r="AK90" s="8"/>
    </row>
    <row r="91" spans="1:37">
      <c r="A91" t="str">
        <f t="shared" si="371"/>
        <v>P3</v>
      </c>
      <c r="B91">
        <f t="shared" si="372"/>
        <v>0.33333333333333331</v>
      </c>
      <c r="E91">
        <f t="shared" si="373"/>
        <v>0.25</v>
      </c>
      <c r="I91">
        <f t="shared" si="374"/>
        <v>1.3333333333333333</v>
      </c>
      <c r="L91">
        <f t="shared" si="375"/>
        <v>0.5</v>
      </c>
      <c r="N91">
        <f t="shared" si="376"/>
        <v>1.5999999999999999</v>
      </c>
      <c r="S91">
        <f t="shared" si="377"/>
        <v>1</v>
      </c>
      <c r="V91">
        <f t="shared" si="378"/>
        <v>0.8</v>
      </c>
      <c r="AA91">
        <f t="shared" si="379"/>
        <v>0.5</v>
      </c>
      <c r="AC91">
        <f t="shared" si="380"/>
        <v>0.60000000000000009</v>
      </c>
      <c r="AH91">
        <f t="shared" si="381"/>
        <v>0</v>
      </c>
      <c r="AI91" s="8">
        <f t="shared" si="382"/>
        <v>6.9166666666666661</v>
      </c>
      <c r="AJ91" s="8"/>
      <c r="AK91" s="8"/>
    </row>
    <row r="92" spans="1:37">
      <c r="A92" t="str">
        <f t="shared" si="371"/>
        <v>P4</v>
      </c>
      <c r="B92">
        <f t="shared" si="372"/>
        <v>0.33333333333333331</v>
      </c>
      <c r="E92">
        <f t="shared" si="373"/>
        <v>0.25</v>
      </c>
      <c r="I92">
        <f t="shared" si="374"/>
        <v>0.33333333333333331</v>
      </c>
      <c r="L92">
        <f t="shared" si="375"/>
        <v>0.5</v>
      </c>
      <c r="N92">
        <f t="shared" si="376"/>
        <v>0.8</v>
      </c>
      <c r="S92">
        <f t="shared" si="377"/>
        <v>1.3333333333333333</v>
      </c>
      <c r="V92">
        <f t="shared" si="378"/>
        <v>0.2</v>
      </c>
      <c r="AA92">
        <f t="shared" si="379"/>
        <v>0</v>
      </c>
      <c r="AC92">
        <f t="shared" si="380"/>
        <v>0.60000000000000009</v>
      </c>
      <c r="AH92">
        <f t="shared" si="381"/>
        <v>0</v>
      </c>
      <c r="AI92" s="8">
        <f t="shared" si="382"/>
        <v>4.3499999999999996</v>
      </c>
      <c r="AJ92" s="8"/>
      <c r="AK92" s="8"/>
    </row>
    <row r="93" spans="1:37">
      <c r="A93" t="str">
        <f t="shared" si="371"/>
        <v>P5</v>
      </c>
      <c r="B93">
        <f t="shared" si="372"/>
        <v>0.33333333333333331</v>
      </c>
      <c r="E93">
        <f t="shared" si="373"/>
        <v>0.25</v>
      </c>
      <c r="I93">
        <f t="shared" si="374"/>
        <v>0.33333333333333331</v>
      </c>
      <c r="L93">
        <f t="shared" si="375"/>
        <v>0.5</v>
      </c>
      <c r="N93">
        <f t="shared" si="376"/>
        <v>0.8</v>
      </c>
      <c r="S93">
        <f t="shared" si="377"/>
        <v>1.3333333333333333</v>
      </c>
      <c r="V93">
        <f t="shared" si="378"/>
        <v>0.2</v>
      </c>
      <c r="AA93">
        <f t="shared" si="379"/>
        <v>0</v>
      </c>
      <c r="AC93">
        <f t="shared" si="380"/>
        <v>0</v>
      </c>
      <c r="AH93">
        <f t="shared" si="381"/>
        <v>0</v>
      </c>
      <c r="AI93" s="8">
        <f t="shared" si="382"/>
        <v>3.75</v>
      </c>
      <c r="AJ93" s="8"/>
      <c r="AK93" s="8"/>
    </row>
    <row r="94" spans="1:37">
      <c r="A94" t="str">
        <f t="shared" si="371"/>
        <v>P6</v>
      </c>
      <c r="B94">
        <f t="shared" si="372"/>
        <v>0.33333333333333331</v>
      </c>
      <c r="E94">
        <f t="shared" si="373"/>
        <v>0.25</v>
      </c>
      <c r="I94">
        <f t="shared" si="374"/>
        <v>0</v>
      </c>
      <c r="L94">
        <f t="shared" si="375"/>
        <v>0.5</v>
      </c>
      <c r="N94">
        <f t="shared" si="376"/>
        <v>0</v>
      </c>
      <c r="S94">
        <f t="shared" si="377"/>
        <v>0.66666666666666663</v>
      </c>
      <c r="V94">
        <f t="shared" si="378"/>
        <v>0.8</v>
      </c>
      <c r="AA94">
        <f t="shared" si="379"/>
        <v>0.5</v>
      </c>
      <c r="AC94">
        <f t="shared" si="380"/>
        <v>0.4</v>
      </c>
      <c r="AH94">
        <f t="shared" si="381"/>
        <v>0</v>
      </c>
      <c r="AI94" s="8">
        <f t="shared" si="382"/>
        <v>3.4499999999999997</v>
      </c>
      <c r="AJ94" s="8"/>
      <c r="AK94" s="8"/>
    </row>
    <row r="95" spans="1:37">
      <c r="A95" t="str">
        <f t="shared" si="371"/>
        <v>P7</v>
      </c>
      <c r="B95">
        <f t="shared" si="372"/>
        <v>0.33333333333333331</v>
      </c>
      <c r="E95">
        <f t="shared" si="373"/>
        <v>0.25</v>
      </c>
      <c r="I95">
        <f t="shared" si="374"/>
        <v>0</v>
      </c>
      <c r="L95">
        <f t="shared" si="375"/>
        <v>0.5</v>
      </c>
      <c r="N95">
        <f t="shared" si="376"/>
        <v>1.6</v>
      </c>
      <c r="S95">
        <f t="shared" si="377"/>
        <v>1.3333333333333333</v>
      </c>
      <c r="V95">
        <f t="shared" si="378"/>
        <v>0</v>
      </c>
      <c r="AA95">
        <f t="shared" si="379"/>
        <v>0</v>
      </c>
      <c r="AC95">
        <f t="shared" si="380"/>
        <v>0</v>
      </c>
      <c r="AH95">
        <f t="shared" si="381"/>
        <v>0</v>
      </c>
      <c r="AI95" s="8">
        <f t="shared" si="382"/>
        <v>4.0166666666666666</v>
      </c>
      <c r="AJ95" s="8"/>
      <c r="AK95" s="8"/>
    </row>
    <row r="96" spans="1:37">
      <c r="A96" t="str">
        <f t="shared" si="371"/>
        <v>P8</v>
      </c>
      <c r="B96">
        <f t="shared" si="372"/>
        <v>0.33333333333333331</v>
      </c>
      <c r="E96">
        <f t="shared" si="373"/>
        <v>0.25</v>
      </c>
      <c r="I96">
        <f t="shared" si="374"/>
        <v>1.3333333333333333</v>
      </c>
      <c r="L96">
        <f t="shared" si="375"/>
        <v>0.5</v>
      </c>
      <c r="N96">
        <f t="shared" si="376"/>
        <v>1</v>
      </c>
      <c r="S96">
        <f t="shared" si="377"/>
        <v>2.333333333333333</v>
      </c>
      <c r="V96">
        <f t="shared" si="378"/>
        <v>1.4</v>
      </c>
      <c r="AA96">
        <f t="shared" si="379"/>
        <v>0.5</v>
      </c>
      <c r="AC96">
        <f t="shared" si="380"/>
        <v>0.4</v>
      </c>
      <c r="AH96">
        <f t="shared" si="381"/>
        <v>1</v>
      </c>
      <c r="AI96" s="8">
        <f t="shared" si="382"/>
        <v>9.0500000000000007</v>
      </c>
      <c r="AJ96" s="8"/>
      <c r="AK96" s="8"/>
    </row>
    <row r="97" spans="1:37">
      <c r="A97" t="str">
        <f t="shared" si="371"/>
        <v>P9</v>
      </c>
      <c r="B97">
        <f t="shared" si="372"/>
        <v>0.33333333333333331</v>
      </c>
      <c r="E97">
        <f t="shared" si="373"/>
        <v>0.25</v>
      </c>
      <c r="I97">
        <f t="shared" si="374"/>
        <v>1</v>
      </c>
      <c r="L97">
        <f t="shared" si="375"/>
        <v>0.5</v>
      </c>
      <c r="N97">
        <f t="shared" si="376"/>
        <v>1.7999999999999998</v>
      </c>
      <c r="S97">
        <f t="shared" si="377"/>
        <v>0.33333333333333331</v>
      </c>
      <c r="V97">
        <f t="shared" si="378"/>
        <v>0.60000000000000009</v>
      </c>
      <c r="AA97">
        <f t="shared" si="379"/>
        <v>0.5</v>
      </c>
      <c r="AC97">
        <f t="shared" si="380"/>
        <v>0</v>
      </c>
      <c r="AH97">
        <f t="shared" si="381"/>
        <v>1</v>
      </c>
      <c r="AI97" s="8">
        <f t="shared" si="382"/>
        <v>6.3166666666666664</v>
      </c>
      <c r="AJ97" s="8"/>
      <c r="AK97" s="8"/>
    </row>
    <row r="98" spans="1:37">
      <c r="A98" t="str">
        <f t="shared" si="371"/>
        <v>P10</v>
      </c>
      <c r="B98">
        <f t="shared" si="372"/>
        <v>0.33333333333333331</v>
      </c>
      <c r="E98">
        <f t="shared" si="373"/>
        <v>0.25</v>
      </c>
      <c r="I98">
        <f t="shared" si="374"/>
        <v>0.33333333333333331</v>
      </c>
      <c r="L98">
        <f t="shared" si="375"/>
        <v>1</v>
      </c>
      <c r="N98">
        <f t="shared" si="376"/>
        <v>1.5999999999999999</v>
      </c>
      <c r="S98">
        <f t="shared" si="377"/>
        <v>0.66666666666666663</v>
      </c>
      <c r="V98">
        <f t="shared" si="378"/>
        <v>0.2</v>
      </c>
      <c r="AA98">
        <f t="shared" si="379"/>
        <v>0</v>
      </c>
      <c r="AC98">
        <f t="shared" si="380"/>
        <v>0.2</v>
      </c>
      <c r="AH98">
        <f t="shared" si="381"/>
        <v>2</v>
      </c>
      <c r="AI98" s="8">
        <f t="shared" si="382"/>
        <v>6.5833333333333339</v>
      </c>
      <c r="AJ98" s="8"/>
      <c r="AK98" s="8"/>
    </row>
    <row r="99" spans="1:37">
      <c r="A99" t="str">
        <f t="shared" si="371"/>
        <v>P11</v>
      </c>
      <c r="B99">
        <f t="shared" si="372"/>
        <v>0.33333333333333331</v>
      </c>
      <c r="E99">
        <f t="shared" si="373"/>
        <v>0.25</v>
      </c>
      <c r="I99">
        <f t="shared" si="374"/>
        <v>0</v>
      </c>
      <c r="L99">
        <f t="shared" si="375"/>
        <v>0.5</v>
      </c>
      <c r="N99">
        <f t="shared" si="376"/>
        <v>0.60000000000000009</v>
      </c>
      <c r="S99">
        <f t="shared" si="377"/>
        <v>1</v>
      </c>
      <c r="V99">
        <f t="shared" si="378"/>
        <v>0.4</v>
      </c>
      <c r="AA99">
        <f t="shared" si="379"/>
        <v>0</v>
      </c>
      <c r="AC99">
        <f t="shared" si="380"/>
        <v>0</v>
      </c>
      <c r="AH99">
        <f t="shared" si="381"/>
        <v>0</v>
      </c>
      <c r="AI99" s="8">
        <f t="shared" si="382"/>
        <v>3.0833333333333335</v>
      </c>
      <c r="AJ99" s="8"/>
      <c r="AK99" s="8"/>
    </row>
    <row r="100" spans="1:37">
      <c r="A100" t="str">
        <f t="shared" si="371"/>
        <v>P12</v>
      </c>
      <c r="B100">
        <f t="shared" si="372"/>
        <v>0</v>
      </c>
      <c r="E100">
        <f t="shared" si="373"/>
        <v>0</v>
      </c>
      <c r="I100">
        <f t="shared" si="374"/>
        <v>0.33333333333333331</v>
      </c>
      <c r="L100">
        <f t="shared" si="375"/>
        <v>0</v>
      </c>
      <c r="N100">
        <f t="shared" si="376"/>
        <v>1</v>
      </c>
      <c r="S100">
        <f t="shared" si="377"/>
        <v>1</v>
      </c>
      <c r="V100">
        <f t="shared" si="378"/>
        <v>0.4</v>
      </c>
      <c r="AA100">
        <f t="shared" si="379"/>
        <v>0</v>
      </c>
      <c r="AC100">
        <f t="shared" si="380"/>
        <v>0</v>
      </c>
      <c r="AH100">
        <f t="shared" si="381"/>
        <v>0</v>
      </c>
      <c r="AI100" s="8">
        <f t="shared" si="382"/>
        <v>2.7333333333333329</v>
      </c>
      <c r="AJ100" s="8"/>
      <c r="AK100" s="8"/>
    </row>
    <row r="101" spans="1:37">
      <c r="A101" t="str">
        <f t="shared" si="371"/>
        <v>P13</v>
      </c>
      <c r="B101">
        <f t="shared" si="372"/>
        <v>0.33333333333333331</v>
      </c>
      <c r="E101">
        <f t="shared" si="373"/>
        <v>0.5</v>
      </c>
      <c r="I101">
        <f t="shared" si="374"/>
        <v>1</v>
      </c>
      <c r="L101">
        <f t="shared" si="375"/>
        <v>0.5</v>
      </c>
      <c r="N101">
        <f t="shared" si="376"/>
        <v>0.8</v>
      </c>
      <c r="S101">
        <f t="shared" si="377"/>
        <v>0.66666666666666663</v>
      </c>
      <c r="V101">
        <f t="shared" si="378"/>
        <v>0.2</v>
      </c>
      <c r="AA101">
        <f t="shared" si="379"/>
        <v>0</v>
      </c>
      <c r="AC101">
        <f t="shared" si="380"/>
        <v>0</v>
      </c>
      <c r="AH101">
        <f t="shared" si="381"/>
        <v>0</v>
      </c>
      <c r="AI101" s="8">
        <f t="shared" si="382"/>
        <v>3.9999999999999996</v>
      </c>
      <c r="AJ101" s="8"/>
      <c r="AK101" s="8"/>
    </row>
    <row r="102" spans="1:37">
      <c r="A102" t="str">
        <f t="shared" si="371"/>
        <v>P14</v>
      </c>
      <c r="B102">
        <f t="shared" si="372"/>
        <v>0.33333333333333331</v>
      </c>
      <c r="E102">
        <f t="shared" si="373"/>
        <v>0.25</v>
      </c>
      <c r="I102">
        <f t="shared" si="374"/>
        <v>1</v>
      </c>
      <c r="L102">
        <f t="shared" si="375"/>
        <v>0.5</v>
      </c>
      <c r="N102">
        <f t="shared" si="376"/>
        <v>1.8000000000000003</v>
      </c>
      <c r="S102">
        <f t="shared" si="377"/>
        <v>1.3333333333333333</v>
      </c>
      <c r="V102">
        <f t="shared" si="378"/>
        <v>0.4</v>
      </c>
      <c r="AA102">
        <f t="shared" si="379"/>
        <v>0</v>
      </c>
      <c r="AC102">
        <f t="shared" si="380"/>
        <v>0.2</v>
      </c>
      <c r="AH102">
        <f t="shared" si="381"/>
        <v>0</v>
      </c>
      <c r="AI102" s="8">
        <f t="shared" si="382"/>
        <v>5.8166666666666673</v>
      </c>
      <c r="AJ102" s="8"/>
      <c r="AK102" s="8"/>
    </row>
    <row r="103" spans="1:37">
      <c r="A103" t="str">
        <f t="shared" si="371"/>
        <v>P15</v>
      </c>
      <c r="B103">
        <f t="shared" si="372"/>
        <v>0.33333333333333331</v>
      </c>
      <c r="E103">
        <f t="shared" si="373"/>
        <v>0.25</v>
      </c>
      <c r="I103">
        <f t="shared" si="374"/>
        <v>1.3333333333333333</v>
      </c>
      <c r="L103">
        <f t="shared" si="375"/>
        <v>0.5</v>
      </c>
      <c r="N103">
        <f t="shared" si="376"/>
        <v>1.5999999999999999</v>
      </c>
      <c r="S103">
        <f t="shared" si="377"/>
        <v>1.6666666666666665</v>
      </c>
      <c r="V103">
        <f t="shared" si="378"/>
        <v>1</v>
      </c>
      <c r="AA103">
        <f t="shared" si="379"/>
        <v>0</v>
      </c>
      <c r="AC103">
        <f t="shared" si="380"/>
        <v>0</v>
      </c>
      <c r="AH103">
        <f t="shared" si="381"/>
        <v>0</v>
      </c>
      <c r="AI103" s="8">
        <f t="shared" si="382"/>
        <v>6.6833333333333336</v>
      </c>
      <c r="AJ103" s="8"/>
      <c r="AK103" s="8"/>
    </row>
    <row r="104" spans="1:37">
      <c r="A104" t="str">
        <f t="shared" si="371"/>
        <v>P16</v>
      </c>
      <c r="B104">
        <f t="shared" si="372"/>
        <v>0.33333333333333331</v>
      </c>
      <c r="E104">
        <f t="shared" si="373"/>
        <v>0.25</v>
      </c>
      <c r="I104">
        <f t="shared" si="374"/>
        <v>0.33333333333333331</v>
      </c>
      <c r="L104">
        <f t="shared" si="375"/>
        <v>0.5</v>
      </c>
      <c r="N104">
        <f t="shared" si="376"/>
        <v>2</v>
      </c>
      <c r="S104">
        <f t="shared" si="377"/>
        <v>1</v>
      </c>
      <c r="V104">
        <f t="shared" si="378"/>
        <v>0.4</v>
      </c>
      <c r="AA104">
        <f t="shared" si="379"/>
        <v>0</v>
      </c>
      <c r="AC104">
        <f t="shared" si="380"/>
        <v>0.4</v>
      </c>
      <c r="AH104">
        <f t="shared" si="381"/>
        <v>1</v>
      </c>
      <c r="AI104" s="8">
        <f t="shared" si="382"/>
        <v>6.2166666666666668</v>
      </c>
      <c r="AJ104" s="8"/>
      <c r="AK104" s="8"/>
    </row>
    <row r="105" spans="1:37">
      <c r="A105" t="str">
        <f t="shared" si="371"/>
        <v>P17</v>
      </c>
      <c r="B105">
        <f t="shared" si="372"/>
        <v>0.33333333333333331</v>
      </c>
      <c r="E105">
        <f t="shared" si="373"/>
        <v>0.25</v>
      </c>
      <c r="I105">
        <f t="shared" si="374"/>
        <v>0</v>
      </c>
      <c r="L105">
        <f t="shared" si="375"/>
        <v>0.5</v>
      </c>
      <c r="N105">
        <f t="shared" si="376"/>
        <v>0.8</v>
      </c>
      <c r="S105">
        <f t="shared" si="377"/>
        <v>0.33333333333333331</v>
      </c>
      <c r="V105">
        <f t="shared" si="378"/>
        <v>0</v>
      </c>
      <c r="AA105">
        <f t="shared" si="379"/>
        <v>0</v>
      </c>
      <c r="AC105">
        <f t="shared" si="380"/>
        <v>0</v>
      </c>
      <c r="AH105">
        <f t="shared" si="381"/>
        <v>0</v>
      </c>
      <c r="AI105" s="8">
        <f t="shared" si="382"/>
        <v>2.2166666666666668</v>
      </c>
      <c r="AJ105" s="8"/>
      <c r="AK105" s="8"/>
    </row>
    <row r="106" spans="1:37">
      <c r="A106" t="str">
        <f t="shared" si="371"/>
        <v>P18</v>
      </c>
      <c r="B106">
        <f t="shared" si="372"/>
        <v>0.33333333333333331</v>
      </c>
      <c r="E106">
        <f t="shared" si="373"/>
        <v>0.25</v>
      </c>
      <c r="I106">
        <f t="shared" si="374"/>
        <v>0.33333333333333331</v>
      </c>
      <c r="L106">
        <f t="shared" si="375"/>
        <v>0.5</v>
      </c>
      <c r="N106">
        <f t="shared" si="376"/>
        <v>1</v>
      </c>
      <c r="S106">
        <f t="shared" si="377"/>
        <v>0.66666666666666663</v>
      </c>
      <c r="V106">
        <f t="shared" si="378"/>
        <v>0.60000000000000009</v>
      </c>
      <c r="AA106">
        <f t="shared" si="379"/>
        <v>0</v>
      </c>
      <c r="AC106">
        <f t="shared" si="380"/>
        <v>0.4</v>
      </c>
      <c r="AH106">
        <f t="shared" si="381"/>
        <v>1</v>
      </c>
      <c r="AI106" s="8">
        <f t="shared" si="382"/>
        <v>5.083333333333333</v>
      </c>
      <c r="AJ106" s="8"/>
      <c r="AK106" s="8"/>
    </row>
    <row r="107" spans="1:37">
      <c r="A107" t="str">
        <f t="shared" si="371"/>
        <v>P19</v>
      </c>
      <c r="B107">
        <f t="shared" si="372"/>
        <v>0.33333333333333331</v>
      </c>
      <c r="E107">
        <f t="shared" si="373"/>
        <v>0.25</v>
      </c>
      <c r="I107">
        <f t="shared" si="374"/>
        <v>0.33333333333333331</v>
      </c>
      <c r="L107">
        <f t="shared" si="375"/>
        <v>0.5</v>
      </c>
      <c r="N107">
        <f t="shared" si="376"/>
        <v>1</v>
      </c>
      <c r="S107">
        <f t="shared" si="377"/>
        <v>0.66666666666666663</v>
      </c>
      <c r="V107">
        <f t="shared" si="378"/>
        <v>0</v>
      </c>
      <c r="AA107">
        <f t="shared" si="379"/>
        <v>0</v>
      </c>
      <c r="AC107">
        <f t="shared" si="380"/>
        <v>0</v>
      </c>
      <c r="AH107">
        <f t="shared" si="381"/>
        <v>0</v>
      </c>
      <c r="AI107" s="8">
        <f t="shared" si="382"/>
        <v>3.083333333333333</v>
      </c>
      <c r="AJ107" s="8"/>
      <c r="AK107" s="8"/>
    </row>
    <row r="108" spans="1:37">
      <c r="A108" t="str">
        <f t="shared" si="371"/>
        <v>P20</v>
      </c>
      <c r="B108">
        <f t="shared" si="372"/>
        <v>0.33333333333333331</v>
      </c>
      <c r="E108">
        <f t="shared" si="373"/>
        <v>0.25</v>
      </c>
      <c r="I108">
        <f t="shared" si="374"/>
        <v>0.66666666666666663</v>
      </c>
      <c r="L108">
        <f t="shared" si="375"/>
        <v>0.5</v>
      </c>
      <c r="N108">
        <f t="shared" si="376"/>
        <v>0</v>
      </c>
      <c r="S108">
        <f t="shared" si="377"/>
        <v>1.3333333333333333</v>
      </c>
      <c r="V108">
        <f t="shared" si="378"/>
        <v>0.60000000000000009</v>
      </c>
      <c r="AA108">
        <f t="shared" si="379"/>
        <v>0</v>
      </c>
      <c r="AC108">
        <f t="shared" si="380"/>
        <v>0.4</v>
      </c>
      <c r="AH108">
        <f t="shared" si="381"/>
        <v>0</v>
      </c>
      <c r="AI108" s="8">
        <f t="shared" si="382"/>
        <v>4.083333333333333</v>
      </c>
      <c r="AJ108" s="8"/>
      <c r="AK108" s="8"/>
    </row>
    <row r="109" spans="1:37">
      <c r="A109" t="str">
        <f t="shared" si="371"/>
        <v>P21</v>
      </c>
      <c r="B109">
        <f t="shared" si="372"/>
        <v>0.66666666666666663</v>
      </c>
      <c r="E109">
        <f t="shared" si="373"/>
        <v>0.25</v>
      </c>
      <c r="I109">
        <f t="shared" si="374"/>
        <v>0</v>
      </c>
      <c r="L109">
        <f t="shared" si="375"/>
        <v>0.5</v>
      </c>
      <c r="N109">
        <f t="shared" si="376"/>
        <v>0</v>
      </c>
      <c r="S109">
        <f t="shared" si="377"/>
        <v>0.66666666666666663</v>
      </c>
      <c r="V109">
        <f t="shared" si="378"/>
        <v>0.8</v>
      </c>
      <c r="AA109">
        <f t="shared" si="379"/>
        <v>0.5</v>
      </c>
      <c r="AC109">
        <f t="shared" si="380"/>
        <v>0.4</v>
      </c>
      <c r="AH109">
        <f t="shared" si="381"/>
        <v>0</v>
      </c>
      <c r="AI109" s="8">
        <f t="shared" si="382"/>
        <v>3.7833333333333328</v>
      </c>
      <c r="AJ109" s="8"/>
      <c r="AK109" s="8"/>
    </row>
    <row r="110" spans="1:37">
      <c r="A110" t="str">
        <f t="shared" si="371"/>
        <v>P22</v>
      </c>
      <c r="B110">
        <f t="shared" si="372"/>
        <v>0.33333333333333331</v>
      </c>
      <c r="E110">
        <f t="shared" si="373"/>
        <v>0.25</v>
      </c>
      <c r="I110">
        <f t="shared" si="374"/>
        <v>1</v>
      </c>
      <c r="L110">
        <f t="shared" si="375"/>
        <v>0.5</v>
      </c>
      <c r="N110">
        <f t="shared" si="376"/>
        <v>0.8</v>
      </c>
      <c r="S110">
        <f t="shared" si="377"/>
        <v>0.66666666666666663</v>
      </c>
      <c r="V110">
        <f t="shared" si="378"/>
        <v>0.4</v>
      </c>
      <c r="AA110">
        <f t="shared" si="379"/>
        <v>0</v>
      </c>
      <c r="AC110">
        <f t="shared" si="380"/>
        <v>0.4</v>
      </c>
      <c r="AH110">
        <f t="shared" si="381"/>
        <v>0</v>
      </c>
      <c r="AI110" s="8">
        <f t="shared" si="382"/>
        <v>4.3499999999999996</v>
      </c>
      <c r="AJ110" s="8"/>
      <c r="AK110" s="8"/>
    </row>
    <row r="111" spans="1:37">
      <c r="A111" t="str">
        <f t="shared" si="371"/>
        <v>P23</v>
      </c>
      <c r="B111">
        <f t="shared" si="372"/>
        <v>0.33333333333333331</v>
      </c>
      <c r="E111">
        <f t="shared" si="373"/>
        <v>0.25</v>
      </c>
      <c r="I111">
        <f t="shared" si="374"/>
        <v>1.3333333333333333</v>
      </c>
      <c r="L111">
        <f t="shared" si="375"/>
        <v>0</v>
      </c>
      <c r="N111">
        <f t="shared" si="376"/>
        <v>0.8</v>
      </c>
      <c r="S111">
        <f t="shared" si="377"/>
        <v>1</v>
      </c>
      <c r="V111">
        <f t="shared" si="378"/>
        <v>0.8</v>
      </c>
      <c r="AA111">
        <f t="shared" si="379"/>
        <v>0</v>
      </c>
      <c r="AC111">
        <f t="shared" si="380"/>
        <v>0.60000000000000009</v>
      </c>
      <c r="AH111">
        <f t="shared" si="381"/>
        <v>1</v>
      </c>
      <c r="AI111" s="8">
        <f t="shared" si="382"/>
        <v>6.1166666666666671</v>
      </c>
      <c r="AJ111" s="8"/>
      <c r="AK111" s="8"/>
    </row>
    <row r="112" spans="1:37">
      <c r="A112" t="str">
        <f t="shared" si="371"/>
        <v>P24</v>
      </c>
      <c r="B112">
        <f t="shared" si="372"/>
        <v>0.33333333333333331</v>
      </c>
      <c r="E112">
        <f t="shared" si="373"/>
        <v>0.25</v>
      </c>
      <c r="I112">
        <f t="shared" si="374"/>
        <v>0.33333333333333331</v>
      </c>
      <c r="L112">
        <f t="shared" si="375"/>
        <v>0.5</v>
      </c>
      <c r="N112">
        <f t="shared" si="376"/>
        <v>0.60000000000000009</v>
      </c>
      <c r="S112">
        <f t="shared" si="377"/>
        <v>0.66666666666666663</v>
      </c>
      <c r="V112">
        <f t="shared" si="378"/>
        <v>0</v>
      </c>
      <c r="AA112">
        <f t="shared" si="379"/>
        <v>0</v>
      </c>
      <c r="AC112">
        <f t="shared" si="380"/>
        <v>0</v>
      </c>
      <c r="AH112">
        <f t="shared" si="381"/>
        <v>0</v>
      </c>
      <c r="AI112" s="8">
        <f t="shared" si="382"/>
        <v>2.6833333333333331</v>
      </c>
      <c r="AJ112" s="8"/>
      <c r="AK112" s="8"/>
    </row>
    <row r="113" spans="1:37">
      <c r="A113" t="str">
        <f t="shared" si="371"/>
        <v>P25</v>
      </c>
      <c r="B113">
        <f t="shared" si="372"/>
        <v>0.33333333333333331</v>
      </c>
      <c r="E113">
        <f t="shared" si="373"/>
        <v>0.25</v>
      </c>
      <c r="I113">
        <f t="shared" si="374"/>
        <v>0.66666666666666663</v>
      </c>
      <c r="L113">
        <f t="shared" si="375"/>
        <v>0.5</v>
      </c>
      <c r="N113">
        <f t="shared" si="376"/>
        <v>0.8</v>
      </c>
      <c r="S113">
        <f t="shared" si="377"/>
        <v>0.66666666666666663</v>
      </c>
      <c r="V113">
        <f t="shared" si="378"/>
        <v>1.2</v>
      </c>
      <c r="AA113">
        <f t="shared" si="379"/>
        <v>0</v>
      </c>
      <c r="AC113">
        <f t="shared" si="380"/>
        <v>0.4</v>
      </c>
      <c r="AH113">
        <f t="shared" si="381"/>
        <v>0</v>
      </c>
      <c r="AI113" s="8">
        <f t="shared" si="382"/>
        <v>4.8166666666666664</v>
      </c>
      <c r="AJ113" s="8"/>
      <c r="AK113" s="8"/>
    </row>
    <row r="114" spans="1:37">
      <c r="A114" t="str">
        <f t="shared" si="371"/>
        <v>P26</v>
      </c>
      <c r="B114">
        <f t="shared" si="372"/>
        <v>0.33333333333333331</v>
      </c>
      <c r="E114">
        <f t="shared" si="373"/>
        <v>0.25</v>
      </c>
      <c r="I114">
        <f t="shared" si="374"/>
        <v>1.3333333333333333</v>
      </c>
      <c r="L114">
        <f t="shared" si="375"/>
        <v>0</v>
      </c>
      <c r="N114">
        <f t="shared" si="376"/>
        <v>1</v>
      </c>
      <c r="S114">
        <f t="shared" si="377"/>
        <v>1.3333333333333333</v>
      </c>
      <c r="V114">
        <f t="shared" si="378"/>
        <v>0.6</v>
      </c>
      <c r="AA114">
        <f t="shared" si="379"/>
        <v>0</v>
      </c>
      <c r="AC114">
        <f t="shared" si="380"/>
        <v>0.4</v>
      </c>
      <c r="AH114">
        <f t="shared" si="381"/>
        <v>0</v>
      </c>
      <c r="AI114" s="8">
        <f t="shared" si="382"/>
        <v>5.25</v>
      </c>
      <c r="AJ114" s="8"/>
      <c r="AK114" s="8"/>
    </row>
    <row r="115" spans="1:37">
      <c r="A115" t="str">
        <f t="shared" si="371"/>
        <v>P27</v>
      </c>
      <c r="B115">
        <f t="shared" si="372"/>
        <v>0.33333333333333331</v>
      </c>
      <c r="E115">
        <f t="shared" si="373"/>
        <v>0.25</v>
      </c>
      <c r="I115">
        <f t="shared" si="374"/>
        <v>0</v>
      </c>
      <c r="L115">
        <f t="shared" si="375"/>
        <v>0.5</v>
      </c>
      <c r="N115">
        <f t="shared" si="376"/>
        <v>0.8</v>
      </c>
      <c r="S115">
        <f t="shared" si="377"/>
        <v>1.3333333333333333</v>
      </c>
      <c r="V115">
        <f t="shared" si="378"/>
        <v>0</v>
      </c>
      <c r="AA115">
        <f t="shared" si="379"/>
        <v>0</v>
      </c>
      <c r="AC115">
        <f t="shared" si="380"/>
        <v>0.2</v>
      </c>
      <c r="AH115">
        <f t="shared" si="381"/>
        <v>0</v>
      </c>
      <c r="AI115" s="8">
        <f t="shared" si="382"/>
        <v>3.416666666666667</v>
      </c>
      <c r="AJ115" s="8"/>
      <c r="AK115" s="8"/>
    </row>
    <row r="116" spans="1:37">
      <c r="A116" t="str">
        <f t="shared" si="371"/>
        <v>P28</v>
      </c>
      <c r="B116">
        <f t="shared" si="372"/>
        <v>0.33333333333333331</v>
      </c>
      <c r="E116">
        <f t="shared" si="373"/>
        <v>0.25</v>
      </c>
      <c r="I116">
        <f t="shared" si="374"/>
        <v>1.6666666666666665</v>
      </c>
      <c r="L116">
        <f t="shared" si="375"/>
        <v>0.5</v>
      </c>
      <c r="N116">
        <f t="shared" si="376"/>
        <v>0.60000000000000009</v>
      </c>
      <c r="S116">
        <f t="shared" si="377"/>
        <v>0</v>
      </c>
      <c r="V116">
        <f t="shared" si="378"/>
        <v>0.8</v>
      </c>
      <c r="AA116">
        <f t="shared" si="379"/>
        <v>0.5</v>
      </c>
      <c r="AC116">
        <f t="shared" si="380"/>
        <v>0.2</v>
      </c>
      <c r="AH116">
        <f t="shared" si="381"/>
        <v>0</v>
      </c>
      <c r="AI116" s="8">
        <f t="shared" si="382"/>
        <v>4.8500000000000005</v>
      </c>
      <c r="AJ116" s="8"/>
      <c r="AK116" s="8"/>
    </row>
    <row r="117" spans="1:37">
      <c r="A117" t="str">
        <f t="shared" si="371"/>
        <v>P29</v>
      </c>
      <c r="B117">
        <f t="shared" si="372"/>
        <v>0.33333333333333331</v>
      </c>
      <c r="E117">
        <f t="shared" si="373"/>
        <v>0</v>
      </c>
      <c r="I117">
        <f t="shared" si="374"/>
        <v>0.33333333333333331</v>
      </c>
      <c r="L117">
        <f t="shared" si="375"/>
        <v>0.5</v>
      </c>
      <c r="N117">
        <f t="shared" si="376"/>
        <v>0.8</v>
      </c>
      <c r="S117">
        <f t="shared" si="377"/>
        <v>0.66666666666666663</v>
      </c>
      <c r="V117">
        <f t="shared" si="378"/>
        <v>0.2</v>
      </c>
      <c r="AA117">
        <f t="shared" si="379"/>
        <v>0</v>
      </c>
      <c r="AC117">
        <f t="shared" si="380"/>
        <v>0</v>
      </c>
      <c r="AH117">
        <f t="shared" si="381"/>
        <v>1</v>
      </c>
      <c r="AI117" s="8">
        <f t="shared" si="382"/>
        <v>3.8333333333333335</v>
      </c>
      <c r="AJ117" s="8"/>
      <c r="AK117" s="8"/>
    </row>
    <row r="118" spans="1:37">
      <c r="A118" t="str">
        <f t="shared" si="371"/>
        <v>P30</v>
      </c>
      <c r="B118">
        <f t="shared" si="372"/>
        <v>0.33333333333333331</v>
      </c>
      <c r="E118">
        <f t="shared" si="373"/>
        <v>0.5</v>
      </c>
      <c r="I118">
        <f t="shared" si="374"/>
        <v>0</v>
      </c>
      <c r="L118">
        <f t="shared" si="375"/>
        <v>0</v>
      </c>
      <c r="N118">
        <f t="shared" si="376"/>
        <v>0.2</v>
      </c>
      <c r="S118">
        <f t="shared" si="377"/>
        <v>0.33333333333333331</v>
      </c>
      <c r="V118">
        <f t="shared" si="378"/>
        <v>0.2</v>
      </c>
      <c r="AA118">
        <f t="shared" si="379"/>
        <v>0</v>
      </c>
      <c r="AC118">
        <f t="shared" si="380"/>
        <v>0.2</v>
      </c>
      <c r="AH118">
        <f t="shared" si="381"/>
        <v>0</v>
      </c>
      <c r="AI118" s="8">
        <f t="shared" si="382"/>
        <v>1.7666666666666664</v>
      </c>
      <c r="AJ118" s="8"/>
      <c r="AK118" s="8"/>
    </row>
    <row r="119" spans="1:37">
      <c r="A119" t="str">
        <f t="shared" si="371"/>
        <v>P31</v>
      </c>
      <c r="B119">
        <f t="shared" si="372"/>
        <v>0.33333333333333331</v>
      </c>
      <c r="E119">
        <f t="shared" si="373"/>
        <v>0.25</v>
      </c>
      <c r="I119">
        <f t="shared" si="374"/>
        <v>0</v>
      </c>
      <c r="L119">
        <f t="shared" si="375"/>
        <v>0.5</v>
      </c>
      <c r="N119">
        <f t="shared" si="376"/>
        <v>1</v>
      </c>
      <c r="S119">
        <f t="shared" si="377"/>
        <v>1</v>
      </c>
      <c r="V119">
        <f t="shared" si="378"/>
        <v>1.6</v>
      </c>
      <c r="AA119">
        <f t="shared" si="379"/>
        <v>0</v>
      </c>
      <c r="AC119">
        <f t="shared" si="380"/>
        <v>0</v>
      </c>
      <c r="AH119">
        <f t="shared" si="381"/>
        <v>0</v>
      </c>
      <c r="AI119" s="8">
        <f t="shared" si="382"/>
        <v>4.6833333333333336</v>
      </c>
      <c r="AJ119" s="8"/>
      <c r="AK119" s="8"/>
    </row>
    <row r="120" spans="1:37">
      <c r="A120" t="str">
        <f t="shared" si="371"/>
        <v>P32</v>
      </c>
      <c r="B120">
        <f t="shared" si="372"/>
        <v>0.33333333333333331</v>
      </c>
      <c r="E120">
        <f t="shared" si="373"/>
        <v>0.25</v>
      </c>
      <c r="I120">
        <f t="shared" si="374"/>
        <v>0</v>
      </c>
      <c r="L120">
        <f t="shared" si="375"/>
        <v>0.5</v>
      </c>
      <c r="N120">
        <f t="shared" si="376"/>
        <v>1</v>
      </c>
      <c r="S120">
        <f t="shared" si="377"/>
        <v>1</v>
      </c>
      <c r="V120">
        <f t="shared" si="378"/>
        <v>0.8</v>
      </c>
      <c r="AA120">
        <f t="shared" si="379"/>
        <v>0.5</v>
      </c>
      <c r="AC120">
        <f t="shared" si="380"/>
        <v>0.4</v>
      </c>
      <c r="AH120">
        <f t="shared" si="381"/>
        <v>0</v>
      </c>
      <c r="AI120" s="8">
        <f t="shared" si="382"/>
        <v>4.7833333333333332</v>
      </c>
      <c r="AJ120" s="8"/>
      <c r="AK120" s="8"/>
    </row>
    <row r="121" spans="1:37">
      <c r="A121" t="str">
        <f t="shared" si="371"/>
        <v>P33</v>
      </c>
      <c r="B121">
        <f t="shared" si="372"/>
        <v>0.33333333333333331</v>
      </c>
      <c r="E121">
        <f t="shared" si="373"/>
        <v>0.25</v>
      </c>
      <c r="I121">
        <f t="shared" si="374"/>
        <v>0</v>
      </c>
      <c r="L121">
        <f t="shared" si="375"/>
        <v>0.5</v>
      </c>
      <c r="N121">
        <f t="shared" si="376"/>
        <v>0</v>
      </c>
      <c r="S121">
        <f t="shared" si="377"/>
        <v>0.66666666666666663</v>
      </c>
      <c r="V121">
        <f t="shared" si="378"/>
        <v>0.60000000000000009</v>
      </c>
      <c r="AA121">
        <f t="shared" si="379"/>
        <v>0</v>
      </c>
      <c r="AC121">
        <f t="shared" si="380"/>
        <v>0.4</v>
      </c>
      <c r="AH121">
        <f t="shared" si="381"/>
        <v>0</v>
      </c>
      <c r="AI121" s="8">
        <f t="shared" si="382"/>
        <v>2.75</v>
      </c>
      <c r="AJ121" s="8"/>
      <c r="AK121" s="8"/>
    </row>
    <row r="122" spans="1:37">
      <c r="A122" t="str">
        <f t="shared" si="371"/>
        <v>P34</v>
      </c>
      <c r="B122">
        <f t="shared" si="372"/>
        <v>0.33333333333333331</v>
      </c>
      <c r="E122">
        <f t="shared" si="373"/>
        <v>0.25</v>
      </c>
      <c r="I122">
        <f t="shared" si="374"/>
        <v>0.33333333333333331</v>
      </c>
      <c r="L122">
        <f t="shared" si="375"/>
        <v>0.5</v>
      </c>
      <c r="N122">
        <f t="shared" si="376"/>
        <v>1</v>
      </c>
      <c r="S122">
        <f t="shared" si="377"/>
        <v>1.3333333333333333</v>
      </c>
      <c r="V122">
        <f t="shared" si="378"/>
        <v>0.4</v>
      </c>
      <c r="AA122">
        <f t="shared" si="379"/>
        <v>0</v>
      </c>
      <c r="AC122">
        <f t="shared" si="380"/>
        <v>0</v>
      </c>
      <c r="AH122">
        <f t="shared" si="381"/>
        <v>0</v>
      </c>
      <c r="AI122" s="8">
        <f t="shared" si="382"/>
        <v>4.1500000000000004</v>
      </c>
      <c r="AJ122" s="8"/>
      <c r="AK122" s="8"/>
    </row>
    <row r="123" spans="1:37">
      <c r="A123" t="str">
        <f t="shared" si="371"/>
        <v>P35</v>
      </c>
      <c r="B123">
        <f t="shared" si="372"/>
        <v>0.33333333333333331</v>
      </c>
      <c r="E123">
        <f t="shared" si="373"/>
        <v>0.5</v>
      </c>
      <c r="I123">
        <f t="shared" si="374"/>
        <v>0.33333333333333331</v>
      </c>
      <c r="L123">
        <f t="shared" si="375"/>
        <v>0.5</v>
      </c>
      <c r="N123">
        <f t="shared" si="376"/>
        <v>1</v>
      </c>
      <c r="S123">
        <f t="shared" si="377"/>
        <v>0.66666666666666663</v>
      </c>
      <c r="V123">
        <f t="shared" si="378"/>
        <v>0.2</v>
      </c>
      <c r="AA123">
        <f t="shared" si="379"/>
        <v>0.5</v>
      </c>
      <c r="AC123">
        <f t="shared" si="380"/>
        <v>0</v>
      </c>
      <c r="AH123">
        <f t="shared" si="381"/>
        <v>0</v>
      </c>
      <c r="AI123" s="8">
        <f t="shared" si="382"/>
        <v>4.0333333333333332</v>
      </c>
      <c r="AJ123" s="8"/>
      <c r="AK123" s="8"/>
    </row>
    <row r="124" spans="1:37">
      <c r="A124" t="str">
        <f t="shared" si="371"/>
        <v>P36</v>
      </c>
      <c r="B124">
        <f t="shared" si="372"/>
        <v>0.33333333333333331</v>
      </c>
      <c r="E124">
        <f t="shared" si="373"/>
        <v>0.25</v>
      </c>
      <c r="I124">
        <f t="shared" si="374"/>
        <v>0</v>
      </c>
      <c r="L124">
        <f t="shared" si="375"/>
        <v>0.5</v>
      </c>
      <c r="N124">
        <f t="shared" si="376"/>
        <v>0.4</v>
      </c>
      <c r="S124">
        <f t="shared" si="377"/>
        <v>1</v>
      </c>
      <c r="V124">
        <f t="shared" si="378"/>
        <v>0.4</v>
      </c>
      <c r="AA124">
        <f t="shared" si="379"/>
        <v>0</v>
      </c>
      <c r="AC124">
        <f t="shared" si="380"/>
        <v>0.60000000000000009</v>
      </c>
      <c r="AH124">
        <f t="shared" si="381"/>
        <v>1</v>
      </c>
      <c r="AI124" s="8">
        <f t="shared" si="382"/>
        <v>4.4833333333333334</v>
      </c>
      <c r="AJ124" s="8"/>
      <c r="AK124" s="8"/>
    </row>
    <row r="125" spans="1:37">
      <c r="A125" t="str">
        <f t="shared" si="371"/>
        <v>P37</v>
      </c>
      <c r="B125">
        <f t="shared" si="372"/>
        <v>0.33333333333333331</v>
      </c>
      <c r="E125">
        <f t="shared" si="373"/>
        <v>0.25</v>
      </c>
      <c r="I125">
        <f t="shared" si="374"/>
        <v>1</v>
      </c>
      <c r="L125">
        <f t="shared" si="375"/>
        <v>1</v>
      </c>
      <c r="N125">
        <f t="shared" si="376"/>
        <v>1.2000000000000002</v>
      </c>
      <c r="S125">
        <f t="shared" si="377"/>
        <v>1.3333333333333333</v>
      </c>
      <c r="V125">
        <f t="shared" si="378"/>
        <v>1.4</v>
      </c>
      <c r="AA125">
        <f t="shared" si="379"/>
        <v>0</v>
      </c>
      <c r="AC125">
        <f t="shared" si="380"/>
        <v>0.2</v>
      </c>
      <c r="AH125">
        <f t="shared" si="381"/>
        <v>1</v>
      </c>
      <c r="AI125" s="8">
        <f t="shared" si="382"/>
        <v>7.7166666666666659</v>
      </c>
      <c r="AJ125" s="8"/>
      <c r="AK125" s="8"/>
    </row>
    <row r="126" spans="1:37">
      <c r="A126" t="str">
        <f t="shared" si="371"/>
        <v>P38</v>
      </c>
      <c r="B126">
        <f t="shared" si="372"/>
        <v>0.33333333333333331</v>
      </c>
      <c r="E126">
        <f t="shared" si="373"/>
        <v>0.25</v>
      </c>
      <c r="I126">
        <f t="shared" si="374"/>
        <v>0.33333333333333331</v>
      </c>
      <c r="L126">
        <f t="shared" si="375"/>
        <v>0.5</v>
      </c>
      <c r="N126">
        <f t="shared" si="376"/>
        <v>1</v>
      </c>
      <c r="S126">
        <f t="shared" si="377"/>
        <v>0.66666666666666663</v>
      </c>
      <c r="V126">
        <f t="shared" si="378"/>
        <v>1.5999999999999999</v>
      </c>
      <c r="AA126">
        <f t="shared" si="379"/>
        <v>0.5</v>
      </c>
      <c r="AC126">
        <f t="shared" si="380"/>
        <v>0.2</v>
      </c>
      <c r="AH126">
        <f t="shared" si="381"/>
        <v>1</v>
      </c>
      <c r="AI126" s="8">
        <f t="shared" si="382"/>
        <v>6.3833333333333329</v>
      </c>
      <c r="AJ126" s="8"/>
      <c r="AK126" s="8"/>
    </row>
    <row r="127" spans="1:37">
      <c r="A127" t="str">
        <f t="shared" si="371"/>
        <v>P39</v>
      </c>
      <c r="B127">
        <f t="shared" si="372"/>
        <v>0.33333333333333331</v>
      </c>
      <c r="E127">
        <f t="shared" si="373"/>
        <v>0.25</v>
      </c>
      <c r="I127">
        <f t="shared" si="374"/>
        <v>0.33333333333333331</v>
      </c>
      <c r="L127">
        <f t="shared" si="375"/>
        <v>0.5</v>
      </c>
      <c r="N127">
        <f t="shared" si="376"/>
        <v>0.60000000000000009</v>
      </c>
      <c r="S127">
        <f t="shared" si="377"/>
        <v>1.6666666666666665</v>
      </c>
      <c r="V127">
        <f t="shared" si="378"/>
        <v>0.60000000000000009</v>
      </c>
      <c r="AA127">
        <f t="shared" si="379"/>
        <v>0</v>
      </c>
      <c r="AC127">
        <f t="shared" si="380"/>
        <v>0</v>
      </c>
      <c r="AH127">
        <f t="shared" si="381"/>
        <v>0</v>
      </c>
      <c r="AI127" s="8">
        <f t="shared" si="382"/>
        <v>4.2833333333333332</v>
      </c>
      <c r="AJ127" s="8"/>
      <c r="AK127" s="8"/>
    </row>
    <row r="128" spans="1:37">
      <c r="A128" t="str">
        <f t="shared" si="371"/>
        <v>P40</v>
      </c>
      <c r="B128">
        <f t="shared" si="372"/>
        <v>0.33333333333333331</v>
      </c>
      <c r="E128">
        <f t="shared" si="373"/>
        <v>0.25</v>
      </c>
      <c r="I128">
        <f t="shared" si="374"/>
        <v>0</v>
      </c>
      <c r="L128">
        <f t="shared" si="375"/>
        <v>0.5</v>
      </c>
      <c r="N128">
        <f t="shared" si="376"/>
        <v>0</v>
      </c>
      <c r="S128">
        <f t="shared" si="377"/>
        <v>0.66666666666666663</v>
      </c>
      <c r="V128">
        <f t="shared" si="378"/>
        <v>0.60000000000000009</v>
      </c>
      <c r="AA128">
        <f t="shared" si="379"/>
        <v>0</v>
      </c>
      <c r="AC128">
        <f t="shared" si="380"/>
        <v>0.4</v>
      </c>
      <c r="AH128">
        <f t="shared" si="381"/>
        <v>0</v>
      </c>
      <c r="AI128" s="8">
        <f t="shared" si="382"/>
        <v>2.75</v>
      </c>
      <c r="AJ128" s="8"/>
      <c r="AK128" s="8"/>
    </row>
    <row r="129" spans="1:37">
      <c r="A129" t="str">
        <f t="shared" si="371"/>
        <v>P41</v>
      </c>
      <c r="B129">
        <f t="shared" si="372"/>
        <v>0.33333333333333331</v>
      </c>
      <c r="E129">
        <f t="shared" si="373"/>
        <v>0.25</v>
      </c>
      <c r="I129">
        <f t="shared" si="374"/>
        <v>0.33333333333333331</v>
      </c>
      <c r="L129">
        <f t="shared" si="375"/>
        <v>0.5</v>
      </c>
      <c r="N129">
        <f t="shared" si="376"/>
        <v>0.2</v>
      </c>
      <c r="S129">
        <f t="shared" si="377"/>
        <v>1.3333333333333333</v>
      </c>
      <c r="V129">
        <f t="shared" si="378"/>
        <v>0.60000000000000009</v>
      </c>
      <c r="AA129">
        <f t="shared" si="379"/>
        <v>0.5</v>
      </c>
      <c r="AC129">
        <f t="shared" si="380"/>
        <v>0.4</v>
      </c>
      <c r="AH129">
        <f t="shared" si="381"/>
        <v>0</v>
      </c>
      <c r="AI129" s="8">
        <f t="shared" si="382"/>
        <v>4.45</v>
      </c>
      <c r="AJ129" s="8"/>
      <c r="AK129" s="8"/>
    </row>
    <row r="130" spans="1:37">
      <c r="A130" t="s">
        <v>1420</v>
      </c>
      <c r="B130">
        <f>AVERAGE(B89:B129)</f>
        <v>0.33333333333333348</v>
      </c>
      <c r="E130">
        <f>AVERAGE(E89:E129)</f>
        <v>0.25</v>
      </c>
      <c r="I130">
        <f>AVERAGE(I89:I129)</f>
        <v>0.47967479674796731</v>
      </c>
      <c r="L130">
        <f>AVERAGE(L89:L129)</f>
        <v>0.47560975609756095</v>
      </c>
      <c r="N130">
        <f>AVERAGE(N89:N129)</f>
        <v>0.86341463414634179</v>
      </c>
      <c r="S130">
        <f>AVERAGE(S89:S129)</f>
        <v>0.93495934959349603</v>
      </c>
      <c r="V130">
        <f>AVERAGE(V89:V129)</f>
        <v>0.55609756097560981</v>
      </c>
      <c r="AA130">
        <f>AVERAGE(AA89:AA129)</f>
        <v>0.12195121951219512</v>
      </c>
      <c r="AC130">
        <f>AVERAGE(AC89:AC129)</f>
        <v>0.2341463414634147</v>
      </c>
      <c r="AH130">
        <f>AVERAGE(AH89:AH129)</f>
        <v>0.26829268292682928</v>
      </c>
      <c r="AI130" s="8">
        <f>AVERAGE(AI89:AI129)</f>
        <v>4.5174796747967481</v>
      </c>
      <c r="AJ130" s="8"/>
      <c r="AK130" s="8"/>
    </row>
    <row r="136" spans="1:37">
      <c r="A136" t="s">
        <v>1421</v>
      </c>
    </row>
    <row r="137" spans="1:37">
      <c r="B137" t="s">
        <v>1278</v>
      </c>
      <c r="E137" t="s">
        <v>1279</v>
      </c>
      <c r="I137" t="s">
        <v>1280</v>
      </c>
      <c r="L137" t="s">
        <v>1281</v>
      </c>
      <c r="N137" t="s">
        <v>1282</v>
      </c>
      <c r="S137" t="s">
        <v>1283</v>
      </c>
      <c r="V137" t="s">
        <v>1284</v>
      </c>
      <c r="AA137" t="s">
        <v>1285</v>
      </c>
      <c r="AC137" t="s">
        <v>1286</v>
      </c>
    </row>
    <row r="138" spans="1:37">
      <c r="A138" s="49"/>
      <c r="B138" s="49" t="s">
        <v>1314</v>
      </c>
      <c r="C138" s="49" t="s">
        <v>1315</v>
      </c>
      <c r="D138" s="49" t="s">
        <v>1316</v>
      </c>
      <c r="E138" s="49" t="s">
        <v>1317</v>
      </c>
      <c r="F138" s="49" t="s">
        <v>1318</v>
      </c>
      <c r="G138" s="49" t="s">
        <v>1319</v>
      </c>
      <c r="H138" s="49" t="s">
        <v>1320</v>
      </c>
      <c r="I138" s="49" t="s">
        <v>1321</v>
      </c>
      <c r="J138" s="49" t="s">
        <v>1322</v>
      </c>
      <c r="K138" s="49" t="s">
        <v>1323</v>
      </c>
      <c r="L138" s="49" t="s">
        <v>1324</v>
      </c>
      <c r="M138" s="49" t="s">
        <v>1325</v>
      </c>
      <c r="N138" s="49" t="s">
        <v>1326</v>
      </c>
      <c r="O138" s="49" t="s">
        <v>1327</v>
      </c>
      <c r="P138" s="49" t="s">
        <v>1328</v>
      </c>
      <c r="Q138" s="49" t="s">
        <v>1329</v>
      </c>
      <c r="R138" s="49" t="s">
        <v>1330</v>
      </c>
      <c r="S138" s="49" t="s">
        <v>1331</v>
      </c>
      <c r="T138" s="49" t="s">
        <v>1332</v>
      </c>
      <c r="U138" s="49" t="s">
        <v>1333</v>
      </c>
      <c r="V138" s="49" t="s">
        <v>1334</v>
      </c>
      <c r="W138" s="49" t="s">
        <v>1335</v>
      </c>
      <c r="X138" s="49" t="s">
        <v>1336</v>
      </c>
      <c r="Y138" s="49" t="s">
        <v>1337</v>
      </c>
      <c r="Z138" s="49" t="s">
        <v>1338</v>
      </c>
      <c r="AA138" s="49" t="s">
        <v>1339</v>
      </c>
      <c r="AB138" s="49" t="s">
        <v>1340</v>
      </c>
      <c r="AC138" s="49" t="s">
        <v>1341</v>
      </c>
      <c r="AD138" s="49" t="s">
        <v>1342</v>
      </c>
      <c r="AE138" s="49" t="s">
        <v>1343</v>
      </c>
      <c r="AF138" s="49" t="s">
        <v>1344</v>
      </c>
      <c r="AG138" s="49" t="s">
        <v>1345</v>
      </c>
      <c r="AH138" s="49" t="s">
        <v>1287</v>
      </c>
    </row>
    <row r="139" spans="1:37">
      <c r="A139" s="49" t="s">
        <v>33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</row>
    <row r="140" spans="1:37">
      <c r="A140" s="49" t="s">
        <v>34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</row>
    <row r="141" spans="1:37">
      <c r="A141" s="49" t="s">
        <v>35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0</v>
      </c>
    </row>
    <row r="142" spans="1:37">
      <c r="A142" s="49" t="s">
        <v>36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0</v>
      </c>
      <c r="AH142">
        <v>0</v>
      </c>
    </row>
    <row r="143" spans="1:37">
      <c r="A143" s="49" t="s">
        <v>37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7">
      <c r="A144" s="49" t="s">
        <v>38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0</v>
      </c>
    </row>
    <row r="145" spans="1:34">
      <c r="A145" s="49" t="s">
        <v>39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 s="49" t="s">
        <v>40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1</v>
      </c>
    </row>
    <row r="147" spans="1:34">
      <c r="A147" s="49" t="s">
        <v>41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</row>
    <row r="148" spans="1:34">
      <c r="A148" s="49" t="s">
        <v>42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</row>
    <row r="149" spans="1:34">
      <c r="A149" s="49" t="s">
        <v>43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 s="49" t="s">
        <v>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>
      <c r="A151" s="49" t="s">
        <v>45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s="49" t="s">
        <v>1346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</row>
    <row r="153" spans="1:34">
      <c r="A153" s="49" t="s">
        <v>1347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 s="49" t="s">
        <v>1348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1</v>
      </c>
    </row>
    <row r="155" spans="1:34">
      <c r="A155" s="49" t="s">
        <v>1349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 s="49" t="s">
        <v>1350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1</v>
      </c>
    </row>
    <row r="157" spans="1:34">
      <c r="A157" s="49" t="s">
        <v>1351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 s="49" t="s">
        <v>1352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0</v>
      </c>
    </row>
    <row r="159" spans="1:34">
      <c r="A159" s="49" t="s">
        <v>1353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</row>
    <row r="160" spans="1:34">
      <c r="A160" s="49" t="s">
        <v>1354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</row>
    <row r="161" spans="1:34">
      <c r="A161" s="49" t="s">
        <v>1355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1</v>
      </c>
    </row>
    <row r="162" spans="1:34">
      <c r="A162" s="49" t="s">
        <v>1356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 s="49" t="s">
        <v>1357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</row>
    <row r="164" spans="1:34">
      <c r="A164" s="49" t="s">
        <v>1358</v>
      </c>
      <c r="B164">
        <v>0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0</v>
      </c>
    </row>
    <row r="165" spans="1:34">
      <c r="A165" s="49" t="s">
        <v>1359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</row>
    <row r="166" spans="1:34">
      <c r="A166" s="49" t="s">
        <v>1360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</row>
    <row r="167" spans="1:34">
      <c r="A167" s="49" t="s">
        <v>1361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</row>
    <row r="168" spans="1:34">
      <c r="A168" s="49" t="s">
        <v>1362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</row>
    <row r="169" spans="1:34">
      <c r="A169" s="49" t="s">
        <v>1363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 s="49" t="s">
        <v>1364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1</v>
      </c>
      <c r="Y170">
        <v>1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</row>
    <row r="171" spans="1:34">
      <c r="A171" s="49" t="s">
        <v>1365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0</v>
      </c>
    </row>
    <row r="172" spans="1:34">
      <c r="A172" s="49" t="s">
        <v>1366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 s="49" t="s">
        <v>1367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 s="49" t="s">
        <v>1368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1</v>
      </c>
      <c r="AH174">
        <v>1</v>
      </c>
    </row>
    <row r="175" spans="1:34">
      <c r="A175" s="49" t="s">
        <v>1369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</row>
    <row r="176" spans="1:34">
      <c r="A176" s="49" t="s">
        <v>1370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1</v>
      </c>
    </row>
    <row r="177" spans="1:35">
      <c r="A177" s="49" t="s">
        <v>1371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5">
      <c r="A178" s="49" t="s">
        <v>1372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</row>
    <row r="179" spans="1:35">
      <c r="A179" s="49" t="s">
        <v>1373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</row>
    <row r="181" spans="1:35">
      <c r="A181" s="51"/>
      <c r="B181" s="51" t="str">
        <f>B137</f>
        <v>X1</v>
      </c>
      <c r="C181" s="51">
        <f t="shared" ref="C181:AG181" si="383">C137</f>
        <v>0</v>
      </c>
      <c r="D181" s="51">
        <f t="shared" si="383"/>
        <v>0</v>
      </c>
      <c r="E181" s="51" t="str">
        <f t="shared" si="383"/>
        <v>X2</v>
      </c>
      <c r="F181" s="51">
        <f t="shared" si="383"/>
        <v>0</v>
      </c>
      <c r="G181" s="51">
        <f t="shared" si="383"/>
        <v>0</v>
      </c>
      <c r="H181" s="51">
        <f t="shared" si="383"/>
        <v>0</v>
      </c>
      <c r="I181" s="51" t="str">
        <f t="shared" si="383"/>
        <v>X3</v>
      </c>
      <c r="J181" s="51">
        <f t="shared" si="383"/>
        <v>0</v>
      </c>
      <c r="K181" s="51">
        <f t="shared" si="383"/>
        <v>0</v>
      </c>
      <c r="L181" s="51" t="str">
        <f t="shared" si="383"/>
        <v>X4</v>
      </c>
      <c r="M181" s="51">
        <f t="shared" si="383"/>
        <v>0</v>
      </c>
      <c r="N181" s="51" t="str">
        <f t="shared" si="383"/>
        <v>X5</v>
      </c>
      <c r="O181" s="51">
        <f t="shared" si="383"/>
        <v>0</v>
      </c>
      <c r="P181" s="51">
        <f t="shared" si="383"/>
        <v>0</v>
      </c>
      <c r="Q181" s="51">
        <f t="shared" si="383"/>
        <v>0</v>
      </c>
      <c r="R181" s="51">
        <f t="shared" si="383"/>
        <v>0</v>
      </c>
      <c r="S181" s="51" t="str">
        <f t="shared" si="383"/>
        <v>X6</v>
      </c>
      <c r="T181" s="51">
        <f t="shared" si="383"/>
        <v>0</v>
      </c>
      <c r="U181" s="51">
        <f t="shared" si="383"/>
        <v>0</v>
      </c>
      <c r="V181" s="51" t="str">
        <f t="shared" si="383"/>
        <v>X7</v>
      </c>
      <c r="W181" s="51">
        <f t="shared" si="383"/>
        <v>0</v>
      </c>
      <c r="X181" s="51">
        <f t="shared" si="383"/>
        <v>0</v>
      </c>
      <c r="Y181" s="51">
        <f t="shared" si="383"/>
        <v>0</v>
      </c>
      <c r="Z181" s="51">
        <f t="shared" si="383"/>
        <v>0</v>
      </c>
      <c r="AA181" s="51" t="str">
        <f t="shared" si="383"/>
        <v>X8</v>
      </c>
      <c r="AB181" s="51">
        <f t="shared" si="383"/>
        <v>0</v>
      </c>
      <c r="AC181" s="51" t="str">
        <f t="shared" si="383"/>
        <v>X9</v>
      </c>
      <c r="AD181" s="51">
        <f t="shared" si="383"/>
        <v>0</v>
      </c>
      <c r="AE181" s="51">
        <f t="shared" si="383"/>
        <v>0</v>
      </c>
      <c r="AF181" s="51">
        <f t="shared" si="383"/>
        <v>0</v>
      </c>
      <c r="AG181" s="51">
        <f t="shared" si="383"/>
        <v>0</v>
      </c>
      <c r="AH181" s="51" t="str">
        <f>AH138</f>
        <v>X10</v>
      </c>
      <c r="AI181" s="51"/>
    </row>
    <row r="182" spans="1:35">
      <c r="A182" t="str">
        <f>A139</f>
        <v>P1</v>
      </c>
      <c r="B182">
        <f>B139/COUNT($B139:$D139)</f>
        <v>0</v>
      </c>
      <c r="C182">
        <f t="shared" ref="C182:D182" si="384">C139/COUNT($B139:$D139)</f>
        <v>0</v>
      </c>
      <c r="D182">
        <f t="shared" si="384"/>
        <v>0.33333333333333331</v>
      </c>
      <c r="E182">
        <f>E139/COUNT($E139:$H139)</f>
        <v>0</v>
      </c>
      <c r="F182">
        <f t="shared" ref="F182:H182" si="385">F139/COUNT($E139:$H139)</f>
        <v>0</v>
      </c>
      <c r="G182">
        <f t="shared" si="385"/>
        <v>0</v>
      </c>
      <c r="H182">
        <f t="shared" si="385"/>
        <v>0</v>
      </c>
      <c r="I182">
        <f>I139/COUNT($I139:$K139)</f>
        <v>0</v>
      </c>
      <c r="J182">
        <f t="shared" ref="J182:K182" si="386">J139/COUNT($I139:$K139)</f>
        <v>0</v>
      </c>
      <c r="K182">
        <f t="shared" si="386"/>
        <v>0.33333333333333331</v>
      </c>
      <c r="L182">
        <f>L139/COUNT($L139:$M139)</f>
        <v>0.5</v>
      </c>
      <c r="M182">
        <f>M139/COUNT($L139:$M139)</f>
        <v>0</v>
      </c>
      <c r="N182">
        <f>N139/COUNT($N139:$R139)</f>
        <v>0.2</v>
      </c>
      <c r="O182">
        <f t="shared" ref="O182:R182" si="387">O139/COUNT($N139:$R139)</f>
        <v>0.2</v>
      </c>
      <c r="P182">
        <f t="shared" si="387"/>
        <v>0.2</v>
      </c>
      <c r="Q182">
        <f t="shared" si="387"/>
        <v>0</v>
      </c>
      <c r="R182">
        <f t="shared" si="387"/>
        <v>0.2</v>
      </c>
      <c r="S182">
        <f>S139/COUNT($S139:$U139)</f>
        <v>0.33333333333333331</v>
      </c>
      <c r="T182">
        <f t="shared" ref="T182:U182" si="388">T139/COUNT($S139:$U139)</f>
        <v>0.33333333333333331</v>
      </c>
      <c r="U182">
        <f t="shared" si="388"/>
        <v>0</v>
      </c>
      <c r="V182">
        <f>V139/COUNT($V139:$Z139)</f>
        <v>0</v>
      </c>
      <c r="W182">
        <f t="shared" ref="W182:Z182" si="389">W139/COUNT($V139:$Z139)</f>
        <v>0</v>
      </c>
      <c r="X182">
        <f t="shared" si="389"/>
        <v>0</v>
      </c>
      <c r="Y182">
        <f t="shared" si="389"/>
        <v>0</v>
      </c>
      <c r="Z182">
        <f t="shared" si="389"/>
        <v>0</v>
      </c>
      <c r="AA182">
        <f>AA139/COUNT($AA139:$AB139)</f>
        <v>0</v>
      </c>
      <c r="AB182">
        <f>AB139/COUNT($AA139:$AB139)</f>
        <v>0</v>
      </c>
      <c r="AC182">
        <f>AC139/COUNT($AC139:$AG139)</f>
        <v>0.2</v>
      </c>
      <c r="AD182">
        <f t="shared" ref="AD182:AG182" si="390">AD139/COUNT($AC139:$AG139)</f>
        <v>0</v>
      </c>
      <c r="AE182">
        <f t="shared" si="390"/>
        <v>0.2</v>
      </c>
      <c r="AF182">
        <f t="shared" si="390"/>
        <v>0</v>
      </c>
      <c r="AG182">
        <f t="shared" si="390"/>
        <v>0</v>
      </c>
      <c r="AH182">
        <f>AH139</f>
        <v>0</v>
      </c>
    </row>
    <row r="183" spans="1:35">
      <c r="A183" t="str">
        <f t="shared" ref="A183:A221" si="391">A140</f>
        <v>P2</v>
      </c>
      <c r="B183">
        <f t="shared" ref="B183:D183" si="392">B140/COUNT($B140:$D140)</f>
        <v>0</v>
      </c>
      <c r="C183">
        <f t="shared" si="392"/>
        <v>0.33333333333333331</v>
      </c>
      <c r="D183">
        <f t="shared" si="392"/>
        <v>0</v>
      </c>
      <c r="E183">
        <f t="shared" ref="E183:H183" si="393">E140/COUNT($E140:$H140)</f>
        <v>0</v>
      </c>
      <c r="F183">
        <f t="shared" si="393"/>
        <v>0</v>
      </c>
      <c r="G183">
        <f t="shared" si="393"/>
        <v>0</v>
      </c>
      <c r="H183">
        <f t="shared" si="393"/>
        <v>0.25</v>
      </c>
      <c r="I183">
        <f t="shared" ref="I183:K183" si="394">I140/COUNT($I140:$K140)</f>
        <v>0</v>
      </c>
      <c r="J183">
        <f t="shared" si="394"/>
        <v>0</v>
      </c>
      <c r="K183">
        <f t="shared" si="394"/>
        <v>0</v>
      </c>
      <c r="L183">
        <f t="shared" ref="L183:M183" si="395">L140/COUNT($L140:$M140)</f>
        <v>0.5</v>
      </c>
      <c r="M183">
        <f t="shared" si="395"/>
        <v>0</v>
      </c>
      <c r="N183">
        <f t="shared" ref="N183:R183" si="396">N140/COUNT($N140:$R140)</f>
        <v>0.2</v>
      </c>
      <c r="O183">
        <f t="shared" si="396"/>
        <v>0.2</v>
      </c>
      <c r="P183">
        <f t="shared" si="396"/>
        <v>0.2</v>
      </c>
      <c r="Q183">
        <f t="shared" si="396"/>
        <v>0.2</v>
      </c>
      <c r="R183">
        <f t="shared" si="396"/>
        <v>0.2</v>
      </c>
      <c r="S183">
        <f t="shared" ref="S183:U183" si="397">S140/COUNT($S140:$U140)</f>
        <v>0.33333333333333331</v>
      </c>
      <c r="T183">
        <f t="shared" si="397"/>
        <v>0</v>
      </c>
      <c r="U183">
        <f t="shared" si="397"/>
        <v>0</v>
      </c>
      <c r="V183">
        <f t="shared" ref="V183:Z183" si="398">V140/COUNT($V140:$Z140)</f>
        <v>0.2</v>
      </c>
      <c r="W183">
        <f t="shared" si="398"/>
        <v>0.2</v>
      </c>
      <c r="X183">
        <f t="shared" si="398"/>
        <v>0.2</v>
      </c>
      <c r="Y183">
        <f t="shared" si="398"/>
        <v>0</v>
      </c>
      <c r="Z183">
        <f t="shared" si="398"/>
        <v>0.2</v>
      </c>
      <c r="AA183">
        <f t="shared" ref="AA183:AB183" si="399">AA140/COUNT($AA140:$AB140)</f>
        <v>0</v>
      </c>
      <c r="AB183">
        <f t="shared" si="399"/>
        <v>0</v>
      </c>
      <c r="AC183">
        <f t="shared" ref="AC183:AG183" si="400">AC140/COUNT($AC140:$AG140)</f>
        <v>0</v>
      </c>
      <c r="AD183">
        <f t="shared" si="400"/>
        <v>0</v>
      </c>
      <c r="AE183">
        <f t="shared" si="400"/>
        <v>0.2</v>
      </c>
      <c r="AF183">
        <f t="shared" si="400"/>
        <v>0</v>
      </c>
      <c r="AG183">
        <f t="shared" si="400"/>
        <v>0</v>
      </c>
      <c r="AH183">
        <f t="shared" ref="AH183:AH222" si="401">AH140</f>
        <v>0</v>
      </c>
    </row>
    <row r="184" spans="1:35">
      <c r="A184" t="str">
        <f t="shared" si="391"/>
        <v>P3</v>
      </c>
      <c r="B184">
        <f t="shared" ref="B184:D184" si="402">B141/COUNT($B141:$D141)</f>
        <v>0.33333333333333331</v>
      </c>
      <c r="C184">
        <f t="shared" si="402"/>
        <v>0</v>
      </c>
      <c r="D184">
        <f t="shared" si="402"/>
        <v>0</v>
      </c>
      <c r="E184">
        <f t="shared" ref="E184:H184" si="403">E141/COUNT($E141:$H141)</f>
        <v>0</v>
      </c>
      <c r="F184">
        <f t="shared" si="403"/>
        <v>0</v>
      </c>
      <c r="G184">
        <f t="shared" si="403"/>
        <v>0.25</v>
      </c>
      <c r="H184">
        <f t="shared" si="403"/>
        <v>0</v>
      </c>
      <c r="I184">
        <f t="shared" ref="I184:K184" si="404">I141/COUNT($I141:$K141)</f>
        <v>0</v>
      </c>
      <c r="J184">
        <f t="shared" si="404"/>
        <v>0.33333333333333331</v>
      </c>
      <c r="K184">
        <f t="shared" si="404"/>
        <v>0.33333333333333331</v>
      </c>
      <c r="L184">
        <f t="shared" ref="L184:M184" si="405">L141/COUNT($L141:$M141)</f>
        <v>0.5</v>
      </c>
      <c r="M184">
        <f t="shared" si="405"/>
        <v>0</v>
      </c>
      <c r="N184">
        <f t="shared" ref="N184:R184" si="406">N141/COUNT($N141:$R141)</f>
        <v>0.2</v>
      </c>
      <c r="O184">
        <f t="shared" si="406"/>
        <v>0.2</v>
      </c>
      <c r="P184">
        <f t="shared" si="406"/>
        <v>0.2</v>
      </c>
      <c r="Q184">
        <f t="shared" si="406"/>
        <v>0.2</v>
      </c>
      <c r="R184">
        <f t="shared" si="406"/>
        <v>0.2</v>
      </c>
      <c r="S184">
        <f t="shared" ref="S184:U184" si="407">S141/COUNT($S141:$U141)</f>
        <v>0.33333333333333331</v>
      </c>
      <c r="T184">
        <f t="shared" si="407"/>
        <v>0.33333333333333331</v>
      </c>
      <c r="U184">
        <f t="shared" si="407"/>
        <v>0.33333333333333331</v>
      </c>
      <c r="V184">
        <f t="shared" ref="V184:Z184" si="408">V141/COUNT($V141:$Z141)</f>
        <v>0.2</v>
      </c>
      <c r="W184">
        <f t="shared" si="408"/>
        <v>0.2</v>
      </c>
      <c r="X184">
        <f t="shared" si="408"/>
        <v>0</v>
      </c>
      <c r="Y184">
        <f t="shared" si="408"/>
        <v>0.2</v>
      </c>
      <c r="Z184">
        <f t="shared" si="408"/>
        <v>0</v>
      </c>
      <c r="AA184">
        <f t="shared" ref="AA184:AB184" si="409">AA141/COUNT($AA141:$AB141)</f>
        <v>0.5</v>
      </c>
      <c r="AB184">
        <f t="shared" si="409"/>
        <v>0</v>
      </c>
      <c r="AC184">
        <f t="shared" ref="AC184:AG184" si="410">AC141/COUNT($AC141:$AG141)</f>
        <v>0.2</v>
      </c>
      <c r="AD184">
        <f t="shared" si="410"/>
        <v>0</v>
      </c>
      <c r="AE184">
        <f t="shared" si="410"/>
        <v>0.2</v>
      </c>
      <c r="AF184">
        <f t="shared" si="410"/>
        <v>0</v>
      </c>
      <c r="AG184">
        <f t="shared" si="410"/>
        <v>0</v>
      </c>
      <c r="AH184">
        <f t="shared" si="401"/>
        <v>0</v>
      </c>
    </row>
    <row r="185" spans="1:35">
      <c r="A185" t="str">
        <f t="shared" si="391"/>
        <v>P4</v>
      </c>
      <c r="B185">
        <f t="shared" ref="B185:D185" si="411">B142/COUNT($B142:$D142)</f>
        <v>0</v>
      </c>
      <c r="C185">
        <f t="shared" si="411"/>
        <v>0</v>
      </c>
      <c r="D185">
        <f t="shared" si="411"/>
        <v>0.33333333333333331</v>
      </c>
      <c r="E185">
        <f t="shared" ref="E185:H185" si="412">E142/COUNT($E142:$H142)</f>
        <v>0</v>
      </c>
      <c r="F185">
        <f t="shared" si="412"/>
        <v>0</v>
      </c>
      <c r="G185">
        <f t="shared" si="412"/>
        <v>0</v>
      </c>
      <c r="H185">
        <f t="shared" si="412"/>
        <v>0.25</v>
      </c>
      <c r="I185">
        <f t="shared" ref="I185:K185" si="413">I142/COUNT($I142:$K142)</f>
        <v>0</v>
      </c>
      <c r="J185">
        <f t="shared" si="413"/>
        <v>0.33333333333333331</v>
      </c>
      <c r="K185">
        <f t="shared" si="413"/>
        <v>0</v>
      </c>
      <c r="L185">
        <f t="shared" ref="L185:M185" si="414">L142/COUNT($L142:$M142)</f>
        <v>0.5</v>
      </c>
      <c r="M185">
        <f t="shared" si="414"/>
        <v>0</v>
      </c>
      <c r="N185">
        <f t="shared" ref="N185:R185" si="415">N142/COUNT($N142:$R142)</f>
        <v>0</v>
      </c>
      <c r="O185">
        <f t="shared" si="415"/>
        <v>0.2</v>
      </c>
      <c r="P185">
        <f t="shared" si="415"/>
        <v>0</v>
      </c>
      <c r="Q185">
        <f t="shared" si="415"/>
        <v>0.2</v>
      </c>
      <c r="R185">
        <f t="shared" si="415"/>
        <v>0.2</v>
      </c>
      <c r="S185">
        <f t="shared" ref="S185:U185" si="416">S142/COUNT($S142:$U142)</f>
        <v>0.33333333333333331</v>
      </c>
      <c r="T185">
        <f t="shared" si="416"/>
        <v>0.33333333333333331</v>
      </c>
      <c r="U185">
        <f t="shared" si="416"/>
        <v>0.33333333333333331</v>
      </c>
      <c r="V185">
        <f t="shared" ref="V185:Z185" si="417">V142/COUNT($V142:$Z142)</f>
        <v>0.2</v>
      </c>
      <c r="W185">
        <f t="shared" si="417"/>
        <v>0</v>
      </c>
      <c r="X185">
        <f t="shared" si="417"/>
        <v>0</v>
      </c>
      <c r="Y185">
        <f t="shared" si="417"/>
        <v>0</v>
      </c>
      <c r="Z185">
        <f t="shared" si="417"/>
        <v>0</v>
      </c>
      <c r="AA185">
        <f t="shared" ref="AA185:AB185" si="418">AA142/COUNT($AA142:$AB142)</f>
        <v>0</v>
      </c>
      <c r="AB185">
        <f t="shared" si="418"/>
        <v>0</v>
      </c>
      <c r="AC185">
        <f t="shared" ref="AC185:AG185" si="419">AC142/COUNT($AC142:$AG142)</f>
        <v>0.2</v>
      </c>
      <c r="AD185">
        <f t="shared" si="419"/>
        <v>0</v>
      </c>
      <c r="AE185">
        <f t="shared" si="419"/>
        <v>0.2</v>
      </c>
      <c r="AF185">
        <f t="shared" si="419"/>
        <v>0.2</v>
      </c>
      <c r="AG185">
        <f t="shared" si="419"/>
        <v>0</v>
      </c>
      <c r="AH185">
        <f t="shared" si="401"/>
        <v>0</v>
      </c>
    </row>
    <row r="186" spans="1:35">
      <c r="A186" t="str">
        <f t="shared" si="391"/>
        <v>P5</v>
      </c>
      <c r="B186">
        <f t="shared" ref="B186:D186" si="420">B143/COUNT($B143:$D143)</f>
        <v>0</v>
      </c>
      <c r="C186">
        <f t="shared" si="420"/>
        <v>0.33333333333333331</v>
      </c>
      <c r="D186">
        <f t="shared" si="420"/>
        <v>0</v>
      </c>
      <c r="E186">
        <f t="shared" ref="E186:H186" si="421">E143/COUNT($E143:$H143)</f>
        <v>0.25</v>
      </c>
      <c r="F186">
        <f t="shared" si="421"/>
        <v>0</v>
      </c>
      <c r="G186">
        <f t="shared" si="421"/>
        <v>0</v>
      </c>
      <c r="H186">
        <f t="shared" si="421"/>
        <v>0</v>
      </c>
      <c r="I186">
        <f t="shared" ref="I186:K186" si="422">I143/COUNT($I143:$K143)</f>
        <v>0</v>
      </c>
      <c r="J186">
        <f t="shared" si="422"/>
        <v>0.33333333333333331</v>
      </c>
      <c r="K186">
        <f t="shared" si="422"/>
        <v>0</v>
      </c>
      <c r="L186">
        <f t="shared" ref="L186:M186" si="423">L143/COUNT($L143:$M143)</f>
        <v>0.5</v>
      </c>
      <c r="M186">
        <f t="shared" si="423"/>
        <v>0</v>
      </c>
      <c r="N186">
        <f t="shared" ref="N186:R186" si="424">N143/COUNT($N143:$R143)</f>
        <v>0</v>
      </c>
      <c r="O186">
        <f t="shared" si="424"/>
        <v>0.2</v>
      </c>
      <c r="P186">
        <f t="shared" si="424"/>
        <v>0</v>
      </c>
      <c r="Q186">
        <f t="shared" si="424"/>
        <v>0.2</v>
      </c>
      <c r="R186">
        <f t="shared" si="424"/>
        <v>0.2</v>
      </c>
      <c r="S186">
        <f t="shared" ref="S186:U186" si="425">S143/COUNT($S143:$U143)</f>
        <v>0.33333333333333331</v>
      </c>
      <c r="T186">
        <f t="shared" si="425"/>
        <v>0.33333333333333331</v>
      </c>
      <c r="U186">
        <f t="shared" si="425"/>
        <v>0</v>
      </c>
      <c r="V186">
        <f t="shared" ref="V186:Z186" si="426">V143/COUNT($V143:$Z143)</f>
        <v>0.2</v>
      </c>
      <c r="W186">
        <f t="shared" si="426"/>
        <v>0</v>
      </c>
      <c r="X186">
        <f t="shared" si="426"/>
        <v>0</v>
      </c>
      <c r="Y186">
        <f t="shared" si="426"/>
        <v>0</v>
      </c>
      <c r="Z186">
        <f t="shared" si="426"/>
        <v>0</v>
      </c>
      <c r="AA186">
        <f t="shared" ref="AA186:AB186" si="427">AA143/COUNT($AA143:$AB143)</f>
        <v>0</v>
      </c>
      <c r="AB186">
        <f t="shared" si="427"/>
        <v>0</v>
      </c>
      <c r="AC186">
        <f t="shared" ref="AC186:AG186" si="428">AC143/COUNT($AC143:$AG143)</f>
        <v>0</v>
      </c>
      <c r="AD186">
        <f t="shared" si="428"/>
        <v>0</v>
      </c>
      <c r="AE186">
        <f t="shared" si="428"/>
        <v>0</v>
      </c>
      <c r="AF186">
        <f t="shared" si="428"/>
        <v>0</v>
      </c>
      <c r="AG186">
        <f t="shared" si="428"/>
        <v>0</v>
      </c>
      <c r="AH186">
        <f t="shared" si="401"/>
        <v>0</v>
      </c>
    </row>
    <row r="187" spans="1:35">
      <c r="A187" t="str">
        <f t="shared" si="391"/>
        <v>P6</v>
      </c>
      <c r="B187">
        <f t="shared" ref="B187:D187" si="429">B144/COUNT($B144:$D144)</f>
        <v>0.33333333333333331</v>
      </c>
      <c r="C187">
        <f t="shared" si="429"/>
        <v>0</v>
      </c>
      <c r="D187">
        <f t="shared" si="429"/>
        <v>0</v>
      </c>
      <c r="E187">
        <f t="shared" ref="E187:H187" si="430">E144/COUNT($E144:$H144)</f>
        <v>0</v>
      </c>
      <c r="F187">
        <f t="shared" si="430"/>
        <v>0</v>
      </c>
      <c r="G187">
        <f t="shared" si="430"/>
        <v>0</v>
      </c>
      <c r="H187">
        <f t="shared" si="430"/>
        <v>0.25</v>
      </c>
      <c r="I187">
        <f t="shared" ref="I187:K187" si="431">I144/COUNT($I144:$K144)</f>
        <v>0</v>
      </c>
      <c r="J187">
        <f t="shared" si="431"/>
        <v>0</v>
      </c>
      <c r="K187">
        <f t="shared" si="431"/>
        <v>0</v>
      </c>
      <c r="L187">
        <f t="shared" ref="L187:M187" si="432">L144/COUNT($L144:$M144)</f>
        <v>0.5</v>
      </c>
      <c r="M187">
        <f t="shared" si="432"/>
        <v>0</v>
      </c>
      <c r="N187">
        <f t="shared" ref="N187:R187" si="433">N144/COUNT($N144:$R144)</f>
        <v>0</v>
      </c>
      <c r="O187">
        <f t="shared" si="433"/>
        <v>0</v>
      </c>
      <c r="P187">
        <f t="shared" si="433"/>
        <v>0</v>
      </c>
      <c r="Q187">
        <f t="shared" si="433"/>
        <v>0</v>
      </c>
      <c r="R187">
        <f t="shared" si="433"/>
        <v>0</v>
      </c>
      <c r="S187">
        <f t="shared" ref="S187:U187" si="434">S144/COUNT($S144:$U144)</f>
        <v>0.33333333333333331</v>
      </c>
      <c r="T187">
        <f t="shared" si="434"/>
        <v>0</v>
      </c>
      <c r="U187">
        <f t="shared" si="434"/>
        <v>0</v>
      </c>
      <c r="V187">
        <f t="shared" ref="V187:Z187" si="435">V144/COUNT($V144:$Z144)</f>
        <v>0.2</v>
      </c>
      <c r="W187">
        <f t="shared" si="435"/>
        <v>0</v>
      </c>
      <c r="X187">
        <f t="shared" si="435"/>
        <v>0.2</v>
      </c>
      <c r="Y187">
        <f t="shared" si="435"/>
        <v>0.2</v>
      </c>
      <c r="Z187">
        <f t="shared" si="435"/>
        <v>0.2</v>
      </c>
      <c r="AA187">
        <f t="shared" ref="AA187:AB187" si="436">AA144/COUNT($AA144:$AB144)</f>
        <v>0</v>
      </c>
      <c r="AB187">
        <f t="shared" si="436"/>
        <v>0.5</v>
      </c>
      <c r="AC187">
        <f t="shared" ref="AC187:AG187" si="437">AC144/COUNT($AC144:$AG144)</f>
        <v>0.2</v>
      </c>
      <c r="AD187">
        <f t="shared" si="437"/>
        <v>0</v>
      </c>
      <c r="AE187">
        <f t="shared" si="437"/>
        <v>0.2</v>
      </c>
      <c r="AF187">
        <f t="shared" si="437"/>
        <v>0</v>
      </c>
      <c r="AG187">
        <f t="shared" si="437"/>
        <v>0</v>
      </c>
      <c r="AH187">
        <f t="shared" si="401"/>
        <v>0</v>
      </c>
    </row>
    <row r="188" spans="1:35">
      <c r="A188" t="str">
        <f t="shared" si="391"/>
        <v>P7</v>
      </c>
      <c r="B188">
        <f t="shared" ref="B188:D188" si="438">B145/COUNT($B145:$D145)</f>
        <v>0</v>
      </c>
      <c r="C188">
        <f t="shared" si="438"/>
        <v>0</v>
      </c>
      <c r="D188">
        <f t="shared" si="438"/>
        <v>0.33333333333333331</v>
      </c>
      <c r="E188">
        <f t="shared" ref="E188:H188" si="439">E145/COUNT($E145:$H145)</f>
        <v>0</v>
      </c>
      <c r="F188">
        <f t="shared" si="439"/>
        <v>0.25</v>
      </c>
      <c r="G188">
        <f t="shared" si="439"/>
        <v>0</v>
      </c>
      <c r="H188">
        <f t="shared" si="439"/>
        <v>0</v>
      </c>
      <c r="I188">
        <f t="shared" ref="I188:K188" si="440">I145/COUNT($I145:$K145)</f>
        <v>0</v>
      </c>
      <c r="J188">
        <f t="shared" si="440"/>
        <v>0</v>
      </c>
      <c r="K188">
        <f t="shared" si="440"/>
        <v>0</v>
      </c>
      <c r="L188">
        <f t="shared" ref="L188:M188" si="441">L145/COUNT($L145:$M145)</f>
        <v>0.5</v>
      </c>
      <c r="M188">
        <f t="shared" si="441"/>
        <v>0</v>
      </c>
      <c r="N188">
        <f t="shared" ref="N188:R188" si="442">N145/COUNT($N145:$R145)</f>
        <v>0</v>
      </c>
      <c r="O188">
        <f t="shared" si="442"/>
        <v>0.2</v>
      </c>
      <c r="P188">
        <f t="shared" si="442"/>
        <v>0.2</v>
      </c>
      <c r="Q188">
        <f t="shared" si="442"/>
        <v>0.2</v>
      </c>
      <c r="R188">
        <f t="shared" si="442"/>
        <v>0.2</v>
      </c>
      <c r="S188">
        <f t="shared" ref="S188:U188" si="443">S145/COUNT($S145:$U145)</f>
        <v>0.33333333333333331</v>
      </c>
      <c r="T188">
        <f t="shared" si="443"/>
        <v>0.33333333333333331</v>
      </c>
      <c r="U188">
        <f t="shared" si="443"/>
        <v>0</v>
      </c>
      <c r="V188">
        <f t="shared" ref="V188:Z188" si="444">V145/COUNT($V145:$Z145)</f>
        <v>0</v>
      </c>
      <c r="W188">
        <f t="shared" si="444"/>
        <v>0</v>
      </c>
      <c r="X188">
        <f t="shared" si="444"/>
        <v>0</v>
      </c>
      <c r="Y188">
        <f t="shared" si="444"/>
        <v>0</v>
      </c>
      <c r="Z188">
        <f t="shared" si="444"/>
        <v>0</v>
      </c>
      <c r="AA188">
        <f t="shared" ref="AA188:AB188" si="445">AA145/COUNT($AA145:$AB145)</f>
        <v>0</v>
      </c>
      <c r="AB188">
        <f t="shared" si="445"/>
        <v>0</v>
      </c>
      <c r="AC188">
        <f t="shared" ref="AC188:AG188" si="446">AC145/COUNT($AC145:$AG145)</f>
        <v>0</v>
      </c>
      <c r="AD188">
        <f t="shared" si="446"/>
        <v>0</v>
      </c>
      <c r="AE188">
        <f t="shared" si="446"/>
        <v>0</v>
      </c>
      <c r="AF188">
        <f t="shared" si="446"/>
        <v>0</v>
      </c>
      <c r="AG188">
        <f t="shared" si="446"/>
        <v>0</v>
      </c>
      <c r="AH188">
        <f t="shared" si="401"/>
        <v>0</v>
      </c>
    </row>
    <row r="189" spans="1:35">
      <c r="A189" t="str">
        <f t="shared" si="391"/>
        <v>P8</v>
      </c>
      <c r="B189">
        <f t="shared" ref="B189:D189" si="447">B146/COUNT($B146:$D146)</f>
        <v>0</v>
      </c>
      <c r="C189">
        <f t="shared" si="447"/>
        <v>0.33333333333333331</v>
      </c>
      <c r="D189">
        <f t="shared" si="447"/>
        <v>0</v>
      </c>
      <c r="E189">
        <f t="shared" ref="E189:H189" si="448">E146/COUNT($E146:$H146)</f>
        <v>0</v>
      </c>
      <c r="F189">
        <f t="shared" si="448"/>
        <v>0.25</v>
      </c>
      <c r="G189">
        <f t="shared" si="448"/>
        <v>0</v>
      </c>
      <c r="H189">
        <f t="shared" si="448"/>
        <v>0</v>
      </c>
      <c r="I189">
        <f t="shared" ref="I189:K189" si="449">I146/COUNT($I146:$K146)</f>
        <v>0</v>
      </c>
      <c r="J189">
        <f t="shared" si="449"/>
        <v>0.33333333333333331</v>
      </c>
      <c r="K189">
        <f t="shared" si="449"/>
        <v>0.33333333333333331</v>
      </c>
      <c r="L189">
        <f t="shared" ref="L189:M189" si="450">L146/COUNT($L146:$M146)</f>
        <v>0.5</v>
      </c>
      <c r="M189">
        <f t="shared" si="450"/>
        <v>0</v>
      </c>
      <c r="N189">
        <f t="shared" ref="N189:R189" si="451">N146/COUNT($N146:$R146)</f>
        <v>0</v>
      </c>
      <c r="O189">
        <f t="shared" si="451"/>
        <v>0.2</v>
      </c>
      <c r="P189">
        <f t="shared" si="451"/>
        <v>0.2</v>
      </c>
      <c r="Q189">
        <f t="shared" si="451"/>
        <v>0.2</v>
      </c>
      <c r="R189">
        <f t="shared" si="451"/>
        <v>0.2</v>
      </c>
      <c r="S189">
        <f t="shared" ref="S189:U189" si="452">S146/COUNT($S146:$U146)</f>
        <v>0.33333333333333331</v>
      </c>
      <c r="T189">
        <f t="shared" si="452"/>
        <v>0.33333333333333331</v>
      </c>
      <c r="U189">
        <f t="shared" si="452"/>
        <v>0</v>
      </c>
      <c r="V189">
        <f t="shared" ref="V189:Z189" si="453">V146/COUNT($V146:$Z146)</f>
        <v>0.2</v>
      </c>
      <c r="W189">
        <f t="shared" si="453"/>
        <v>0.2</v>
      </c>
      <c r="X189">
        <f t="shared" si="453"/>
        <v>0.2</v>
      </c>
      <c r="Y189">
        <f t="shared" si="453"/>
        <v>0.2</v>
      </c>
      <c r="Z189">
        <f t="shared" si="453"/>
        <v>0.2</v>
      </c>
      <c r="AA189">
        <f t="shared" ref="AA189:AB189" si="454">AA146/COUNT($AA146:$AB146)</f>
        <v>0.5</v>
      </c>
      <c r="AB189">
        <f t="shared" si="454"/>
        <v>0</v>
      </c>
      <c r="AC189">
        <f t="shared" ref="AC189:AG189" si="455">AC146/COUNT($AC146:$AG146)</f>
        <v>0</v>
      </c>
      <c r="AD189">
        <f t="shared" si="455"/>
        <v>0.2</v>
      </c>
      <c r="AE189">
        <f t="shared" si="455"/>
        <v>0.2</v>
      </c>
      <c r="AF189">
        <f t="shared" si="455"/>
        <v>0</v>
      </c>
      <c r="AG189">
        <f t="shared" si="455"/>
        <v>0</v>
      </c>
      <c r="AH189">
        <f t="shared" si="401"/>
        <v>1</v>
      </c>
    </row>
    <row r="190" spans="1:35">
      <c r="A190" t="str">
        <f t="shared" si="391"/>
        <v>P9</v>
      </c>
      <c r="B190">
        <f t="shared" ref="B190:D190" si="456">B147/COUNT($B147:$D147)</f>
        <v>0</v>
      </c>
      <c r="C190">
        <f t="shared" si="456"/>
        <v>0.33333333333333331</v>
      </c>
      <c r="D190">
        <f t="shared" si="456"/>
        <v>0</v>
      </c>
      <c r="E190">
        <f t="shared" ref="E190:H190" si="457">E147/COUNT($E147:$H147)</f>
        <v>0</v>
      </c>
      <c r="F190">
        <f t="shared" si="457"/>
        <v>0.25</v>
      </c>
      <c r="G190">
        <f t="shared" si="457"/>
        <v>0</v>
      </c>
      <c r="H190">
        <f t="shared" si="457"/>
        <v>0</v>
      </c>
      <c r="I190">
        <f t="shared" ref="I190:K190" si="458">I147/COUNT($I147:$K147)</f>
        <v>0</v>
      </c>
      <c r="J190">
        <f t="shared" si="458"/>
        <v>0.33333333333333331</v>
      </c>
      <c r="K190">
        <f t="shared" si="458"/>
        <v>0.33333333333333331</v>
      </c>
      <c r="L190">
        <f t="shared" ref="L190:M190" si="459">L147/COUNT($L147:$M147)</f>
        <v>0.5</v>
      </c>
      <c r="M190">
        <f t="shared" si="459"/>
        <v>0</v>
      </c>
      <c r="N190">
        <f t="shared" ref="N190:R190" si="460">N147/COUNT($N147:$R147)</f>
        <v>0.2</v>
      </c>
      <c r="O190">
        <f t="shared" si="460"/>
        <v>0.2</v>
      </c>
      <c r="P190">
        <f t="shared" si="460"/>
        <v>0.2</v>
      </c>
      <c r="Q190">
        <f t="shared" si="460"/>
        <v>0.2</v>
      </c>
      <c r="R190">
        <f t="shared" si="460"/>
        <v>0.2</v>
      </c>
      <c r="S190">
        <f t="shared" ref="S190:U190" si="461">S147/COUNT($S147:$U147)</f>
        <v>0.33333333333333331</v>
      </c>
      <c r="T190">
        <f t="shared" si="461"/>
        <v>0</v>
      </c>
      <c r="U190">
        <f t="shared" si="461"/>
        <v>0</v>
      </c>
      <c r="V190">
        <f t="shared" ref="V190:Z190" si="462">V147/COUNT($V147:$Z147)</f>
        <v>0.2</v>
      </c>
      <c r="W190">
        <f t="shared" si="462"/>
        <v>0.2</v>
      </c>
      <c r="X190">
        <f t="shared" si="462"/>
        <v>0</v>
      </c>
      <c r="Y190">
        <f t="shared" si="462"/>
        <v>0.2</v>
      </c>
      <c r="Z190">
        <f t="shared" si="462"/>
        <v>0</v>
      </c>
      <c r="AA190">
        <f t="shared" ref="AA190:AB190" si="463">AA147/COUNT($AA147:$AB147)</f>
        <v>0.5</v>
      </c>
      <c r="AB190">
        <f t="shared" si="463"/>
        <v>0</v>
      </c>
      <c r="AC190">
        <f t="shared" ref="AC190:AG190" si="464">AC147/COUNT($AC147:$AG147)</f>
        <v>0</v>
      </c>
      <c r="AD190">
        <f t="shared" si="464"/>
        <v>0</v>
      </c>
      <c r="AE190">
        <f t="shared" si="464"/>
        <v>0</v>
      </c>
      <c r="AF190">
        <f t="shared" si="464"/>
        <v>0</v>
      </c>
      <c r="AG190">
        <f t="shared" si="464"/>
        <v>0</v>
      </c>
      <c r="AH190">
        <f t="shared" si="401"/>
        <v>1</v>
      </c>
    </row>
    <row r="191" spans="1:35">
      <c r="A191" t="str">
        <f t="shared" si="391"/>
        <v>P10</v>
      </c>
      <c r="B191">
        <f t="shared" ref="B191:D191" si="465">B148/COUNT($B148:$D148)</f>
        <v>0</v>
      </c>
      <c r="C191">
        <f t="shared" si="465"/>
        <v>0.33333333333333331</v>
      </c>
      <c r="D191">
        <f t="shared" si="465"/>
        <v>0</v>
      </c>
      <c r="E191">
        <f t="shared" ref="E191:H191" si="466">E148/COUNT($E148:$H148)</f>
        <v>0</v>
      </c>
      <c r="F191">
        <f t="shared" si="466"/>
        <v>0.25</v>
      </c>
      <c r="G191">
        <f t="shared" si="466"/>
        <v>0</v>
      </c>
      <c r="H191">
        <f t="shared" si="466"/>
        <v>0</v>
      </c>
      <c r="I191">
        <f t="shared" ref="I191:K191" si="467">I148/COUNT($I148:$K148)</f>
        <v>0</v>
      </c>
      <c r="J191">
        <f t="shared" si="467"/>
        <v>0.33333333333333331</v>
      </c>
      <c r="K191">
        <f t="shared" si="467"/>
        <v>0</v>
      </c>
      <c r="L191">
        <f t="shared" ref="L191:M191" si="468">L148/COUNT($L148:$M148)</f>
        <v>0.5</v>
      </c>
      <c r="M191">
        <f t="shared" si="468"/>
        <v>0</v>
      </c>
      <c r="N191">
        <f t="shared" ref="N191:R191" si="469">N148/COUNT($N148:$R148)</f>
        <v>0.2</v>
      </c>
      <c r="O191">
        <f t="shared" si="469"/>
        <v>0.2</v>
      </c>
      <c r="P191">
        <f t="shared" si="469"/>
        <v>0.2</v>
      </c>
      <c r="Q191">
        <f t="shared" si="469"/>
        <v>0.2</v>
      </c>
      <c r="R191">
        <f t="shared" si="469"/>
        <v>0.2</v>
      </c>
      <c r="S191">
        <f t="shared" ref="S191:U191" si="470">S148/COUNT($S148:$U148)</f>
        <v>0.33333333333333331</v>
      </c>
      <c r="T191">
        <f t="shared" si="470"/>
        <v>0.33333333333333331</v>
      </c>
      <c r="U191">
        <f t="shared" si="470"/>
        <v>0</v>
      </c>
      <c r="V191">
        <f t="shared" ref="V191:Z191" si="471">V148/COUNT($V148:$Z148)</f>
        <v>0</v>
      </c>
      <c r="W191">
        <f t="shared" si="471"/>
        <v>0.2</v>
      </c>
      <c r="X191">
        <f t="shared" si="471"/>
        <v>0</v>
      </c>
      <c r="Y191">
        <f t="shared" si="471"/>
        <v>0</v>
      </c>
      <c r="Z191">
        <f t="shared" si="471"/>
        <v>0</v>
      </c>
      <c r="AA191">
        <f t="shared" ref="AA191:AB191" si="472">AA148/COUNT($AA148:$AB148)</f>
        <v>0</v>
      </c>
      <c r="AB191">
        <f t="shared" si="472"/>
        <v>0</v>
      </c>
      <c r="AC191">
        <f t="shared" ref="AC191:AG191" si="473">AC148/COUNT($AC148:$AG148)</f>
        <v>0.2</v>
      </c>
      <c r="AD191">
        <f t="shared" si="473"/>
        <v>0</v>
      </c>
      <c r="AE191">
        <f t="shared" si="473"/>
        <v>0</v>
      </c>
      <c r="AF191">
        <f t="shared" si="473"/>
        <v>0</v>
      </c>
      <c r="AG191">
        <f t="shared" si="473"/>
        <v>0</v>
      </c>
      <c r="AH191">
        <f t="shared" si="401"/>
        <v>1</v>
      </c>
    </row>
    <row r="192" spans="1:35">
      <c r="A192" t="str">
        <f t="shared" si="391"/>
        <v>P11</v>
      </c>
      <c r="B192">
        <f t="shared" ref="B192:D192" si="474">B149/COUNT($B149:$D149)</f>
        <v>0</v>
      </c>
      <c r="C192">
        <f t="shared" si="474"/>
        <v>0.33333333333333331</v>
      </c>
      <c r="D192">
        <f t="shared" si="474"/>
        <v>0</v>
      </c>
      <c r="E192">
        <f t="shared" ref="E192:H192" si="475">E149/COUNT($E149:$H149)</f>
        <v>0</v>
      </c>
      <c r="F192">
        <f t="shared" si="475"/>
        <v>0</v>
      </c>
      <c r="G192">
        <f t="shared" si="475"/>
        <v>0</v>
      </c>
      <c r="H192">
        <f t="shared" si="475"/>
        <v>0.25</v>
      </c>
      <c r="I192">
        <f t="shared" ref="I192:K192" si="476">I149/COUNT($I149:$K149)</f>
        <v>0</v>
      </c>
      <c r="J192">
        <f t="shared" si="476"/>
        <v>0</v>
      </c>
      <c r="K192">
        <f t="shared" si="476"/>
        <v>0</v>
      </c>
      <c r="L192">
        <f t="shared" ref="L192:M192" si="477">L149/COUNT($L149:$M149)</f>
        <v>0</v>
      </c>
      <c r="M192">
        <f t="shared" si="477"/>
        <v>0.5</v>
      </c>
      <c r="N192">
        <f t="shared" ref="N192:R192" si="478">N149/COUNT($N149:$R149)</f>
        <v>0</v>
      </c>
      <c r="O192">
        <f t="shared" si="478"/>
        <v>0.2</v>
      </c>
      <c r="P192">
        <f t="shared" si="478"/>
        <v>0.2</v>
      </c>
      <c r="Q192">
        <f t="shared" si="478"/>
        <v>0.2</v>
      </c>
      <c r="R192">
        <f t="shared" si="478"/>
        <v>0</v>
      </c>
      <c r="S192">
        <f t="shared" ref="S192:U192" si="479">S149/COUNT($S149:$U149)</f>
        <v>0.33333333333333331</v>
      </c>
      <c r="T192">
        <f t="shared" si="479"/>
        <v>0.33333333333333331</v>
      </c>
      <c r="U192">
        <f t="shared" si="479"/>
        <v>0</v>
      </c>
      <c r="V192">
        <f t="shared" ref="V192:Z192" si="480">V149/COUNT($V149:$Z149)</f>
        <v>0.2</v>
      </c>
      <c r="W192">
        <f t="shared" si="480"/>
        <v>0.2</v>
      </c>
      <c r="X192">
        <f t="shared" si="480"/>
        <v>0</v>
      </c>
      <c r="Y192">
        <f t="shared" si="480"/>
        <v>0</v>
      </c>
      <c r="Z192">
        <f t="shared" si="480"/>
        <v>0</v>
      </c>
      <c r="AA192">
        <f t="shared" ref="AA192:AB192" si="481">AA149/COUNT($AA149:$AB149)</f>
        <v>0</v>
      </c>
      <c r="AB192">
        <f t="shared" si="481"/>
        <v>0</v>
      </c>
      <c r="AC192">
        <f t="shared" ref="AC192:AG192" si="482">AC149/COUNT($AC149:$AG149)</f>
        <v>0</v>
      </c>
      <c r="AD192">
        <f t="shared" si="482"/>
        <v>0</v>
      </c>
      <c r="AE192">
        <f t="shared" si="482"/>
        <v>0</v>
      </c>
      <c r="AF192">
        <f t="shared" si="482"/>
        <v>0</v>
      </c>
      <c r="AG192">
        <f t="shared" si="482"/>
        <v>0</v>
      </c>
      <c r="AH192">
        <f t="shared" si="401"/>
        <v>0</v>
      </c>
    </row>
    <row r="193" spans="1:34">
      <c r="A193" t="str">
        <f t="shared" si="391"/>
        <v>P12</v>
      </c>
      <c r="B193">
        <f t="shared" ref="B193:D193" si="483">B150/COUNT($B150:$D150)</f>
        <v>0</v>
      </c>
      <c r="C193">
        <f t="shared" si="483"/>
        <v>0</v>
      </c>
      <c r="D193">
        <f t="shared" si="483"/>
        <v>0</v>
      </c>
      <c r="E193">
        <f t="shared" ref="E193:H193" si="484">E150/COUNT($E150:$H150)</f>
        <v>0</v>
      </c>
      <c r="F193">
        <f t="shared" si="484"/>
        <v>0</v>
      </c>
      <c r="G193">
        <f t="shared" si="484"/>
        <v>0</v>
      </c>
      <c r="H193">
        <f t="shared" si="484"/>
        <v>0</v>
      </c>
      <c r="I193">
        <f t="shared" ref="I193:K193" si="485">I150/COUNT($I150:$K150)</f>
        <v>0</v>
      </c>
      <c r="J193">
        <f t="shared" si="485"/>
        <v>0.33333333333333331</v>
      </c>
      <c r="K193">
        <f t="shared" si="485"/>
        <v>0</v>
      </c>
      <c r="L193">
        <f t="shared" ref="L193:M193" si="486">L150/COUNT($L150:$M150)</f>
        <v>0</v>
      </c>
      <c r="M193">
        <f t="shared" si="486"/>
        <v>0</v>
      </c>
      <c r="N193">
        <f t="shared" ref="N193:R193" si="487">N150/COUNT($N150:$R150)</f>
        <v>0.2</v>
      </c>
      <c r="O193">
        <f t="shared" si="487"/>
        <v>0.2</v>
      </c>
      <c r="P193">
        <f t="shared" si="487"/>
        <v>0.2</v>
      </c>
      <c r="Q193">
        <f t="shared" si="487"/>
        <v>0.2</v>
      </c>
      <c r="R193">
        <f t="shared" si="487"/>
        <v>0.2</v>
      </c>
      <c r="S193">
        <f t="shared" ref="S193:U193" si="488">S150/COUNT($S150:$U150)</f>
        <v>0.33333333333333331</v>
      </c>
      <c r="T193">
        <f t="shared" si="488"/>
        <v>0.33333333333333331</v>
      </c>
      <c r="U193">
        <f t="shared" si="488"/>
        <v>0</v>
      </c>
      <c r="V193">
        <f t="shared" ref="V193:Z193" si="489">V150/COUNT($V150:$Z150)</f>
        <v>0.2</v>
      </c>
      <c r="W193">
        <f t="shared" si="489"/>
        <v>0.2</v>
      </c>
      <c r="X193">
        <f t="shared" si="489"/>
        <v>0</v>
      </c>
      <c r="Y193">
        <f t="shared" si="489"/>
        <v>0</v>
      </c>
      <c r="Z193">
        <f t="shared" si="489"/>
        <v>0</v>
      </c>
      <c r="AA193">
        <f t="shared" ref="AA193:AB193" si="490">AA150/COUNT($AA150:$AB150)</f>
        <v>0</v>
      </c>
      <c r="AB193">
        <f t="shared" si="490"/>
        <v>0</v>
      </c>
      <c r="AC193">
        <f t="shared" ref="AC193:AG193" si="491">AC150/COUNT($AC150:$AG150)</f>
        <v>0</v>
      </c>
      <c r="AD193">
        <f t="shared" si="491"/>
        <v>0</v>
      </c>
      <c r="AE193">
        <f t="shared" si="491"/>
        <v>0</v>
      </c>
      <c r="AF193">
        <f t="shared" si="491"/>
        <v>0</v>
      </c>
      <c r="AG193">
        <f t="shared" si="491"/>
        <v>0</v>
      </c>
      <c r="AH193">
        <f t="shared" si="401"/>
        <v>0</v>
      </c>
    </row>
    <row r="194" spans="1:34">
      <c r="A194" t="str">
        <f t="shared" si="391"/>
        <v>P13</v>
      </c>
      <c r="B194">
        <f t="shared" ref="B194:D194" si="492">B151/COUNT($B151:$D151)</f>
        <v>0</v>
      </c>
      <c r="C194">
        <f t="shared" si="492"/>
        <v>0.33333333333333331</v>
      </c>
      <c r="D194">
        <f t="shared" si="492"/>
        <v>0</v>
      </c>
      <c r="E194">
        <f t="shared" ref="E194:H194" si="493">E151/COUNT($E151:$H151)</f>
        <v>0.25</v>
      </c>
      <c r="F194">
        <f t="shared" si="493"/>
        <v>0</v>
      </c>
      <c r="G194">
        <f t="shared" si="493"/>
        <v>0</v>
      </c>
      <c r="H194">
        <f t="shared" si="493"/>
        <v>0</v>
      </c>
      <c r="I194">
        <f t="shared" ref="I194:K194" si="494">I151/COUNT($I151:$K151)</f>
        <v>0</v>
      </c>
      <c r="J194">
        <f t="shared" si="494"/>
        <v>0.33333333333333331</v>
      </c>
      <c r="K194">
        <f t="shared" si="494"/>
        <v>0.33333333333333331</v>
      </c>
      <c r="L194">
        <f t="shared" ref="L194:M194" si="495">L151/COUNT($L151:$M151)</f>
        <v>0</v>
      </c>
      <c r="M194">
        <f t="shared" si="495"/>
        <v>0.5</v>
      </c>
      <c r="N194">
        <f t="shared" ref="N194:R194" si="496">N151/COUNT($N151:$R151)</f>
        <v>0.2</v>
      </c>
      <c r="O194">
        <f t="shared" si="496"/>
        <v>0.2</v>
      </c>
      <c r="P194">
        <f t="shared" si="496"/>
        <v>0.2</v>
      </c>
      <c r="Q194">
        <f t="shared" si="496"/>
        <v>0.2</v>
      </c>
      <c r="R194">
        <f t="shared" si="496"/>
        <v>0</v>
      </c>
      <c r="S194">
        <f t="shared" ref="S194:U194" si="497">S151/COUNT($S151:$U151)</f>
        <v>0.33333333333333331</v>
      </c>
      <c r="T194">
        <f t="shared" si="497"/>
        <v>0.33333333333333331</v>
      </c>
      <c r="U194">
        <f t="shared" si="497"/>
        <v>0</v>
      </c>
      <c r="V194">
        <f t="shared" ref="V194:Z194" si="498">V151/COUNT($V151:$Z151)</f>
        <v>0</v>
      </c>
      <c r="W194">
        <f t="shared" si="498"/>
        <v>0.2</v>
      </c>
      <c r="X194">
        <f t="shared" si="498"/>
        <v>0</v>
      </c>
      <c r="Y194">
        <f t="shared" si="498"/>
        <v>0</v>
      </c>
      <c r="Z194">
        <f t="shared" si="498"/>
        <v>0</v>
      </c>
      <c r="AA194">
        <f t="shared" ref="AA194:AB194" si="499">AA151/COUNT($AA151:$AB151)</f>
        <v>0</v>
      </c>
      <c r="AB194">
        <f t="shared" si="499"/>
        <v>0</v>
      </c>
      <c r="AC194">
        <f t="shared" ref="AC194:AG194" si="500">AC151/COUNT($AC151:$AG151)</f>
        <v>0</v>
      </c>
      <c r="AD194">
        <f t="shared" si="500"/>
        <v>0</v>
      </c>
      <c r="AE194">
        <f t="shared" si="500"/>
        <v>0</v>
      </c>
      <c r="AF194">
        <f t="shared" si="500"/>
        <v>0</v>
      </c>
      <c r="AG194">
        <f t="shared" si="500"/>
        <v>0</v>
      </c>
      <c r="AH194">
        <f t="shared" si="401"/>
        <v>0</v>
      </c>
    </row>
    <row r="195" spans="1:34">
      <c r="A195" t="str">
        <f t="shared" si="391"/>
        <v>P14</v>
      </c>
      <c r="B195">
        <f t="shared" ref="B195:D195" si="501">B152/COUNT($B152:$D152)</f>
        <v>0</v>
      </c>
      <c r="C195">
        <f t="shared" si="501"/>
        <v>0.33333333333333331</v>
      </c>
      <c r="D195">
        <f t="shared" si="501"/>
        <v>0</v>
      </c>
      <c r="E195">
        <f t="shared" ref="E195:H195" si="502">E152/COUNT($E152:$H152)</f>
        <v>0</v>
      </c>
      <c r="F195">
        <f t="shared" si="502"/>
        <v>0.25</v>
      </c>
      <c r="G195">
        <f t="shared" si="502"/>
        <v>0</v>
      </c>
      <c r="H195">
        <f t="shared" si="502"/>
        <v>0</v>
      </c>
      <c r="I195">
        <f t="shared" ref="I195:K195" si="503">I152/COUNT($I152:$K152)</f>
        <v>0</v>
      </c>
      <c r="J195">
        <f t="shared" si="503"/>
        <v>0.33333333333333331</v>
      </c>
      <c r="K195">
        <f t="shared" si="503"/>
        <v>0.33333333333333331</v>
      </c>
      <c r="L195">
        <f t="shared" ref="L195:M195" si="504">L152/COUNT($L152:$M152)</f>
        <v>0.5</v>
      </c>
      <c r="M195">
        <f t="shared" si="504"/>
        <v>0</v>
      </c>
      <c r="N195">
        <f t="shared" ref="N195:R195" si="505">N152/COUNT($N152:$R152)</f>
        <v>0.2</v>
      </c>
      <c r="O195">
        <f t="shared" si="505"/>
        <v>0.2</v>
      </c>
      <c r="P195">
        <f t="shared" si="505"/>
        <v>0.2</v>
      </c>
      <c r="Q195">
        <f t="shared" si="505"/>
        <v>0.2</v>
      </c>
      <c r="R195">
        <f t="shared" si="505"/>
        <v>0.2</v>
      </c>
      <c r="S195">
        <f t="shared" ref="S195:U195" si="506">S152/COUNT($S152:$U152)</f>
        <v>0.33333333333333331</v>
      </c>
      <c r="T195">
        <f t="shared" si="506"/>
        <v>0.33333333333333331</v>
      </c>
      <c r="U195">
        <f t="shared" si="506"/>
        <v>0</v>
      </c>
      <c r="V195">
        <f t="shared" ref="V195:Z195" si="507">V152/COUNT($V152:$Z152)</f>
        <v>0</v>
      </c>
      <c r="W195">
        <f t="shared" si="507"/>
        <v>0.2</v>
      </c>
      <c r="X195">
        <f t="shared" si="507"/>
        <v>0</v>
      </c>
      <c r="Y195">
        <f t="shared" si="507"/>
        <v>0</v>
      </c>
      <c r="Z195">
        <f t="shared" si="507"/>
        <v>0</v>
      </c>
      <c r="AA195">
        <f t="shared" ref="AA195:AB195" si="508">AA152/COUNT($AA152:$AB152)</f>
        <v>0</v>
      </c>
      <c r="AB195">
        <f t="shared" si="508"/>
        <v>0</v>
      </c>
      <c r="AC195">
        <f t="shared" ref="AC195:AG195" si="509">AC152/COUNT($AC152:$AG152)</f>
        <v>0</v>
      </c>
      <c r="AD195">
        <f t="shared" si="509"/>
        <v>0</v>
      </c>
      <c r="AE195">
        <f t="shared" si="509"/>
        <v>0.2</v>
      </c>
      <c r="AF195">
        <f t="shared" si="509"/>
        <v>0</v>
      </c>
      <c r="AG195">
        <f t="shared" si="509"/>
        <v>0</v>
      </c>
      <c r="AH195">
        <f t="shared" si="401"/>
        <v>0</v>
      </c>
    </row>
    <row r="196" spans="1:34">
      <c r="A196" t="str">
        <f t="shared" si="391"/>
        <v>P15</v>
      </c>
      <c r="B196">
        <f t="shared" ref="B196:D196" si="510">B153/COUNT($B153:$D153)</f>
        <v>0</v>
      </c>
      <c r="C196">
        <f t="shared" si="510"/>
        <v>0.33333333333333331</v>
      </c>
      <c r="D196">
        <f t="shared" si="510"/>
        <v>0</v>
      </c>
      <c r="E196">
        <f t="shared" ref="E196:H196" si="511">E153/COUNT($E153:$H153)</f>
        <v>0</v>
      </c>
      <c r="F196">
        <f t="shared" si="511"/>
        <v>0</v>
      </c>
      <c r="G196">
        <f t="shared" si="511"/>
        <v>0</v>
      </c>
      <c r="H196">
        <f t="shared" si="511"/>
        <v>0.25</v>
      </c>
      <c r="I196">
        <f t="shared" ref="I196:K196" si="512">I153/COUNT($I153:$K153)</f>
        <v>0</v>
      </c>
      <c r="J196">
        <f t="shared" si="512"/>
        <v>0.33333333333333331</v>
      </c>
      <c r="K196">
        <f t="shared" si="512"/>
        <v>0.33333333333333331</v>
      </c>
      <c r="L196">
        <f t="shared" ref="L196:M196" si="513">L153/COUNT($L153:$M153)</f>
        <v>0.5</v>
      </c>
      <c r="M196">
        <f t="shared" si="513"/>
        <v>0</v>
      </c>
      <c r="N196">
        <f t="shared" ref="N196:R196" si="514">N153/COUNT($N153:$R153)</f>
        <v>0.2</v>
      </c>
      <c r="O196">
        <f t="shared" si="514"/>
        <v>0.2</v>
      </c>
      <c r="P196">
        <f t="shared" si="514"/>
        <v>0.2</v>
      </c>
      <c r="Q196">
        <f t="shared" si="514"/>
        <v>0.2</v>
      </c>
      <c r="R196">
        <f t="shared" si="514"/>
        <v>0.2</v>
      </c>
      <c r="S196">
        <f t="shared" ref="S196:U196" si="515">S153/COUNT($S153:$U153)</f>
        <v>0.33333333333333331</v>
      </c>
      <c r="T196">
        <f t="shared" si="515"/>
        <v>0.33333333333333331</v>
      </c>
      <c r="U196">
        <f t="shared" si="515"/>
        <v>0</v>
      </c>
      <c r="V196">
        <f t="shared" ref="V196:Z196" si="516">V153/COUNT($V153:$Z153)</f>
        <v>0.2</v>
      </c>
      <c r="W196">
        <f t="shared" si="516"/>
        <v>0.2</v>
      </c>
      <c r="X196">
        <f t="shared" si="516"/>
        <v>0</v>
      </c>
      <c r="Y196">
        <f t="shared" si="516"/>
        <v>0</v>
      </c>
      <c r="Z196">
        <f t="shared" si="516"/>
        <v>0</v>
      </c>
      <c r="AA196">
        <f t="shared" ref="AA196:AB196" si="517">AA153/COUNT($AA153:$AB153)</f>
        <v>0</v>
      </c>
      <c r="AB196">
        <f t="shared" si="517"/>
        <v>0</v>
      </c>
      <c r="AC196">
        <f t="shared" ref="AC196:AG196" si="518">AC153/COUNT($AC153:$AG153)</f>
        <v>0</v>
      </c>
      <c r="AD196">
        <f t="shared" si="518"/>
        <v>0</v>
      </c>
      <c r="AE196">
        <f t="shared" si="518"/>
        <v>0</v>
      </c>
      <c r="AF196">
        <f t="shared" si="518"/>
        <v>0</v>
      </c>
      <c r="AG196">
        <f t="shared" si="518"/>
        <v>0</v>
      </c>
      <c r="AH196">
        <f t="shared" si="401"/>
        <v>0</v>
      </c>
    </row>
    <row r="197" spans="1:34">
      <c r="A197" t="str">
        <f t="shared" si="391"/>
        <v>P16</v>
      </c>
      <c r="B197">
        <f t="shared" ref="B197:D197" si="519">B154/COUNT($B154:$D154)</f>
        <v>0</v>
      </c>
      <c r="C197">
        <f t="shared" si="519"/>
        <v>0.33333333333333331</v>
      </c>
      <c r="D197">
        <f t="shared" si="519"/>
        <v>0</v>
      </c>
      <c r="E197">
        <f t="shared" ref="E197:H197" si="520">E154/COUNT($E154:$H154)</f>
        <v>0</v>
      </c>
      <c r="F197">
        <f t="shared" si="520"/>
        <v>0.25</v>
      </c>
      <c r="G197">
        <f t="shared" si="520"/>
        <v>0</v>
      </c>
      <c r="H197">
        <f t="shared" si="520"/>
        <v>0</v>
      </c>
      <c r="I197">
        <f t="shared" ref="I197:K197" si="521">I154/COUNT($I154:$K154)</f>
        <v>0</v>
      </c>
      <c r="J197">
        <f t="shared" si="521"/>
        <v>0.33333333333333331</v>
      </c>
      <c r="K197">
        <f t="shared" si="521"/>
        <v>0</v>
      </c>
      <c r="L197">
        <f t="shared" ref="L197:M197" si="522">L154/COUNT($L154:$M154)</f>
        <v>0.5</v>
      </c>
      <c r="M197">
        <f t="shared" si="522"/>
        <v>0</v>
      </c>
      <c r="N197">
        <f t="shared" ref="N197:R197" si="523">N154/COUNT($N154:$R154)</f>
        <v>0.2</v>
      </c>
      <c r="O197">
        <f t="shared" si="523"/>
        <v>0.2</v>
      </c>
      <c r="P197">
        <f t="shared" si="523"/>
        <v>0.2</v>
      </c>
      <c r="Q197">
        <f t="shared" si="523"/>
        <v>0.2</v>
      </c>
      <c r="R197">
        <f t="shared" si="523"/>
        <v>0.2</v>
      </c>
      <c r="S197">
        <f t="shared" ref="S197:U197" si="524">S154/COUNT($S154:$U154)</f>
        <v>0.33333333333333331</v>
      </c>
      <c r="T197">
        <f t="shared" si="524"/>
        <v>0.33333333333333331</v>
      </c>
      <c r="U197">
        <f t="shared" si="524"/>
        <v>0</v>
      </c>
      <c r="V197">
        <f t="shared" ref="V197:Z197" si="525">V154/COUNT($V154:$Z154)</f>
        <v>0.2</v>
      </c>
      <c r="W197">
        <f t="shared" si="525"/>
        <v>0.2</v>
      </c>
      <c r="X197">
        <f t="shared" si="525"/>
        <v>0</v>
      </c>
      <c r="Y197">
        <f t="shared" si="525"/>
        <v>0</v>
      </c>
      <c r="Z197">
        <f t="shared" si="525"/>
        <v>0</v>
      </c>
      <c r="AA197">
        <f t="shared" ref="AA197:AB197" si="526">AA154/COUNT($AA154:$AB154)</f>
        <v>0</v>
      </c>
      <c r="AB197">
        <f t="shared" si="526"/>
        <v>0</v>
      </c>
      <c r="AC197">
        <f t="shared" ref="AC197:AG197" si="527">AC154/COUNT($AC154:$AG154)</f>
        <v>0.2</v>
      </c>
      <c r="AD197">
        <f t="shared" si="527"/>
        <v>0</v>
      </c>
      <c r="AE197">
        <f t="shared" si="527"/>
        <v>0.2</v>
      </c>
      <c r="AF197">
        <f t="shared" si="527"/>
        <v>0</v>
      </c>
      <c r="AG197">
        <f t="shared" si="527"/>
        <v>0</v>
      </c>
      <c r="AH197">
        <f t="shared" si="401"/>
        <v>1</v>
      </c>
    </row>
    <row r="198" spans="1:34">
      <c r="A198" t="str">
        <f t="shared" si="391"/>
        <v>P17</v>
      </c>
      <c r="B198">
        <f t="shared" ref="B198:D198" si="528">B155/COUNT($B155:$D155)</f>
        <v>0</v>
      </c>
      <c r="C198">
        <f t="shared" si="528"/>
        <v>0</v>
      </c>
      <c r="D198">
        <f t="shared" si="528"/>
        <v>0.33333333333333331</v>
      </c>
      <c r="E198">
        <f t="shared" ref="E198:H198" si="529">E155/COUNT($E155:$H155)</f>
        <v>0</v>
      </c>
      <c r="F198">
        <f t="shared" si="529"/>
        <v>0</v>
      </c>
      <c r="G198">
        <f t="shared" si="529"/>
        <v>0</v>
      </c>
      <c r="H198">
        <f t="shared" si="529"/>
        <v>0.25</v>
      </c>
      <c r="I198">
        <f t="shared" ref="I198:K198" si="530">I155/COUNT($I155:$K155)</f>
        <v>0</v>
      </c>
      <c r="J198">
        <f t="shared" si="530"/>
        <v>0</v>
      </c>
      <c r="K198">
        <f t="shared" si="530"/>
        <v>0</v>
      </c>
      <c r="L198">
        <f t="shared" ref="L198:M198" si="531">L155/COUNT($L155:$M155)</f>
        <v>0.5</v>
      </c>
      <c r="M198">
        <f t="shared" si="531"/>
        <v>0</v>
      </c>
      <c r="N198">
        <f t="shared" ref="N198:R198" si="532">N155/COUNT($N155:$R155)</f>
        <v>0</v>
      </c>
      <c r="O198">
        <f t="shared" si="532"/>
        <v>0.2</v>
      </c>
      <c r="P198">
        <f t="shared" si="532"/>
        <v>0.2</v>
      </c>
      <c r="Q198">
        <f t="shared" si="532"/>
        <v>0.2</v>
      </c>
      <c r="R198">
        <f t="shared" si="532"/>
        <v>0.2</v>
      </c>
      <c r="S198">
        <f t="shared" ref="S198:U198" si="533">S155/COUNT($S155:$U155)</f>
        <v>0.33333333333333331</v>
      </c>
      <c r="T198">
        <f t="shared" si="533"/>
        <v>0</v>
      </c>
      <c r="U198">
        <f t="shared" si="533"/>
        <v>0</v>
      </c>
      <c r="V198">
        <f t="shared" ref="V198:Z198" si="534">V155/COUNT($V155:$Z155)</f>
        <v>0</v>
      </c>
      <c r="W198">
        <f t="shared" si="534"/>
        <v>0</v>
      </c>
      <c r="X198">
        <f t="shared" si="534"/>
        <v>0</v>
      </c>
      <c r="Y198">
        <f t="shared" si="534"/>
        <v>0</v>
      </c>
      <c r="Z198">
        <f t="shared" si="534"/>
        <v>0</v>
      </c>
      <c r="AA198">
        <f t="shared" ref="AA198:AB198" si="535">AA155/COUNT($AA155:$AB155)</f>
        <v>0</v>
      </c>
      <c r="AB198">
        <f t="shared" si="535"/>
        <v>0</v>
      </c>
      <c r="AC198">
        <f t="shared" ref="AC198:AG198" si="536">AC155/COUNT($AC155:$AG155)</f>
        <v>0</v>
      </c>
      <c r="AD198">
        <f t="shared" si="536"/>
        <v>0</v>
      </c>
      <c r="AE198">
        <f t="shared" si="536"/>
        <v>0</v>
      </c>
      <c r="AF198">
        <f t="shared" si="536"/>
        <v>0</v>
      </c>
      <c r="AG198">
        <f t="shared" si="536"/>
        <v>0</v>
      </c>
      <c r="AH198">
        <f t="shared" si="401"/>
        <v>0</v>
      </c>
    </row>
    <row r="199" spans="1:34">
      <c r="A199" t="str">
        <f t="shared" si="391"/>
        <v>P18</v>
      </c>
      <c r="B199">
        <f t="shared" ref="B199:D199" si="537">B156/COUNT($B156:$D156)</f>
        <v>0</v>
      </c>
      <c r="C199">
        <f t="shared" si="537"/>
        <v>0.33333333333333331</v>
      </c>
      <c r="D199">
        <f t="shared" si="537"/>
        <v>0</v>
      </c>
      <c r="E199">
        <f t="shared" ref="E199:H199" si="538">E156/COUNT($E156:$H156)</f>
        <v>0</v>
      </c>
      <c r="F199">
        <f t="shared" si="538"/>
        <v>0</v>
      </c>
      <c r="G199">
        <f t="shared" si="538"/>
        <v>0.25</v>
      </c>
      <c r="H199">
        <f t="shared" si="538"/>
        <v>0</v>
      </c>
      <c r="I199">
        <f t="shared" ref="I199:K199" si="539">I156/COUNT($I156:$K156)</f>
        <v>0.33333333333333331</v>
      </c>
      <c r="J199">
        <f t="shared" si="539"/>
        <v>0</v>
      </c>
      <c r="K199">
        <f t="shared" si="539"/>
        <v>0</v>
      </c>
      <c r="L199">
        <f t="shared" ref="L199:M199" si="540">L156/COUNT($L156:$M156)</f>
        <v>0.5</v>
      </c>
      <c r="M199">
        <f t="shared" si="540"/>
        <v>0</v>
      </c>
      <c r="N199">
        <f t="shared" ref="N199:R199" si="541">N156/COUNT($N156:$R156)</f>
        <v>0.2</v>
      </c>
      <c r="O199">
        <f t="shared" si="541"/>
        <v>0.2</v>
      </c>
      <c r="P199">
        <f t="shared" si="541"/>
        <v>0.2</v>
      </c>
      <c r="Q199">
        <f t="shared" si="541"/>
        <v>0.2</v>
      </c>
      <c r="R199">
        <f t="shared" si="541"/>
        <v>0.2</v>
      </c>
      <c r="S199">
        <f t="shared" ref="S199:U199" si="542">S156/COUNT($S156:$U156)</f>
        <v>0.33333333333333331</v>
      </c>
      <c r="T199">
        <f t="shared" si="542"/>
        <v>0</v>
      </c>
      <c r="U199">
        <f t="shared" si="542"/>
        <v>0</v>
      </c>
      <c r="V199">
        <f t="shared" ref="V199:Z199" si="543">V156/COUNT($V156:$Z156)</f>
        <v>0.2</v>
      </c>
      <c r="W199">
        <f t="shared" si="543"/>
        <v>0.2</v>
      </c>
      <c r="X199">
        <f t="shared" si="543"/>
        <v>0</v>
      </c>
      <c r="Y199">
        <f t="shared" si="543"/>
        <v>0</v>
      </c>
      <c r="Z199">
        <f t="shared" si="543"/>
        <v>0</v>
      </c>
      <c r="AA199">
        <f t="shared" ref="AA199:AB199" si="544">AA156/COUNT($AA156:$AB156)</f>
        <v>0</v>
      </c>
      <c r="AB199">
        <f t="shared" si="544"/>
        <v>0</v>
      </c>
      <c r="AC199">
        <f t="shared" ref="AC199:AG199" si="545">AC156/COUNT($AC156:$AG156)</f>
        <v>0.2</v>
      </c>
      <c r="AD199">
        <f t="shared" si="545"/>
        <v>0</v>
      </c>
      <c r="AE199">
        <f t="shared" si="545"/>
        <v>0.2</v>
      </c>
      <c r="AF199">
        <f t="shared" si="545"/>
        <v>0</v>
      </c>
      <c r="AG199">
        <f t="shared" si="545"/>
        <v>0</v>
      </c>
      <c r="AH199">
        <f t="shared" si="401"/>
        <v>1</v>
      </c>
    </row>
    <row r="200" spans="1:34">
      <c r="A200" t="str">
        <f t="shared" si="391"/>
        <v>P19</v>
      </c>
      <c r="B200">
        <f t="shared" ref="B200:D200" si="546">B157/COUNT($B157:$D157)</f>
        <v>0.33333333333333331</v>
      </c>
      <c r="C200">
        <f t="shared" si="546"/>
        <v>0</v>
      </c>
      <c r="D200">
        <f t="shared" si="546"/>
        <v>0</v>
      </c>
      <c r="E200">
        <f t="shared" ref="E200:H200" si="547">E157/COUNT($E157:$H157)</f>
        <v>0</v>
      </c>
      <c r="F200">
        <f t="shared" si="547"/>
        <v>0</v>
      </c>
      <c r="G200">
        <f t="shared" si="547"/>
        <v>0</v>
      </c>
      <c r="H200">
        <f t="shared" si="547"/>
        <v>0.25</v>
      </c>
      <c r="I200">
        <f t="shared" ref="I200:K200" si="548">I157/COUNT($I157:$K157)</f>
        <v>0</v>
      </c>
      <c r="J200">
        <f t="shared" si="548"/>
        <v>0.33333333333333331</v>
      </c>
      <c r="K200">
        <f t="shared" si="548"/>
        <v>0</v>
      </c>
      <c r="L200">
        <f t="shared" ref="L200:M200" si="549">L157/COUNT($L157:$M157)</f>
        <v>0.5</v>
      </c>
      <c r="M200">
        <f t="shared" si="549"/>
        <v>0</v>
      </c>
      <c r="N200">
        <f t="shared" ref="N200:R200" si="550">N157/COUNT($N157:$R157)</f>
        <v>0</v>
      </c>
      <c r="O200">
        <f t="shared" si="550"/>
        <v>0</v>
      </c>
      <c r="P200">
        <f t="shared" si="550"/>
        <v>0.2</v>
      </c>
      <c r="Q200">
        <f t="shared" si="550"/>
        <v>0.2</v>
      </c>
      <c r="R200">
        <f t="shared" si="550"/>
        <v>0.2</v>
      </c>
      <c r="S200">
        <f t="shared" ref="S200:U200" si="551">S157/COUNT($S157:$U157)</f>
        <v>0.33333333333333331</v>
      </c>
      <c r="T200">
        <f t="shared" si="551"/>
        <v>0.33333333333333331</v>
      </c>
      <c r="U200">
        <f t="shared" si="551"/>
        <v>0</v>
      </c>
      <c r="V200">
        <f t="shared" ref="V200:Z200" si="552">V157/COUNT($V157:$Z157)</f>
        <v>0</v>
      </c>
      <c r="W200">
        <f t="shared" si="552"/>
        <v>0</v>
      </c>
      <c r="X200">
        <f t="shared" si="552"/>
        <v>0</v>
      </c>
      <c r="Y200">
        <f t="shared" si="552"/>
        <v>0</v>
      </c>
      <c r="Z200">
        <f t="shared" si="552"/>
        <v>0</v>
      </c>
      <c r="AA200">
        <f t="shared" ref="AA200:AB200" si="553">AA157/COUNT($AA157:$AB157)</f>
        <v>0</v>
      </c>
      <c r="AB200">
        <f t="shared" si="553"/>
        <v>0</v>
      </c>
      <c r="AC200">
        <f t="shared" ref="AC200:AG200" si="554">AC157/COUNT($AC157:$AG157)</f>
        <v>0</v>
      </c>
      <c r="AD200">
        <f t="shared" si="554"/>
        <v>0</v>
      </c>
      <c r="AE200">
        <f t="shared" si="554"/>
        <v>0</v>
      </c>
      <c r="AF200">
        <f t="shared" si="554"/>
        <v>0</v>
      </c>
      <c r="AG200">
        <f t="shared" si="554"/>
        <v>0</v>
      </c>
      <c r="AH200">
        <f t="shared" si="401"/>
        <v>0</v>
      </c>
    </row>
    <row r="201" spans="1:34">
      <c r="A201" t="str">
        <f t="shared" si="391"/>
        <v>P20</v>
      </c>
      <c r="B201">
        <f t="shared" ref="B201:D201" si="555">B158/COUNT($B158:$D158)</f>
        <v>0.33333333333333331</v>
      </c>
      <c r="C201">
        <f t="shared" si="555"/>
        <v>0</v>
      </c>
      <c r="D201">
        <f t="shared" si="555"/>
        <v>0</v>
      </c>
      <c r="E201">
        <f t="shared" ref="E201:H201" si="556">E158/COUNT($E158:$H158)</f>
        <v>0</v>
      </c>
      <c r="F201">
        <f t="shared" si="556"/>
        <v>0</v>
      </c>
      <c r="G201">
        <f t="shared" si="556"/>
        <v>0</v>
      </c>
      <c r="H201">
        <f t="shared" si="556"/>
        <v>0.25</v>
      </c>
      <c r="I201">
        <f t="shared" ref="I201:K201" si="557">I158/COUNT($I158:$K158)</f>
        <v>0</v>
      </c>
      <c r="J201">
        <f t="shared" si="557"/>
        <v>0.33333333333333331</v>
      </c>
      <c r="K201">
        <f t="shared" si="557"/>
        <v>0</v>
      </c>
      <c r="L201">
        <f t="shared" ref="L201:M201" si="558">L158/COUNT($L158:$M158)</f>
        <v>0.5</v>
      </c>
      <c r="M201">
        <f t="shared" si="558"/>
        <v>0</v>
      </c>
      <c r="N201">
        <f t="shared" ref="N201:R201" si="559">N158/COUNT($N158:$R158)</f>
        <v>0</v>
      </c>
      <c r="O201">
        <f t="shared" si="559"/>
        <v>0</v>
      </c>
      <c r="P201">
        <f t="shared" si="559"/>
        <v>0</v>
      </c>
      <c r="Q201">
        <f t="shared" si="559"/>
        <v>0</v>
      </c>
      <c r="R201">
        <f t="shared" si="559"/>
        <v>0</v>
      </c>
      <c r="S201">
        <f t="shared" ref="S201:U201" si="560">S158/COUNT($S158:$U158)</f>
        <v>0.33333333333333331</v>
      </c>
      <c r="T201">
        <f t="shared" si="560"/>
        <v>0.33333333333333331</v>
      </c>
      <c r="U201">
        <f t="shared" si="560"/>
        <v>0</v>
      </c>
      <c r="V201">
        <f t="shared" ref="V201:Z201" si="561">V158/COUNT($V158:$Z158)</f>
        <v>0.2</v>
      </c>
      <c r="W201">
        <f t="shared" si="561"/>
        <v>0</v>
      </c>
      <c r="X201">
        <f t="shared" si="561"/>
        <v>0.2</v>
      </c>
      <c r="Y201">
        <f t="shared" si="561"/>
        <v>0</v>
      </c>
      <c r="Z201">
        <f t="shared" si="561"/>
        <v>0.2</v>
      </c>
      <c r="AA201">
        <f t="shared" ref="AA201:AB201" si="562">AA158/COUNT($AA158:$AB158)</f>
        <v>0</v>
      </c>
      <c r="AB201">
        <f t="shared" si="562"/>
        <v>0</v>
      </c>
      <c r="AC201">
        <f t="shared" ref="AC201:AG201" si="563">AC158/COUNT($AC158:$AG158)</f>
        <v>0.2</v>
      </c>
      <c r="AD201">
        <f t="shared" si="563"/>
        <v>0</v>
      </c>
      <c r="AE201">
        <f t="shared" si="563"/>
        <v>0.2</v>
      </c>
      <c r="AF201">
        <f t="shared" si="563"/>
        <v>0</v>
      </c>
      <c r="AG201">
        <f t="shared" si="563"/>
        <v>0</v>
      </c>
      <c r="AH201">
        <f t="shared" si="401"/>
        <v>0</v>
      </c>
    </row>
    <row r="202" spans="1:34">
      <c r="A202" t="str">
        <f t="shared" si="391"/>
        <v>P21</v>
      </c>
      <c r="B202">
        <f t="shared" ref="B202:D202" si="564">B159/COUNT($B159:$D159)</f>
        <v>0.33333333333333331</v>
      </c>
      <c r="C202">
        <f t="shared" si="564"/>
        <v>0.33333333333333331</v>
      </c>
      <c r="D202">
        <f t="shared" si="564"/>
        <v>0</v>
      </c>
      <c r="E202">
        <f t="shared" ref="E202:H202" si="565">E159/COUNT($E159:$H159)</f>
        <v>0</v>
      </c>
      <c r="F202">
        <f t="shared" si="565"/>
        <v>0</v>
      </c>
      <c r="G202">
        <f t="shared" si="565"/>
        <v>0</v>
      </c>
      <c r="H202">
        <f t="shared" si="565"/>
        <v>0.25</v>
      </c>
      <c r="I202">
        <f t="shared" ref="I202:K202" si="566">I159/COUNT($I159:$K159)</f>
        <v>0</v>
      </c>
      <c r="J202">
        <f t="shared" si="566"/>
        <v>0</v>
      </c>
      <c r="K202">
        <f t="shared" si="566"/>
        <v>0</v>
      </c>
      <c r="L202">
        <f t="shared" ref="L202:M202" si="567">L159/COUNT($L159:$M159)</f>
        <v>0.5</v>
      </c>
      <c r="M202">
        <f t="shared" si="567"/>
        <v>0</v>
      </c>
      <c r="N202">
        <f t="shared" ref="N202:R202" si="568">N159/COUNT($N159:$R159)</f>
        <v>0</v>
      </c>
      <c r="O202">
        <f t="shared" si="568"/>
        <v>0</v>
      </c>
      <c r="P202">
        <f t="shared" si="568"/>
        <v>0</v>
      </c>
      <c r="Q202">
        <f t="shared" si="568"/>
        <v>0</v>
      </c>
      <c r="R202">
        <f t="shared" si="568"/>
        <v>0</v>
      </c>
      <c r="S202">
        <f t="shared" ref="S202:U202" si="569">S159/COUNT($S159:$U159)</f>
        <v>0.33333333333333331</v>
      </c>
      <c r="T202">
        <f t="shared" si="569"/>
        <v>0</v>
      </c>
      <c r="U202">
        <f t="shared" si="569"/>
        <v>0</v>
      </c>
      <c r="V202">
        <f t="shared" ref="V202:Z202" si="570">V159/COUNT($V159:$Z159)</f>
        <v>0.2</v>
      </c>
      <c r="W202">
        <f t="shared" si="570"/>
        <v>0</v>
      </c>
      <c r="X202">
        <f t="shared" si="570"/>
        <v>0.2</v>
      </c>
      <c r="Y202">
        <f t="shared" si="570"/>
        <v>0.2</v>
      </c>
      <c r="Z202">
        <f t="shared" si="570"/>
        <v>0.2</v>
      </c>
      <c r="AA202">
        <f t="shared" ref="AA202:AB202" si="571">AA159/COUNT($AA159:$AB159)</f>
        <v>0</v>
      </c>
      <c r="AB202">
        <f t="shared" si="571"/>
        <v>0.5</v>
      </c>
      <c r="AC202">
        <f t="shared" ref="AC202:AG202" si="572">AC159/COUNT($AC159:$AG159)</f>
        <v>0.2</v>
      </c>
      <c r="AD202">
        <f t="shared" si="572"/>
        <v>0</v>
      </c>
      <c r="AE202">
        <f t="shared" si="572"/>
        <v>0.2</v>
      </c>
      <c r="AF202">
        <f t="shared" si="572"/>
        <v>0</v>
      </c>
      <c r="AG202">
        <f t="shared" si="572"/>
        <v>0</v>
      </c>
      <c r="AH202">
        <f t="shared" si="401"/>
        <v>0</v>
      </c>
    </row>
    <row r="203" spans="1:34">
      <c r="A203" t="str">
        <f t="shared" si="391"/>
        <v>P22</v>
      </c>
      <c r="B203">
        <f t="shared" ref="B203:D203" si="573">B160/COUNT($B160:$D160)</f>
        <v>0</v>
      </c>
      <c r="C203">
        <f t="shared" si="573"/>
        <v>0.33333333333333331</v>
      </c>
      <c r="D203">
        <f t="shared" si="573"/>
        <v>0</v>
      </c>
      <c r="E203">
        <f t="shared" ref="E203:H203" si="574">E160/COUNT($E160:$H160)</f>
        <v>0</v>
      </c>
      <c r="F203">
        <f t="shared" si="574"/>
        <v>0</v>
      </c>
      <c r="G203">
        <f t="shared" si="574"/>
        <v>0</v>
      </c>
      <c r="H203">
        <f t="shared" si="574"/>
        <v>0.25</v>
      </c>
      <c r="I203">
        <f t="shared" ref="I203:K203" si="575">I160/COUNT($I160:$K160)</f>
        <v>0</v>
      </c>
      <c r="J203">
        <f t="shared" si="575"/>
        <v>0.33333333333333331</v>
      </c>
      <c r="K203">
        <f t="shared" si="575"/>
        <v>0.33333333333333331</v>
      </c>
      <c r="L203">
        <f t="shared" ref="L203:M203" si="576">L160/COUNT($L160:$M160)</f>
        <v>0.5</v>
      </c>
      <c r="M203">
        <f t="shared" si="576"/>
        <v>0</v>
      </c>
      <c r="N203">
        <f t="shared" ref="N203:R203" si="577">N160/COUNT($N160:$R160)</f>
        <v>0.2</v>
      </c>
      <c r="O203">
        <f t="shared" si="577"/>
        <v>0.2</v>
      </c>
      <c r="P203">
        <f t="shared" si="577"/>
        <v>0.2</v>
      </c>
      <c r="Q203">
        <f t="shared" si="577"/>
        <v>0.2</v>
      </c>
      <c r="R203">
        <f t="shared" si="577"/>
        <v>0</v>
      </c>
      <c r="S203">
        <f t="shared" ref="S203:U203" si="578">S160/COUNT($S160:$U160)</f>
        <v>0.33333333333333331</v>
      </c>
      <c r="T203">
        <f t="shared" si="578"/>
        <v>0</v>
      </c>
      <c r="U203">
        <f t="shared" si="578"/>
        <v>0</v>
      </c>
      <c r="V203">
        <f t="shared" ref="V203:Z203" si="579">V160/COUNT($V160:$Z160)</f>
        <v>0.2</v>
      </c>
      <c r="W203">
        <f t="shared" si="579"/>
        <v>0.2</v>
      </c>
      <c r="X203">
        <f t="shared" si="579"/>
        <v>0</v>
      </c>
      <c r="Y203">
        <f t="shared" si="579"/>
        <v>0</v>
      </c>
      <c r="Z203">
        <f t="shared" si="579"/>
        <v>0</v>
      </c>
      <c r="AA203">
        <f t="shared" ref="AA203:AB203" si="580">AA160/COUNT($AA160:$AB160)</f>
        <v>0</v>
      </c>
      <c r="AB203">
        <f t="shared" si="580"/>
        <v>0</v>
      </c>
      <c r="AC203">
        <f t="shared" ref="AC203:AG203" si="581">AC160/COUNT($AC160:$AG160)</f>
        <v>0</v>
      </c>
      <c r="AD203">
        <f t="shared" si="581"/>
        <v>0</v>
      </c>
      <c r="AE203">
        <f t="shared" si="581"/>
        <v>0.2</v>
      </c>
      <c r="AF203">
        <f t="shared" si="581"/>
        <v>0</v>
      </c>
      <c r="AG203">
        <f t="shared" si="581"/>
        <v>0</v>
      </c>
      <c r="AH203">
        <f t="shared" si="401"/>
        <v>0</v>
      </c>
    </row>
    <row r="204" spans="1:34">
      <c r="A204" t="str">
        <f t="shared" si="391"/>
        <v>P23</v>
      </c>
      <c r="B204">
        <f t="shared" ref="B204:D204" si="582">B161/COUNT($B161:$D161)</f>
        <v>0</v>
      </c>
      <c r="C204">
        <f t="shared" si="582"/>
        <v>0.33333333333333331</v>
      </c>
      <c r="D204">
        <f t="shared" si="582"/>
        <v>0</v>
      </c>
      <c r="E204">
        <f t="shared" ref="E204:H204" si="583">E161/COUNT($E161:$H161)</f>
        <v>0</v>
      </c>
      <c r="F204">
        <f t="shared" si="583"/>
        <v>0.25</v>
      </c>
      <c r="G204">
        <f t="shared" si="583"/>
        <v>0</v>
      </c>
      <c r="H204">
        <f t="shared" si="583"/>
        <v>0</v>
      </c>
      <c r="I204">
        <f t="shared" ref="I204:K204" si="584">I161/COUNT($I161:$K161)</f>
        <v>0.33333333333333331</v>
      </c>
      <c r="J204">
        <f t="shared" si="584"/>
        <v>0.33333333333333331</v>
      </c>
      <c r="K204">
        <f t="shared" si="584"/>
        <v>0</v>
      </c>
      <c r="L204">
        <f t="shared" ref="L204:M204" si="585">L161/COUNT($L161:$M161)</f>
        <v>0</v>
      </c>
      <c r="M204">
        <f t="shared" si="585"/>
        <v>0</v>
      </c>
      <c r="N204">
        <f t="shared" ref="N204:R204" si="586">N161/COUNT($N161:$R161)</f>
        <v>0</v>
      </c>
      <c r="O204">
        <f t="shared" si="586"/>
        <v>0.2</v>
      </c>
      <c r="P204">
        <f t="shared" si="586"/>
        <v>0.2</v>
      </c>
      <c r="Q204">
        <f t="shared" si="586"/>
        <v>0.2</v>
      </c>
      <c r="R204">
        <f t="shared" si="586"/>
        <v>0</v>
      </c>
      <c r="S204">
        <f t="shared" ref="S204:U204" si="587">S161/COUNT($S161:$U161)</f>
        <v>0.33333333333333331</v>
      </c>
      <c r="T204">
        <f t="shared" si="587"/>
        <v>0.33333333333333331</v>
      </c>
      <c r="U204">
        <f t="shared" si="587"/>
        <v>0</v>
      </c>
      <c r="V204">
        <f t="shared" ref="V204:Z204" si="588">V161/COUNT($V161:$Z161)</f>
        <v>0.2</v>
      </c>
      <c r="W204">
        <f t="shared" si="588"/>
        <v>0.2</v>
      </c>
      <c r="X204">
        <f t="shared" si="588"/>
        <v>0.2</v>
      </c>
      <c r="Y204">
        <f t="shared" si="588"/>
        <v>0</v>
      </c>
      <c r="Z204">
        <f t="shared" si="588"/>
        <v>0.2</v>
      </c>
      <c r="AA204">
        <f t="shared" ref="AA204:AB204" si="589">AA161/COUNT($AA161:$AB161)</f>
        <v>0</v>
      </c>
      <c r="AB204">
        <f t="shared" si="589"/>
        <v>0</v>
      </c>
      <c r="AC204">
        <f t="shared" ref="AC204:AG204" si="590">AC161/COUNT($AC161:$AG161)</f>
        <v>0.2</v>
      </c>
      <c r="AD204">
        <f t="shared" si="590"/>
        <v>0</v>
      </c>
      <c r="AE204">
        <f t="shared" si="590"/>
        <v>0.2</v>
      </c>
      <c r="AF204">
        <f t="shared" si="590"/>
        <v>0</v>
      </c>
      <c r="AG204">
        <f t="shared" si="590"/>
        <v>0</v>
      </c>
      <c r="AH204">
        <f t="shared" si="401"/>
        <v>1</v>
      </c>
    </row>
    <row r="205" spans="1:34">
      <c r="A205" t="str">
        <f t="shared" si="391"/>
        <v>P24</v>
      </c>
      <c r="B205">
        <f t="shared" ref="B205:D205" si="591">B162/COUNT($B162:$D162)</f>
        <v>0</v>
      </c>
      <c r="C205">
        <f t="shared" si="591"/>
        <v>0.33333333333333331</v>
      </c>
      <c r="D205">
        <f t="shared" si="591"/>
        <v>0</v>
      </c>
      <c r="E205">
        <f t="shared" ref="E205:H205" si="592">E162/COUNT($E162:$H162)</f>
        <v>0</v>
      </c>
      <c r="F205">
        <f t="shared" si="592"/>
        <v>0</v>
      </c>
      <c r="G205">
        <f t="shared" si="592"/>
        <v>0</v>
      </c>
      <c r="H205">
        <f t="shared" si="592"/>
        <v>0.25</v>
      </c>
      <c r="I205">
        <f t="shared" ref="I205:K205" si="593">I162/COUNT($I162:$K162)</f>
        <v>0</v>
      </c>
      <c r="J205">
        <f t="shared" si="593"/>
        <v>0.33333333333333331</v>
      </c>
      <c r="K205">
        <f t="shared" si="593"/>
        <v>0</v>
      </c>
      <c r="L205">
        <f t="shared" ref="L205:M205" si="594">L162/COUNT($L162:$M162)</f>
        <v>0.5</v>
      </c>
      <c r="M205">
        <f t="shared" si="594"/>
        <v>0</v>
      </c>
      <c r="N205">
        <f t="shared" ref="N205:R205" si="595">N162/COUNT($N162:$R162)</f>
        <v>0</v>
      </c>
      <c r="O205">
        <f t="shared" si="595"/>
        <v>0</v>
      </c>
      <c r="P205">
        <f t="shared" si="595"/>
        <v>0.2</v>
      </c>
      <c r="Q205">
        <f t="shared" si="595"/>
        <v>0.2</v>
      </c>
      <c r="R205">
        <f t="shared" si="595"/>
        <v>0.2</v>
      </c>
      <c r="S205">
        <f t="shared" ref="S205:U205" si="596">S162/COUNT($S162:$U162)</f>
        <v>0.33333333333333331</v>
      </c>
      <c r="T205">
        <f t="shared" si="596"/>
        <v>0.33333333333333331</v>
      </c>
      <c r="U205">
        <f t="shared" si="596"/>
        <v>0</v>
      </c>
      <c r="V205">
        <f t="shared" ref="V205:Z205" si="597">V162/COUNT($V162:$Z162)</f>
        <v>0</v>
      </c>
      <c r="W205">
        <f t="shared" si="597"/>
        <v>0</v>
      </c>
      <c r="X205">
        <f t="shared" si="597"/>
        <v>0</v>
      </c>
      <c r="Y205">
        <f t="shared" si="597"/>
        <v>0</v>
      </c>
      <c r="Z205">
        <f t="shared" si="597"/>
        <v>0</v>
      </c>
      <c r="AA205">
        <f t="shared" ref="AA205:AB205" si="598">AA162/COUNT($AA162:$AB162)</f>
        <v>0</v>
      </c>
      <c r="AB205">
        <f t="shared" si="598"/>
        <v>0</v>
      </c>
      <c r="AC205">
        <f t="shared" ref="AC205:AG205" si="599">AC162/COUNT($AC162:$AG162)</f>
        <v>0</v>
      </c>
      <c r="AD205">
        <f t="shared" si="599"/>
        <v>0</v>
      </c>
      <c r="AE205">
        <f t="shared" si="599"/>
        <v>0</v>
      </c>
      <c r="AF205">
        <f t="shared" si="599"/>
        <v>0</v>
      </c>
      <c r="AG205">
        <f t="shared" si="599"/>
        <v>0</v>
      </c>
      <c r="AH205">
        <f t="shared" si="401"/>
        <v>0</v>
      </c>
    </row>
    <row r="206" spans="1:34">
      <c r="A206" t="str">
        <f t="shared" si="391"/>
        <v>P25</v>
      </c>
      <c r="B206">
        <f t="shared" ref="B206:D206" si="600">B163/COUNT($B163:$D163)</f>
        <v>0</v>
      </c>
      <c r="C206">
        <f t="shared" si="600"/>
        <v>0</v>
      </c>
      <c r="D206">
        <f t="shared" si="600"/>
        <v>0.33333333333333331</v>
      </c>
      <c r="E206">
        <f t="shared" ref="E206:H206" si="601">E163/COUNT($E163:$H163)</f>
        <v>0.25</v>
      </c>
      <c r="F206">
        <f t="shared" si="601"/>
        <v>0</v>
      </c>
      <c r="G206">
        <f t="shared" si="601"/>
        <v>0</v>
      </c>
      <c r="H206">
        <f t="shared" si="601"/>
        <v>0</v>
      </c>
      <c r="I206">
        <f t="shared" ref="I206:K206" si="602">I163/COUNT($I163:$K163)</f>
        <v>0</v>
      </c>
      <c r="J206">
        <f t="shared" si="602"/>
        <v>0.33333333333333331</v>
      </c>
      <c r="K206">
        <f t="shared" si="602"/>
        <v>0.33333333333333331</v>
      </c>
      <c r="L206">
        <f t="shared" ref="L206:M206" si="603">L163/COUNT($L163:$M163)</f>
        <v>0.5</v>
      </c>
      <c r="M206">
        <f t="shared" si="603"/>
        <v>0</v>
      </c>
      <c r="N206">
        <f t="shared" ref="N206:R206" si="604">N163/COUNT($N163:$R163)</f>
        <v>0.2</v>
      </c>
      <c r="O206">
        <f t="shared" si="604"/>
        <v>0.2</v>
      </c>
      <c r="P206">
        <f t="shared" si="604"/>
        <v>0.2</v>
      </c>
      <c r="Q206">
        <f t="shared" si="604"/>
        <v>0</v>
      </c>
      <c r="R206">
        <f t="shared" si="604"/>
        <v>0.2</v>
      </c>
      <c r="S206">
        <f t="shared" ref="S206:U206" si="605">S163/COUNT($S163:$U163)</f>
        <v>0.33333333333333331</v>
      </c>
      <c r="T206">
        <f t="shared" si="605"/>
        <v>0</v>
      </c>
      <c r="U206">
        <f t="shared" si="605"/>
        <v>0</v>
      </c>
      <c r="V206">
        <f t="shared" ref="V206:Z206" si="606">V163/COUNT($V163:$Z163)</f>
        <v>0.2</v>
      </c>
      <c r="W206">
        <f t="shared" si="606"/>
        <v>0.2</v>
      </c>
      <c r="X206">
        <f t="shared" si="606"/>
        <v>0.2</v>
      </c>
      <c r="Y206">
        <f t="shared" si="606"/>
        <v>0</v>
      </c>
      <c r="Z206">
        <f t="shared" si="606"/>
        <v>0.2</v>
      </c>
      <c r="AA206">
        <f t="shared" ref="AA206:AB206" si="607">AA163/COUNT($AA163:$AB163)</f>
        <v>0</v>
      </c>
      <c r="AB206">
        <f t="shared" si="607"/>
        <v>0</v>
      </c>
      <c r="AC206">
        <f t="shared" ref="AC206:AG206" si="608">AC163/COUNT($AC163:$AG163)</f>
        <v>0.2</v>
      </c>
      <c r="AD206">
        <f t="shared" si="608"/>
        <v>0</v>
      </c>
      <c r="AE206">
        <f t="shared" si="608"/>
        <v>0.2</v>
      </c>
      <c r="AF206">
        <f t="shared" si="608"/>
        <v>0</v>
      </c>
      <c r="AG206">
        <f t="shared" si="608"/>
        <v>0</v>
      </c>
      <c r="AH206">
        <f t="shared" si="401"/>
        <v>0</v>
      </c>
    </row>
    <row r="207" spans="1:34">
      <c r="A207" t="str">
        <f t="shared" si="391"/>
        <v>P26</v>
      </c>
      <c r="B207">
        <f t="shared" ref="B207:D207" si="609">B164/COUNT($B164:$D164)</f>
        <v>0</v>
      </c>
      <c r="C207">
        <f t="shared" si="609"/>
        <v>0.33333333333333331</v>
      </c>
      <c r="D207">
        <f t="shared" si="609"/>
        <v>0</v>
      </c>
      <c r="E207">
        <f t="shared" ref="E207:H207" si="610">E164/COUNT($E164:$H164)</f>
        <v>0.25</v>
      </c>
      <c r="F207">
        <f t="shared" si="610"/>
        <v>0</v>
      </c>
      <c r="G207">
        <f t="shared" si="610"/>
        <v>0</v>
      </c>
      <c r="H207">
        <f t="shared" si="610"/>
        <v>0</v>
      </c>
      <c r="I207">
        <f t="shared" ref="I207:K207" si="611">I164/COUNT($I164:$K164)</f>
        <v>0.33333333333333331</v>
      </c>
      <c r="J207">
        <f t="shared" si="611"/>
        <v>0.33333333333333331</v>
      </c>
      <c r="K207">
        <f t="shared" si="611"/>
        <v>0</v>
      </c>
      <c r="L207">
        <f t="shared" ref="L207:M207" si="612">L164/COUNT($L164:$M164)</f>
        <v>0</v>
      </c>
      <c r="M207">
        <f t="shared" si="612"/>
        <v>0</v>
      </c>
      <c r="N207">
        <f t="shared" ref="N207:R207" si="613">N164/COUNT($N164:$R164)</f>
        <v>0.2</v>
      </c>
      <c r="O207">
        <f t="shared" si="613"/>
        <v>0.2</v>
      </c>
      <c r="P207">
        <f t="shared" si="613"/>
        <v>0.2</v>
      </c>
      <c r="Q207">
        <f t="shared" si="613"/>
        <v>0.2</v>
      </c>
      <c r="R207">
        <f t="shared" si="613"/>
        <v>0.2</v>
      </c>
      <c r="S207">
        <f t="shared" ref="S207:U207" si="614">S164/COUNT($S164:$U164)</f>
        <v>0.33333333333333331</v>
      </c>
      <c r="T207">
        <f t="shared" si="614"/>
        <v>0.33333333333333331</v>
      </c>
      <c r="U207">
        <f t="shared" si="614"/>
        <v>0.33333333333333331</v>
      </c>
      <c r="V207">
        <f t="shared" ref="V207:Z207" si="615">V164/COUNT($V164:$Z164)</f>
        <v>0.2</v>
      </c>
      <c r="W207">
        <f t="shared" si="615"/>
        <v>0</v>
      </c>
      <c r="X207">
        <f t="shared" si="615"/>
        <v>0</v>
      </c>
      <c r="Y207">
        <f t="shared" si="615"/>
        <v>0</v>
      </c>
      <c r="Z207">
        <f t="shared" si="615"/>
        <v>0</v>
      </c>
      <c r="AA207">
        <f t="shared" ref="AA207:AB207" si="616">AA164/COUNT($AA164:$AB164)</f>
        <v>0</v>
      </c>
      <c r="AB207">
        <f t="shared" si="616"/>
        <v>0</v>
      </c>
      <c r="AC207">
        <f t="shared" ref="AC207:AG207" si="617">AC164/COUNT($AC164:$AG164)</f>
        <v>0.2</v>
      </c>
      <c r="AD207">
        <f t="shared" si="617"/>
        <v>0</v>
      </c>
      <c r="AE207">
        <f t="shared" si="617"/>
        <v>0.2</v>
      </c>
      <c r="AF207">
        <f t="shared" si="617"/>
        <v>0</v>
      </c>
      <c r="AG207">
        <f t="shared" si="617"/>
        <v>0</v>
      </c>
      <c r="AH207">
        <f t="shared" si="401"/>
        <v>0</v>
      </c>
    </row>
    <row r="208" spans="1:34">
      <c r="A208" t="str">
        <f t="shared" si="391"/>
        <v>P27</v>
      </c>
      <c r="B208">
        <f t="shared" ref="B208:D208" si="618">B165/COUNT($B165:$D165)</f>
        <v>0</v>
      </c>
      <c r="C208">
        <f t="shared" si="618"/>
        <v>0.33333333333333331</v>
      </c>
      <c r="D208">
        <f t="shared" si="618"/>
        <v>0</v>
      </c>
      <c r="E208">
        <f t="shared" ref="E208:H208" si="619">E165/COUNT($E165:$H165)</f>
        <v>0</v>
      </c>
      <c r="F208">
        <f t="shared" si="619"/>
        <v>0</v>
      </c>
      <c r="G208">
        <f t="shared" si="619"/>
        <v>0.25</v>
      </c>
      <c r="H208">
        <f t="shared" si="619"/>
        <v>0</v>
      </c>
      <c r="I208">
        <f t="shared" ref="I208:K208" si="620">I165/COUNT($I165:$K165)</f>
        <v>0</v>
      </c>
      <c r="J208">
        <f t="shared" si="620"/>
        <v>0</v>
      </c>
      <c r="K208">
        <f t="shared" si="620"/>
        <v>0</v>
      </c>
      <c r="L208">
        <f t="shared" ref="L208:M208" si="621">L165/COUNT($L165:$M165)</f>
        <v>0</v>
      </c>
      <c r="M208">
        <f t="shared" si="621"/>
        <v>0.5</v>
      </c>
      <c r="N208">
        <f t="shared" ref="N208:R208" si="622">N165/COUNT($N165:$R165)</f>
        <v>0.2</v>
      </c>
      <c r="O208">
        <f t="shared" si="622"/>
        <v>0.2</v>
      </c>
      <c r="P208">
        <f t="shared" si="622"/>
        <v>0.2</v>
      </c>
      <c r="Q208">
        <f t="shared" si="622"/>
        <v>0.2</v>
      </c>
      <c r="R208">
        <f t="shared" si="622"/>
        <v>0</v>
      </c>
      <c r="S208">
        <f t="shared" ref="S208:U208" si="623">S165/COUNT($S165:$U165)</f>
        <v>0.33333333333333331</v>
      </c>
      <c r="T208">
        <f t="shared" si="623"/>
        <v>0.33333333333333331</v>
      </c>
      <c r="U208">
        <f t="shared" si="623"/>
        <v>0.33333333333333331</v>
      </c>
      <c r="V208">
        <f t="shared" ref="V208:Z208" si="624">V165/COUNT($V165:$Z165)</f>
        <v>0</v>
      </c>
      <c r="W208">
        <f t="shared" si="624"/>
        <v>0</v>
      </c>
      <c r="X208">
        <f t="shared" si="624"/>
        <v>0</v>
      </c>
      <c r="Y208">
        <f t="shared" si="624"/>
        <v>0</v>
      </c>
      <c r="Z208">
        <f t="shared" si="624"/>
        <v>0</v>
      </c>
      <c r="AA208">
        <f t="shared" ref="AA208:AB208" si="625">AA165/COUNT($AA165:$AB165)</f>
        <v>0</v>
      </c>
      <c r="AB208">
        <f t="shared" si="625"/>
        <v>0</v>
      </c>
      <c r="AC208">
        <f t="shared" ref="AC208:AG208" si="626">AC165/COUNT($AC165:$AG165)</f>
        <v>0</v>
      </c>
      <c r="AD208">
        <f t="shared" si="626"/>
        <v>0</v>
      </c>
      <c r="AE208">
        <f t="shared" si="626"/>
        <v>0</v>
      </c>
      <c r="AF208">
        <f t="shared" si="626"/>
        <v>0.2</v>
      </c>
      <c r="AG208">
        <f t="shared" si="626"/>
        <v>0</v>
      </c>
      <c r="AH208">
        <f t="shared" si="401"/>
        <v>0</v>
      </c>
    </row>
    <row r="209" spans="1:35">
      <c r="A209" t="str">
        <f>A166</f>
        <v>P28</v>
      </c>
      <c r="B209">
        <f t="shared" ref="B209:D209" si="627">B166/COUNT($B166:$D166)</f>
        <v>0</v>
      </c>
      <c r="C209">
        <f t="shared" si="627"/>
        <v>0.33333333333333331</v>
      </c>
      <c r="D209">
        <f t="shared" si="627"/>
        <v>0</v>
      </c>
      <c r="E209">
        <f t="shared" ref="E209:H209" si="628">E166/COUNT($E166:$H166)</f>
        <v>0</v>
      </c>
      <c r="F209">
        <f t="shared" si="628"/>
        <v>0</v>
      </c>
      <c r="G209">
        <f t="shared" si="628"/>
        <v>0</v>
      </c>
      <c r="H209">
        <f t="shared" si="628"/>
        <v>0.25</v>
      </c>
      <c r="I209">
        <f t="shared" ref="I209:K209" si="629">I166/COUNT($I166:$K166)</f>
        <v>0</v>
      </c>
      <c r="J209">
        <f t="shared" si="629"/>
        <v>0.33333333333333331</v>
      </c>
      <c r="K209">
        <f t="shared" si="629"/>
        <v>0.33333333333333331</v>
      </c>
      <c r="L209">
        <f t="shared" ref="L209:M209" si="630">L166/COUNT($L166:$M166)</f>
        <v>0</v>
      </c>
      <c r="M209">
        <f t="shared" si="630"/>
        <v>0.5</v>
      </c>
      <c r="N209">
        <f t="shared" ref="N209:R209" si="631">N166/COUNT($N166:$R166)</f>
        <v>0</v>
      </c>
      <c r="O209">
        <f t="shared" si="631"/>
        <v>0</v>
      </c>
      <c r="P209">
        <f t="shared" si="631"/>
        <v>0</v>
      </c>
      <c r="Q209">
        <f t="shared" si="631"/>
        <v>0.2</v>
      </c>
      <c r="R209">
        <f t="shared" si="631"/>
        <v>0.2</v>
      </c>
      <c r="S209">
        <f t="shared" ref="S209:U209" si="632">S166/COUNT($S166:$U166)</f>
        <v>0</v>
      </c>
      <c r="T209">
        <f t="shared" si="632"/>
        <v>0</v>
      </c>
      <c r="U209">
        <f t="shared" si="632"/>
        <v>0</v>
      </c>
      <c r="V209">
        <f t="shared" ref="V209:Z209" si="633">V166/COUNT($V166:$Z166)</f>
        <v>0.2</v>
      </c>
      <c r="W209">
        <f t="shared" si="633"/>
        <v>0.2</v>
      </c>
      <c r="X209">
        <f t="shared" si="633"/>
        <v>0</v>
      </c>
      <c r="Y209">
        <f t="shared" si="633"/>
        <v>0.2</v>
      </c>
      <c r="Z209">
        <f t="shared" si="633"/>
        <v>0</v>
      </c>
      <c r="AA209">
        <f t="shared" ref="AA209:AB209" si="634">AA166/COUNT($AA166:$AB166)</f>
        <v>0</v>
      </c>
      <c r="AB209">
        <f t="shared" si="634"/>
        <v>0.5</v>
      </c>
      <c r="AC209">
        <f t="shared" ref="AC209:AG209" si="635">AC166/COUNT($AC166:$AG166)</f>
        <v>0</v>
      </c>
      <c r="AD209">
        <f t="shared" si="635"/>
        <v>0</v>
      </c>
      <c r="AE209">
        <f t="shared" si="635"/>
        <v>0.2</v>
      </c>
      <c r="AF209">
        <f t="shared" si="635"/>
        <v>0</v>
      </c>
      <c r="AG209">
        <f t="shared" si="635"/>
        <v>0</v>
      </c>
      <c r="AH209">
        <f t="shared" si="401"/>
        <v>0</v>
      </c>
    </row>
    <row r="210" spans="1:35">
      <c r="A210" t="str">
        <f t="shared" si="391"/>
        <v>P29</v>
      </c>
      <c r="B210">
        <f t="shared" ref="B210:D210" si="636">B167/COUNT($B167:$D167)</f>
        <v>0</v>
      </c>
      <c r="C210">
        <f t="shared" si="636"/>
        <v>0.33333333333333331</v>
      </c>
      <c r="D210">
        <f t="shared" si="636"/>
        <v>0</v>
      </c>
      <c r="E210">
        <f t="shared" ref="E210:H210" si="637">E167/COUNT($E167:$H167)</f>
        <v>0</v>
      </c>
      <c r="F210">
        <f t="shared" si="637"/>
        <v>0</v>
      </c>
      <c r="G210">
        <f t="shared" si="637"/>
        <v>0</v>
      </c>
      <c r="H210">
        <f t="shared" si="637"/>
        <v>0</v>
      </c>
      <c r="I210">
        <f t="shared" ref="I210:K210" si="638">I167/COUNT($I167:$K167)</f>
        <v>0</v>
      </c>
      <c r="J210">
        <f t="shared" si="638"/>
        <v>0.33333333333333331</v>
      </c>
      <c r="K210">
        <f t="shared" si="638"/>
        <v>0</v>
      </c>
      <c r="L210">
        <f t="shared" ref="L210:M210" si="639">L167/COUNT($L167:$M167)</f>
        <v>0</v>
      </c>
      <c r="M210">
        <f t="shared" si="639"/>
        <v>0.5</v>
      </c>
      <c r="N210">
        <f t="shared" ref="N210:R210" si="640">N167/COUNT($N167:$R167)</f>
        <v>0</v>
      </c>
      <c r="O210">
        <f t="shared" si="640"/>
        <v>0</v>
      </c>
      <c r="P210">
        <f t="shared" si="640"/>
        <v>0.2</v>
      </c>
      <c r="Q210">
        <f t="shared" si="640"/>
        <v>0.2</v>
      </c>
      <c r="R210">
        <f t="shared" si="640"/>
        <v>0</v>
      </c>
      <c r="S210">
        <f t="shared" ref="S210:U210" si="641">S167/COUNT($S167:$U167)</f>
        <v>0.33333333333333331</v>
      </c>
      <c r="T210">
        <f t="shared" si="641"/>
        <v>0.33333333333333331</v>
      </c>
      <c r="U210">
        <f t="shared" si="641"/>
        <v>0</v>
      </c>
      <c r="V210">
        <f t="shared" ref="V210:Z210" si="642">V167/COUNT($V167:$Z167)</f>
        <v>0.2</v>
      </c>
      <c r="W210">
        <f t="shared" si="642"/>
        <v>0</v>
      </c>
      <c r="X210">
        <f t="shared" si="642"/>
        <v>0</v>
      </c>
      <c r="Y210">
        <f t="shared" si="642"/>
        <v>0</v>
      </c>
      <c r="Z210">
        <f t="shared" si="642"/>
        <v>0</v>
      </c>
      <c r="AA210">
        <f t="shared" ref="AA210:AB210" si="643">AA167/COUNT($AA167:$AB167)</f>
        <v>0</v>
      </c>
      <c r="AB210">
        <f t="shared" si="643"/>
        <v>0</v>
      </c>
      <c r="AC210">
        <f t="shared" ref="AC210:AG210" si="644">AC167/COUNT($AC167:$AG167)</f>
        <v>0</v>
      </c>
      <c r="AD210">
        <f t="shared" si="644"/>
        <v>0</v>
      </c>
      <c r="AE210">
        <f t="shared" si="644"/>
        <v>0</v>
      </c>
      <c r="AF210">
        <f t="shared" si="644"/>
        <v>0</v>
      </c>
      <c r="AG210">
        <f t="shared" si="644"/>
        <v>0</v>
      </c>
      <c r="AH210">
        <f t="shared" si="401"/>
        <v>1</v>
      </c>
    </row>
    <row r="211" spans="1:35">
      <c r="A211" t="str">
        <f t="shared" si="391"/>
        <v>P30</v>
      </c>
      <c r="B211">
        <f t="shared" ref="B211:D211" si="645">B168/COUNT($B168:$D168)</f>
        <v>0</v>
      </c>
      <c r="C211">
        <f t="shared" si="645"/>
        <v>0.33333333333333331</v>
      </c>
      <c r="D211">
        <f t="shared" si="645"/>
        <v>0</v>
      </c>
      <c r="E211">
        <f t="shared" ref="E211:H211" si="646">E168/COUNT($E168:$H168)</f>
        <v>0.25</v>
      </c>
      <c r="F211">
        <f t="shared" si="646"/>
        <v>0</v>
      </c>
      <c r="G211">
        <f t="shared" si="646"/>
        <v>0.25</v>
      </c>
      <c r="H211">
        <f t="shared" si="646"/>
        <v>0</v>
      </c>
      <c r="I211">
        <f t="shared" ref="I211:K211" si="647">I168/COUNT($I168:$K168)</f>
        <v>0</v>
      </c>
      <c r="J211">
        <f t="shared" si="647"/>
        <v>0</v>
      </c>
      <c r="K211">
        <f t="shared" si="647"/>
        <v>0</v>
      </c>
      <c r="L211">
        <f t="shared" ref="L211:M211" si="648">L168/COUNT($L168:$M168)</f>
        <v>0</v>
      </c>
      <c r="M211">
        <f t="shared" si="648"/>
        <v>0</v>
      </c>
      <c r="N211">
        <f t="shared" ref="N211:R211" si="649">N168/COUNT($N168:$R168)</f>
        <v>0</v>
      </c>
      <c r="O211">
        <f t="shared" si="649"/>
        <v>0</v>
      </c>
      <c r="P211">
        <f t="shared" si="649"/>
        <v>0</v>
      </c>
      <c r="Q211">
        <f t="shared" si="649"/>
        <v>0</v>
      </c>
      <c r="R211">
        <f t="shared" si="649"/>
        <v>0.2</v>
      </c>
      <c r="S211">
        <f t="shared" ref="S211:U211" si="650">S168/COUNT($S168:$U168)</f>
        <v>0.33333333333333331</v>
      </c>
      <c r="T211">
        <f t="shared" si="650"/>
        <v>0</v>
      </c>
      <c r="U211">
        <f t="shared" si="650"/>
        <v>0</v>
      </c>
      <c r="V211">
        <f t="shared" ref="V211:Z211" si="651">V168/COUNT($V168:$Z168)</f>
        <v>0.2</v>
      </c>
      <c r="W211">
        <f t="shared" si="651"/>
        <v>0</v>
      </c>
      <c r="X211">
        <f t="shared" si="651"/>
        <v>0</v>
      </c>
      <c r="Y211">
        <f t="shared" si="651"/>
        <v>0</v>
      </c>
      <c r="Z211">
        <f t="shared" si="651"/>
        <v>0</v>
      </c>
      <c r="AA211">
        <f t="shared" ref="AA211:AB211" si="652">AA168/COUNT($AA168:$AB168)</f>
        <v>0</v>
      </c>
      <c r="AB211">
        <f t="shared" si="652"/>
        <v>0</v>
      </c>
      <c r="AC211">
        <f t="shared" ref="AC211:AG211" si="653">AC168/COUNT($AC168:$AG168)</f>
        <v>0</v>
      </c>
      <c r="AD211">
        <f t="shared" si="653"/>
        <v>0</v>
      </c>
      <c r="AE211">
        <f t="shared" si="653"/>
        <v>0.2</v>
      </c>
      <c r="AF211">
        <f t="shared" si="653"/>
        <v>0</v>
      </c>
      <c r="AG211">
        <f t="shared" si="653"/>
        <v>0</v>
      </c>
      <c r="AH211">
        <f t="shared" si="401"/>
        <v>0</v>
      </c>
    </row>
    <row r="212" spans="1:35">
      <c r="A212" t="str">
        <f t="shared" si="391"/>
        <v>P31</v>
      </c>
      <c r="B212">
        <f t="shared" ref="B212:D212" si="654">B169/COUNT($B169:$D169)</f>
        <v>0</v>
      </c>
      <c r="C212">
        <f t="shared" si="654"/>
        <v>0</v>
      </c>
      <c r="D212">
        <f t="shared" si="654"/>
        <v>0.33333333333333331</v>
      </c>
      <c r="E212">
        <f t="shared" ref="E212:H212" si="655">E169/COUNT($E169:$H169)</f>
        <v>0</v>
      </c>
      <c r="F212">
        <f t="shared" si="655"/>
        <v>0</v>
      </c>
      <c r="G212">
        <f t="shared" si="655"/>
        <v>0</v>
      </c>
      <c r="H212">
        <f t="shared" si="655"/>
        <v>0.25</v>
      </c>
      <c r="I212">
        <f t="shared" ref="I212:K212" si="656">I169/COUNT($I169:$K169)</f>
        <v>0</v>
      </c>
      <c r="J212">
        <f t="shared" si="656"/>
        <v>0</v>
      </c>
      <c r="K212">
        <f t="shared" si="656"/>
        <v>0</v>
      </c>
      <c r="L212">
        <f t="shared" ref="L212:M212" si="657">L169/COUNT($L169:$M169)</f>
        <v>0.5</v>
      </c>
      <c r="M212">
        <f t="shared" si="657"/>
        <v>0</v>
      </c>
      <c r="N212">
        <f t="shared" ref="N212:R212" si="658">N169/COUNT($N169:$R169)</f>
        <v>0</v>
      </c>
      <c r="O212">
        <f t="shared" si="658"/>
        <v>0</v>
      </c>
      <c r="P212">
        <f t="shared" si="658"/>
        <v>0.2</v>
      </c>
      <c r="Q212">
        <f t="shared" si="658"/>
        <v>0.2</v>
      </c>
      <c r="R212">
        <f t="shared" si="658"/>
        <v>0.2</v>
      </c>
      <c r="S212">
        <f t="shared" ref="S212:U212" si="659">S169/COUNT($S169:$U169)</f>
        <v>0.33333333333333331</v>
      </c>
      <c r="T212">
        <f t="shared" si="659"/>
        <v>0.33333333333333331</v>
      </c>
      <c r="U212">
        <f t="shared" si="659"/>
        <v>0</v>
      </c>
      <c r="V212">
        <f t="shared" ref="V212:Z212" si="660">V169/COUNT($V169:$Z169)</f>
        <v>0.2</v>
      </c>
      <c r="W212">
        <f t="shared" si="660"/>
        <v>0.2</v>
      </c>
      <c r="X212">
        <f t="shared" si="660"/>
        <v>0.2</v>
      </c>
      <c r="Y212">
        <f t="shared" si="660"/>
        <v>0</v>
      </c>
      <c r="Z212">
        <f t="shared" si="660"/>
        <v>0.2</v>
      </c>
      <c r="AA212">
        <f t="shared" ref="AA212:AB212" si="661">AA169/COUNT($AA169:$AB169)</f>
        <v>0</v>
      </c>
      <c r="AB212">
        <f t="shared" si="661"/>
        <v>0</v>
      </c>
      <c r="AC212">
        <f t="shared" ref="AC212:AG212" si="662">AC169/COUNT($AC169:$AG169)</f>
        <v>0</v>
      </c>
      <c r="AD212">
        <f t="shared" si="662"/>
        <v>0</v>
      </c>
      <c r="AE212">
        <f t="shared" si="662"/>
        <v>0</v>
      </c>
      <c r="AF212">
        <f t="shared" si="662"/>
        <v>0</v>
      </c>
      <c r="AG212">
        <f t="shared" si="662"/>
        <v>0</v>
      </c>
      <c r="AH212">
        <f t="shared" si="401"/>
        <v>0</v>
      </c>
    </row>
    <row r="213" spans="1:35">
      <c r="A213" t="str">
        <f t="shared" si="391"/>
        <v>P32</v>
      </c>
      <c r="B213">
        <f t="shared" ref="B213:D213" si="663">B170/COUNT($B170:$D170)</f>
        <v>0.33333333333333331</v>
      </c>
      <c r="C213">
        <f t="shared" si="663"/>
        <v>0</v>
      </c>
      <c r="D213">
        <f t="shared" si="663"/>
        <v>0</v>
      </c>
      <c r="E213">
        <f t="shared" ref="E213:H213" si="664">E170/COUNT($E170:$H170)</f>
        <v>0</v>
      </c>
      <c r="F213">
        <f t="shared" si="664"/>
        <v>0</v>
      </c>
      <c r="G213">
        <f t="shared" si="664"/>
        <v>0</v>
      </c>
      <c r="H213">
        <f t="shared" si="664"/>
        <v>0.25</v>
      </c>
      <c r="I213">
        <f t="shared" ref="I213:K213" si="665">I170/COUNT($I170:$K170)</f>
        <v>0</v>
      </c>
      <c r="J213">
        <f t="shared" si="665"/>
        <v>0</v>
      </c>
      <c r="K213">
        <f t="shared" si="665"/>
        <v>0</v>
      </c>
      <c r="L213">
        <f t="shared" ref="L213:M213" si="666">L170/COUNT($L170:$M170)</f>
        <v>0.5</v>
      </c>
      <c r="M213">
        <f t="shared" si="666"/>
        <v>0</v>
      </c>
      <c r="N213">
        <f t="shared" ref="N213:R213" si="667">N170/COUNT($N170:$R170)</f>
        <v>0.2</v>
      </c>
      <c r="O213">
        <f t="shared" si="667"/>
        <v>0.2</v>
      </c>
      <c r="P213">
        <f t="shared" si="667"/>
        <v>0.2</v>
      </c>
      <c r="Q213">
        <f t="shared" si="667"/>
        <v>0.2</v>
      </c>
      <c r="R213">
        <f t="shared" si="667"/>
        <v>0.2</v>
      </c>
      <c r="S213">
        <f t="shared" ref="S213:U213" si="668">S170/COUNT($S170:$U170)</f>
        <v>0.33333333333333331</v>
      </c>
      <c r="T213">
        <f t="shared" si="668"/>
        <v>0</v>
      </c>
      <c r="U213">
        <f t="shared" si="668"/>
        <v>0</v>
      </c>
      <c r="V213">
        <f t="shared" ref="V213:Z213" si="669">V170/COUNT($V170:$Z170)</f>
        <v>0.2</v>
      </c>
      <c r="W213">
        <f t="shared" si="669"/>
        <v>0</v>
      </c>
      <c r="X213">
        <f t="shared" si="669"/>
        <v>0.2</v>
      </c>
      <c r="Y213">
        <f t="shared" si="669"/>
        <v>0.2</v>
      </c>
      <c r="Z213">
        <f t="shared" si="669"/>
        <v>0.2</v>
      </c>
      <c r="AA213">
        <f t="shared" ref="AA213:AB213" si="670">AA170/COUNT($AA170:$AB170)</f>
        <v>0</v>
      </c>
      <c r="AB213">
        <f t="shared" si="670"/>
        <v>0.5</v>
      </c>
      <c r="AC213">
        <f t="shared" ref="AC213:AG213" si="671">AC170/COUNT($AC170:$AG170)</f>
        <v>0.2</v>
      </c>
      <c r="AD213">
        <f t="shared" si="671"/>
        <v>0</v>
      </c>
      <c r="AE213">
        <f t="shared" si="671"/>
        <v>0.2</v>
      </c>
      <c r="AF213">
        <f t="shared" si="671"/>
        <v>0</v>
      </c>
      <c r="AG213">
        <f t="shared" si="671"/>
        <v>0</v>
      </c>
      <c r="AH213">
        <f t="shared" si="401"/>
        <v>0</v>
      </c>
    </row>
    <row r="214" spans="1:35">
      <c r="A214" t="str">
        <f t="shared" si="391"/>
        <v>P33</v>
      </c>
      <c r="B214">
        <f t="shared" ref="B214:D214" si="672">B171/COUNT($B171:$D171)</f>
        <v>0.33333333333333331</v>
      </c>
      <c r="C214">
        <f t="shared" si="672"/>
        <v>0</v>
      </c>
      <c r="D214">
        <f t="shared" si="672"/>
        <v>0</v>
      </c>
      <c r="E214">
        <f t="shared" ref="E214:H214" si="673">E171/COUNT($E171:$H171)</f>
        <v>0</v>
      </c>
      <c r="F214">
        <f t="shared" si="673"/>
        <v>0</v>
      </c>
      <c r="G214">
        <f t="shared" si="673"/>
        <v>0</v>
      </c>
      <c r="H214">
        <f t="shared" si="673"/>
        <v>0.25</v>
      </c>
      <c r="I214">
        <f t="shared" ref="I214:K214" si="674">I171/COUNT($I171:$K171)</f>
        <v>0</v>
      </c>
      <c r="J214">
        <f t="shared" si="674"/>
        <v>0</v>
      </c>
      <c r="K214">
        <f t="shared" si="674"/>
        <v>0</v>
      </c>
      <c r="L214">
        <f t="shared" ref="L214:M214" si="675">L171/COUNT($L171:$M171)</f>
        <v>0.5</v>
      </c>
      <c r="M214">
        <f t="shared" si="675"/>
        <v>0</v>
      </c>
      <c r="N214">
        <f t="shared" ref="N214:R214" si="676">N171/COUNT($N171:$R171)</f>
        <v>0</v>
      </c>
      <c r="O214">
        <f t="shared" si="676"/>
        <v>0</v>
      </c>
      <c r="P214">
        <f t="shared" si="676"/>
        <v>0</v>
      </c>
      <c r="Q214">
        <f t="shared" si="676"/>
        <v>0</v>
      </c>
      <c r="R214">
        <f t="shared" si="676"/>
        <v>0</v>
      </c>
      <c r="S214">
        <f t="shared" ref="S214:U214" si="677">S171/COUNT($S171:$U171)</f>
        <v>0.33333333333333331</v>
      </c>
      <c r="T214">
        <f t="shared" si="677"/>
        <v>0</v>
      </c>
      <c r="U214">
        <f t="shared" si="677"/>
        <v>0</v>
      </c>
      <c r="V214">
        <f t="shared" ref="V214:Z214" si="678">V171/COUNT($V171:$Z171)</f>
        <v>0.2</v>
      </c>
      <c r="W214">
        <f t="shared" si="678"/>
        <v>0</v>
      </c>
      <c r="X214">
        <f t="shared" si="678"/>
        <v>0.2</v>
      </c>
      <c r="Y214">
        <f t="shared" si="678"/>
        <v>0</v>
      </c>
      <c r="Z214">
        <f t="shared" si="678"/>
        <v>0.2</v>
      </c>
      <c r="AA214">
        <f t="shared" ref="AA214:AB214" si="679">AA171/COUNT($AA171:$AB171)</f>
        <v>0</v>
      </c>
      <c r="AB214">
        <f t="shared" si="679"/>
        <v>0</v>
      </c>
      <c r="AC214">
        <f t="shared" ref="AC214:AG214" si="680">AC171/COUNT($AC171:$AG171)</f>
        <v>0.2</v>
      </c>
      <c r="AD214">
        <f t="shared" si="680"/>
        <v>0</v>
      </c>
      <c r="AE214">
        <f t="shared" si="680"/>
        <v>0.2</v>
      </c>
      <c r="AF214">
        <f t="shared" si="680"/>
        <v>0</v>
      </c>
      <c r="AG214">
        <f t="shared" si="680"/>
        <v>0</v>
      </c>
      <c r="AH214">
        <f t="shared" si="401"/>
        <v>0</v>
      </c>
    </row>
    <row r="215" spans="1:35">
      <c r="A215" t="str">
        <f t="shared" si="391"/>
        <v>P34</v>
      </c>
      <c r="B215">
        <f t="shared" ref="B215:D215" si="681">B172/COUNT($B172:$D172)</f>
        <v>0</v>
      </c>
      <c r="C215">
        <f t="shared" si="681"/>
        <v>0.33333333333333331</v>
      </c>
      <c r="D215">
        <f t="shared" si="681"/>
        <v>0</v>
      </c>
      <c r="E215">
        <f t="shared" ref="E215:H215" si="682">E172/COUNT($E172:$H172)</f>
        <v>0</v>
      </c>
      <c r="F215">
        <f t="shared" si="682"/>
        <v>0</v>
      </c>
      <c r="G215">
        <f t="shared" si="682"/>
        <v>0</v>
      </c>
      <c r="H215">
        <f t="shared" si="682"/>
        <v>0.25</v>
      </c>
      <c r="I215">
        <f t="shared" ref="I215:K215" si="683">I172/COUNT($I172:$K172)</f>
        <v>0</v>
      </c>
      <c r="J215">
        <f t="shared" si="683"/>
        <v>0.33333333333333331</v>
      </c>
      <c r="K215">
        <f t="shared" si="683"/>
        <v>0</v>
      </c>
      <c r="L215">
        <f t="shared" ref="L215:M215" si="684">L172/COUNT($L172:$M172)</f>
        <v>0</v>
      </c>
      <c r="M215">
        <f t="shared" si="684"/>
        <v>0.5</v>
      </c>
      <c r="N215">
        <f t="shared" ref="N215:R215" si="685">N172/COUNT($N172:$R172)</f>
        <v>0.2</v>
      </c>
      <c r="O215">
        <f t="shared" si="685"/>
        <v>0.2</v>
      </c>
      <c r="P215">
        <f t="shared" si="685"/>
        <v>0.2</v>
      </c>
      <c r="Q215">
        <f t="shared" si="685"/>
        <v>0.2</v>
      </c>
      <c r="R215">
        <f t="shared" si="685"/>
        <v>0.2</v>
      </c>
      <c r="S215">
        <f t="shared" ref="S215:U215" si="686">S172/COUNT($S172:$U172)</f>
        <v>0.33333333333333331</v>
      </c>
      <c r="T215">
        <f t="shared" si="686"/>
        <v>0.33333333333333331</v>
      </c>
      <c r="U215">
        <f t="shared" si="686"/>
        <v>0</v>
      </c>
      <c r="V215">
        <f t="shared" ref="V215:Z215" si="687">V172/COUNT($V172:$Z172)</f>
        <v>0.2</v>
      </c>
      <c r="W215">
        <f t="shared" si="687"/>
        <v>0</v>
      </c>
      <c r="X215">
        <f t="shared" si="687"/>
        <v>0</v>
      </c>
      <c r="Y215">
        <f t="shared" si="687"/>
        <v>0</v>
      </c>
      <c r="Z215">
        <f t="shared" si="687"/>
        <v>0</v>
      </c>
      <c r="AA215">
        <f t="shared" ref="AA215:AB215" si="688">AA172/COUNT($AA172:$AB172)</f>
        <v>0</v>
      </c>
      <c r="AB215">
        <f t="shared" si="688"/>
        <v>0</v>
      </c>
      <c r="AC215">
        <f t="shared" ref="AC215:AG215" si="689">AC172/COUNT($AC172:$AG172)</f>
        <v>0</v>
      </c>
      <c r="AD215">
        <f t="shared" si="689"/>
        <v>0</v>
      </c>
      <c r="AE215">
        <f t="shared" si="689"/>
        <v>0</v>
      </c>
      <c r="AF215">
        <f t="shared" si="689"/>
        <v>0</v>
      </c>
      <c r="AG215">
        <f t="shared" si="689"/>
        <v>0</v>
      </c>
      <c r="AH215">
        <f t="shared" si="401"/>
        <v>0</v>
      </c>
    </row>
    <row r="216" spans="1:35">
      <c r="A216" t="str">
        <f t="shared" si="391"/>
        <v>P35</v>
      </c>
      <c r="B216">
        <f t="shared" ref="B216:D216" si="690">B173/COUNT($B173:$D173)</f>
        <v>0.33333333333333331</v>
      </c>
      <c r="C216">
        <f t="shared" si="690"/>
        <v>0</v>
      </c>
      <c r="D216">
        <f t="shared" si="690"/>
        <v>0</v>
      </c>
      <c r="E216">
        <f t="shared" ref="E216:H216" si="691">E173/COUNT($E173:$H173)</f>
        <v>0</v>
      </c>
      <c r="F216">
        <f t="shared" si="691"/>
        <v>0</v>
      </c>
      <c r="G216">
        <f t="shared" si="691"/>
        <v>0</v>
      </c>
      <c r="H216">
        <f t="shared" si="691"/>
        <v>0.25</v>
      </c>
      <c r="I216">
        <f t="shared" ref="I216:K216" si="692">I173/COUNT($I173:$K173)</f>
        <v>0</v>
      </c>
      <c r="J216">
        <f t="shared" si="692"/>
        <v>0</v>
      </c>
      <c r="K216">
        <f t="shared" si="692"/>
        <v>0.33333333333333331</v>
      </c>
      <c r="L216">
        <f t="shared" ref="L216:M216" si="693">L173/COUNT($L173:$M173)</f>
        <v>0.5</v>
      </c>
      <c r="M216">
        <f t="shared" si="693"/>
        <v>0</v>
      </c>
      <c r="N216">
        <f t="shared" ref="N216:R216" si="694">N173/COUNT($N173:$R173)</f>
        <v>0</v>
      </c>
      <c r="O216">
        <f t="shared" si="694"/>
        <v>0</v>
      </c>
      <c r="P216">
        <f t="shared" si="694"/>
        <v>0.2</v>
      </c>
      <c r="Q216">
        <f t="shared" si="694"/>
        <v>0.2</v>
      </c>
      <c r="R216">
        <f t="shared" si="694"/>
        <v>0.2</v>
      </c>
      <c r="S216">
        <f t="shared" ref="S216:U216" si="695">S173/COUNT($S173:$U173)</f>
        <v>0.33333333333333331</v>
      </c>
      <c r="T216">
        <f t="shared" si="695"/>
        <v>0.33333333333333331</v>
      </c>
      <c r="U216">
        <f t="shared" si="695"/>
        <v>0</v>
      </c>
      <c r="V216">
        <f t="shared" ref="V216:Z216" si="696">V173/COUNT($V173:$Z173)</f>
        <v>0</v>
      </c>
      <c r="W216">
        <f t="shared" si="696"/>
        <v>0</v>
      </c>
      <c r="X216">
        <f t="shared" si="696"/>
        <v>0</v>
      </c>
      <c r="Y216">
        <f t="shared" si="696"/>
        <v>0.2</v>
      </c>
      <c r="Z216">
        <f t="shared" si="696"/>
        <v>0</v>
      </c>
      <c r="AA216">
        <f t="shared" ref="AA216:AB216" si="697">AA173/COUNT($AA173:$AB173)</f>
        <v>0.5</v>
      </c>
      <c r="AB216">
        <f t="shared" si="697"/>
        <v>0</v>
      </c>
      <c r="AC216">
        <f t="shared" ref="AC216:AG216" si="698">AC173/COUNT($AC173:$AG173)</f>
        <v>0</v>
      </c>
      <c r="AD216">
        <f t="shared" si="698"/>
        <v>0</v>
      </c>
      <c r="AE216">
        <f t="shared" si="698"/>
        <v>0</v>
      </c>
      <c r="AF216">
        <f t="shared" si="698"/>
        <v>0</v>
      </c>
      <c r="AG216">
        <f t="shared" si="698"/>
        <v>0</v>
      </c>
      <c r="AH216">
        <f t="shared" si="401"/>
        <v>0</v>
      </c>
    </row>
    <row r="217" spans="1:35">
      <c r="A217" t="str">
        <f t="shared" si="391"/>
        <v>P36</v>
      </c>
      <c r="B217">
        <f t="shared" ref="B217:D217" si="699">B174/COUNT($B174:$D174)</f>
        <v>0</v>
      </c>
      <c r="C217">
        <f t="shared" si="699"/>
        <v>0.33333333333333331</v>
      </c>
      <c r="D217">
        <f t="shared" si="699"/>
        <v>0</v>
      </c>
      <c r="E217">
        <f t="shared" ref="E217:H217" si="700">E174/COUNT($E174:$H174)</f>
        <v>0</v>
      </c>
      <c r="F217">
        <f t="shared" si="700"/>
        <v>0</v>
      </c>
      <c r="G217">
        <f t="shared" si="700"/>
        <v>0</v>
      </c>
      <c r="H217">
        <f t="shared" si="700"/>
        <v>0.25</v>
      </c>
      <c r="I217">
        <f t="shared" ref="I217:K217" si="701">I174/COUNT($I174:$K174)</f>
        <v>0</v>
      </c>
      <c r="J217">
        <f t="shared" si="701"/>
        <v>0</v>
      </c>
      <c r="K217">
        <f t="shared" si="701"/>
        <v>0</v>
      </c>
      <c r="L217">
        <f t="shared" ref="L217:M217" si="702">L174/COUNT($L174:$M174)</f>
        <v>0.5</v>
      </c>
      <c r="M217">
        <f t="shared" si="702"/>
        <v>0</v>
      </c>
      <c r="N217">
        <f t="shared" ref="N217:R217" si="703">N174/COUNT($N174:$R174)</f>
        <v>0</v>
      </c>
      <c r="O217">
        <f t="shared" si="703"/>
        <v>0</v>
      </c>
      <c r="P217">
        <f t="shared" si="703"/>
        <v>0.2</v>
      </c>
      <c r="Q217">
        <f t="shared" si="703"/>
        <v>0.2</v>
      </c>
      <c r="R217">
        <f t="shared" si="703"/>
        <v>0</v>
      </c>
      <c r="S217">
        <f t="shared" ref="S217:U217" si="704">S174/COUNT($S174:$U174)</f>
        <v>0.33333333333333331</v>
      </c>
      <c r="T217">
        <f t="shared" si="704"/>
        <v>0.33333333333333331</v>
      </c>
      <c r="U217">
        <f t="shared" si="704"/>
        <v>0</v>
      </c>
      <c r="V217">
        <f t="shared" ref="V217:Z217" si="705">V174/COUNT($V174:$Z174)</f>
        <v>0.2</v>
      </c>
      <c r="W217">
        <f t="shared" si="705"/>
        <v>0.2</v>
      </c>
      <c r="X217">
        <f t="shared" si="705"/>
        <v>0</v>
      </c>
      <c r="Y217">
        <f t="shared" si="705"/>
        <v>0</v>
      </c>
      <c r="Z217">
        <f t="shared" si="705"/>
        <v>0</v>
      </c>
      <c r="AA217">
        <f t="shared" ref="AA217:AB217" si="706">AA174/COUNT($AA174:$AB174)</f>
        <v>0</v>
      </c>
      <c r="AB217">
        <f t="shared" si="706"/>
        <v>0</v>
      </c>
      <c r="AC217">
        <f t="shared" ref="AC217:AG217" si="707">AC174/COUNT($AC174:$AG174)</f>
        <v>0.2</v>
      </c>
      <c r="AD217">
        <f t="shared" si="707"/>
        <v>0</v>
      </c>
      <c r="AE217">
        <f t="shared" si="707"/>
        <v>0.2</v>
      </c>
      <c r="AF217">
        <f t="shared" si="707"/>
        <v>0</v>
      </c>
      <c r="AG217">
        <f t="shared" si="707"/>
        <v>0.2</v>
      </c>
      <c r="AH217">
        <f t="shared" si="401"/>
        <v>1</v>
      </c>
    </row>
    <row r="218" spans="1:35">
      <c r="A218" t="str">
        <f t="shared" si="391"/>
        <v>P37</v>
      </c>
      <c r="B218">
        <f t="shared" ref="B218:D218" si="708">B175/COUNT($B175:$D175)</f>
        <v>0</v>
      </c>
      <c r="C218">
        <f t="shared" si="708"/>
        <v>0.33333333333333331</v>
      </c>
      <c r="D218">
        <f t="shared" si="708"/>
        <v>0</v>
      </c>
      <c r="E218">
        <f t="shared" ref="E218:H218" si="709">E175/COUNT($E175:$H175)</f>
        <v>0</v>
      </c>
      <c r="F218">
        <f t="shared" si="709"/>
        <v>0.25</v>
      </c>
      <c r="G218">
        <f t="shared" si="709"/>
        <v>0</v>
      </c>
      <c r="H218">
        <f t="shared" si="709"/>
        <v>0</v>
      </c>
      <c r="I218">
        <f t="shared" ref="I218:K218" si="710">I175/COUNT($I175:$K175)</f>
        <v>0</v>
      </c>
      <c r="J218">
        <f t="shared" si="710"/>
        <v>0</v>
      </c>
      <c r="K218">
        <f t="shared" si="710"/>
        <v>0.33333333333333331</v>
      </c>
      <c r="L218">
        <f t="shared" ref="L218:M218" si="711">L175/COUNT($L175:$M175)</f>
        <v>0.5</v>
      </c>
      <c r="M218">
        <f t="shared" si="711"/>
        <v>0</v>
      </c>
      <c r="N218">
        <f t="shared" ref="N218:R218" si="712">N175/COUNT($N175:$R175)</f>
        <v>0</v>
      </c>
      <c r="O218">
        <f t="shared" si="712"/>
        <v>0.2</v>
      </c>
      <c r="P218">
        <f t="shared" si="712"/>
        <v>0.2</v>
      </c>
      <c r="Q218">
        <f t="shared" si="712"/>
        <v>0.2</v>
      </c>
      <c r="R218">
        <f t="shared" si="712"/>
        <v>0.2</v>
      </c>
      <c r="S218">
        <f t="shared" ref="S218:U218" si="713">S175/COUNT($S175:$U175)</f>
        <v>0.33333333333333331</v>
      </c>
      <c r="T218">
        <f t="shared" si="713"/>
        <v>0.33333333333333331</v>
      </c>
      <c r="U218">
        <f t="shared" si="713"/>
        <v>0</v>
      </c>
      <c r="V218">
        <f t="shared" ref="V218:Z218" si="714">V175/COUNT($V175:$Z175)</f>
        <v>0.2</v>
      </c>
      <c r="W218">
        <f t="shared" si="714"/>
        <v>0.2</v>
      </c>
      <c r="X218">
        <f t="shared" si="714"/>
        <v>0.2</v>
      </c>
      <c r="Y218">
        <f t="shared" si="714"/>
        <v>0</v>
      </c>
      <c r="Z218">
        <f t="shared" si="714"/>
        <v>0.2</v>
      </c>
      <c r="AA218">
        <f t="shared" ref="AA218:AB218" si="715">AA175/COUNT($AA175:$AB175)</f>
        <v>0</v>
      </c>
      <c r="AB218">
        <f t="shared" si="715"/>
        <v>0</v>
      </c>
      <c r="AC218">
        <f t="shared" ref="AC218:AG218" si="716">AC175/COUNT($AC175:$AG175)</f>
        <v>0.2</v>
      </c>
      <c r="AD218">
        <f t="shared" si="716"/>
        <v>0</v>
      </c>
      <c r="AE218">
        <f t="shared" si="716"/>
        <v>0</v>
      </c>
      <c r="AF218">
        <f t="shared" si="716"/>
        <v>0</v>
      </c>
      <c r="AG218">
        <f t="shared" si="716"/>
        <v>0</v>
      </c>
      <c r="AH218">
        <f t="shared" si="401"/>
        <v>1</v>
      </c>
    </row>
    <row r="219" spans="1:35">
      <c r="A219" t="str">
        <f t="shared" si="391"/>
        <v>P38</v>
      </c>
      <c r="B219">
        <f t="shared" ref="B219:D219" si="717">B176/COUNT($B176:$D176)</f>
        <v>0</v>
      </c>
      <c r="C219">
        <f t="shared" si="717"/>
        <v>0.33333333333333331</v>
      </c>
      <c r="D219">
        <f t="shared" si="717"/>
        <v>0</v>
      </c>
      <c r="E219">
        <f t="shared" ref="E219:H219" si="718">E176/COUNT($E176:$H176)</f>
        <v>0</v>
      </c>
      <c r="F219">
        <f t="shared" si="718"/>
        <v>0.25</v>
      </c>
      <c r="G219">
        <f t="shared" si="718"/>
        <v>0</v>
      </c>
      <c r="H219">
        <f t="shared" si="718"/>
        <v>0</v>
      </c>
      <c r="I219">
        <f t="shared" ref="I219:K219" si="719">I176/COUNT($I176:$K176)</f>
        <v>0</v>
      </c>
      <c r="J219">
        <f t="shared" si="719"/>
        <v>0.33333333333333331</v>
      </c>
      <c r="K219">
        <f t="shared" si="719"/>
        <v>0</v>
      </c>
      <c r="L219">
        <f t="shared" ref="L219:M219" si="720">L176/COUNT($L176:$M176)</f>
        <v>0.5</v>
      </c>
      <c r="M219">
        <f t="shared" si="720"/>
        <v>0</v>
      </c>
      <c r="N219">
        <f t="shared" ref="N219:R219" si="721">N176/COUNT($N176:$R176)</f>
        <v>0.2</v>
      </c>
      <c r="O219">
        <f t="shared" si="721"/>
        <v>0.2</v>
      </c>
      <c r="P219">
        <f t="shared" si="721"/>
        <v>0.2</v>
      </c>
      <c r="Q219">
        <f t="shared" si="721"/>
        <v>0.2</v>
      </c>
      <c r="R219">
        <f t="shared" si="721"/>
        <v>0.2</v>
      </c>
      <c r="S219">
        <f t="shared" ref="S219:U219" si="722">S176/COUNT($S176:$U176)</f>
        <v>0.33333333333333331</v>
      </c>
      <c r="T219">
        <f t="shared" si="722"/>
        <v>0.33333333333333331</v>
      </c>
      <c r="U219">
        <f t="shared" si="722"/>
        <v>0</v>
      </c>
      <c r="V219">
        <f t="shared" ref="V219:Z219" si="723">V176/COUNT($V176:$Z176)</f>
        <v>0.2</v>
      </c>
      <c r="W219">
        <f t="shared" si="723"/>
        <v>0.2</v>
      </c>
      <c r="X219">
        <f t="shared" si="723"/>
        <v>0.2</v>
      </c>
      <c r="Y219">
        <f t="shared" si="723"/>
        <v>0.2</v>
      </c>
      <c r="Z219">
        <f t="shared" si="723"/>
        <v>0.2</v>
      </c>
      <c r="AA219">
        <f t="shared" ref="AA219:AB219" si="724">AA176/COUNT($AA176:$AB176)</f>
        <v>0</v>
      </c>
      <c r="AB219">
        <f t="shared" si="724"/>
        <v>0.5</v>
      </c>
      <c r="AC219">
        <f t="shared" ref="AC219:AG219" si="725">AC176/COUNT($AC176:$AG176)</f>
        <v>0</v>
      </c>
      <c r="AD219">
        <f t="shared" si="725"/>
        <v>0</v>
      </c>
      <c r="AE219">
        <f t="shared" si="725"/>
        <v>0.2</v>
      </c>
      <c r="AF219">
        <f t="shared" si="725"/>
        <v>0</v>
      </c>
      <c r="AG219">
        <f t="shared" si="725"/>
        <v>0</v>
      </c>
      <c r="AH219">
        <f t="shared" si="401"/>
        <v>1</v>
      </c>
    </row>
    <row r="220" spans="1:35">
      <c r="A220" t="str">
        <f t="shared" si="391"/>
        <v>P39</v>
      </c>
      <c r="B220">
        <f t="shared" ref="B220:D220" si="726">B177/COUNT($B177:$D177)</f>
        <v>0</v>
      </c>
      <c r="C220">
        <f t="shared" si="726"/>
        <v>0.33333333333333331</v>
      </c>
      <c r="D220">
        <f t="shared" si="726"/>
        <v>0</v>
      </c>
      <c r="E220">
        <f t="shared" ref="E220:H220" si="727">E177/COUNT($E177:$H177)</f>
        <v>0.25</v>
      </c>
      <c r="F220">
        <f t="shared" si="727"/>
        <v>0</v>
      </c>
      <c r="G220">
        <f t="shared" si="727"/>
        <v>0</v>
      </c>
      <c r="H220">
        <f t="shared" si="727"/>
        <v>0</v>
      </c>
      <c r="I220">
        <f t="shared" ref="I220:K220" si="728">I177/COUNT($I177:$K177)</f>
        <v>0</v>
      </c>
      <c r="J220">
        <f t="shared" si="728"/>
        <v>0.33333333333333331</v>
      </c>
      <c r="K220">
        <f t="shared" si="728"/>
        <v>0</v>
      </c>
      <c r="L220">
        <f t="shared" ref="L220:M220" si="729">L177/COUNT($L177:$M177)</f>
        <v>0.5</v>
      </c>
      <c r="M220">
        <f t="shared" si="729"/>
        <v>0</v>
      </c>
      <c r="N220">
        <f t="shared" ref="N220:R220" si="730">N177/COUNT($N177:$R177)</f>
        <v>0</v>
      </c>
      <c r="O220">
        <f t="shared" si="730"/>
        <v>0.2</v>
      </c>
      <c r="P220">
        <f t="shared" si="730"/>
        <v>0</v>
      </c>
      <c r="Q220">
        <f t="shared" si="730"/>
        <v>0.2</v>
      </c>
      <c r="R220">
        <f t="shared" si="730"/>
        <v>0.2</v>
      </c>
      <c r="S220">
        <f t="shared" ref="S220:U220" si="731">S177/COUNT($S177:$U177)</f>
        <v>0.33333333333333331</v>
      </c>
      <c r="T220">
        <f t="shared" si="731"/>
        <v>0.33333333333333331</v>
      </c>
      <c r="U220">
        <f t="shared" si="731"/>
        <v>0.33333333333333331</v>
      </c>
      <c r="V220">
        <f t="shared" ref="V220:Z220" si="732">V177/COUNT($V177:$Z177)</f>
        <v>0.2</v>
      </c>
      <c r="W220">
        <f t="shared" si="732"/>
        <v>0.2</v>
      </c>
      <c r="X220">
        <f t="shared" si="732"/>
        <v>0</v>
      </c>
      <c r="Y220">
        <f t="shared" si="732"/>
        <v>0</v>
      </c>
      <c r="Z220">
        <f t="shared" si="732"/>
        <v>0</v>
      </c>
      <c r="AA220">
        <f t="shared" ref="AA220:AB220" si="733">AA177/COUNT($AA177:$AB177)</f>
        <v>0</v>
      </c>
      <c r="AB220">
        <f t="shared" si="733"/>
        <v>0</v>
      </c>
      <c r="AC220">
        <f t="shared" ref="AC220:AG220" si="734">AC177/COUNT($AC177:$AG177)</f>
        <v>0</v>
      </c>
      <c r="AD220">
        <f t="shared" si="734"/>
        <v>0</v>
      </c>
      <c r="AE220">
        <f t="shared" si="734"/>
        <v>0</v>
      </c>
      <c r="AF220">
        <f t="shared" si="734"/>
        <v>0</v>
      </c>
      <c r="AG220">
        <f t="shared" si="734"/>
        <v>0</v>
      </c>
      <c r="AH220">
        <f t="shared" si="401"/>
        <v>0</v>
      </c>
    </row>
    <row r="221" spans="1:35">
      <c r="A221" t="str">
        <f t="shared" si="391"/>
        <v>P40</v>
      </c>
      <c r="B221">
        <f t="shared" ref="B221:D221" si="735">B178/COUNT($B178:$D178)</f>
        <v>0.33333333333333331</v>
      </c>
      <c r="C221">
        <f t="shared" si="735"/>
        <v>0</v>
      </c>
      <c r="D221">
        <f t="shared" si="735"/>
        <v>0</v>
      </c>
      <c r="E221">
        <f t="shared" ref="E221:H221" si="736">E178/COUNT($E178:$H178)</f>
        <v>0</v>
      </c>
      <c r="F221">
        <f t="shared" si="736"/>
        <v>0</v>
      </c>
      <c r="G221">
        <f t="shared" si="736"/>
        <v>0</v>
      </c>
      <c r="H221">
        <f t="shared" si="736"/>
        <v>0.25</v>
      </c>
      <c r="I221">
        <f t="shared" ref="I221:K221" si="737">I178/COUNT($I178:$K178)</f>
        <v>0</v>
      </c>
      <c r="J221">
        <f t="shared" si="737"/>
        <v>0</v>
      </c>
      <c r="K221">
        <f t="shared" si="737"/>
        <v>0</v>
      </c>
      <c r="L221">
        <f t="shared" ref="L221:M221" si="738">L178/COUNT($L178:$M178)</f>
        <v>0.5</v>
      </c>
      <c r="M221">
        <f t="shared" si="738"/>
        <v>0</v>
      </c>
      <c r="N221">
        <f t="shared" ref="N221:R221" si="739">N178/COUNT($N178:$R178)</f>
        <v>0</v>
      </c>
      <c r="O221">
        <f t="shared" si="739"/>
        <v>0</v>
      </c>
      <c r="P221">
        <f t="shared" si="739"/>
        <v>0</v>
      </c>
      <c r="Q221">
        <f t="shared" si="739"/>
        <v>0</v>
      </c>
      <c r="R221">
        <f t="shared" si="739"/>
        <v>0</v>
      </c>
      <c r="S221">
        <f t="shared" ref="S221:U221" si="740">S178/COUNT($S178:$U178)</f>
        <v>0.33333333333333331</v>
      </c>
      <c r="T221">
        <f t="shared" si="740"/>
        <v>0</v>
      </c>
      <c r="U221">
        <f t="shared" si="740"/>
        <v>0</v>
      </c>
      <c r="V221">
        <f t="shared" ref="V221:Z221" si="741">V178/COUNT($V178:$Z178)</f>
        <v>0.2</v>
      </c>
      <c r="W221">
        <f t="shared" si="741"/>
        <v>0</v>
      </c>
      <c r="X221">
        <f t="shared" si="741"/>
        <v>0.2</v>
      </c>
      <c r="Y221">
        <f t="shared" si="741"/>
        <v>0</v>
      </c>
      <c r="Z221">
        <f t="shared" si="741"/>
        <v>0.2</v>
      </c>
      <c r="AA221">
        <f t="shared" ref="AA221:AB221" si="742">AA178/COUNT($AA178:$AB178)</f>
        <v>0</v>
      </c>
      <c r="AB221">
        <f t="shared" si="742"/>
        <v>0</v>
      </c>
      <c r="AC221">
        <f t="shared" ref="AC221:AG221" si="743">AC178/COUNT($AC178:$AG178)</f>
        <v>0.2</v>
      </c>
      <c r="AD221">
        <f t="shared" si="743"/>
        <v>0</v>
      </c>
      <c r="AE221">
        <f t="shared" si="743"/>
        <v>0.2</v>
      </c>
      <c r="AF221">
        <f t="shared" si="743"/>
        <v>0</v>
      </c>
      <c r="AG221">
        <f t="shared" si="743"/>
        <v>0</v>
      </c>
      <c r="AH221">
        <f t="shared" si="401"/>
        <v>0</v>
      </c>
    </row>
    <row r="222" spans="1:35">
      <c r="A222" t="str">
        <f>A179</f>
        <v>P41</v>
      </c>
      <c r="B222">
        <f t="shared" ref="B222:D222" si="744">B179/COUNT($B179:$D179)</f>
        <v>0.33333333333333331</v>
      </c>
      <c r="C222">
        <f t="shared" si="744"/>
        <v>0</v>
      </c>
      <c r="D222">
        <f t="shared" si="744"/>
        <v>0</v>
      </c>
      <c r="E222">
        <f t="shared" ref="E222:H222" si="745">E179/COUNT($E179:$H179)</f>
        <v>0</v>
      </c>
      <c r="F222">
        <f t="shared" si="745"/>
        <v>0</v>
      </c>
      <c r="G222">
        <f t="shared" si="745"/>
        <v>0</v>
      </c>
      <c r="H222">
        <f t="shared" si="745"/>
        <v>0.25</v>
      </c>
      <c r="I222">
        <f t="shared" ref="I222:K222" si="746">I179/COUNT($I179:$K179)</f>
        <v>0</v>
      </c>
      <c r="J222">
        <f t="shared" si="746"/>
        <v>0</v>
      </c>
      <c r="K222">
        <f t="shared" si="746"/>
        <v>0.33333333333333331</v>
      </c>
      <c r="L222">
        <f t="shared" ref="L222:M222" si="747">L179/COUNT($L179:$M179)</f>
        <v>0.5</v>
      </c>
      <c r="M222">
        <f t="shared" si="747"/>
        <v>0</v>
      </c>
      <c r="N222">
        <f t="shared" ref="N222:R222" si="748">N179/COUNT($N179:$R179)</f>
        <v>0</v>
      </c>
      <c r="O222">
        <f t="shared" si="748"/>
        <v>0</v>
      </c>
      <c r="P222">
        <f t="shared" si="748"/>
        <v>0</v>
      </c>
      <c r="Q222">
        <f t="shared" si="748"/>
        <v>0.2</v>
      </c>
      <c r="R222">
        <f t="shared" si="748"/>
        <v>0</v>
      </c>
      <c r="S222">
        <f t="shared" ref="S222:U222" si="749">S179/COUNT($S179:$U179)</f>
        <v>0.33333333333333331</v>
      </c>
      <c r="T222">
        <f t="shared" si="749"/>
        <v>0</v>
      </c>
      <c r="U222">
        <f t="shared" si="749"/>
        <v>0.33333333333333331</v>
      </c>
      <c r="V222">
        <f t="shared" ref="V222:Z222" si="750">V179/COUNT($V179:$Z179)</f>
        <v>0.2</v>
      </c>
      <c r="W222">
        <f t="shared" si="750"/>
        <v>0</v>
      </c>
      <c r="X222">
        <f t="shared" si="750"/>
        <v>0.2</v>
      </c>
      <c r="Y222">
        <f t="shared" si="750"/>
        <v>0</v>
      </c>
      <c r="Z222">
        <f t="shared" si="750"/>
        <v>0.2</v>
      </c>
      <c r="AA222">
        <f t="shared" ref="AA222:AB222" si="751">AA179/COUNT($AA179:$AB179)</f>
        <v>0</v>
      </c>
      <c r="AB222">
        <f t="shared" si="751"/>
        <v>0.5</v>
      </c>
      <c r="AC222">
        <f t="shared" ref="AC222:AG222" si="752">AC179/COUNT($AC179:$AG179)</f>
        <v>0.2</v>
      </c>
      <c r="AD222">
        <f t="shared" si="752"/>
        <v>0</v>
      </c>
      <c r="AE222">
        <f t="shared" si="752"/>
        <v>0.2</v>
      </c>
      <c r="AF222">
        <f t="shared" si="752"/>
        <v>0</v>
      </c>
      <c r="AG222">
        <f t="shared" si="752"/>
        <v>0</v>
      </c>
      <c r="AH222">
        <f t="shared" si="401"/>
        <v>0</v>
      </c>
    </row>
    <row r="224" spans="1:35">
      <c r="B224" t="str">
        <f>B181</f>
        <v>X1</v>
      </c>
      <c r="C224">
        <f t="shared" ref="C224:AH224" si="753">C181</f>
        <v>0</v>
      </c>
      <c r="D224">
        <f t="shared" si="753"/>
        <v>0</v>
      </c>
      <c r="E224" t="str">
        <f t="shared" si="753"/>
        <v>X2</v>
      </c>
      <c r="F224">
        <f t="shared" si="753"/>
        <v>0</v>
      </c>
      <c r="G224">
        <f t="shared" si="753"/>
        <v>0</v>
      </c>
      <c r="H224">
        <f t="shared" si="753"/>
        <v>0</v>
      </c>
      <c r="I224" t="str">
        <f t="shared" si="753"/>
        <v>X3</v>
      </c>
      <c r="J224">
        <f t="shared" si="753"/>
        <v>0</v>
      </c>
      <c r="K224">
        <f t="shared" si="753"/>
        <v>0</v>
      </c>
      <c r="L224" t="str">
        <f t="shared" si="753"/>
        <v>X4</v>
      </c>
      <c r="M224">
        <f t="shared" si="753"/>
        <v>0</v>
      </c>
      <c r="N224" t="str">
        <f t="shared" si="753"/>
        <v>X5</v>
      </c>
      <c r="O224">
        <f t="shared" si="753"/>
        <v>0</v>
      </c>
      <c r="P224">
        <f t="shared" si="753"/>
        <v>0</v>
      </c>
      <c r="Q224">
        <f t="shared" si="753"/>
        <v>0</v>
      </c>
      <c r="R224">
        <f t="shared" si="753"/>
        <v>0</v>
      </c>
      <c r="S224" t="str">
        <f t="shared" si="753"/>
        <v>X6</v>
      </c>
      <c r="T224">
        <f t="shared" si="753"/>
        <v>0</v>
      </c>
      <c r="U224">
        <f t="shared" si="753"/>
        <v>0</v>
      </c>
      <c r="V224" t="str">
        <f t="shared" si="753"/>
        <v>X7</v>
      </c>
      <c r="W224">
        <f t="shared" si="753"/>
        <v>0</v>
      </c>
      <c r="X224">
        <f t="shared" si="753"/>
        <v>0</v>
      </c>
      <c r="Y224">
        <f t="shared" si="753"/>
        <v>0</v>
      </c>
      <c r="Z224">
        <f t="shared" si="753"/>
        <v>0</v>
      </c>
      <c r="AA224" t="str">
        <f t="shared" si="753"/>
        <v>X8</v>
      </c>
      <c r="AB224">
        <f t="shared" si="753"/>
        <v>0</v>
      </c>
      <c r="AC224" t="str">
        <f t="shared" si="753"/>
        <v>X9</v>
      </c>
      <c r="AD224">
        <f t="shared" si="753"/>
        <v>0</v>
      </c>
      <c r="AE224">
        <f t="shared" si="753"/>
        <v>0</v>
      </c>
      <c r="AF224">
        <f t="shared" si="753"/>
        <v>0</v>
      </c>
      <c r="AG224">
        <f t="shared" si="753"/>
        <v>0</v>
      </c>
      <c r="AH224" t="str">
        <f t="shared" si="753"/>
        <v>X10</v>
      </c>
      <c r="AI224" t="s">
        <v>1423</v>
      </c>
    </row>
    <row r="225" spans="1:35">
      <c r="A225" t="str">
        <f>A182</f>
        <v>P1</v>
      </c>
      <c r="B225">
        <f>SUM(B182:D182)</f>
        <v>0.33333333333333331</v>
      </c>
      <c r="E225">
        <f>SUM(E182:H182)</f>
        <v>0</v>
      </c>
      <c r="I225">
        <f>SUM(I182:K182)</f>
        <v>0.33333333333333331</v>
      </c>
      <c r="L225">
        <f>SUM(L182:M182)</f>
        <v>0.5</v>
      </c>
      <c r="N225">
        <f>SUM(N182:R182)</f>
        <v>0.8</v>
      </c>
      <c r="S225">
        <f>SUM(S182:U182)</f>
        <v>0.66666666666666663</v>
      </c>
      <c r="V225">
        <f>SUM(V182:Z182)</f>
        <v>0</v>
      </c>
      <c r="AA225">
        <f>SUM(AA182:AB182)</f>
        <v>0</v>
      </c>
      <c r="AC225">
        <f>SUM(AC182:AG182)</f>
        <v>0.4</v>
      </c>
      <c r="AH225">
        <f>AH182</f>
        <v>0</v>
      </c>
      <c r="AI225" s="8">
        <f>SUM(B225:AH225)</f>
        <v>3.0333333333333332</v>
      </c>
    </row>
    <row r="226" spans="1:35">
      <c r="A226" t="str">
        <f t="shared" ref="A226:A265" si="754">A183</f>
        <v>P2</v>
      </c>
      <c r="B226">
        <f t="shared" ref="B226:B265" si="755">SUM(B183:D183)</f>
        <v>0.33333333333333331</v>
      </c>
      <c r="E226">
        <f t="shared" ref="E226:E265" si="756">SUM(E183:H183)</f>
        <v>0.25</v>
      </c>
      <c r="I226">
        <f t="shared" ref="I226:I265" si="757">SUM(I183:K183)</f>
        <v>0</v>
      </c>
      <c r="L226">
        <f t="shared" ref="L226:L265" si="758">SUM(L183:M183)</f>
        <v>0.5</v>
      </c>
      <c r="N226">
        <f t="shared" ref="N226:N265" si="759">SUM(N183:R183)</f>
        <v>1</v>
      </c>
      <c r="S226">
        <f t="shared" ref="S226:S265" si="760">SUM(S183:U183)</f>
        <v>0.33333333333333331</v>
      </c>
      <c r="V226">
        <f t="shared" ref="V226:V265" si="761">SUM(V183:Z183)</f>
        <v>0.8</v>
      </c>
      <c r="AA226">
        <f t="shared" ref="AA226:AA265" si="762">SUM(AA183:AB183)</f>
        <v>0</v>
      </c>
      <c r="AC226">
        <f t="shared" ref="AC226:AC265" si="763">SUM(AC183:AG183)</f>
        <v>0.2</v>
      </c>
      <c r="AH226">
        <f t="shared" ref="AH226:AH265" si="764">AH183</f>
        <v>0</v>
      </c>
      <c r="AI226" s="8">
        <f t="shared" ref="AI226:AI265" si="765">SUM(B226:AH226)</f>
        <v>3.416666666666667</v>
      </c>
    </row>
    <row r="227" spans="1:35">
      <c r="A227" t="str">
        <f t="shared" si="754"/>
        <v>P3</v>
      </c>
      <c r="B227">
        <f t="shared" si="755"/>
        <v>0.33333333333333331</v>
      </c>
      <c r="E227">
        <f t="shared" si="756"/>
        <v>0.25</v>
      </c>
      <c r="I227">
        <f t="shared" si="757"/>
        <v>0.66666666666666663</v>
      </c>
      <c r="L227">
        <f t="shared" si="758"/>
        <v>0.5</v>
      </c>
      <c r="N227">
        <f t="shared" si="759"/>
        <v>1</v>
      </c>
      <c r="S227">
        <f t="shared" si="760"/>
        <v>1</v>
      </c>
      <c r="V227">
        <f t="shared" si="761"/>
        <v>0.60000000000000009</v>
      </c>
      <c r="AA227">
        <f t="shared" si="762"/>
        <v>0.5</v>
      </c>
      <c r="AC227">
        <f t="shared" si="763"/>
        <v>0.4</v>
      </c>
      <c r="AH227">
        <f t="shared" si="764"/>
        <v>0</v>
      </c>
      <c r="AI227" s="8">
        <f t="shared" si="765"/>
        <v>5.25</v>
      </c>
    </row>
    <row r="228" spans="1:35">
      <c r="A228" t="str">
        <f t="shared" si="754"/>
        <v>P4</v>
      </c>
      <c r="B228">
        <f t="shared" si="755"/>
        <v>0.33333333333333331</v>
      </c>
      <c r="E228">
        <f t="shared" si="756"/>
        <v>0.25</v>
      </c>
      <c r="I228">
        <f t="shared" si="757"/>
        <v>0.33333333333333331</v>
      </c>
      <c r="L228">
        <f t="shared" si="758"/>
        <v>0.5</v>
      </c>
      <c r="N228">
        <f t="shared" si="759"/>
        <v>0.60000000000000009</v>
      </c>
      <c r="S228">
        <f t="shared" si="760"/>
        <v>1</v>
      </c>
      <c r="V228">
        <f t="shared" si="761"/>
        <v>0.2</v>
      </c>
      <c r="AA228">
        <f t="shared" si="762"/>
        <v>0</v>
      </c>
      <c r="AC228">
        <f t="shared" si="763"/>
        <v>0.60000000000000009</v>
      </c>
      <c r="AH228">
        <f t="shared" si="764"/>
        <v>0</v>
      </c>
      <c r="AI228" s="8">
        <f t="shared" si="765"/>
        <v>3.8166666666666669</v>
      </c>
    </row>
    <row r="229" spans="1:35">
      <c r="A229" t="str">
        <f t="shared" si="754"/>
        <v>P5</v>
      </c>
      <c r="B229">
        <f t="shared" si="755"/>
        <v>0.33333333333333331</v>
      </c>
      <c r="E229">
        <f t="shared" si="756"/>
        <v>0.25</v>
      </c>
      <c r="I229">
        <f t="shared" si="757"/>
        <v>0.33333333333333331</v>
      </c>
      <c r="L229">
        <f t="shared" si="758"/>
        <v>0.5</v>
      </c>
      <c r="N229">
        <f t="shared" si="759"/>
        <v>0.60000000000000009</v>
      </c>
      <c r="S229">
        <f t="shared" si="760"/>
        <v>0.66666666666666663</v>
      </c>
      <c r="V229">
        <f t="shared" si="761"/>
        <v>0.2</v>
      </c>
      <c r="AA229">
        <f t="shared" si="762"/>
        <v>0</v>
      </c>
      <c r="AC229">
        <f t="shared" si="763"/>
        <v>0</v>
      </c>
      <c r="AH229">
        <f t="shared" si="764"/>
        <v>0</v>
      </c>
      <c r="AI229" s="8">
        <f t="shared" si="765"/>
        <v>2.8833333333333333</v>
      </c>
    </row>
    <row r="230" spans="1:35">
      <c r="A230" t="str">
        <f t="shared" si="754"/>
        <v>P6</v>
      </c>
      <c r="B230">
        <f t="shared" si="755"/>
        <v>0.33333333333333331</v>
      </c>
      <c r="E230">
        <f t="shared" si="756"/>
        <v>0.25</v>
      </c>
      <c r="I230">
        <f t="shared" si="757"/>
        <v>0</v>
      </c>
      <c r="L230">
        <f t="shared" si="758"/>
        <v>0.5</v>
      </c>
      <c r="N230">
        <f t="shared" si="759"/>
        <v>0</v>
      </c>
      <c r="S230">
        <f t="shared" si="760"/>
        <v>0.33333333333333331</v>
      </c>
      <c r="V230">
        <f t="shared" si="761"/>
        <v>0.8</v>
      </c>
      <c r="AA230">
        <f t="shared" si="762"/>
        <v>0.5</v>
      </c>
      <c r="AC230">
        <f t="shared" si="763"/>
        <v>0.4</v>
      </c>
      <c r="AH230">
        <f t="shared" si="764"/>
        <v>0</v>
      </c>
      <c r="AI230" s="8">
        <f t="shared" si="765"/>
        <v>3.1166666666666667</v>
      </c>
    </row>
    <row r="231" spans="1:35">
      <c r="A231" t="str">
        <f t="shared" si="754"/>
        <v>P7</v>
      </c>
      <c r="B231">
        <f t="shared" si="755"/>
        <v>0.33333333333333331</v>
      </c>
      <c r="E231">
        <f t="shared" si="756"/>
        <v>0.25</v>
      </c>
      <c r="I231">
        <f t="shared" si="757"/>
        <v>0</v>
      </c>
      <c r="L231">
        <f t="shared" si="758"/>
        <v>0.5</v>
      </c>
      <c r="N231">
        <f t="shared" si="759"/>
        <v>0.8</v>
      </c>
      <c r="S231">
        <f t="shared" si="760"/>
        <v>0.66666666666666663</v>
      </c>
      <c r="V231">
        <f t="shared" si="761"/>
        <v>0</v>
      </c>
      <c r="AA231">
        <f t="shared" si="762"/>
        <v>0</v>
      </c>
      <c r="AC231">
        <f t="shared" si="763"/>
        <v>0</v>
      </c>
      <c r="AH231">
        <f t="shared" si="764"/>
        <v>0</v>
      </c>
      <c r="AI231" s="8">
        <f t="shared" si="765"/>
        <v>2.5499999999999998</v>
      </c>
    </row>
    <row r="232" spans="1:35">
      <c r="A232" t="str">
        <f t="shared" si="754"/>
        <v>P8</v>
      </c>
      <c r="B232">
        <f t="shared" si="755"/>
        <v>0.33333333333333331</v>
      </c>
      <c r="E232">
        <f t="shared" si="756"/>
        <v>0.25</v>
      </c>
      <c r="I232">
        <f t="shared" si="757"/>
        <v>0.66666666666666663</v>
      </c>
      <c r="L232">
        <f t="shared" si="758"/>
        <v>0.5</v>
      </c>
      <c r="N232">
        <f t="shared" si="759"/>
        <v>0.8</v>
      </c>
      <c r="S232">
        <f t="shared" si="760"/>
        <v>0.66666666666666663</v>
      </c>
      <c r="V232">
        <f t="shared" si="761"/>
        <v>1</v>
      </c>
      <c r="AA232">
        <f t="shared" si="762"/>
        <v>0.5</v>
      </c>
      <c r="AC232">
        <f t="shared" si="763"/>
        <v>0.4</v>
      </c>
      <c r="AH232">
        <f t="shared" si="764"/>
        <v>1</v>
      </c>
      <c r="AI232" s="8">
        <f t="shared" si="765"/>
        <v>6.1166666666666671</v>
      </c>
    </row>
    <row r="233" spans="1:35">
      <c r="A233" t="str">
        <f t="shared" si="754"/>
        <v>P9</v>
      </c>
      <c r="B233">
        <f t="shared" si="755"/>
        <v>0.33333333333333331</v>
      </c>
      <c r="E233">
        <f t="shared" si="756"/>
        <v>0.25</v>
      </c>
      <c r="I233">
        <f t="shared" si="757"/>
        <v>0.66666666666666663</v>
      </c>
      <c r="L233">
        <f t="shared" si="758"/>
        <v>0.5</v>
      </c>
      <c r="N233">
        <f t="shared" si="759"/>
        <v>1</v>
      </c>
      <c r="S233">
        <f t="shared" si="760"/>
        <v>0.33333333333333331</v>
      </c>
      <c r="V233">
        <f t="shared" si="761"/>
        <v>0.60000000000000009</v>
      </c>
      <c r="AA233">
        <f t="shared" si="762"/>
        <v>0.5</v>
      </c>
      <c r="AC233">
        <f t="shared" si="763"/>
        <v>0</v>
      </c>
      <c r="AH233">
        <f t="shared" si="764"/>
        <v>1</v>
      </c>
      <c r="AI233" s="8">
        <f t="shared" si="765"/>
        <v>5.1833333333333336</v>
      </c>
    </row>
    <row r="234" spans="1:35">
      <c r="A234" t="str">
        <f t="shared" si="754"/>
        <v>P10</v>
      </c>
      <c r="B234">
        <f t="shared" si="755"/>
        <v>0.33333333333333331</v>
      </c>
      <c r="E234">
        <f t="shared" si="756"/>
        <v>0.25</v>
      </c>
      <c r="I234">
        <f t="shared" si="757"/>
        <v>0.33333333333333331</v>
      </c>
      <c r="L234">
        <f t="shared" si="758"/>
        <v>0.5</v>
      </c>
      <c r="N234">
        <f t="shared" si="759"/>
        <v>1</v>
      </c>
      <c r="S234">
        <f t="shared" si="760"/>
        <v>0.66666666666666663</v>
      </c>
      <c r="V234">
        <f t="shared" si="761"/>
        <v>0.2</v>
      </c>
      <c r="AA234">
        <f t="shared" si="762"/>
        <v>0</v>
      </c>
      <c r="AC234">
        <f t="shared" si="763"/>
        <v>0.2</v>
      </c>
      <c r="AH234">
        <f t="shared" si="764"/>
        <v>1</v>
      </c>
      <c r="AI234" s="8">
        <f t="shared" si="765"/>
        <v>4.4833333333333334</v>
      </c>
    </row>
    <row r="235" spans="1:35">
      <c r="A235" t="str">
        <f t="shared" si="754"/>
        <v>P11</v>
      </c>
      <c r="B235">
        <f t="shared" si="755"/>
        <v>0.33333333333333331</v>
      </c>
      <c r="E235">
        <f t="shared" si="756"/>
        <v>0.25</v>
      </c>
      <c r="I235">
        <f t="shared" si="757"/>
        <v>0</v>
      </c>
      <c r="L235">
        <f t="shared" si="758"/>
        <v>0.5</v>
      </c>
      <c r="N235">
        <f t="shared" si="759"/>
        <v>0.60000000000000009</v>
      </c>
      <c r="S235">
        <f t="shared" si="760"/>
        <v>0.66666666666666663</v>
      </c>
      <c r="V235">
        <f t="shared" si="761"/>
        <v>0.4</v>
      </c>
      <c r="AA235">
        <f t="shared" si="762"/>
        <v>0</v>
      </c>
      <c r="AC235">
        <f t="shared" si="763"/>
        <v>0</v>
      </c>
      <c r="AH235">
        <f t="shared" si="764"/>
        <v>0</v>
      </c>
      <c r="AI235" s="8">
        <f t="shared" si="765"/>
        <v>2.75</v>
      </c>
    </row>
    <row r="236" spans="1:35">
      <c r="A236" t="str">
        <f t="shared" si="754"/>
        <v>P12</v>
      </c>
      <c r="B236">
        <f t="shared" si="755"/>
        <v>0</v>
      </c>
      <c r="E236">
        <f t="shared" si="756"/>
        <v>0</v>
      </c>
      <c r="I236">
        <f t="shared" si="757"/>
        <v>0.33333333333333331</v>
      </c>
      <c r="L236">
        <f t="shared" si="758"/>
        <v>0</v>
      </c>
      <c r="N236">
        <f t="shared" si="759"/>
        <v>1</v>
      </c>
      <c r="S236">
        <f t="shared" si="760"/>
        <v>0.66666666666666663</v>
      </c>
      <c r="V236">
        <f t="shared" si="761"/>
        <v>0.4</v>
      </c>
      <c r="AA236">
        <f t="shared" si="762"/>
        <v>0</v>
      </c>
      <c r="AC236">
        <f t="shared" si="763"/>
        <v>0</v>
      </c>
      <c r="AH236">
        <f t="shared" si="764"/>
        <v>0</v>
      </c>
      <c r="AI236" s="8">
        <f t="shared" si="765"/>
        <v>2.4</v>
      </c>
    </row>
    <row r="237" spans="1:35">
      <c r="A237" t="str">
        <f t="shared" si="754"/>
        <v>P13</v>
      </c>
      <c r="B237">
        <f t="shared" si="755"/>
        <v>0.33333333333333331</v>
      </c>
      <c r="E237">
        <f t="shared" si="756"/>
        <v>0.25</v>
      </c>
      <c r="I237">
        <f t="shared" si="757"/>
        <v>0.66666666666666663</v>
      </c>
      <c r="L237">
        <f t="shared" si="758"/>
        <v>0.5</v>
      </c>
      <c r="N237">
        <f t="shared" si="759"/>
        <v>0.8</v>
      </c>
      <c r="S237">
        <f t="shared" si="760"/>
        <v>0.66666666666666663</v>
      </c>
      <c r="V237">
        <f t="shared" si="761"/>
        <v>0.2</v>
      </c>
      <c r="AA237">
        <f t="shared" si="762"/>
        <v>0</v>
      </c>
      <c r="AC237">
        <f t="shared" si="763"/>
        <v>0</v>
      </c>
      <c r="AH237">
        <f t="shared" si="764"/>
        <v>0</v>
      </c>
      <c r="AI237" s="8">
        <f t="shared" si="765"/>
        <v>3.4166666666666665</v>
      </c>
    </row>
    <row r="238" spans="1:35">
      <c r="A238" t="str">
        <f t="shared" si="754"/>
        <v>P14</v>
      </c>
      <c r="B238">
        <f t="shared" si="755"/>
        <v>0.33333333333333331</v>
      </c>
      <c r="E238">
        <f t="shared" si="756"/>
        <v>0.25</v>
      </c>
      <c r="I238">
        <f t="shared" si="757"/>
        <v>0.66666666666666663</v>
      </c>
      <c r="L238">
        <f t="shared" si="758"/>
        <v>0.5</v>
      </c>
      <c r="N238">
        <f t="shared" si="759"/>
        <v>1</v>
      </c>
      <c r="S238">
        <f t="shared" si="760"/>
        <v>0.66666666666666663</v>
      </c>
      <c r="V238">
        <f t="shared" si="761"/>
        <v>0.2</v>
      </c>
      <c r="AA238">
        <f t="shared" si="762"/>
        <v>0</v>
      </c>
      <c r="AC238">
        <f t="shared" si="763"/>
        <v>0.2</v>
      </c>
      <c r="AH238">
        <f t="shared" si="764"/>
        <v>0</v>
      </c>
      <c r="AI238" s="8">
        <f t="shared" si="765"/>
        <v>3.8166666666666669</v>
      </c>
    </row>
    <row r="239" spans="1:35">
      <c r="A239" t="str">
        <f t="shared" si="754"/>
        <v>P15</v>
      </c>
      <c r="B239">
        <f t="shared" si="755"/>
        <v>0.33333333333333331</v>
      </c>
      <c r="E239">
        <f t="shared" si="756"/>
        <v>0.25</v>
      </c>
      <c r="I239">
        <f t="shared" si="757"/>
        <v>0.66666666666666663</v>
      </c>
      <c r="L239">
        <f t="shared" si="758"/>
        <v>0.5</v>
      </c>
      <c r="N239">
        <f t="shared" si="759"/>
        <v>1</v>
      </c>
      <c r="S239">
        <f t="shared" si="760"/>
        <v>0.66666666666666663</v>
      </c>
      <c r="V239">
        <f t="shared" si="761"/>
        <v>0.4</v>
      </c>
      <c r="AA239">
        <f t="shared" si="762"/>
        <v>0</v>
      </c>
      <c r="AC239">
        <f t="shared" si="763"/>
        <v>0</v>
      </c>
      <c r="AH239">
        <f t="shared" si="764"/>
        <v>0</v>
      </c>
      <c r="AI239" s="8">
        <f t="shared" si="765"/>
        <v>3.8166666666666664</v>
      </c>
    </row>
    <row r="240" spans="1:35">
      <c r="A240" t="str">
        <f t="shared" si="754"/>
        <v>P16</v>
      </c>
      <c r="B240">
        <f t="shared" si="755"/>
        <v>0.33333333333333331</v>
      </c>
      <c r="E240">
        <f t="shared" si="756"/>
        <v>0.25</v>
      </c>
      <c r="I240">
        <f t="shared" si="757"/>
        <v>0.33333333333333331</v>
      </c>
      <c r="L240">
        <f t="shared" si="758"/>
        <v>0.5</v>
      </c>
      <c r="N240">
        <f t="shared" si="759"/>
        <v>1</v>
      </c>
      <c r="S240">
        <f t="shared" si="760"/>
        <v>0.66666666666666663</v>
      </c>
      <c r="V240">
        <f t="shared" si="761"/>
        <v>0.4</v>
      </c>
      <c r="AA240">
        <f t="shared" si="762"/>
        <v>0</v>
      </c>
      <c r="AC240">
        <f t="shared" si="763"/>
        <v>0.4</v>
      </c>
      <c r="AH240">
        <f t="shared" si="764"/>
        <v>1</v>
      </c>
      <c r="AI240" s="8">
        <f t="shared" si="765"/>
        <v>4.8833333333333329</v>
      </c>
    </row>
    <row r="241" spans="1:35">
      <c r="A241" t="str">
        <f t="shared" si="754"/>
        <v>P17</v>
      </c>
      <c r="B241">
        <f t="shared" si="755"/>
        <v>0.33333333333333331</v>
      </c>
      <c r="E241">
        <f t="shared" si="756"/>
        <v>0.25</v>
      </c>
      <c r="I241">
        <f t="shared" si="757"/>
        <v>0</v>
      </c>
      <c r="L241">
        <f t="shared" si="758"/>
        <v>0.5</v>
      </c>
      <c r="N241">
        <f t="shared" si="759"/>
        <v>0.8</v>
      </c>
      <c r="S241">
        <f t="shared" si="760"/>
        <v>0.33333333333333331</v>
      </c>
      <c r="V241">
        <f t="shared" si="761"/>
        <v>0</v>
      </c>
      <c r="AA241">
        <f t="shared" si="762"/>
        <v>0</v>
      </c>
      <c r="AC241">
        <f t="shared" si="763"/>
        <v>0</v>
      </c>
      <c r="AH241">
        <f t="shared" si="764"/>
        <v>0</v>
      </c>
      <c r="AI241" s="8">
        <f t="shared" si="765"/>
        <v>2.2166666666666668</v>
      </c>
    </row>
    <row r="242" spans="1:35">
      <c r="A242" t="str">
        <f t="shared" si="754"/>
        <v>P18</v>
      </c>
      <c r="B242">
        <f t="shared" si="755"/>
        <v>0.33333333333333331</v>
      </c>
      <c r="E242">
        <f t="shared" si="756"/>
        <v>0.25</v>
      </c>
      <c r="I242">
        <f t="shared" si="757"/>
        <v>0.33333333333333331</v>
      </c>
      <c r="L242">
        <f t="shared" si="758"/>
        <v>0.5</v>
      </c>
      <c r="N242">
        <f t="shared" si="759"/>
        <v>1</v>
      </c>
      <c r="S242">
        <f t="shared" si="760"/>
        <v>0.33333333333333331</v>
      </c>
      <c r="V242">
        <f t="shared" si="761"/>
        <v>0.4</v>
      </c>
      <c r="AA242">
        <f t="shared" si="762"/>
        <v>0</v>
      </c>
      <c r="AC242">
        <f t="shared" si="763"/>
        <v>0.4</v>
      </c>
      <c r="AH242">
        <f t="shared" si="764"/>
        <v>1</v>
      </c>
      <c r="AI242" s="8">
        <f t="shared" si="765"/>
        <v>4.55</v>
      </c>
    </row>
    <row r="243" spans="1:35">
      <c r="A243" t="str">
        <f t="shared" si="754"/>
        <v>P19</v>
      </c>
      <c r="B243">
        <f t="shared" si="755"/>
        <v>0.33333333333333331</v>
      </c>
      <c r="E243">
        <f t="shared" si="756"/>
        <v>0.25</v>
      </c>
      <c r="I243">
        <f t="shared" si="757"/>
        <v>0.33333333333333331</v>
      </c>
      <c r="L243">
        <f t="shared" si="758"/>
        <v>0.5</v>
      </c>
      <c r="N243">
        <f t="shared" si="759"/>
        <v>0.60000000000000009</v>
      </c>
      <c r="S243">
        <f t="shared" si="760"/>
        <v>0.66666666666666663</v>
      </c>
      <c r="V243">
        <f t="shared" si="761"/>
        <v>0</v>
      </c>
      <c r="AA243">
        <f t="shared" si="762"/>
        <v>0</v>
      </c>
      <c r="AC243">
        <f t="shared" si="763"/>
        <v>0</v>
      </c>
      <c r="AH243">
        <f t="shared" si="764"/>
        <v>0</v>
      </c>
      <c r="AI243" s="8">
        <f t="shared" si="765"/>
        <v>2.6833333333333331</v>
      </c>
    </row>
    <row r="244" spans="1:35">
      <c r="A244" t="str">
        <f t="shared" si="754"/>
        <v>P20</v>
      </c>
      <c r="B244">
        <f t="shared" si="755"/>
        <v>0.33333333333333331</v>
      </c>
      <c r="E244">
        <f t="shared" si="756"/>
        <v>0.25</v>
      </c>
      <c r="I244">
        <f t="shared" si="757"/>
        <v>0.33333333333333331</v>
      </c>
      <c r="L244">
        <f t="shared" si="758"/>
        <v>0.5</v>
      </c>
      <c r="N244">
        <f t="shared" si="759"/>
        <v>0</v>
      </c>
      <c r="S244">
        <f t="shared" si="760"/>
        <v>0.66666666666666663</v>
      </c>
      <c r="V244">
        <f t="shared" si="761"/>
        <v>0.60000000000000009</v>
      </c>
      <c r="AA244">
        <f t="shared" si="762"/>
        <v>0</v>
      </c>
      <c r="AC244">
        <f t="shared" si="763"/>
        <v>0.4</v>
      </c>
      <c r="AH244">
        <f t="shared" si="764"/>
        <v>0</v>
      </c>
      <c r="AI244" s="8">
        <f t="shared" si="765"/>
        <v>3.083333333333333</v>
      </c>
    </row>
    <row r="245" spans="1:35">
      <c r="A245" t="str">
        <f t="shared" si="754"/>
        <v>P21</v>
      </c>
      <c r="B245">
        <f t="shared" si="755"/>
        <v>0.66666666666666663</v>
      </c>
      <c r="E245">
        <f t="shared" si="756"/>
        <v>0.25</v>
      </c>
      <c r="I245">
        <f t="shared" si="757"/>
        <v>0</v>
      </c>
      <c r="L245">
        <f t="shared" si="758"/>
        <v>0.5</v>
      </c>
      <c r="N245">
        <f t="shared" si="759"/>
        <v>0</v>
      </c>
      <c r="S245">
        <f t="shared" si="760"/>
        <v>0.33333333333333331</v>
      </c>
      <c r="V245">
        <f t="shared" si="761"/>
        <v>0.8</v>
      </c>
      <c r="AA245">
        <f t="shared" si="762"/>
        <v>0.5</v>
      </c>
      <c r="AC245">
        <f t="shared" si="763"/>
        <v>0.4</v>
      </c>
      <c r="AH245">
        <f t="shared" si="764"/>
        <v>0</v>
      </c>
      <c r="AI245" s="8">
        <f t="shared" si="765"/>
        <v>3.4499999999999997</v>
      </c>
    </row>
    <row r="246" spans="1:35">
      <c r="A246" t="str">
        <f t="shared" si="754"/>
        <v>P22</v>
      </c>
      <c r="B246">
        <f t="shared" si="755"/>
        <v>0.33333333333333331</v>
      </c>
      <c r="E246">
        <f t="shared" si="756"/>
        <v>0.25</v>
      </c>
      <c r="I246">
        <f t="shared" si="757"/>
        <v>0.66666666666666663</v>
      </c>
      <c r="L246">
        <f t="shared" si="758"/>
        <v>0.5</v>
      </c>
      <c r="N246">
        <f t="shared" si="759"/>
        <v>0.8</v>
      </c>
      <c r="S246">
        <f t="shared" si="760"/>
        <v>0.33333333333333331</v>
      </c>
      <c r="V246">
        <f t="shared" si="761"/>
        <v>0.4</v>
      </c>
      <c r="AA246">
        <f t="shared" si="762"/>
        <v>0</v>
      </c>
      <c r="AC246">
        <f t="shared" si="763"/>
        <v>0.2</v>
      </c>
      <c r="AH246">
        <f t="shared" si="764"/>
        <v>0</v>
      </c>
      <c r="AI246" s="8">
        <f t="shared" si="765"/>
        <v>3.4833333333333334</v>
      </c>
    </row>
    <row r="247" spans="1:35">
      <c r="A247" t="str">
        <f t="shared" si="754"/>
        <v>P23</v>
      </c>
      <c r="B247">
        <f t="shared" si="755"/>
        <v>0.33333333333333331</v>
      </c>
      <c r="E247">
        <f t="shared" si="756"/>
        <v>0.25</v>
      </c>
      <c r="I247">
        <f t="shared" si="757"/>
        <v>0.66666666666666663</v>
      </c>
      <c r="L247">
        <f t="shared" si="758"/>
        <v>0</v>
      </c>
      <c r="N247">
        <f t="shared" si="759"/>
        <v>0.60000000000000009</v>
      </c>
      <c r="S247">
        <f t="shared" si="760"/>
        <v>0.66666666666666663</v>
      </c>
      <c r="V247">
        <f t="shared" si="761"/>
        <v>0.8</v>
      </c>
      <c r="AA247">
        <f t="shared" si="762"/>
        <v>0</v>
      </c>
      <c r="AC247">
        <f t="shared" si="763"/>
        <v>0.4</v>
      </c>
      <c r="AH247">
        <f t="shared" si="764"/>
        <v>1</v>
      </c>
      <c r="AI247" s="8">
        <f t="shared" si="765"/>
        <v>4.7166666666666668</v>
      </c>
    </row>
    <row r="248" spans="1:35">
      <c r="A248" t="str">
        <f t="shared" si="754"/>
        <v>P24</v>
      </c>
      <c r="B248">
        <f t="shared" si="755"/>
        <v>0.33333333333333331</v>
      </c>
      <c r="E248">
        <f t="shared" si="756"/>
        <v>0.25</v>
      </c>
      <c r="I248">
        <f t="shared" si="757"/>
        <v>0.33333333333333331</v>
      </c>
      <c r="L248">
        <f t="shared" si="758"/>
        <v>0.5</v>
      </c>
      <c r="N248">
        <f t="shared" si="759"/>
        <v>0.60000000000000009</v>
      </c>
      <c r="S248">
        <f t="shared" si="760"/>
        <v>0.66666666666666663</v>
      </c>
      <c r="V248">
        <f t="shared" si="761"/>
        <v>0</v>
      </c>
      <c r="AA248">
        <f t="shared" si="762"/>
        <v>0</v>
      </c>
      <c r="AC248">
        <f t="shared" si="763"/>
        <v>0</v>
      </c>
      <c r="AH248">
        <f t="shared" si="764"/>
        <v>0</v>
      </c>
      <c r="AI248" s="8">
        <f t="shared" si="765"/>
        <v>2.6833333333333331</v>
      </c>
    </row>
    <row r="249" spans="1:35">
      <c r="A249" t="str">
        <f t="shared" si="754"/>
        <v>P25</v>
      </c>
      <c r="B249">
        <f t="shared" si="755"/>
        <v>0.33333333333333331</v>
      </c>
      <c r="E249">
        <f t="shared" si="756"/>
        <v>0.25</v>
      </c>
      <c r="I249">
        <f t="shared" si="757"/>
        <v>0.66666666666666663</v>
      </c>
      <c r="L249">
        <f t="shared" si="758"/>
        <v>0.5</v>
      </c>
      <c r="N249">
        <f t="shared" si="759"/>
        <v>0.8</v>
      </c>
      <c r="S249">
        <f t="shared" si="760"/>
        <v>0.33333333333333331</v>
      </c>
      <c r="V249">
        <f t="shared" si="761"/>
        <v>0.8</v>
      </c>
      <c r="AA249">
        <f t="shared" si="762"/>
        <v>0</v>
      </c>
      <c r="AC249">
        <f t="shared" si="763"/>
        <v>0.4</v>
      </c>
      <c r="AH249">
        <f t="shared" si="764"/>
        <v>0</v>
      </c>
      <c r="AI249" s="8">
        <f t="shared" si="765"/>
        <v>4.0833333333333339</v>
      </c>
    </row>
    <row r="250" spans="1:35">
      <c r="A250" t="str">
        <f t="shared" si="754"/>
        <v>P26</v>
      </c>
      <c r="B250">
        <f t="shared" si="755"/>
        <v>0.33333333333333331</v>
      </c>
      <c r="E250">
        <f t="shared" si="756"/>
        <v>0.25</v>
      </c>
      <c r="I250">
        <f t="shared" si="757"/>
        <v>0.66666666666666663</v>
      </c>
      <c r="L250">
        <f t="shared" si="758"/>
        <v>0</v>
      </c>
      <c r="N250">
        <f t="shared" si="759"/>
        <v>1</v>
      </c>
      <c r="S250">
        <f t="shared" si="760"/>
        <v>1</v>
      </c>
      <c r="V250">
        <f t="shared" si="761"/>
        <v>0.2</v>
      </c>
      <c r="AA250">
        <f t="shared" si="762"/>
        <v>0</v>
      </c>
      <c r="AC250">
        <f t="shared" si="763"/>
        <v>0.4</v>
      </c>
      <c r="AH250">
        <f t="shared" si="764"/>
        <v>0</v>
      </c>
      <c r="AI250" s="8">
        <f t="shared" si="765"/>
        <v>3.85</v>
      </c>
    </row>
    <row r="251" spans="1:35">
      <c r="A251" t="str">
        <f t="shared" si="754"/>
        <v>P27</v>
      </c>
      <c r="B251">
        <f t="shared" si="755"/>
        <v>0.33333333333333331</v>
      </c>
      <c r="E251">
        <f t="shared" si="756"/>
        <v>0.25</v>
      </c>
      <c r="I251">
        <f t="shared" si="757"/>
        <v>0</v>
      </c>
      <c r="L251">
        <f t="shared" si="758"/>
        <v>0.5</v>
      </c>
      <c r="N251">
        <f t="shared" si="759"/>
        <v>0.8</v>
      </c>
      <c r="S251">
        <f t="shared" si="760"/>
        <v>1</v>
      </c>
      <c r="V251">
        <f t="shared" si="761"/>
        <v>0</v>
      </c>
      <c r="AA251">
        <f t="shared" si="762"/>
        <v>0</v>
      </c>
      <c r="AC251">
        <f t="shared" si="763"/>
        <v>0.2</v>
      </c>
      <c r="AH251">
        <f t="shared" si="764"/>
        <v>0</v>
      </c>
      <c r="AI251" s="8">
        <f t="shared" si="765"/>
        <v>3.0833333333333335</v>
      </c>
    </row>
    <row r="252" spans="1:35">
      <c r="A252" t="str">
        <f t="shared" si="754"/>
        <v>P28</v>
      </c>
      <c r="B252">
        <f t="shared" si="755"/>
        <v>0.33333333333333331</v>
      </c>
      <c r="E252">
        <f t="shared" si="756"/>
        <v>0.25</v>
      </c>
      <c r="I252">
        <f t="shared" si="757"/>
        <v>0.66666666666666663</v>
      </c>
      <c r="L252">
        <f t="shared" si="758"/>
        <v>0.5</v>
      </c>
      <c r="N252">
        <f t="shared" si="759"/>
        <v>0.4</v>
      </c>
      <c r="S252">
        <f t="shared" si="760"/>
        <v>0</v>
      </c>
      <c r="V252">
        <f t="shared" si="761"/>
        <v>0.60000000000000009</v>
      </c>
      <c r="AA252">
        <f t="shared" si="762"/>
        <v>0.5</v>
      </c>
      <c r="AC252">
        <f t="shared" si="763"/>
        <v>0.2</v>
      </c>
      <c r="AH252">
        <f t="shared" si="764"/>
        <v>0</v>
      </c>
      <c r="AI252" s="8">
        <f t="shared" si="765"/>
        <v>3.45</v>
      </c>
    </row>
    <row r="253" spans="1:35">
      <c r="A253" t="str">
        <f t="shared" si="754"/>
        <v>P29</v>
      </c>
      <c r="B253">
        <f t="shared" si="755"/>
        <v>0.33333333333333331</v>
      </c>
      <c r="E253">
        <f t="shared" si="756"/>
        <v>0</v>
      </c>
      <c r="I253">
        <f t="shared" si="757"/>
        <v>0.33333333333333331</v>
      </c>
      <c r="L253">
        <f t="shared" si="758"/>
        <v>0.5</v>
      </c>
      <c r="N253">
        <f t="shared" si="759"/>
        <v>0.4</v>
      </c>
      <c r="S253">
        <f t="shared" si="760"/>
        <v>0.66666666666666663</v>
      </c>
      <c r="V253">
        <f t="shared" si="761"/>
        <v>0.2</v>
      </c>
      <c r="AA253">
        <f t="shared" si="762"/>
        <v>0</v>
      </c>
      <c r="AC253">
        <f t="shared" si="763"/>
        <v>0</v>
      </c>
      <c r="AH253">
        <f t="shared" si="764"/>
        <v>1</v>
      </c>
      <c r="AI253" s="8">
        <f t="shared" si="765"/>
        <v>3.4333333333333331</v>
      </c>
    </row>
    <row r="254" spans="1:35">
      <c r="A254" t="str">
        <f t="shared" si="754"/>
        <v>P30</v>
      </c>
      <c r="B254">
        <f t="shared" si="755"/>
        <v>0.33333333333333331</v>
      </c>
      <c r="E254">
        <f t="shared" si="756"/>
        <v>0.5</v>
      </c>
      <c r="I254">
        <f t="shared" si="757"/>
        <v>0</v>
      </c>
      <c r="L254">
        <f t="shared" si="758"/>
        <v>0</v>
      </c>
      <c r="N254">
        <f t="shared" si="759"/>
        <v>0.2</v>
      </c>
      <c r="S254">
        <f t="shared" si="760"/>
        <v>0.33333333333333331</v>
      </c>
      <c r="V254">
        <f t="shared" si="761"/>
        <v>0.2</v>
      </c>
      <c r="AA254">
        <f t="shared" si="762"/>
        <v>0</v>
      </c>
      <c r="AC254">
        <f t="shared" si="763"/>
        <v>0.2</v>
      </c>
      <c r="AH254">
        <f t="shared" si="764"/>
        <v>0</v>
      </c>
      <c r="AI254" s="8">
        <f t="shared" si="765"/>
        <v>1.7666666666666664</v>
      </c>
    </row>
    <row r="255" spans="1:35">
      <c r="A255" t="str">
        <f t="shared" si="754"/>
        <v>P31</v>
      </c>
      <c r="B255">
        <f t="shared" si="755"/>
        <v>0.33333333333333331</v>
      </c>
      <c r="E255">
        <f t="shared" si="756"/>
        <v>0.25</v>
      </c>
      <c r="I255">
        <f t="shared" si="757"/>
        <v>0</v>
      </c>
      <c r="L255">
        <f t="shared" si="758"/>
        <v>0.5</v>
      </c>
      <c r="N255">
        <f t="shared" si="759"/>
        <v>0.60000000000000009</v>
      </c>
      <c r="S255">
        <f t="shared" si="760"/>
        <v>0.66666666666666663</v>
      </c>
      <c r="V255">
        <f t="shared" si="761"/>
        <v>0.8</v>
      </c>
      <c r="AA255">
        <f t="shared" si="762"/>
        <v>0</v>
      </c>
      <c r="AC255">
        <f t="shared" si="763"/>
        <v>0</v>
      </c>
      <c r="AH255">
        <f t="shared" si="764"/>
        <v>0</v>
      </c>
      <c r="AI255" s="8">
        <f t="shared" si="765"/>
        <v>3.1500000000000004</v>
      </c>
    </row>
    <row r="256" spans="1:35">
      <c r="A256" t="str">
        <f t="shared" si="754"/>
        <v>P32</v>
      </c>
      <c r="B256">
        <f t="shared" si="755"/>
        <v>0.33333333333333331</v>
      </c>
      <c r="E256">
        <f t="shared" si="756"/>
        <v>0.25</v>
      </c>
      <c r="I256">
        <f t="shared" si="757"/>
        <v>0</v>
      </c>
      <c r="L256">
        <f t="shared" si="758"/>
        <v>0.5</v>
      </c>
      <c r="N256">
        <f t="shared" si="759"/>
        <v>1</v>
      </c>
      <c r="S256">
        <f t="shared" si="760"/>
        <v>0.33333333333333331</v>
      </c>
      <c r="V256">
        <f t="shared" si="761"/>
        <v>0.8</v>
      </c>
      <c r="AA256">
        <f t="shared" si="762"/>
        <v>0.5</v>
      </c>
      <c r="AC256">
        <f t="shared" si="763"/>
        <v>0.4</v>
      </c>
      <c r="AH256">
        <f t="shared" si="764"/>
        <v>0</v>
      </c>
      <c r="AI256" s="8">
        <f t="shared" si="765"/>
        <v>4.1166666666666671</v>
      </c>
    </row>
    <row r="257" spans="1:39">
      <c r="A257" t="str">
        <f t="shared" si="754"/>
        <v>P33</v>
      </c>
      <c r="B257">
        <f t="shared" si="755"/>
        <v>0.33333333333333331</v>
      </c>
      <c r="E257">
        <f t="shared" si="756"/>
        <v>0.25</v>
      </c>
      <c r="I257">
        <f t="shared" si="757"/>
        <v>0</v>
      </c>
      <c r="L257">
        <f t="shared" si="758"/>
        <v>0.5</v>
      </c>
      <c r="N257">
        <f t="shared" si="759"/>
        <v>0</v>
      </c>
      <c r="S257">
        <f t="shared" si="760"/>
        <v>0.33333333333333331</v>
      </c>
      <c r="V257">
        <f t="shared" si="761"/>
        <v>0.60000000000000009</v>
      </c>
      <c r="AA257">
        <f t="shared" si="762"/>
        <v>0</v>
      </c>
      <c r="AC257">
        <f t="shared" si="763"/>
        <v>0.4</v>
      </c>
      <c r="AH257">
        <f t="shared" si="764"/>
        <v>0</v>
      </c>
      <c r="AI257" s="8">
        <f t="shared" si="765"/>
        <v>2.4166666666666665</v>
      </c>
    </row>
    <row r="258" spans="1:39">
      <c r="A258" t="str">
        <f t="shared" si="754"/>
        <v>P34</v>
      </c>
      <c r="B258">
        <f t="shared" si="755"/>
        <v>0.33333333333333331</v>
      </c>
      <c r="E258">
        <f t="shared" si="756"/>
        <v>0.25</v>
      </c>
      <c r="I258">
        <f t="shared" si="757"/>
        <v>0.33333333333333331</v>
      </c>
      <c r="L258">
        <f t="shared" si="758"/>
        <v>0.5</v>
      </c>
      <c r="N258">
        <f t="shared" si="759"/>
        <v>1</v>
      </c>
      <c r="S258">
        <f t="shared" si="760"/>
        <v>0.66666666666666663</v>
      </c>
      <c r="V258">
        <f t="shared" si="761"/>
        <v>0.2</v>
      </c>
      <c r="AA258">
        <f t="shared" si="762"/>
        <v>0</v>
      </c>
      <c r="AC258">
        <f t="shared" si="763"/>
        <v>0</v>
      </c>
      <c r="AH258">
        <f t="shared" si="764"/>
        <v>0</v>
      </c>
      <c r="AI258" s="8">
        <f t="shared" si="765"/>
        <v>3.2833333333333332</v>
      </c>
    </row>
    <row r="259" spans="1:39">
      <c r="A259" t="str">
        <f t="shared" si="754"/>
        <v>P35</v>
      </c>
      <c r="B259">
        <f t="shared" si="755"/>
        <v>0.33333333333333331</v>
      </c>
      <c r="E259">
        <f t="shared" si="756"/>
        <v>0.25</v>
      </c>
      <c r="I259">
        <f t="shared" si="757"/>
        <v>0.33333333333333331</v>
      </c>
      <c r="L259">
        <f t="shared" si="758"/>
        <v>0.5</v>
      </c>
      <c r="N259">
        <f t="shared" si="759"/>
        <v>0.60000000000000009</v>
      </c>
      <c r="S259">
        <f t="shared" si="760"/>
        <v>0.66666666666666663</v>
      </c>
      <c r="V259">
        <f t="shared" si="761"/>
        <v>0.2</v>
      </c>
      <c r="AA259">
        <f t="shared" si="762"/>
        <v>0.5</v>
      </c>
      <c r="AC259">
        <f t="shared" si="763"/>
        <v>0</v>
      </c>
      <c r="AH259">
        <f t="shared" si="764"/>
        <v>0</v>
      </c>
      <c r="AI259" s="8">
        <f t="shared" si="765"/>
        <v>3.3833333333333333</v>
      </c>
    </row>
    <row r="260" spans="1:39">
      <c r="A260" t="str">
        <f t="shared" si="754"/>
        <v>P36</v>
      </c>
      <c r="B260">
        <f t="shared" si="755"/>
        <v>0.33333333333333331</v>
      </c>
      <c r="E260">
        <f t="shared" si="756"/>
        <v>0.25</v>
      </c>
      <c r="I260">
        <f t="shared" si="757"/>
        <v>0</v>
      </c>
      <c r="L260">
        <f t="shared" si="758"/>
        <v>0.5</v>
      </c>
      <c r="N260">
        <f t="shared" si="759"/>
        <v>0.4</v>
      </c>
      <c r="S260">
        <f t="shared" si="760"/>
        <v>0.66666666666666663</v>
      </c>
      <c r="V260">
        <f t="shared" si="761"/>
        <v>0.4</v>
      </c>
      <c r="AA260">
        <f t="shared" si="762"/>
        <v>0</v>
      </c>
      <c r="AC260">
        <f t="shared" si="763"/>
        <v>0.60000000000000009</v>
      </c>
      <c r="AH260">
        <f t="shared" si="764"/>
        <v>1</v>
      </c>
      <c r="AI260" s="8">
        <f t="shared" si="765"/>
        <v>4.1500000000000004</v>
      </c>
    </row>
    <row r="261" spans="1:39">
      <c r="A261" t="str">
        <f t="shared" si="754"/>
        <v>P37</v>
      </c>
      <c r="B261">
        <f t="shared" si="755"/>
        <v>0.33333333333333331</v>
      </c>
      <c r="E261">
        <f t="shared" si="756"/>
        <v>0.25</v>
      </c>
      <c r="I261">
        <f t="shared" si="757"/>
        <v>0.33333333333333331</v>
      </c>
      <c r="L261">
        <f t="shared" si="758"/>
        <v>0.5</v>
      </c>
      <c r="N261">
        <f t="shared" si="759"/>
        <v>0.8</v>
      </c>
      <c r="S261">
        <f t="shared" si="760"/>
        <v>0.66666666666666663</v>
      </c>
      <c r="V261">
        <f t="shared" si="761"/>
        <v>0.8</v>
      </c>
      <c r="AA261">
        <f t="shared" si="762"/>
        <v>0</v>
      </c>
      <c r="AC261">
        <f t="shared" si="763"/>
        <v>0.2</v>
      </c>
      <c r="AH261">
        <f t="shared" si="764"/>
        <v>1</v>
      </c>
      <c r="AI261" s="8">
        <f t="shared" si="765"/>
        <v>4.8833333333333337</v>
      </c>
    </row>
    <row r="262" spans="1:39">
      <c r="A262" t="str">
        <f t="shared" si="754"/>
        <v>P38</v>
      </c>
      <c r="B262">
        <f t="shared" si="755"/>
        <v>0.33333333333333331</v>
      </c>
      <c r="E262">
        <f t="shared" si="756"/>
        <v>0.25</v>
      </c>
      <c r="I262">
        <f t="shared" si="757"/>
        <v>0.33333333333333331</v>
      </c>
      <c r="L262">
        <f t="shared" si="758"/>
        <v>0.5</v>
      </c>
      <c r="N262">
        <f t="shared" si="759"/>
        <v>1</v>
      </c>
      <c r="S262">
        <f t="shared" si="760"/>
        <v>0.66666666666666663</v>
      </c>
      <c r="V262">
        <f t="shared" si="761"/>
        <v>1</v>
      </c>
      <c r="AA262">
        <f t="shared" si="762"/>
        <v>0.5</v>
      </c>
      <c r="AC262">
        <f t="shared" si="763"/>
        <v>0.2</v>
      </c>
      <c r="AH262">
        <f t="shared" si="764"/>
        <v>1</v>
      </c>
      <c r="AI262" s="8">
        <f t="shared" si="765"/>
        <v>5.7833333333333332</v>
      </c>
    </row>
    <row r="263" spans="1:39">
      <c r="A263" t="str">
        <f t="shared" si="754"/>
        <v>P39</v>
      </c>
      <c r="B263">
        <f t="shared" si="755"/>
        <v>0.33333333333333331</v>
      </c>
      <c r="E263">
        <f t="shared" si="756"/>
        <v>0.25</v>
      </c>
      <c r="I263">
        <f t="shared" si="757"/>
        <v>0.33333333333333331</v>
      </c>
      <c r="L263">
        <f t="shared" si="758"/>
        <v>0.5</v>
      </c>
      <c r="N263">
        <f t="shared" si="759"/>
        <v>0.60000000000000009</v>
      </c>
      <c r="S263">
        <f t="shared" si="760"/>
        <v>1</v>
      </c>
      <c r="V263">
        <f t="shared" si="761"/>
        <v>0.4</v>
      </c>
      <c r="AA263">
        <f t="shared" si="762"/>
        <v>0</v>
      </c>
      <c r="AC263">
        <f t="shared" si="763"/>
        <v>0</v>
      </c>
      <c r="AH263">
        <f t="shared" si="764"/>
        <v>0</v>
      </c>
      <c r="AI263" s="8">
        <f t="shared" si="765"/>
        <v>3.4166666666666665</v>
      </c>
    </row>
    <row r="264" spans="1:39">
      <c r="A264" t="str">
        <f t="shared" si="754"/>
        <v>P40</v>
      </c>
      <c r="B264">
        <f t="shared" si="755"/>
        <v>0.33333333333333331</v>
      </c>
      <c r="E264">
        <f t="shared" si="756"/>
        <v>0.25</v>
      </c>
      <c r="I264">
        <f t="shared" si="757"/>
        <v>0</v>
      </c>
      <c r="L264">
        <f t="shared" si="758"/>
        <v>0.5</v>
      </c>
      <c r="N264">
        <f t="shared" si="759"/>
        <v>0</v>
      </c>
      <c r="S264">
        <f t="shared" si="760"/>
        <v>0.33333333333333331</v>
      </c>
      <c r="V264">
        <f t="shared" si="761"/>
        <v>0.60000000000000009</v>
      </c>
      <c r="AA264">
        <f t="shared" si="762"/>
        <v>0</v>
      </c>
      <c r="AC264">
        <f t="shared" si="763"/>
        <v>0.4</v>
      </c>
      <c r="AH264">
        <f t="shared" si="764"/>
        <v>0</v>
      </c>
      <c r="AI264" s="8">
        <f t="shared" si="765"/>
        <v>2.4166666666666665</v>
      </c>
    </row>
    <row r="265" spans="1:39">
      <c r="A265" t="str">
        <f t="shared" si="754"/>
        <v>P41</v>
      </c>
      <c r="B265">
        <f t="shared" si="755"/>
        <v>0.33333333333333331</v>
      </c>
      <c r="E265">
        <f t="shared" si="756"/>
        <v>0.25</v>
      </c>
      <c r="I265">
        <f t="shared" si="757"/>
        <v>0.33333333333333331</v>
      </c>
      <c r="L265">
        <f t="shared" si="758"/>
        <v>0.5</v>
      </c>
      <c r="N265">
        <f t="shared" si="759"/>
        <v>0.2</v>
      </c>
      <c r="S265">
        <f t="shared" si="760"/>
        <v>0.66666666666666663</v>
      </c>
      <c r="V265">
        <f t="shared" si="761"/>
        <v>0.60000000000000009</v>
      </c>
      <c r="AA265">
        <f t="shared" si="762"/>
        <v>0.5</v>
      </c>
      <c r="AC265">
        <f t="shared" si="763"/>
        <v>0.4</v>
      </c>
      <c r="AH265">
        <f t="shared" si="764"/>
        <v>0</v>
      </c>
      <c r="AI265" s="8">
        <f t="shared" si="765"/>
        <v>3.7833333333333332</v>
      </c>
    </row>
    <row r="266" spans="1:39">
      <c r="A266" t="s">
        <v>1420</v>
      </c>
      <c r="B266">
        <f>AVERAGE(B225:B265)</f>
        <v>0.33333333333333348</v>
      </c>
      <c r="E266">
        <f>AVERAGE(E225:E265)</f>
        <v>0.23780487804878048</v>
      </c>
      <c r="I266">
        <f>AVERAGE(I225:I265)</f>
        <v>0.31707317073170738</v>
      </c>
      <c r="L266">
        <f>AVERAGE(L225:L265)</f>
        <v>0.45121951219512196</v>
      </c>
      <c r="N266">
        <f>AVERAGE(N225:N265)</f>
        <v>0.6634146341463415</v>
      </c>
      <c r="S266">
        <f>AVERAGE(S225:S265)</f>
        <v>0.5934959349593496</v>
      </c>
      <c r="V266">
        <f>AVERAGE(V225:V265)</f>
        <v>0.43414634146341474</v>
      </c>
      <c r="AA266">
        <f>AVERAGE(AA225:AA265)</f>
        <v>0.12195121951219512</v>
      </c>
      <c r="AC266">
        <f>AVERAGE(AC225:AC265)</f>
        <v>0.21951219512195128</v>
      </c>
      <c r="AH266">
        <f>AVERAGE(AH225:AH265)</f>
        <v>0.24390243902439024</v>
      </c>
      <c r="AI266" s="8">
        <f>AVERAGE(AI225:AI265)</f>
        <v>3.6158536585365852</v>
      </c>
    </row>
    <row r="271" spans="1:39">
      <c r="A271" t="s">
        <v>1422</v>
      </c>
      <c r="B271" t="s">
        <v>1423</v>
      </c>
      <c r="C271" t="s">
        <v>1424</v>
      </c>
      <c r="N271" t="str">
        <f>B224</f>
        <v>X1</v>
      </c>
      <c r="O271" t="str">
        <f>E224</f>
        <v>X2</v>
      </c>
      <c r="P271" t="str">
        <f>I224</f>
        <v>X3</v>
      </c>
      <c r="Q271" t="str">
        <f>L224</f>
        <v>X4</v>
      </c>
      <c r="R271" t="str">
        <f>N224</f>
        <v>X5</v>
      </c>
      <c r="S271" t="str">
        <f>S224</f>
        <v>X6</v>
      </c>
      <c r="T271" t="str">
        <f>V224</f>
        <v>X7</v>
      </c>
      <c r="U271" t="str">
        <f>AA224</f>
        <v>X8</v>
      </c>
      <c r="V271" t="str">
        <f>AC224</f>
        <v>X9</v>
      </c>
      <c r="W271" t="str">
        <f>AH224</f>
        <v>X10</v>
      </c>
      <c r="X271" t="s">
        <v>1423</v>
      </c>
      <c r="AC271" t="str">
        <f>B88</f>
        <v>X1</v>
      </c>
      <c r="AD271" t="str">
        <f>E88</f>
        <v>X2</v>
      </c>
      <c r="AE271" t="str">
        <f>I88</f>
        <v>X3</v>
      </c>
      <c r="AF271" t="str">
        <f>L88</f>
        <v>X4</v>
      </c>
      <c r="AG271" t="str">
        <f>N88</f>
        <v>X5</v>
      </c>
      <c r="AH271" t="str">
        <f>S88</f>
        <v>X6</v>
      </c>
      <c r="AI271" t="str">
        <f>V88</f>
        <v>X7</v>
      </c>
      <c r="AJ271" t="str">
        <f>AA88</f>
        <v>X8</v>
      </c>
      <c r="AK271" t="str">
        <f>AC88</f>
        <v>X9</v>
      </c>
      <c r="AL271" t="str">
        <f>AH88</f>
        <v>X10</v>
      </c>
      <c r="AM271" t="s">
        <v>1424</v>
      </c>
    </row>
    <row r="272" spans="1:39">
      <c r="A272" t="str">
        <f>A225</f>
        <v>P1</v>
      </c>
      <c r="B272" s="8">
        <f>AI225</f>
        <v>3.0333333333333332</v>
      </c>
      <c r="C272" s="8">
        <f>AI89</f>
        <v>3.0333333333333332</v>
      </c>
      <c r="M272" t="str">
        <f>A89</f>
        <v>P1</v>
      </c>
      <c r="N272" s="22">
        <f>B225</f>
        <v>0.33333333333333331</v>
      </c>
      <c r="O272" s="22">
        <f>E225</f>
        <v>0</v>
      </c>
      <c r="P272" s="22">
        <f>I225</f>
        <v>0.33333333333333331</v>
      </c>
      <c r="Q272" s="22">
        <f>L225</f>
        <v>0.5</v>
      </c>
      <c r="R272" s="22">
        <f>N225</f>
        <v>0.8</v>
      </c>
      <c r="S272" s="22">
        <f>S225</f>
        <v>0.66666666666666663</v>
      </c>
      <c r="T272" s="22">
        <f>V225</f>
        <v>0</v>
      </c>
      <c r="U272" s="22">
        <f>AA225</f>
        <v>0</v>
      </c>
      <c r="V272" s="22">
        <f>AC225</f>
        <v>0.4</v>
      </c>
      <c r="W272" s="22">
        <f>AH225</f>
        <v>0</v>
      </c>
      <c r="X272" s="22">
        <f>AI225</f>
        <v>3.0333333333333332</v>
      </c>
      <c r="AB272" t="str">
        <f>A89</f>
        <v>P1</v>
      </c>
      <c r="AC272" s="22">
        <f>B89</f>
        <v>0.33333333333333331</v>
      </c>
      <c r="AD272" s="22">
        <f>E89</f>
        <v>0</v>
      </c>
      <c r="AE272" s="22">
        <f>I89</f>
        <v>0.33333333333333331</v>
      </c>
      <c r="AF272" s="22">
        <f>L89</f>
        <v>0.5</v>
      </c>
      <c r="AG272" s="22">
        <f>N89</f>
        <v>0.8</v>
      </c>
      <c r="AH272" s="22">
        <f>S89</f>
        <v>0.66666666666666663</v>
      </c>
      <c r="AI272" s="22">
        <f>V89</f>
        <v>0</v>
      </c>
      <c r="AJ272" s="22">
        <f>AA89</f>
        <v>0</v>
      </c>
      <c r="AK272" s="22">
        <f>AC89</f>
        <v>0.4</v>
      </c>
      <c r="AL272" s="22">
        <f>AH89</f>
        <v>0</v>
      </c>
      <c r="AM272" s="22">
        <f>AI89</f>
        <v>3.0333333333333332</v>
      </c>
    </row>
    <row r="273" spans="1:39">
      <c r="A273" t="str">
        <f t="shared" ref="A273:A313" si="766">A226</f>
        <v>P2</v>
      </c>
      <c r="B273" s="8">
        <f t="shared" ref="B273:B313" si="767">AI226</f>
        <v>3.416666666666667</v>
      </c>
      <c r="C273" s="8">
        <f t="shared" ref="C273:C313" si="768">AI90</f>
        <v>3.416666666666667</v>
      </c>
      <c r="M273" t="str">
        <f t="shared" ref="M273:M313" si="769">A90</f>
        <v>P2</v>
      </c>
      <c r="N273" s="22">
        <f t="shared" ref="N273:N313" si="770">B226</f>
        <v>0.33333333333333331</v>
      </c>
      <c r="O273" s="22">
        <f t="shared" ref="O273:O313" si="771">E226</f>
        <v>0.25</v>
      </c>
      <c r="P273" s="22">
        <f t="shared" ref="P273:P313" si="772">I226</f>
        <v>0</v>
      </c>
      <c r="Q273" s="22">
        <f t="shared" ref="Q273:Q313" si="773">L226</f>
        <v>0.5</v>
      </c>
      <c r="R273" s="22">
        <f t="shared" ref="R273:R313" si="774">N226</f>
        <v>1</v>
      </c>
      <c r="S273" s="22">
        <f t="shared" ref="S273:S313" si="775">S226</f>
        <v>0.33333333333333331</v>
      </c>
      <c r="T273" s="22">
        <f t="shared" ref="T273:T313" si="776">V226</f>
        <v>0.8</v>
      </c>
      <c r="U273" s="22">
        <f t="shared" ref="U273:U313" si="777">AA226</f>
        <v>0</v>
      </c>
      <c r="V273" s="22">
        <f t="shared" ref="V273:V313" si="778">AC226</f>
        <v>0.2</v>
      </c>
      <c r="W273" s="22">
        <f t="shared" ref="W273:X273" si="779">AH226</f>
        <v>0</v>
      </c>
      <c r="X273" s="22">
        <f t="shared" si="779"/>
        <v>3.416666666666667</v>
      </c>
      <c r="AB273" t="str">
        <f t="shared" ref="AB273:AC273" si="780">A90</f>
        <v>P2</v>
      </c>
      <c r="AC273" s="22">
        <f t="shared" si="780"/>
        <v>0.33333333333333331</v>
      </c>
      <c r="AD273" s="22">
        <f t="shared" ref="AD273:AD313" si="781">E90</f>
        <v>0.25</v>
      </c>
      <c r="AE273" s="22">
        <f t="shared" ref="AE273:AE313" si="782">I90</f>
        <v>0</v>
      </c>
      <c r="AF273" s="22">
        <f t="shared" ref="AF273:AF313" si="783">L90</f>
        <v>0.5</v>
      </c>
      <c r="AG273" s="22">
        <f t="shared" ref="AG273:AG313" si="784">N90</f>
        <v>1</v>
      </c>
      <c r="AH273" s="22">
        <f t="shared" ref="AH273:AH313" si="785">S90</f>
        <v>0.33333333333333331</v>
      </c>
      <c r="AI273" s="22">
        <f t="shared" ref="AI273:AI313" si="786">V90</f>
        <v>0.8</v>
      </c>
      <c r="AJ273" s="22">
        <f t="shared" ref="AJ273:AJ313" si="787">AA90</f>
        <v>0</v>
      </c>
      <c r="AK273" s="22">
        <f t="shared" ref="AK273:AK313" si="788">AC90</f>
        <v>0.2</v>
      </c>
      <c r="AL273" s="22">
        <f t="shared" ref="AL273:AM273" si="789">AH90</f>
        <v>0</v>
      </c>
      <c r="AM273" s="22">
        <f t="shared" si="789"/>
        <v>3.416666666666667</v>
      </c>
    </row>
    <row r="274" spans="1:39">
      <c r="A274" t="str">
        <f t="shared" si="766"/>
        <v>P3</v>
      </c>
      <c r="B274" s="8">
        <f t="shared" si="767"/>
        <v>5.25</v>
      </c>
      <c r="C274" s="8">
        <f t="shared" si="768"/>
        <v>6.9166666666666661</v>
      </c>
      <c r="M274" t="str">
        <f t="shared" si="769"/>
        <v>P3</v>
      </c>
      <c r="N274" s="22">
        <f t="shared" si="770"/>
        <v>0.33333333333333331</v>
      </c>
      <c r="O274" s="22">
        <f t="shared" si="771"/>
        <v>0.25</v>
      </c>
      <c r="P274" s="22">
        <f t="shared" si="772"/>
        <v>0.66666666666666663</v>
      </c>
      <c r="Q274" s="22">
        <f t="shared" si="773"/>
        <v>0.5</v>
      </c>
      <c r="R274" s="22">
        <f t="shared" si="774"/>
        <v>1</v>
      </c>
      <c r="S274" s="22">
        <f t="shared" si="775"/>
        <v>1</v>
      </c>
      <c r="T274" s="22">
        <f t="shared" si="776"/>
        <v>0.60000000000000009</v>
      </c>
      <c r="U274" s="22">
        <f t="shared" si="777"/>
        <v>0.5</v>
      </c>
      <c r="V274" s="22">
        <f t="shared" si="778"/>
        <v>0.4</v>
      </c>
      <c r="W274" s="22">
        <f t="shared" ref="W274:X274" si="790">AH227</f>
        <v>0</v>
      </c>
      <c r="X274" s="22">
        <f t="shared" si="790"/>
        <v>5.25</v>
      </c>
      <c r="AB274" t="str">
        <f t="shared" ref="AB274:AC274" si="791">A91</f>
        <v>P3</v>
      </c>
      <c r="AC274" s="22">
        <f t="shared" si="791"/>
        <v>0.33333333333333331</v>
      </c>
      <c r="AD274" s="22">
        <f t="shared" si="781"/>
        <v>0.25</v>
      </c>
      <c r="AE274" s="22">
        <f t="shared" si="782"/>
        <v>1.3333333333333333</v>
      </c>
      <c r="AF274" s="22">
        <f t="shared" si="783"/>
        <v>0.5</v>
      </c>
      <c r="AG274" s="22">
        <f t="shared" si="784"/>
        <v>1.5999999999999999</v>
      </c>
      <c r="AH274" s="22">
        <f t="shared" si="785"/>
        <v>1</v>
      </c>
      <c r="AI274" s="22">
        <f t="shared" si="786"/>
        <v>0.8</v>
      </c>
      <c r="AJ274" s="22">
        <f t="shared" si="787"/>
        <v>0.5</v>
      </c>
      <c r="AK274" s="22">
        <f t="shared" si="788"/>
        <v>0.60000000000000009</v>
      </c>
      <c r="AL274" s="22">
        <f t="shared" ref="AL274:AM274" si="792">AH91</f>
        <v>0</v>
      </c>
      <c r="AM274" s="22">
        <f t="shared" si="792"/>
        <v>6.9166666666666661</v>
      </c>
    </row>
    <row r="275" spans="1:39">
      <c r="A275" t="str">
        <f t="shared" si="766"/>
        <v>P4</v>
      </c>
      <c r="B275" s="8">
        <f t="shared" si="767"/>
        <v>3.8166666666666669</v>
      </c>
      <c r="C275" s="8">
        <f t="shared" si="768"/>
        <v>4.3499999999999996</v>
      </c>
      <c r="M275" t="str">
        <f t="shared" si="769"/>
        <v>P4</v>
      </c>
      <c r="N275" s="22">
        <f t="shared" si="770"/>
        <v>0.33333333333333331</v>
      </c>
      <c r="O275" s="22">
        <f t="shared" si="771"/>
        <v>0.25</v>
      </c>
      <c r="P275" s="22">
        <f t="shared" si="772"/>
        <v>0.33333333333333331</v>
      </c>
      <c r="Q275" s="22">
        <f t="shared" si="773"/>
        <v>0.5</v>
      </c>
      <c r="R275" s="22">
        <f t="shared" si="774"/>
        <v>0.60000000000000009</v>
      </c>
      <c r="S275" s="22">
        <f t="shared" si="775"/>
        <v>1</v>
      </c>
      <c r="T275" s="22">
        <f t="shared" si="776"/>
        <v>0.2</v>
      </c>
      <c r="U275" s="22">
        <f t="shared" si="777"/>
        <v>0</v>
      </c>
      <c r="V275" s="22">
        <f t="shared" si="778"/>
        <v>0.60000000000000009</v>
      </c>
      <c r="W275" s="22">
        <f t="shared" ref="W275:X275" si="793">AH228</f>
        <v>0</v>
      </c>
      <c r="X275" s="22">
        <f t="shared" si="793"/>
        <v>3.8166666666666669</v>
      </c>
      <c r="AB275" t="str">
        <f t="shared" ref="AB275:AC275" si="794">A92</f>
        <v>P4</v>
      </c>
      <c r="AC275" s="22">
        <f t="shared" si="794"/>
        <v>0.33333333333333331</v>
      </c>
      <c r="AD275" s="22">
        <f t="shared" si="781"/>
        <v>0.25</v>
      </c>
      <c r="AE275" s="22">
        <f t="shared" si="782"/>
        <v>0.33333333333333331</v>
      </c>
      <c r="AF275" s="22">
        <f t="shared" si="783"/>
        <v>0.5</v>
      </c>
      <c r="AG275" s="22">
        <f t="shared" si="784"/>
        <v>0.8</v>
      </c>
      <c r="AH275" s="22">
        <f t="shared" si="785"/>
        <v>1.3333333333333333</v>
      </c>
      <c r="AI275" s="22">
        <f t="shared" si="786"/>
        <v>0.2</v>
      </c>
      <c r="AJ275" s="22">
        <f t="shared" si="787"/>
        <v>0</v>
      </c>
      <c r="AK275" s="22">
        <f t="shared" si="788"/>
        <v>0.60000000000000009</v>
      </c>
      <c r="AL275" s="22">
        <f t="shared" ref="AL275:AM275" si="795">AH92</f>
        <v>0</v>
      </c>
      <c r="AM275" s="22">
        <f t="shared" si="795"/>
        <v>4.3499999999999996</v>
      </c>
    </row>
    <row r="276" spans="1:39">
      <c r="A276" t="str">
        <f t="shared" si="766"/>
        <v>P5</v>
      </c>
      <c r="B276" s="8">
        <f t="shared" si="767"/>
        <v>2.8833333333333333</v>
      </c>
      <c r="C276" s="8">
        <f t="shared" si="768"/>
        <v>3.75</v>
      </c>
      <c r="M276" t="str">
        <f t="shared" si="769"/>
        <v>P5</v>
      </c>
      <c r="N276" s="22">
        <f t="shared" si="770"/>
        <v>0.33333333333333331</v>
      </c>
      <c r="O276" s="22">
        <f t="shared" si="771"/>
        <v>0.25</v>
      </c>
      <c r="P276" s="22">
        <f t="shared" si="772"/>
        <v>0.33333333333333331</v>
      </c>
      <c r="Q276" s="22">
        <f t="shared" si="773"/>
        <v>0.5</v>
      </c>
      <c r="R276" s="22">
        <f t="shared" si="774"/>
        <v>0.60000000000000009</v>
      </c>
      <c r="S276" s="22">
        <f t="shared" si="775"/>
        <v>0.66666666666666663</v>
      </c>
      <c r="T276" s="22">
        <f t="shared" si="776"/>
        <v>0.2</v>
      </c>
      <c r="U276" s="22">
        <f t="shared" si="777"/>
        <v>0</v>
      </c>
      <c r="V276" s="22">
        <f t="shared" si="778"/>
        <v>0</v>
      </c>
      <c r="W276" s="22">
        <f t="shared" ref="W276:X276" si="796">AH229</f>
        <v>0</v>
      </c>
      <c r="X276" s="22">
        <f t="shared" si="796"/>
        <v>2.8833333333333333</v>
      </c>
      <c r="AB276" t="str">
        <f t="shared" ref="AB276:AC276" si="797">A93</f>
        <v>P5</v>
      </c>
      <c r="AC276" s="22">
        <f t="shared" si="797"/>
        <v>0.33333333333333331</v>
      </c>
      <c r="AD276" s="22">
        <f t="shared" si="781"/>
        <v>0.25</v>
      </c>
      <c r="AE276" s="22">
        <f t="shared" si="782"/>
        <v>0.33333333333333331</v>
      </c>
      <c r="AF276" s="22">
        <f t="shared" si="783"/>
        <v>0.5</v>
      </c>
      <c r="AG276" s="22">
        <f t="shared" si="784"/>
        <v>0.8</v>
      </c>
      <c r="AH276" s="22">
        <f t="shared" si="785"/>
        <v>1.3333333333333333</v>
      </c>
      <c r="AI276" s="22">
        <f t="shared" si="786"/>
        <v>0.2</v>
      </c>
      <c r="AJ276" s="22">
        <f t="shared" si="787"/>
        <v>0</v>
      </c>
      <c r="AK276" s="22">
        <f t="shared" si="788"/>
        <v>0</v>
      </c>
      <c r="AL276" s="22">
        <f t="shared" ref="AL276:AM276" si="798">AH93</f>
        <v>0</v>
      </c>
      <c r="AM276" s="22">
        <f t="shared" si="798"/>
        <v>3.75</v>
      </c>
    </row>
    <row r="277" spans="1:39">
      <c r="A277" t="str">
        <f t="shared" si="766"/>
        <v>P6</v>
      </c>
      <c r="B277" s="8">
        <f t="shared" si="767"/>
        <v>3.1166666666666667</v>
      </c>
      <c r="C277" s="8">
        <f t="shared" si="768"/>
        <v>3.4499999999999997</v>
      </c>
      <c r="M277" t="str">
        <f t="shared" si="769"/>
        <v>P6</v>
      </c>
      <c r="N277" s="22">
        <f t="shared" si="770"/>
        <v>0.33333333333333331</v>
      </c>
      <c r="O277" s="22">
        <f t="shared" si="771"/>
        <v>0.25</v>
      </c>
      <c r="P277" s="22">
        <f t="shared" si="772"/>
        <v>0</v>
      </c>
      <c r="Q277" s="22">
        <f t="shared" si="773"/>
        <v>0.5</v>
      </c>
      <c r="R277" s="22">
        <f t="shared" si="774"/>
        <v>0</v>
      </c>
      <c r="S277" s="22">
        <f t="shared" si="775"/>
        <v>0.33333333333333331</v>
      </c>
      <c r="T277" s="22">
        <f t="shared" si="776"/>
        <v>0.8</v>
      </c>
      <c r="U277" s="22">
        <f t="shared" si="777"/>
        <v>0.5</v>
      </c>
      <c r="V277" s="22">
        <f t="shared" si="778"/>
        <v>0.4</v>
      </c>
      <c r="W277" s="22">
        <f t="shared" ref="W277:X277" si="799">AH230</f>
        <v>0</v>
      </c>
      <c r="X277" s="22">
        <f t="shared" si="799"/>
        <v>3.1166666666666667</v>
      </c>
      <c r="AB277" t="str">
        <f t="shared" ref="AB277:AC277" si="800">A94</f>
        <v>P6</v>
      </c>
      <c r="AC277" s="22">
        <f t="shared" si="800"/>
        <v>0.33333333333333331</v>
      </c>
      <c r="AD277" s="22">
        <f t="shared" si="781"/>
        <v>0.25</v>
      </c>
      <c r="AE277" s="22">
        <f t="shared" si="782"/>
        <v>0</v>
      </c>
      <c r="AF277" s="22">
        <f t="shared" si="783"/>
        <v>0.5</v>
      </c>
      <c r="AG277" s="22">
        <f t="shared" si="784"/>
        <v>0</v>
      </c>
      <c r="AH277" s="22">
        <f t="shared" si="785"/>
        <v>0.66666666666666663</v>
      </c>
      <c r="AI277" s="22">
        <f t="shared" si="786"/>
        <v>0.8</v>
      </c>
      <c r="AJ277" s="22">
        <f t="shared" si="787"/>
        <v>0.5</v>
      </c>
      <c r="AK277" s="22">
        <f t="shared" si="788"/>
        <v>0.4</v>
      </c>
      <c r="AL277" s="22">
        <f t="shared" ref="AL277:AM277" si="801">AH94</f>
        <v>0</v>
      </c>
      <c r="AM277" s="22">
        <f t="shared" si="801"/>
        <v>3.4499999999999997</v>
      </c>
    </row>
    <row r="278" spans="1:39">
      <c r="A278" t="str">
        <f t="shared" si="766"/>
        <v>P7</v>
      </c>
      <c r="B278" s="8">
        <f t="shared" si="767"/>
        <v>2.5499999999999998</v>
      </c>
      <c r="C278" s="8">
        <f t="shared" si="768"/>
        <v>4.0166666666666666</v>
      </c>
      <c r="M278" t="str">
        <f t="shared" si="769"/>
        <v>P7</v>
      </c>
      <c r="N278" s="22">
        <f t="shared" si="770"/>
        <v>0.33333333333333331</v>
      </c>
      <c r="O278" s="22">
        <f t="shared" si="771"/>
        <v>0.25</v>
      </c>
      <c r="P278" s="22">
        <f t="shared" si="772"/>
        <v>0</v>
      </c>
      <c r="Q278" s="22">
        <f t="shared" si="773"/>
        <v>0.5</v>
      </c>
      <c r="R278" s="22">
        <f t="shared" si="774"/>
        <v>0.8</v>
      </c>
      <c r="S278" s="22">
        <f t="shared" si="775"/>
        <v>0.66666666666666663</v>
      </c>
      <c r="T278" s="22">
        <f t="shared" si="776"/>
        <v>0</v>
      </c>
      <c r="U278" s="22">
        <f t="shared" si="777"/>
        <v>0</v>
      </c>
      <c r="V278" s="22">
        <f t="shared" si="778"/>
        <v>0</v>
      </c>
      <c r="W278" s="22">
        <f t="shared" ref="W278:X278" si="802">AH231</f>
        <v>0</v>
      </c>
      <c r="X278" s="22">
        <f t="shared" si="802"/>
        <v>2.5499999999999998</v>
      </c>
      <c r="AB278" t="str">
        <f t="shared" ref="AB278:AC278" si="803">A95</f>
        <v>P7</v>
      </c>
      <c r="AC278" s="22">
        <f t="shared" si="803"/>
        <v>0.33333333333333331</v>
      </c>
      <c r="AD278" s="22">
        <f t="shared" si="781"/>
        <v>0.25</v>
      </c>
      <c r="AE278" s="22">
        <f t="shared" si="782"/>
        <v>0</v>
      </c>
      <c r="AF278" s="22">
        <f t="shared" si="783"/>
        <v>0.5</v>
      </c>
      <c r="AG278" s="22">
        <f t="shared" si="784"/>
        <v>1.6</v>
      </c>
      <c r="AH278" s="22">
        <f t="shared" si="785"/>
        <v>1.3333333333333333</v>
      </c>
      <c r="AI278" s="22">
        <f t="shared" si="786"/>
        <v>0</v>
      </c>
      <c r="AJ278" s="22">
        <f t="shared" si="787"/>
        <v>0</v>
      </c>
      <c r="AK278" s="22">
        <f t="shared" si="788"/>
        <v>0</v>
      </c>
      <c r="AL278" s="22">
        <f t="shared" ref="AL278:AM278" si="804">AH95</f>
        <v>0</v>
      </c>
      <c r="AM278" s="22">
        <f t="shared" si="804"/>
        <v>4.0166666666666666</v>
      </c>
    </row>
    <row r="279" spans="1:39">
      <c r="A279" t="str">
        <f t="shared" si="766"/>
        <v>P8</v>
      </c>
      <c r="B279" s="8">
        <f t="shared" si="767"/>
        <v>6.1166666666666671</v>
      </c>
      <c r="C279" s="8">
        <f t="shared" si="768"/>
        <v>9.0500000000000007</v>
      </c>
      <c r="M279" t="str">
        <f t="shared" si="769"/>
        <v>P8</v>
      </c>
      <c r="N279" s="22">
        <f t="shared" si="770"/>
        <v>0.33333333333333331</v>
      </c>
      <c r="O279" s="22">
        <f t="shared" si="771"/>
        <v>0.25</v>
      </c>
      <c r="P279" s="22">
        <f t="shared" si="772"/>
        <v>0.66666666666666663</v>
      </c>
      <c r="Q279" s="22">
        <f t="shared" si="773"/>
        <v>0.5</v>
      </c>
      <c r="R279" s="22">
        <f t="shared" si="774"/>
        <v>0.8</v>
      </c>
      <c r="S279" s="22">
        <f t="shared" si="775"/>
        <v>0.66666666666666663</v>
      </c>
      <c r="T279" s="22">
        <f t="shared" si="776"/>
        <v>1</v>
      </c>
      <c r="U279" s="22">
        <f t="shared" si="777"/>
        <v>0.5</v>
      </c>
      <c r="V279" s="22">
        <f t="shared" si="778"/>
        <v>0.4</v>
      </c>
      <c r="W279" s="22">
        <f t="shared" ref="W279:X279" si="805">AH232</f>
        <v>1</v>
      </c>
      <c r="X279" s="22">
        <f t="shared" si="805"/>
        <v>6.1166666666666671</v>
      </c>
      <c r="AB279" t="str">
        <f t="shared" ref="AB279:AC279" si="806">A96</f>
        <v>P8</v>
      </c>
      <c r="AC279" s="22">
        <f t="shared" si="806"/>
        <v>0.33333333333333331</v>
      </c>
      <c r="AD279" s="22">
        <f t="shared" si="781"/>
        <v>0.25</v>
      </c>
      <c r="AE279" s="22">
        <f t="shared" si="782"/>
        <v>1.3333333333333333</v>
      </c>
      <c r="AF279" s="22">
        <f t="shared" si="783"/>
        <v>0.5</v>
      </c>
      <c r="AG279" s="22">
        <f t="shared" si="784"/>
        <v>1</v>
      </c>
      <c r="AH279" s="22">
        <f t="shared" si="785"/>
        <v>2.333333333333333</v>
      </c>
      <c r="AI279" s="22">
        <f t="shared" si="786"/>
        <v>1.4</v>
      </c>
      <c r="AJ279" s="22">
        <f t="shared" si="787"/>
        <v>0.5</v>
      </c>
      <c r="AK279" s="22">
        <f t="shared" si="788"/>
        <v>0.4</v>
      </c>
      <c r="AL279" s="22">
        <f t="shared" ref="AL279:AM279" si="807">AH96</f>
        <v>1</v>
      </c>
      <c r="AM279" s="22">
        <f t="shared" si="807"/>
        <v>9.0500000000000007</v>
      </c>
    </row>
    <row r="280" spans="1:39">
      <c r="A280" t="str">
        <f t="shared" si="766"/>
        <v>P9</v>
      </c>
      <c r="B280" s="8">
        <f t="shared" si="767"/>
        <v>5.1833333333333336</v>
      </c>
      <c r="C280" s="8">
        <f t="shared" si="768"/>
        <v>6.3166666666666664</v>
      </c>
      <c r="M280" t="str">
        <f t="shared" si="769"/>
        <v>P9</v>
      </c>
      <c r="N280" s="22">
        <f t="shared" si="770"/>
        <v>0.33333333333333331</v>
      </c>
      <c r="O280" s="22">
        <f t="shared" si="771"/>
        <v>0.25</v>
      </c>
      <c r="P280" s="22">
        <f t="shared" si="772"/>
        <v>0.66666666666666663</v>
      </c>
      <c r="Q280" s="22">
        <f t="shared" si="773"/>
        <v>0.5</v>
      </c>
      <c r="R280" s="22">
        <f t="shared" si="774"/>
        <v>1</v>
      </c>
      <c r="S280" s="22">
        <f t="shared" si="775"/>
        <v>0.33333333333333331</v>
      </c>
      <c r="T280" s="22">
        <f t="shared" si="776"/>
        <v>0.60000000000000009</v>
      </c>
      <c r="U280" s="22">
        <f t="shared" si="777"/>
        <v>0.5</v>
      </c>
      <c r="V280" s="22">
        <f t="shared" si="778"/>
        <v>0</v>
      </c>
      <c r="W280" s="22">
        <f t="shared" ref="W280:X280" si="808">AH233</f>
        <v>1</v>
      </c>
      <c r="X280" s="22">
        <f t="shared" si="808"/>
        <v>5.1833333333333336</v>
      </c>
      <c r="AB280" t="str">
        <f t="shared" ref="AB280:AC280" si="809">A97</f>
        <v>P9</v>
      </c>
      <c r="AC280" s="22">
        <f t="shared" si="809"/>
        <v>0.33333333333333331</v>
      </c>
      <c r="AD280" s="22">
        <f t="shared" si="781"/>
        <v>0.25</v>
      </c>
      <c r="AE280" s="22">
        <f t="shared" si="782"/>
        <v>1</v>
      </c>
      <c r="AF280" s="22">
        <f t="shared" si="783"/>
        <v>0.5</v>
      </c>
      <c r="AG280" s="22">
        <f t="shared" si="784"/>
        <v>1.7999999999999998</v>
      </c>
      <c r="AH280" s="22">
        <f t="shared" si="785"/>
        <v>0.33333333333333331</v>
      </c>
      <c r="AI280" s="22">
        <f t="shared" si="786"/>
        <v>0.60000000000000009</v>
      </c>
      <c r="AJ280" s="22">
        <f t="shared" si="787"/>
        <v>0.5</v>
      </c>
      <c r="AK280" s="22">
        <f t="shared" si="788"/>
        <v>0</v>
      </c>
      <c r="AL280" s="22">
        <f t="shared" ref="AL280:AM280" si="810">AH97</f>
        <v>1</v>
      </c>
      <c r="AM280" s="22">
        <f t="shared" si="810"/>
        <v>6.3166666666666664</v>
      </c>
    </row>
    <row r="281" spans="1:39">
      <c r="A281" t="str">
        <f t="shared" si="766"/>
        <v>P10</v>
      </c>
      <c r="B281" s="8">
        <f t="shared" si="767"/>
        <v>4.4833333333333334</v>
      </c>
      <c r="C281" s="8">
        <f t="shared" si="768"/>
        <v>6.5833333333333339</v>
      </c>
      <c r="M281" t="str">
        <f t="shared" si="769"/>
        <v>P10</v>
      </c>
      <c r="N281" s="22">
        <f t="shared" si="770"/>
        <v>0.33333333333333331</v>
      </c>
      <c r="O281" s="22">
        <f t="shared" si="771"/>
        <v>0.25</v>
      </c>
      <c r="P281" s="22">
        <f t="shared" si="772"/>
        <v>0.33333333333333331</v>
      </c>
      <c r="Q281" s="22">
        <f t="shared" si="773"/>
        <v>0.5</v>
      </c>
      <c r="R281" s="22">
        <f t="shared" si="774"/>
        <v>1</v>
      </c>
      <c r="S281" s="22">
        <f t="shared" si="775"/>
        <v>0.66666666666666663</v>
      </c>
      <c r="T281" s="22">
        <f t="shared" si="776"/>
        <v>0.2</v>
      </c>
      <c r="U281" s="22">
        <f t="shared" si="777"/>
        <v>0</v>
      </c>
      <c r="V281" s="22">
        <f t="shared" si="778"/>
        <v>0.2</v>
      </c>
      <c r="W281" s="22">
        <f t="shared" ref="W281:X281" si="811">AH234</f>
        <v>1</v>
      </c>
      <c r="X281" s="22">
        <f t="shared" si="811"/>
        <v>4.4833333333333334</v>
      </c>
      <c r="AB281" t="str">
        <f t="shared" ref="AB281:AC281" si="812">A98</f>
        <v>P10</v>
      </c>
      <c r="AC281" s="22">
        <f t="shared" si="812"/>
        <v>0.33333333333333331</v>
      </c>
      <c r="AD281" s="22">
        <f t="shared" si="781"/>
        <v>0.25</v>
      </c>
      <c r="AE281" s="22">
        <f t="shared" si="782"/>
        <v>0.33333333333333331</v>
      </c>
      <c r="AF281" s="22">
        <f t="shared" si="783"/>
        <v>1</v>
      </c>
      <c r="AG281" s="22">
        <f t="shared" si="784"/>
        <v>1.5999999999999999</v>
      </c>
      <c r="AH281" s="22">
        <f t="shared" si="785"/>
        <v>0.66666666666666663</v>
      </c>
      <c r="AI281" s="22">
        <f t="shared" si="786"/>
        <v>0.2</v>
      </c>
      <c r="AJ281" s="22">
        <f t="shared" si="787"/>
        <v>0</v>
      </c>
      <c r="AK281" s="22">
        <f t="shared" si="788"/>
        <v>0.2</v>
      </c>
      <c r="AL281" s="22">
        <f t="shared" ref="AL281:AM281" si="813">AH98</f>
        <v>2</v>
      </c>
      <c r="AM281" s="22">
        <f t="shared" si="813"/>
        <v>6.5833333333333339</v>
      </c>
    </row>
    <row r="282" spans="1:39">
      <c r="A282" t="str">
        <f t="shared" si="766"/>
        <v>P11</v>
      </c>
      <c r="B282" s="8">
        <f t="shared" si="767"/>
        <v>2.75</v>
      </c>
      <c r="C282" s="8">
        <f t="shared" si="768"/>
        <v>3.0833333333333335</v>
      </c>
      <c r="M282" t="str">
        <f t="shared" si="769"/>
        <v>P11</v>
      </c>
      <c r="N282" s="22">
        <f t="shared" si="770"/>
        <v>0.33333333333333331</v>
      </c>
      <c r="O282" s="22">
        <f t="shared" si="771"/>
        <v>0.25</v>
      </c>
      <c r="P282" s="22">
        <f t="shared" si="772"/>
        <v>0</v>
      </c>
      <c r="Q282" s="22">
        <f t="shared" si="773"/>
        <v>0.5</v>
      </c>
      <c r="R282" s="22">
        <f t="shared" si="774"/>
        <v>0.60000000000000009</v>
      </c>
      <c r="S282" s="22">
        <f t="shared" si="775"/>
        <v>0.66666666666666663</v>
      </c>
      <c r="T282" s="22">
        <f t="shared" si="776"/>
        <v>0.4</v>
      </c>
      <c r="U282" s="22">
        <f t="shared" si="777"/>
        <v>0</v>
      </c>
      <c r="V282" s="22">
        <f t="shared" si="778"/>
        <v>0</v>
      </c>
      <c r="W282" s="22">
        <f t="shared" ref="W282:X282" si="814">AH235</f>
        <v>0</v>
      </c>
      <c r="X282" s="22">
        <f t="shared" si="814"/>
        <v>2.75</v>
      </c>
      <c r="AB282" t="str">
        <f t="shared" ref="AB282:AC282" si="815">A99</f>
        <v>P11</v>
      </c>
      <c r="AC282" s="22">
        <f t="shared" si="815"/>
        <v>0.33333333333333331</v>
      </c>
      <c r="AD282" s="22">
        <f t="shared" si="781"/>
        <v>0.25</v>
      </c>
      <c r="AE282" s="22">
        <f t="shared" si="782"/>
        <v>0</v>
      </c>
      <c r="AF282" s="22">
        <f t="shared" si="783"/>
        <v>0.5</v>
      </c>
      <c r="AG282" s="22">
        <f t="shared" si="784"/>
        <v>0.60000000000000009</v>
      </c>
      <c r="AH282" s="22">
        <f t="shared" si="785"/>
        <v>1</v>
      </c>
      <c r="AI282" s="22">
        <f t="shared" si="786"/>
        <v>0.4</v>
      </c>
      <c r="AJ282" s="22">
        <f t="shared" si="787"/>
        <v>0</v>
      </c>
      <c r="AK282" s="22">
        <f t="shared" si="788"/>
        <v>0</v>
      </c>
      <c r="AL282" s="22">
        <f t="shared" ref="AL282:AM282" si="816">AH99</f>
        <v>0</v>
      </c>
      <c r="AM282" s="22">
        <f t="shared" si="816"/>
        <v>3.0833333333333335</v>
      </c>
    </row>
    <row r="283" spans="1:39">
      <c r="A283" t="str">
        <f t="shared" si="766"/>
        <v>P12</v>
      </c>
      <c r="B283" s="8">
        <f t="shared" si="767"/>
        <v>2.4</v>
      </c>
      <c r="C283" s="8">
        <f t="shared" si="768"/>
        <v>2.7333333333333329</v>
      </c>
      <c r="M283" t="str">
        <f t="shared" si="769"/>
        <v>P12</v>
      </c>
      <c r="N283" s="22">
        <f t="shared" si="770"/>
        <v>0</v>
      </c>
      <c r="O283" s="22">
        <f t="shared" si="771"/>
        <v>0</v>
      </c>
      <c r="P283" s="22">
        <f t="shared" si="772"/>
        <v>0.33333333333333331</v>
      </c>
      <c r="Q283" s="22">
        <f t="shared" si="773"/>
        <v>0</v>
      </c>
      <c r="R283" s="22">
        <f t="shared" si="774"/>
        <v>1</v>
      </c>
      <c r="S283" s="22">
        <f t="shared" si="775"/>
        <v>0.66666666666666663</v>
      </c>
      <c r="T283" s="22">
        <f t="shared" si="776"/>
        <v>0.4</v>
      </c>
      <c r="U283" s="22">
        <f t="shared" si="777"/>
        <v>0</v>
      </c>
      <c r="V283" s="22">
        <f t="shared" si="778"/>
        <v>0</v>
      </c>
      <c r="W283" s="22">
        <f t="shared" ref="W283:X283" si="817">AH236</f>
        <v>0</v>
      </c>
      <c r="X283" s="22">
        <f t="shared" si="817"/>
        <v>2.4</v>
      </c>
      <c r="AB283" t="str">
        <f t="shared" ref="AB283:AC283" si="818">A100</f>
        <v>P12</v>
      </c>
      <c r="AC283" s="22">
        <f t="shared" si="818"/>
        <v>0</v>
      </c>
      <c r="AD283" s="22">
        <f t="shared" si="781"/>
        <v>0</v>
      </c>
      <c r="AE283" s="22">
        <f t="shared" si="782"/>
        <v>0.33333333333333331</v>
      </c>
      <c r="AF283" s="22">
        <f t="shared" si="783"/>
        <v>0</v>
      </c>
      <c r="AG283" s="22">
        <f t="shared" si="784"/>
        <v>1</v>
      </c>
      <c r="AH283" s="22">
        <f t="shared" si="785"/>
        <v>1</v>
      </c>
      <c r="AI283" s="22">
        <f t="shared" si="786"/>
        <v>0.4</v>
      </c>
      <c r="AJ283" s="22">
        <f t="shared" si="787"/>
        <v>0</v>
      </c>
      <c r="AK283" s="22">
        <f t="shared" si="788"/>
        <v>0</v>
      </c>
      <c r="AL283" s="22">
        <f t="shared" ref="AL283:AM283" si="819">AH100</f>
        <v>0</v>
      </c>
      <c r="AM283" s="22">
        <f t="shared" si="819"/>
        <v>2.7333333333333329</v>
      </c>
    </row>
    <row r="284" spans="1:39">
      <c r="A284" t="str">
        <f t="shared" si="766"/>
        <v>P13</v>
      </c>
      <c r="B284" s="8">
        <f t="shared" si="767"/>
        <v>3.4166666666666665</v>
      </c>
      <c r="C284" s="8">
        <f t="shared" si="768"/>
        <v>3.9999999999999996</v>
      </c>
      <c r="M284" t="str">
        <f t="shared" si="769"/>
        <v>P13</v>
      </c>
      <c r="N284" s="22">
        <f t="shared" si="770"/>
        <v>0.33333333333333331</v>
      </c>
      <c r="O284" s="22">
        <f t="shared" si="771"/>
        <v>0.25</v>
      </c>
      <c r="P284" s="22">
        <f t="shared" si="772"/>
        <v>0.66666666666666663</v>
      </c>
      <c r="Q284" s="22">
        <f t="shared" si="773"/>
        <v>0.5</v>
      </c>
      <c r="R284" s="22">
        <f t="shared" si="774"/>
        <v>0.8</v>
      </c>
      <c r="S284" s="22">
        <f t="shared" si="775"/>
        <v>0.66666666666666663</v>
      </c>
      <c r="T284" s="22">
        <f t="shared" si="776"/>
        <v>0.2</v>
      </c>
      <c r="U284" s="22">
        <f t="shared" si="777"/>
        <v>0</v>
      </c>
      <c r="V284" s="22">
        <f t="shared" si="778"/>
        <v>0</v>
      </c>
      <c r="W284" s="22">
        <f t="shared" ref="W284:X284" si="820">AH237</f>
        <v>0</v>
      </c>
      <c r="X284" s="22">
        <f t="shared" si="820"/>
        <v>3.4166666666666665</v>
      </c>
      <c r="AB284" t="str">
        <f t="shared" ref="AB284:AC284" si="821">A101</f>
        <v>P13</v>
      </c>
      <c r="AC284" s="22">
        <f t="shared" si="821"/>
        <v>0.33333333333333331</v>
      </c>
      <c r="AD284" s="22">
        <f t="shared" si="781"/>
        <v>0.5</v>
      </c>
      <c r="AE284" s="22">
        <f t="shared" si="782"/>
        <v>1</v>
      </c>
      <c r="AF284" s="22">
        <f t="shared" si="783"/>
        <v>0.5</v>
      </c>
      <c r="AG284" s="22">
        <f t="shared" si="784"/>
        <v>0.8</v>
      </c>
      <c r="AH284" s="22">
        <f t="shared" si="785"/>
        <v>0.66666666666666663</v>
      </c>
      <c r="AI284" s="22">
        <f t="shared" si="786"/>
        <v>0.2</v>
      </c>
      <c r="AJ284" s="22">
        <f t="shared" si="787"/>
        <v>0</v>
      </c>
      <c r="AK284" s="22">
        <f t="shared" si="788"/>
        <v>0</v>
      </c>
      <c r="AL284" s="22">
        <f t="shared" ref="AL284:AM284" si="822">AH101</f>
        <v>0</v>
      </c>
      <c r="AM284" s="22">
        <f t="shared" si="822"/>
        <v>3.9999999999999996</v>
      </c>
    </row>
    <row r="285" spans="1:39">
      <c r="A285" t="str">
        <f t="shared" si="766"/>
        <v>P14</v>
      </c>
      <c r="B285" s="8">
        <f t="shared" si="767"/>
        <v>3.8166666666666669</v>
      </c>
      <c r="C285" s="8">
        <f t="shared" si="768"/>
        <v>5.8166666666666673</v>
      </c>
      <c r="M285" t="str">
        <f t="shared" si="769"/>
        <v>P14</v>
      </c>
      <c r="N285" s="22">
        <f t="shared" si="770"/>
        <v>0.33333333333333331</v>
      </c>
      <c r="O285" s="22">
        <f t="shared" si="771"/>
        <v>0.25</v>
      </c>
      <c r="P285" s="22">
        <f t="shared" si="772"/>
        <v>0.66666666666666663</v>
      </c>
      <c r="Q285" s="22">
        <f t="shared" si="773"/>
        <v>0.5</v>
      </c>
      <c r="R285" s="22">
        <f t="shared" si="774"/>
        <v>1</v>
      </c>
      <c r="S285" s="22">
        <f t="shared" si="775"/>
        <v>0.66666666666666663</v>
      </c>
      <c r="T285" s="22">
        <f t="shared" si="776"/>
        <v>0.2</v>
      </c>
      <c r="U285" s="22">
        <f t="shared" si="777"/>
        <v>0</v>
      </c>
      <c r="V285" s="22">
        <f t="shared" si="778"/>
        <v>0.2</v>
      </c>
      <c r="W285" s="22">
        <f t="shared" ref="W285:X285" si="823">AH238</f>
        <v>0</v>
      </c>
      <c r="X285" s="22">
        <f t="shared" si="823"/>
        <v>3.8166666666666669</v>
      </c>
      <c r="AB285" t="str">
        <f t="shared" ref="AB285:AC285" si="824">A102</f>
        <v>P14</v>
      </c>
      <c r="AC285" s="22">
        <f t="shared" si="824"/>
        <v>0.33333333333333331</v>
      </c>
      <c r="AD285" s="22">
        <f t="shared" si="781"/>
        <v>0.25</v>
      </c>
      <c r="AE285" s="22">
        <f t="shared" si="782"/>
        <v>1</v>
      </c>
      <c r="AF285" s="22">
        <f t="shared" si="783"/>
        <v>0.5</v>
      </c>
      <c r="AG285" s="22">
        <f t="shared" si="784"/>
        <v>1.8000000000000003</v>
      </c>
      <c r="AH285" s="22">
        <f t="shared" si="785"/>
        <v>1.3333333333333333</v>
      </c>
      <c r="AI285" s="22">
        <f t="shared" si="786"/>
        <v>0.4</v>
      </c>
      <c r="AJ285" s="22">
        <f t="shared" si="787"/>
        <v>0</v>
      </c>
      <c r="AK285" s="22">
        <f t="shared" si="788"/>
        <v>0.2</v>
      </c>
      <c r="AL285" s="22">
        <f t="shared" ref="AL285:AM285" si="825">AH102</f>
        <v>0</v>
      </c>
      <c r="AM285" s="22">
        <f t="shared" si="825"/>
        <v>5.8166666666666673</v>
      </c>
    </row>
    <row r="286" spans="1:39">
      <c r="A286" t="str">
        <f t="shared" si="766"/>
        <v>P15</v>
      </c>
      <c r="B286" s="8">
        <f t="shared" si="767"/>
        <v>3.8166666666666664</v>
      </c>
      <c r="C286" s="8">
        <f t="shared" si="768"/>
        <v>6.6833333333333336</v>
      </c>
      <c r="M286" t="str">
        <f t="shared" si="769"/>
        <v>P15</v>
      </c>
      <c r="N286" s="22">
        <f t="shared" si="770"/>
        <v>0.33333333333333331</v>
      </c>
      <c r="O286" s="22">
        <f t="shared" si="771"/>
        <v>0.25</v>
      </c>
      <c r="P286" s="22">
        <f t="shared" si="772"/>
        <v>0.66666666666666663</v>
      </c>
      <c r="Q286" s="22">
        <f t="shared" si="773"/>
        <v>0.5</v>
      </c>
      <c r="R286" s="22">
        <f t="shared" si="774"/>
        <v>1</v>
      </c>
      <c r="S286" s="22">
        <f t="shared" si="775"/>
        <v>0.66666666666666663</v>
      </c>
      <c r="T286" s="22">
        <f t="shared" si="776"/>
        <v>0.4</v>
      </c>
      <c r="U286" s="22">
        <f t="shared" si="777"/>
        <v>0</v>
      </c>
      <c r="V286" s="22">
        <f t="shared" si="778"/>
        <v>0</v>
      </c>
      <c r="W286" s="22">
        <f t="shared" ref="W286:X286" si="826">AH239</f>
        <v>0</v>
      </c>
      <c r="X286" s="22">
        <f t="shared" si="826"/>
        <v>3.8166666666666664</v>
      </c>
      <c r="AB286" t="str">
        <f t="shared" ref="AB286:AC286" si="827">A103</f>
        <v>P15</v>
      </c>
      <c r="AC286" s="22">
        <f t="shared" si="827"/>
        <v>0.33333333333333331</v>
      </c>
      <c r="AD286" s="22">
        <f t="shared" si="781"/>
        <v>0.25</v>
      </c>
      <c r="AE286" s="22">
        <f t="shared" si="782"/>
        <v>1.3333333333333333</v>
      </c>
      <c r="AF286" s="22">
        <f t="shared" si="783"/>
        <v>0.5</v>
      </c>
      <c r="AG286" s="22">
        <f t="shared" si="784"/>
        <v>1.5999999999999999</v>
      </c>
      <c r="AH286" s="22">
        <f t="shared" si="785"/>
        <v>1.6666666666666665</v>
      </c>
      <c r="AI286" s="22">
        <f t="shared" si="786"/>
        <v>1</v>
      </c>
      <c r="AJ286" s="22">
        <f t="shared" si="787"/>
        <v>0</v>
      </c>
      <c r="AK286" s="22">
        <f t="shared" si="788"/>
        <v>0</v>
      </c>
      <c r="AL286" s="22">
        <f t="shared" ref="AL286:AM286" si="828">AH103</f>
        <v>0</v>
      </c>
      <c r="AM286" s="22">
        <f t="shared" si="828"/>
        <v>6.6833333333333336</v>
      </c>
    </row>
    <row r="287" spans="1:39">
      <c r="A287" t="str">
        <f t="shared" si="766"/>
        <v>P16</v>
      </c>
      <c r="B287" s="8">
        <f t="shared" si="767"/>
        <v>4.8833333333333329</v>
      </c>
      <c r="C287" s="8">
        <f t="shared" si="768"/>
        <v>6.2166666666666668</v>
      </c>
      <c r="M287" t="str">
        <f t="shared" si="769"/>
        <v>P16</v>
      </c>
      <c r="N287" s="22">
        <f t="shared" si="770"/>
        <v>0.33333333333333331</v>
      </c>
      <c r="O287" s="22">
        <f t="shared" si="771"/>
        <v>0.25</v>
      </c>
      <c r="P287" s="22">
        <f t="shared" si="772"/>
        <v>0.33333333333333331</v>
      </c>
      <c r="Q287" s="22">
        <f t="shared" si="773"/>
        <v>0.5</v>
      </c>
      <c r="R287" s="22">
        <f t="shared" si="774"/>
        <v>1</v>
      </c>
      <c r="S287" s="22">
        <f t="shared" si="775"/>
        <v>0.66666666666666663</v>
      </c>
      <c r="T287" s="22">
        <f t="shared" si="776"/>
        <v>0.4</v>
      </c>
      <c r="U287" s="22">
        <f t="shared" si="777"/>
        <v>0</v>
      </c>
      <c r="V287" s="22">
        <f t="shared" si="778"/>
        <v>0.4</v>
      </c>
      <c r="W287" s="22">
        <f t="shared" ref="W287:X287" si="829">AH240</f>
        <v>1</v>
      </c>
      <c r="X287" s="22">
        <f t="shared" si="829"/>
        <v>4.8833333333333329</v>
      </c>
      <c r="AB287" t="str">
        <f t="shared" ref="AB287:AC287" si="830">A104</f>
        <v>P16</v>
      </c>
      <c r="AC287" s="22">
        <f t="shared" si="830"/>
        <v>0.33333333333333331</v>
      </c>
      <c r="AD287" s="22">
        <f t="shared" si="781"/>
        <v>0.25</v>
      </c>
      <c r="AE287" s="22">
        <f t="shared" si="782"/>
        <v>0.33333333333333331</v>
      </c>
      <c r="AF287" s="22">
        <f t="shared" si="783"/>
        <v>0.5</v>
      </c>
      <c r="AG287" s="22">
        <f t="shared" si="784"/>
        <v>2</v>
      </c>
      <c r="AH287" s="22">
        <f t="shared" si="785"/>
        <v>1</v>
      </c>
      <c r="AI287" s="22">
        <f t="shared" si="786"/>
        <v>0.4</v>
      </c>
      <c r="AJ287" s="22">
        <f t="shared" si="787"/>
        <v>0</v>
      </c>
      <c r="AK287" s="22">
        <f t="shared" si="788"/>
        <v>0.4</v>
      </c>
      <c r="AL287" s="22">
        <f t="shared" ref="AL287:AM287" si="831">AH104</f>
        <v>1</v>
      </c>
      <c r="AM287" s="22">
        <f t="shared" si="831"/>
        <v>6.2166666666666668</v>
      </c>
    </row>
    <row r="288" spans="1:39">
      <c r="A288" t="str">
        <f t="shared" si="766"/>
        <v>P17</v>
      </c>
      <c r="B288" s="8">
        <f t="shared" si="767"/>
        <v>2.2166666666666668</v>
      </c>
      <c r="C288" s="8">
        <f t="shared" si="768"/>
        <v>2.2166666666666668</v>
      </c>
      <c r="M288" t="str">
        <f t="shared" si="769"/>
        <v>P17</v>
      </c>
      <c r="N288" s="22">
        <f t="shared" si="770"/>
        <v>0.33333333333333331</v>
      </c>
      <c r="O288" s="22">
        <f t="shared" si="771"/>
        <v>0.25</v>
      </c>
      <c r="P288" s="22">
        <f t="shared" si="772"/>
        <v>0</v>
      </c>
      <c r="Q288" s="22">
        <f t="shared" si="773"/>
        <v>0.5</v>
      </c>
      <c r="R288" s="22">
        <f t="shared" si="774"/>
        <v>0.8</v>
      </c>
      <c r="S288" s="22">
        <f t="shared" si="775"/>
        <v>0.33333333333333331</v>
      </c>
      <c r="T288" s="22">
        <f t="shared" si="776"/>
        <v>0</v>
      </c>
      <c r="U288" s="22">
        <f t="shared" si="777"/>
        <v>0</v>
      </c>
      <c r="V288" s="22">
        <f t="shared" si="778"/>
        <v>0</v>
      </c>
      <c r="W288" s="22">
        <f t="shared" ref="W288:X288" si="832">AH241</f>
        <v>0</v>
      </c>
      <c r="X288" s="22">
        <f t="shared" si="832"/>
        <v>2.2166666666666668</v>
      </c>
      <c r="AB288" t="str">
        <f t="shared" ref="AB288:AC288" si="833">A105</f>
        <v>P17</v>
      </c>
      <c r="AC288" s="22">
        <f t="shared" si="833"/>
        <v>0.33333333333333331</v>
      </c>
      <c r="AD288" s="22">
        <f t="shared" si="781"/>
        <v>0.25</v>
      </c>
      <c r="AE288" s="22">
        <f t="shared" si="782"/>
        <v>0</v>
      </c>
      <c r="AF288" s="22">
        <f t="shared" si="783"/>
        <v>0.5</v>
      </c>
      <c r="AG288" s="22">
        <f t="shared" si="784"/>
        <v>0.8</v>
      </c>
      <c r="AH288" s="22">
        <f t="shared" si="785"/>
        <v>0.33333333333333331</v>
      </c>
      <c r="AI288" s="22">
        <f t="shared" si="786"/>
        <v>0</v>
      </c>
      <c r="AJ288" s="22">
        <f t="shared" si="787"/>
        <v>0</v>
      </c>
      <c r="AK288" s="22">
        <f t="shared" si="788"/>
        <v>0</v>
      </c>
      <c r="AL288" s="22">
        <f t="shared" ref="AL288:AM288" si="834">AH105</f>
        <v>0</v>
      </c>
      <c r="AM288" s="22">
        <f t="shared" si="834"/>
        <v>2.2166666666666668</v>
      </c>
    </row>
    <row r="289" spans="1:39">
      <c r="A289" t="str">
        <f t="shared" si="766"/>
        <v>P18</v>
      </c>
      <c r="B289" s="8">
        <f t="shared" si="767"/>
        <v>4.55</v>
      </c>
      <c r="C289" s="8">
        <f t="shared" si="768"/>
        <v>5.083333333333333</v>
      </c>
      <c r="M289" t="str">
        <f t="shared" si="769"/>
        <v>P18</v>
      </c>
      <c r="N289" s="22">
        <f t="shared" si="770"/>
        <v>0.33333333333333331</v>
      </c>
      <c r="O289" s="22">
        <f t="shared" si="771"/>
        <v>0.25</v>
      </c>
      <c r="P289" s="22">
        <f t="shared" si="772"/>
        <v>0.33333333333333331</v>
      </c>
      <c r="Q289" s="22">
        <f t="shared" si="773"/>
        <v>0.5</v>
      </c>
      <c r="R289" s="22">
        <f t="shared" si="774"/>
        <v>1</v>
      </c>
      <c r="S289" s="22">
        <f t="shared" si="775"/>
        <v>0.33333333333333331</v>
      </c>
      <c r="T289" s="22">
        <f t="shared" si="776"/>
        <v>0.4</v>
      </c>
      <c r="U289" s="22">
        <f t="shared" si="777"/>
        <v>0</v>
      </c>
      <c r="V289" s="22">
        <f t="shared" si="778"/>
        <v>0.4</v>
      </c>
      <c r="W289" s="22">
        <f t="shared" ref="W289:X289" si="835">AH242</f>
        <v>1</v>
      </c>
      <c r="X289" s="22">
        <f t="shared" si="835"/>
        <v>4.55</v>
      </c>
      <c r="AB289" t="str">
        <f t="shared" ref="AB289:AC289" si="836">A106</f>
        <v>P18</v>
      </c>
      <c r="AC289" s="22">
        <f t="shared" si="836"/>
        <v>0.33333333333333331</v>
      </c>
      <c r="AD289" s="22">
        <f t="shared" si="781"/>
        <v>0.25</v>
      </c>
      <c r="AE289" s="22">
        <f t="shared" si="782"/>
        <v>0.33333333333333331</v>
      </c>
      <c r="AF289" s="22">
        <f t="shared" si="783"/>
        <v>0.5</v>
      </c>
      <c r="AG289" s="22">
        <f t="shared" si="784"/>
        <v>1</v>
      </c>
      <c r="AH289" s="22">
        <f t="shared" si="785"/>
        <v>0.66666666666666663</v>
      </c>
      <c r="AI289" s="22">
        <f t="shared" si="786"/>
        <v>0.60000000000000009</v>
      </c>
      <c r="AJ289" s="22">
        <f t="shared" si="787"/>
        <v>0</v>
      </c>
      <c r="AK289" s="22">
        <f t="shared" si="788"/>
        <v>0.4</v>
      </c>
      <c r="AL289" s="22">
        <f t="shared" ref="AL289:AM289" si="837">AH106</f>
        <v>1</v>
      </c>
      <c r="AM289" s="22">
        <f t="shared" si="837"/>
        <v>5.083333333333333</v>
      </c>
    </row>
    <row r="290" spans="1:39">
      <c r="A290" t="str">
        <f t="shared" si="766"/>
        <v>P19</v>
      </c>
      <c r="B290" s="8">
        <f t="shared" si="767"/>
        <v>2.6833333333333331</v>
      </c>
      <c r="C290" s="8">
        <f t="shared" si="768"/>
        <v>3.083333333333333</v>
      </c>
      <c r="M290" t="str">
        <f t="shared" si="769"/>
        <v>P19</v>
      </c>
      <c r="N290" s="22">
        <f t="shared" si="770"/>
        <v>0.33333333333333331</v>
      </c>
      <c r="O290" s="22">
        <f t="shared" si="771"/>
        <v>0.25</v>
      </c>
      <c r="P290" s="22">
        <f t="shared" si="772"/>
        <v>0.33333333333333331</v>
      </c>
      <c r="Q290" s="22">
        <f t="shared" si="773"/>
        <v>0.5</v>
      </c>
      <c r="R290" s="22">
        <f t="shared" si="774"/>
        <v>0.60000000000000009</v>
      </c>
      <c r="S290" s="22">
        <f t="shared" si="775"/>
        <v>0.66666666666666663</v>
      </c>
      <c r="T290" s="22">
        <f t="shared" si="776"/>
        <v>0</v>
      </c>
      <c r="U290" s="22">
        <f t="shared" si="777"/>
        <v>0</v>
      </c>
      <c r="V290" s="22">
        <f t="shared" si="778"/>
        <v>0</v>
      </c>
      <c r="W290" s="22">
        <f t="shared" ref="W290:X290" si="838">AH243</f>
        <v>0</v>
      </c>
      <c r="X290" s="22">
        <f t="shared" si="838"/>
        <v>2.6833333333333331</v>
      </c>
      <c r="AB290" t="str">
        <f t="shared" ref="AB290:AC290" si="839">A107</f>
        <v>P19</v>
      </c>
      <c r="AC290" s="22">
        <f t="shared" si="839"/>
        <v>0.33333333333333331</v>
      </c>
      <c r="AD290" s="22">
        <f t="shared" si="781"/>
        <v>0.25</v>
      </c>
      <c r="AE290" s="22">
        <f t="shared" si="782"/>
        <v>0.33333333333333331</v>
      </c>
      <c r="AF290" s="22">
        <f t="shared" si="783"/>
        <v>0.5</v>
      </c>
      <c r="AG290" s="22">
        <f t="shared" si="784"/>
        <v>1</v>
      </c>
      <c r="AH290" s="22">
        <f t="shared" si="785"/>
        <v>0.66666666666666663</v>
      </c>
      <c r="AI290" s="22">
        <f t="shared" si="786"/>
        <v>0</v>
      </c>
      <c r="AJ290" s="22">
        <f t="shared" si="787"/>
        <v>0</v>
      </c>
      <c r="AK290" s="22">
        <f t="shared" si="788"/>
        <v>0</v>
      </c>
      <c r="AL290" s="22">
        <f t="shared" ref="AL290:AM290" si="840">AH107</f>
        <v>0</v>
      </c>
      <c r="AM290" s="22">
        <f t="shared" si="840"/>
        <v>3.083333333333333</v>
      </c>
    </row>
    <row r="291" spans="1:39">
      <c r="A291" t="str">
        <f t="shared" si="766"/>
        <v>P20</v>
      </c>
      <c r="B291" s="8">
        <f t="shared" si="767"/>
        <v>3.083333333333333</v>
      </c>
      <c r="C291" s="8">
        <f t="shared" si="768"/>
        <v>4.083333333333333</v>
      </c>
      <c r="M291" t="str">
        <f t="shared" si="769"/>
        <v>P20</v>
      </c>
      <c r="N291" s="22">
        <f t="shared" si="770"/>
        <v>0.33333333333333331</v>
      </c>
      <c r="O291" s="22">
        <f t="shared" si="771"/>
        <v>0.25</v>
      </c>
      <c r="P291" s="22">
        <f t="shared" si="772"/>
        <v>0.33333333333333331</v>
      </c>
      <c r="Q291" s="22">
        <f t="shared" si="773"/>
        <v>0.5</v>
      </c>
      <c r="R291" s="22">
        <f t="shared" si="774"/>
        <v>0</v>
      </c>
      <c r="S291" s="22">
        <f t="shared" si="775"/>
        <v>0.66666666666666663</v>
      </c>
      <c r="T291" s="22">
        <f t="shared" si="776"/>
        <v>0.60000000000000009</v>
      </c>
      <c r="U291" s="22">
        <f t="shared" si="777"/>
        <v>0</v>
      </c>
      <c r="V291" s="22">
        <f t="shared" si="778"/>
        <v>0.4</v>
      </c>
      <c r="W291" s="22">
        <f t="shared" ref="W291:X291" si="841">AH244</f>
        <v>0</v>
      </c>
      <c r="X291" s="22">
        <f t="shared" si="841"/>
        <v>3.083333333333333</v>
      </c>
      <c r="AB291" t="str">
        <f t="shared" ref="AB291:AC291" si="842">A108</f>
        <v>P20</v>
      </c>
      <c r="AC291" s="22">
        <f t="shared" si="842"/>
        <v>0.33333333333333331</v>
      </c>
      <c r="AD291" s="22">
        <f t="shared" si="781"/>
        <v>0.25</v>
      </c>
      <c r="AE291" s="22">
        <f t="shared" si="782"/>
        <v>0.66666666666666663</v>
      </c>
      <c r="AF291" s="22">
        <f t="shared" si="783"/>
        <v>0.5</v>
      </c>
      <c r="AG291" s="22">
        <f t="shared" si="784"/>
        <v>0</v>
      </c>
      <c r="AH291" s="22">
        <f t="shared" si="785"/>
        <v>1.3333333333333333</v>
      </c>
      <c r="AI291" s="22">
        <f t="shared" si="786"/>
        <v>0.60000000000000009</v>
      </c>
      <c r="AJ291" s="22">
        <f t="shared" si="787"/>
        <v>0</v>
      </c>
      <c r="AK291" s="22">
        <f t="shared" si="788"/>
        <v>0.4</v>
      </c>
      <c r="AL291" s="22">
        <f t="shared" ref="AL291:AM291" si="843">AH108</f>
        <v>0</v>
      </c>
      <c r="AM291" s="22">
        <f t="shared" si="843"/>
        <v>4.083333333333333</v>
      </c>
    </row>
    <row r="292" spans="1:39">
      <c r="A292" t="str">
        <f t="shared" si="766"/>
        <v>P21</v>
      </c>
      <c r="B292" s="8">
        <f t="shared" si="767"/>
        <v>3.4499999999999997</v>
      </c>
      <c r="C292" s="8">
        <f t="shared" si="768"/>
        <v>3.7833333333333328</v>
      </c>
      <c r="M292" t="str">
        <f t="shared" si="769"/>
        <v>P21</v>
      </c>
      <c r="N292" s="22">
        <f t="shared" si="770"/>
        <v>0.66666666666666663</v>
      </c>
      <c r="O292" s="22">
        <f t="shared" si="771"/>
        <v>0.25</v>
      </c>
      <c r="P292" s="22">
        <f t="shared" si="772"/>
        <v>0</v>
      </c>
      <c r="Q292" s="22">
        <f t="shared" si="773"/>
        <v>0.5</v>
      </c>
      <c r="R292" s="22">
        <f t="shared" si="774"/>
        <v>0</v>
      </c>
      <c r="S292" s="22">
        <f t="shared" si="775"/>
        <v>0.33333333333333331</v>
      </c>
      <c r="T292" s="22">
        <f t="shared" si="776"/>
        <v>0.8</v>
      </c>
      <c r="U292" s="22">
        <f t="shared" si="777"/>
        <v>0.5</v>
      </c>
      <c r="V292" s="22">
        <f t="shared" si="778"/>
        <v>0.4</v>
      </c>
      <c r="W292" s="22">
        <f t="shared" ref="W292:X292" si="844">AH245</f>
        <v>0</v>
      </c>
      <c r="X292" s="22">
        <f t="shared" si="844"/>
        <v>3.4499999999999997</v>
      </c>
      <c r="AB292" t="str">
        <f t="shared" ref="AB292:AC292" si="845">A109</f>
        <v>P21</v>
      </c>
      <c r="AC292" s="22">
        <f t="shared" si="845"/>
        <v>0.66666666666666663</v>
      </c>
      <c r="AD292" s="22">
        <f t="shared" si="781"/>
        <v>0.25</v>
      </c>
      <c r="AE292" s="22">
        <f t="shared" si="782"/>
        <v>0</v>
      </c>
      <c r="AF292" s="22">
        <f t="shared" si="783"/>
        <v>0.5</v>
      </c>
      <c r="AG292" s="22">
        <f t="shared" si="784"/>
        <v>0</v>
      </c>
      <c r="AH292" s="22">
        <f t="shared" si="785"/>
        <v>0.66666666666666663</v>
      </c>
      <c r="AI292" s="22">
        <f t="shared" si="786"/>
        <v>0.8</v>
      </c>
      <c r="AJ292" s="22">
        <f t="shared" si="787"/>
        <v>0.5</v>
      </c>
      <c r="AK292" s="22">
        <f t="shared" si="788"/>
        <v>0.4</v>
      </c>
      <c r="AL292" s="22">
        <f t="shared" ref="AL292:AM292" si="846">AH109</f>
        <v>0</v>
      </c>
      <c r="AM292" s="22">
        <f t="shared" si="846"/>
        <v>3.7833333333333328</v>
      </c>
    </row>
    <row r="293" spans="1:39">
      <c r="A293" t="str">
        <f t="shared" si="766"/>
        <v>P22</v>
      </c>
      <c r="B293" s="8">
        <f t="shared" si="767"/>
        <v>3.4833333333333334</v>
      </c>
      <c r="C293" s="8">
        <f t="shared" si="768"/>
        <v>4.3499999999999996</v>
      </c>
      <c r="M293" t="str">
        <f t="shared" si="769"/>
        <v>P22</v>
      </c>
      <c r="N293" s="22">
        <f t="shared" si="770"/>
        <v>0.33333333333333331</v>
      </c>
      <c r="O293" s="22">
        <f t="shared" si="771"/>
        <v>0.25</v>
      </c>
      <c r="P293" s="22">
        <f t="shared" si="772"/>
        <v>0.66666666666666663</v>
      </c>
      <c r="Q293" s="22">
        <f t="shared" si="773"/>
        <v>0.5</v>
      </c>
      <c r="R293" s="22">
        <f t="shared" si="774"/>
        <v>0.8</v>
      </c>
      <c r="S293" s="22">
        <f t="shared" si="775"/>
        <v>0.33333333333333331</v>
      </c>
      <c r="T293" s="22">
        <f t="shared" si="776"/>
        <v>0.4</v>
      </c>
      <c r="U293" s="22">
        <f t="shared" si="777"/>
        <v>0</v>
      </c>
      <c r="V293" s="22">
        <f t="shared" si="778"/>
        <v>0.2</v>
      </c>
      <c r="W293" s="22">
        <f t="shared" ref="W293:X293" si="847">AH246</f>
        <v>0</v>
      </c>
      <c r="X293" s="22">
        <f t="shared" si="847"/>
        <v>3.4833333333333334</v>
      </c>
      <c r="AB293" t="str">
        <f t="shared" ref="AB293:AC293" si="848">A110</f>
        <v>P22</v>
      </c>
      <c r="AC293" s="22">
        <f t="shared" si="848"/>
        <v>0.33333333333333331</v>
      </c>
      <c r="AD293" s="22">
        <f t="shared" si="781"/>
        <v>0.25</v>
      </c>
      <c r="AE293" s="22">
        <f t="shared" si="782"/>
        <v>1</v>
      </c>
      <c r="AF293" s="22">
        <f t="shared" si="783"/>
        <v>0.5</v>
      </c>
      <c r="AG293" s="22">
        <f t="shared" si="784"/>
        <v>0.8</v>
      </c>
      <c r="AH293" s="22">
        <f t="shared" si="785"/>
        <v>0.66666666666666663</v>
      </c>
      <c r="AI293" s="22">
        <f t="shared" si="786"/>
        <v>0.4</v>
      </c>
      <c r="AJ293" s="22">
        <f t="shared" si="787"/>
        <v>0</v>
      </c>
      <c r="AK293" s="22">
        <f t="shared" si="788"/>
        <v>0.4</v>
      </c>
      <c r="AL293" s="22">
        <f t="shared" ref="AL293:AM293" si="849">AH110</f>
        <v>0</v>
      </c>
      <c r="AM293" s="22">
        <f t="shared" si="849"/>
        <v>4.3499999999999996</v>
      </c>
    </row>
    <row r="294" spans="1:39">
      <c r="A294" t="str">
        <f t="shared" si="766"/>
        <v>P23</v>
      </c>
      <c r="B294" s="8">
        <f t="shared" si="767"/>
        <v>4.7166666666666668</v>
      </c>
      <c r="C294" s="8">
        <f t="shared" si="768"/>
        <v>6.1166666666666671</v>
      </c>
      <c r="M294" t="str">
        <f t="shared" si="769"/>
        <v>P23</v>
      </c>
      <c r="N294" s="22">
        <f t="shared" si="770"/>
        <v>0.33333333333333331</v>
      </c>
      <c r="O294" s="22">
        <f t="shared" si="771"/>
        <v>0.25</v>
      </c>
      <c r="P294" s="22">
        <f t="shared" si="772"/>
        <v>0.66666666666666663</v>
      </c>
      <c r="Q294" s="22">
        <f t="shared" si="773"/>
        <v>0</v>
      </c>
      <c r="R294" s="22">
        <f t="shared" si="774"/>
        <v>0.60000000000000009</v>
      </c>
      <c r="S294" s="22">
        <f t="shared" si="775"/>
        <v>0.66666666666666663</v>
      </c>
      <c r="T294" s="22">
        <f t="shared" si="776"/>
        <v>0.8</v>
      </c>
      <c r="U294" s="22">
        <f t="shared" si="777"/>
        <v>0</v>
      </c>
      <c r="V294" s="22">
        <f t="shared" si="778"/>
        <v>0.4</v>
      </c>
      <c r="W294" s="22">
        <f t="shared" ref="W294:X294" si="850">AH247</f>
        <v>1</v>
      </c>
      <c r="X294" s="22">
        <f t="shared" si="850"/>
        <v>4.7166666666666668</v>
      </c>
      <c r="AB294" t="str">
        <f t="shared" ref="AB294:AC294" si="851">A111</f>
        <v>P23</v>
      </c>
      <c r="AC294" s="22">
        <f t="shared" si="851"/>
        <v>0.33333333333333331</v>
      </c>
      <c r="AD294" s="22">
        <f t="shared" si="781"/>
        <v>0.25</v>
      </c>
      <c r="AE294" s="22">
        <f t="shared" si="782"/>
        <v>1.3333333333333333</v>
      </c>
      <c r="AF294" s="22">
        <f t="shared" si="783"/>
        <v>0</v>
      </c>
      <c r="AG294" s="22">
        <f t="shared" si="784"/>
        <v>0.8</v>
      </c>
      <c r="AH294" s="22">
        <f t="shared" si="785"/>
        <v>1</v>
      </c>
      <c r="AI294" s="22">
        <f t="shared" si="786"/>
        <v>0.8</v>
      </c>
      <c r="AJ294" s="22">
        <f t="shared" si="787"/>
        <v>0</v>
      </c>
      <c r="AK294" s="22">
        <f t="shared" si="788"/>
        <v>0.60000000000000009</v>
      </c>
      <c r="AL294" s="22">
        <f t="shared" ref="AL294:AM294" si="852">AH111</f>
        <v>1</v>
      </c>
      <c r="AM294" s="22">
        <f t="shared" si="852"/>
        <v>6.1166666666666671</v>
      </c>
    </row>
    <row r="295" spans="1:39">
      <c r="A295" t="str">
        <f t="shared" si="766"/>
        <v>P24</v>
      </c>
      <c r="B295" s="8">
        <f t="shared" si="767"/>
        <v>2.6833333333333331</v>
      </c>
      <c r="C295" s="8">
        <f t="shared" si="768"/>
        <v>2.6833333333333331</v>
      </c>
      <c r="M295" t="str">
        <f t="shared" si="769"/>
        <v>P24</v>
      </c>
      <c r="N295" s="22">
        <f t="shared" si="770"/>
        <v>0.33333333333333331</v>
      </c>
      <c r="O295" s="22">
        <f t="shared" si="771"/>
        <v>0.25</v>
      </c>
      <c r="P295" s="22">
        <f t="shared" si="772"/>
        <v>0.33333333333333331</v>
      </c>
      <c r="Q295" s="22">
        <f t="shared" si="773"/>
        <v>0.5</v>
      </c>
      <c r="R295" s="22">
        <f t="shared" si="774"/>
        <v>0.60000000000000009</v>
      </c>
      <c r="S295" s="22">
        <f t="shared" si="775"/>
        <v>0.66666666666666663</v>
      </c>
      <c r="T295" s="22">
        <f t="shared" si="776"/>
        <v>0</v>
      </c>
      <c r="U295" s="22">
        <f t="shared" si="777"/>
        <v>0</v>
      </c>
      <c r="V295" s="22">
        <f t="shared" si="778"/>
        <v>0</v>
      </c>
      <c r="W295" s="22">
        <f t="shared" ref="W295:X295" si="853">AH248</f>
        <v>0</v>
      </c>
      <c r="X295" s="22">
        <f t="shared" si="853"/>
        <v>2.6833333333333331</v>
      </c>
      <c r="AB295" t="str">
        <f t="shared" ref="AB295:AC295" si="854">A112</f>
        <v>P24</v>
      </c>
      <c r="AC295" s="22">
        <f t="shared" si="854"/>
        <v>0.33333333333333331</v>
      </c>
      <c r="AD295" s="22">
        <f t="shared" si="781"/>
        <v>0.25</v>
      </c>
      <c r="AE295" s="22">
        <f t="shared" si="782"/>
        <v>0.33333333333333331</v>
      </c>
      <c r="AF295" s="22">
        <f t="shared" si="783"/>
        <v>0.5</v>
      </c>
      <c r="AG295" s="22">
        <f t="shared" si="784"/>
        <v>0.60000000000000009</v>
      </c>
      <c r="AH295" s="22">
        <f t="shared" si="785"/>
        <v>0.66666666666666663</v>
      </c>
      <c r="AI295" s="22">
        <f t="shared" si="786"/>
        <v>0</v>
      </c>
      <c r="AJ295" s="22">
        <f t="shared" si="787"/>
        <v>0</v>
      </c>
      <c r="AK295" s="22">
        <f t="shared" si="788"/>
        <v>0</v>
      </c>
      <c r="AL295" s="22">
        <f t="shared" ref="AL295:AM295" si="855">AH112</f>
        <v>0</v>
      </c>
      <c r="AM295" s="22">
        <f t="shared" si="855"/>
        <v>2.6833333333333331</v>
      </c>
    </row>
    <row r="296" spans="1:39">
      <c r="A296" t="str">
        <f t="shared" si="766"/>
        <v>P25</v>
      </c>
      <c r="B296" s="8">
        <f t="shared" si="767"/>
        <v>4.0833333333333339</v>
      </c>
      <c r="C296" s="8">
        <f t="shared" si="768"/>
        <v>4.8166666666666664</v>
      </c>
      <c r="M296" t="str">
        <f t="shared" si="769"/>
        <v>P25</v>
      </c>
      <c r="N296" s="22">
        <f t="shared" si="770"/>
        <v>0.33333333333333331</v>
      </c>
      <c r="O296" s="22">
        <f t="shared" si="771"/>
        <v>0.25</v>
      </c>
      <c r="P296" s="22">
        <f t="shared" si="772"/>
        <v>0.66666666666666663</v>
      </c>
      <c r="Q296" s="22">
        <f t="shared" si="773"/>
        <v>0.5</v>
      </c>
      <c r="R296" s="22">
        <f t="shared" si="774"/>
        <v>0.8</v>
      </c>
      <c r="S296" s="22">
        <f t="shared" si="775"/>
        <v>0.33333333333333331</v>
      </c>
      <c r="T296" s="22">
        <f t="shared" si="776"/>
        <v>0.8</v>
      </c>
      <c r="U296" s="22">
        <f t="shared" si="777"/>
        <v>0</v>
      </c>
      <c r="V296" s="22">
        <f t="shared" si="778"/>
        <v>0.4</v>
      </c>
      <c r="W296" s="22">
        <f t="shared" ref="W296:X296" si="856">AH249</f>
        <v>0</v>
      </c>
      <c r="X296" s="22">
        <f t="shared" si="856"/>
        <v>4.0833333333333339</v>
      </c>
      <c r="AB296" t="str">
        <f t="shared" ref="AB296:AC296" si="857">A113</f>
        <v>P25</v>
      </c>
      <c r="AC296" s="22">
        <f t="shared" si="857"/>
        <v>0.33333333333333331</v>
      </c>
      <c r="AD296" s="22">
        <f t="shared" si="781"/>
        <v>0.25</v>
      </c>
      <c r="AE296" s="22">
        <f t="shared" si="782"/>
        <v>0.66666666666666663</v>
      </c>
      <c r="AF296" s="22">
        <f t="shared" si="783"/>
        <v>0.5</v>
      </c>
      <c r="AG296" s="22">
        <f t="shared" si="784"/>
        <v>0.8</v>
      </c>
      <c r="AH296" s="22">
        <f t="shared" si="785"/>
        <v>0.66666666666666663</v>
      </c>
      <c r="AI296" s="22">
        <f t="shared" si="786"/>
        <v>1.2</v>
      </c>
      <c r="AJ296" s="22">
        <f t="shared" si="787"/>
        <v>0</v>
      </c>
      <c r="AK296" s="22">
        <f t="shared" si="788"/>
        <v>0.4</v>
      </c>
      <c r="AL296" s="22">
        <f t="shared" ref="AL296:AM296" si="858">AH113</f>
        <v>0</v>
      </c>
      <c r="AM296" s="22">
        <f t="shared" si="858"/>
        <v>4.8166666666666664</v>
      </c>
    </row>
    <row r="297" spans="1:39">
      <c r="A297" t="str">
        <f t="shared" si="766"/>
        <v>P26</v>
      </c>
      <c r="B297" s="8">
        <f t="shared" si="767"/>
        <v>3.85</v>
      </c>
      <c r="C297" s="8">
        <f t="shared" si="768"/>
        <v>5.25</v>
      </c>
      <c r="M297" t="str">
        <f t="shared" si="769"/>
        <v>P26</v>
      </c>
      <c r="N297" s="22">
        <f t="shared" si="770"/>
        <v>0.33333333333333331</v>
      </c>
      <c r="O297" s="22">
        <f t="shared" si="771"/>
        <v>0.25</v>
      </c>
      <c r="P297" s="22">
        <f t="shared" si="772"/>
        <v>0.66666666666666663</v>
      </c>
      <c r="Q297" s="22">
        <f t="shared" si="773"/>
        <v>0</v>
      </c>
      <c r="R297" s="22">
        <f t="shared" si="774"/>
        <v>1</v>
      </c>
      <c r="S297" s="22">
        <f t="shared" si="775"/>
        <v>1</v>
      </c>
      <c r="T297" s="22">
        <f t="shared" si="776"/>
        <v>0.2</v>
      </c>
      <c r="U297" s="22">
        <f t="shared" si="777"/>
        <v>0</v>
      </c>
      <c r="V297" s="22">
        <f t="shared" si="778"/>
        <v>0.4</v>
      </c>
      <c r="W297" s="22">
        <f t="shared" ref="W297:X297" si="859">AH250</f>
        <v>0</v>
      </c>
      <c r="X297" s="22">
        <f t="shared" si="859"/>
        <v>3.85</v>
      </c>
      <c r="AB297" t="str">
        <f t="shared" ref="AB297:AC297" si="860">A114</f>
        <v>P26</v>
      </c>
      <c r="AC297" s="22">
        <f t="shared" si="860"/>
        <v>0.33333333333333331</v>
      </c>
      <c r="AD297" s="22">
        <f t="shared" si="781"/>
        <v>0.25</v>
      </c>
      <c r="AE297" s="22">
        <f t="shared" si="782"/>
        <v>1.3333333333333333</v>
      </c>
      <c r="AF297" s="22">
        <f t="shared" si="783"/>
        <v>0</v>
      </c>
      <c r="AG297" s="22">
        <f t="shared" si="784"/>
        <v>1</v>
      </c>
      <c r="AH297" s="22">
        <f t="shared" si="785"/>
        <v>1.3333333333333333</v>
      </c>
      <c r="AI297" s="22">
        <f t="shared" si="786"/>
        <v>0.6</v>
      </c>
      <c r="AJ297" s="22">
        <f t="shared" si="787"/>
        <v>0</v>
      </c>
      <c r="AK297" s="22">
        <f t="shared" si="788"/>
        <v>0.4</v>
      </c>
      <c r="AL297" s="22">
        <f t="shared" ref="AL297:AM297" si="861">AH114</f>
        <v>0</v>
      </c>
      <c r="AM297" s="22">
        <f t="shared" si="861"/>
        <v>5.25</v>
      </c>
    </row>
    <row r="298" spans="1:39">
      <c r="A298" t="str">
        <f t="shared" si="766"/>
        <v>P27</v>
      </c>
      <c r="B298" s="8">
        <f t="shared" si="767"/>
        <v>3.0833333333333335</v>
      </c>
      <c r="C298" s="8">
        <f t="shared" si="768"/>
        <v>3.416666666666667</v>
      </c>
      <c r="M298" t="str">
        <f t="shared" si="769"/>
        <v>P27</v>
      </c>
      <c r="N298" s="22">
        <f t="shared" si="770"/>
        <v>0.33333333333333331</v>
      </c>
      <c r="O298" s="22">
        <f t="shared" si="771"/>
        <v>0.25</v>
      </c>
      <c r="P298" s="22">
        <f t="shared" si="772"/>
        <v>0</v>
      </c>
      <c r="Q298" s="22">
        <f t="shared" si="773"/>
        <v>0.5</v>
      </c>
      <c r="R298" s="22">
        <f t="shared" si="774"/>
        <v>0.8</v>
      </c>
      <c r="S298" s="22">
        <f t="shared" si="775"/>
        <v>1</v>
      </c>
      <c r="T298" s="22">
        <f t="shared" si="776"/>
        <v>0</v>
      </c>
      <c r="U298" s="22">
        <f t="shared" si="777"/>
        <v>0</v>
      </c>
      <c r="V298" s="22">
        <f t="shared" si="778"/>
        <v>0.2</v>
      </c>
      <c r="W298" s="22">
        <f t="shared" ref="W298:X298" si="862">AH251</f>
        <v>0</v>
      </c>
      <c r="X298" s="22">
        <f t="shared" si="862"/>
        <v>3.0833333333333335</v>
      </c>
      <c r="AB298" t="str">
        <f t="shared" ref="AB298:AC298" si="863">A115</f>
        <v>P27</v>
      </c>
      <c r="AC298" s="22">
        <f t="shared" si="863"/>
        <v>0.33333333333333331</v>
      </c>
      <c r="AD298" s="22">
        <f t="shared" si="781"/>
        <v>0.25</v>
      </c>
      <c r="AE298" s="22">
        <f t="shared" si="782"/>
        <v>0</v>
      </c>
      <c r="AF298" s="22">
        <f t="shared" si="783"/>
        <v>0.5</v>
      </c>
      <c r="AG298" s="22">
        <f t="shared" si="784"/>
        <v>0.8</v>
      </c>
      <c r="AH298" s="22">
        <f t="shared" si="785"/>
        <v>1.3333333333333333</v>
      </c>
      <c r="AI298" s="22">
        <f t="shared" si="786"/>
        <v>0</v>
      </c>
      <c r="AJ298" s="22">
        <f t="shared" si="787"/>
        <v>0</v>
      </c>
      <c r="AK298" s="22">
        <f t="shared" si="788"/>
        <v>0.2</v>
      </c>
      <c r="AL298" s="22">
        <f t="shared" ref="AL298:AM298" si="864">AH115</f>
        <v>0</v>
      </c>
      <c r="AM298" s="22">
        <f t="shared" si="864"/>
        <v>3.416666666666667</v>
      </c>
    </row>
    <row r="299" spans="1:39">
      <c r="A299" t="str">
        <f t="shared" si="766"/>
        <v>P28</v>
      </c>
      <c r="B299" s="8">
        <f t="shared" si="767"/>
        <v>3.45</v>
      </c>
      <c r="C299" s="8">
        <f t="shared" si="768"/>
        <v>4.8500000000000005</v>
      </c>
      <c r="M299" t="str">
        <f t="shared" si="769"/>
        <v>P28</v>
      </c>
      <c r="N299" s="22">
        <f t="shared" si="770"/>
        <v>0.33333333333333331</v>
      </c>
      <c r="O299" s="22">
        <f t="shared" si="771"/>
        <v>0.25</v>
      </c>
      <c r="P299" s="22">
        <f t="shared" si="772"/>
        <v>0.66666666666666663</v>
      </c>
      <c r="Q299" s="22">
        <f t="shared" si="773"/>
        <v>0.5</v>
      </c>
      <c r="R299" s="22">
        <f t="shared" si="774"/>
        <v>0.4</v>
      </c>
      <c r="S299" s="22">
        <f t="shared" si="775"/>
        <v>0</v>
      </c>
      <c r="T299" s="22">
        <f t="shared" si="776"/>
        <v>0.60000000000000009</v>
      </c>
      <c r="U299" s="22">
        <f t="shared" si="777"/>
        <v>0.5</v>
      </c>
      <c r="V299" s="22">
        <f t="shared" si="778"/>
        <v>0.2</v>
      </c>
      <c r="W299" s="22">
        <f t="shared" ref="W299:X299" si="865">AH252</f>
        <v>0</v>
      </c>
      <c r="X299" s="22">
        <f t="shared" si="865"/>
        <v>3.45</v>
      </c>
      <c r="AB299" t="str">
        <f t="shared" ref="AB299:AC299" si="866">A116</f>
        <v>P28</v>
      </c>
      <c r="AC299" s="22">
        <f t="shared" si="866"/>
        <v>0.33333333333333331</v>
      </c>
      <c r="AD299" s="22">
        <f t="shared" si="781"/>
        <v>0.25</v>
      </c>
      <c r="AE299" s="22">
        <f t="shared" si="782"/>
        <v>1.6666666666666665</v>
      </c>
      <c r="AF299" s="22">
        <f t="shared" si="783"/>
        <v>0.5</v>
      </c>
      <c r="AG299" s="22">
        <f t="shared" si="784"/>
        <v>0.60000000000000009</v>
      </c>
      <c r="AH299" s="22">
        <f t="shared" si="785"/>
        <v>0</v>
      </c>
      <c r="AI299" s="22">
        <f t="shared" si="786"/>
        <v>0.8</v>
      </c>
      <c r="AJ299" s="22">
        <f t="shared" si="787"/>
        <v>0.5</v>
      </c>
      <c r="AK299" s="22">
        <f t="shared" si="788"/>
        <v>0.2</v>
      </c>
      <c r="AL299" s="22">
        <f t="shared" ref="AL299:AM299" si="867">AH116</f>
        <v>0</v>
      </c>
      <c r="AM299" s="22">
        <f t="shared" si="867"/>
        <v>4.8500000000000005</v>
      </c>
    </row>
    <row r="300" spans="1:39">
      <c r="A300" t="str">
        <f t="shared" si="766"/>
        <v>P29</v>
      </c>
      <c r="B300" s="8">
        <f t="shared" si="767"/>
        <v>3.4333333333333331</v>
      </c>
      <c r="C300" s="8">
        <f t="shared" si="768"/>
        <v>3.8333333333333335</v>
      </c>
      <c r="M300" t="str">
        <f t="shared" si="769"/>
        <v>P29</v>
      </c>
      <c r="N300" s="22">
        <f t="shared" si="770"/>
        <v>0.33333333333333331</v>
      </c>
      <c r="O300" s="22">
        <f t="shared" si="771"/>
        <v>0</v>
      </c>
      <c r="P300" s="22">
        <f t="shared" si="772"/>
        <v>0.33333333333333331</v>
      </c>
      <c r="Q300" s="22">
        <f t="shared" si="773"/>
        <v>0.5</v>
      </c>
      <c r="R300" s="22">
        <f t="shared" si="774"/>
        <v>0.4</v>
      </c>
      <c r="S300" s="22">
        <f t="shared" si="775"/>
        <v>0.66666666666666663</v>
      </c>
      <c r="T300" s="22">
        <f t="shared" si="776"/>
        <v>0.2</v>
      </c>
      <c r="U300" s="22">
        <f t="shared" si="777"/>
        <v>0</v>
      </c>
      <c r="V300" s="22">
        <f t="shared" si="778"/>
        <v>0</v>
      </c>
      <c r="W300" s="22">
        <f t="shared" ref="W300:X300" si="868">AH253</f>
        <v>1</v>
      </c>
      <c r="X300" s="22">
        <f t="shared" si="868"/>
        <v>3.4333333333333331</v>
      </c>
      <c r="AB300" t="str">
        <f t="shared" ref="AB300:AC300" si="869">A117</f>
        <v>P29</v>
      </c>
      <c r="AC300" s="22">
        <f t="shared" si="869"/>
        <v>0.33333333333333331</v>
      </c>
      <c r="AD300" s="22">
        <f t="shared" si="781"/>
        <v>0</v>
      </c>
      <c r="AE300" s="22">
        <f t="shared" si="782"/>
        <v>0.33333333333333331</v>
      </c>
      <c r="AF300" s="22">
        <f t="shared" si="783"/>
        <v>0.5</v>
      </c>
      <c r="AG300" s="22">
        <f t="shared" si="784"/>
        <v>0.8</v>
      </c>
      <c r="AH300" s="22">
        <f t="shared" si="785"/>
        <v>0.66666666666666663</v>
      </c>
      <c r="AI300" s="22">
        <f t="shared" si="786"/>
        <v>0.2</v>
      </c>
      <c r="AJ300" s="22">
        <f t="shared" si="787"/>
        <v>0</v>
      </c>
      <c r="AK300" s="22">
        <f t="shared" si="788"/>
        <v>0</v>
      </c>
      <c r="AL300" s="22">
        <f t="shared" ref="AL300:AM300" si="870">AH117</f>
        <v>1</v>
      </c>
      <c r="AM300" s="22">
        <f t="shared" si="870"/>
        <v>3.8333333333333335</v>
      </c>
    </row>
    <row r="301" spans="1:39">
      <c r="A301" t="str">
        <f t="shared" si="766"/>
        <v>P30</v>
      </c>
      <c r="B301" s="8">
        <f t="shared" si="767"/>
        <v>1.7666666666666664</v>
      </c>
      <c r="C301" s="8">
        <f t="shared" si="768"/>
        <v>1.7666666666666664</v>
      </c>
      <c r="M301" t="str">
        <f t="shared" si="769"/>
        <v>P30</v>
      </c>
      <c r="N301" s="22">
        <f t="shared" si="770"/>
        <v>0.33333333333333331</v>
      </c>
      <c r="O301" s="22">
        <f t="shared" si="771"/>
        <v>0.5</v>
      </c>
      <c r="P301" s="22">
        <f t="shared" si="772"/>
        <v>0</v>
      </c>
      <c r="Q301" s="22">
        <f t="shared" si="773"/>
        <v>0</v>
      </c>
      <c r="R301" s="22">
        <f t="shared" si="774"/>
        <v>0.2</v>
      </c>
      <c r="S301" s="22">
        <f t="shared" si="775"/>
        <v>0.33333333333333331</v>
      </c>
      <c r="T301" s="22">
        <f t="shared" si="776"/>
        <v>0.2</v>
      </c>
      <c r="U301" s="22">
        <f t="shared" si="777"/>
        <v>0</v>
      </c>
      <c r="V301" s="22">
        <f t="shared" si="778"/>
        <v>0.2</v>
      </c>
      <c r="W301" s="22">
        <f t="shared" ref="W301:X301" si="871">AH254</f>
        <v>0</v>
      </c>
      <c r="X301" s="22">
        <f t="shared" si="871"/>
        <v>1.7666666666666664</v>
      </c>
      <c r="AB301" t="str">
        <f t="shared" ref="AB301:AC301" si="872">A118</f>
        <v>P30</v>
      </c>
      <c r="AC301" s="22">
        <f t="shared" si="872"/>
        <v>0.33333333333333331</v>
      </c>
      <c r="AD301" s="22">
        <f t="shared" si="781"/>
        <v>0.5</v>
      </c>
      <c r="AE301" s="22">
        <f t="shared" si="782"/>
        <v>0</v>
      </c>
      <c r="AF301" s="22">
        <f t="shared" si="783"/>
        <v>0</v>
      </c>
      <c r="AG301" s="22">
        <f t="shared" si="784"/>
        <v>0.2</v>
      </c>
      <c r="AH301" s="22">
        <f t="shared" si="785"/>
        <v>0.33333333333333331</v>
      </c>
      <c r="AI301" s="22">
        <f t="shared" si="786"/>
        <v>0.2</v>
      </c>
      <c r="AJ301" s="22">
        <f t="shared" si="787"/>
        <v>0</v>
      </c>
      <c r="AK301" s="22">
        <f t="shared" si="788"/>
        <v>0.2</v>
      </c>
      <c r="AL301" s="22">
        <f t="shared" ref="AL301:AM301" si="873">AH118</f>
        <v>0</v>
      </c>
      <c r="AM301" s="22">
        <f t="shared" si="873"/>
        <v>1.7666666666666664</v>
      </c>
    </row>
    <row r="302" spans="1:39">
      <c r="A302" t="str">
        <f t="shared" si="766"/>
        <v>P31</v>
      </c>
      <c r="B302" s="8">
        <f t="shared" si="767"/>
        <v>3.1500000000000004</v>
      </c>
      <c r="C302" s="8">
        <f t="shared" si="768"/>
        <v>4.6833333333333336</v>
      </c>
      <c r="M302" t="str">
        <f t="shared" si="769"/>
        <v>P31</v>
      </c>
      <c r="N302" s="22">
        <f t="shared" si="770"/>
        <v>0.33333333333333331</v>
      </c>
      <c r="O302" s="22">
        <f t="shared" si="771"/>
        <v>0.25</v>
      </c>
      <c r="P302" s="22">
        <f t="shared" si="772"/>
        <v>0</v>
      </c>
      <c r="Q302" s="22">
        <f t="shared" si="773"/>
        <v>0.5</v>
      </c>
      <c r="R302" s="22">
        <f t="shared" si="774"/>
        <v>0.60000000000000009</v>
      </c>
      <c r="S302" s="22">
        <f t="shared" si="775"/>
        <v>0.66666666666666663</v>
      </c>
      <c r="T302" s="22">
        <f t="shared" si="776"/>
        <v>0.8</v>
      </c>
      <c r="U302" s="22">
        <f t="shared" si="777"/>
        <v>0</v>
      </c>
      <c r="V302" s="22">
        <f t="shared" si="778"/>
        <v>0</v>
      </c>
      <c r="W302" s="22">
        <f t="shared" ref="W302:X302" si="874">AH255</f>
        <v>0</v>
      </c>
      <c r="X302" s="22">
        <f t="shared" si="874"/>
        <v>3.1500000000000004</v>
      </c>
      <c r="AB302" t="str">
        <f t="shared" ref="AB302:AC302" si="875">A119</f>
        <v>P31</v>
      </c>
      <c r="AC302" s="22">
        <f t="shared" si="875"/>
        <v>0.33333333333333331</v>
      </c>
      <c r="AD302" s="22">
        <f t="shared" si="781"/>
        <v>0.25</v>
      </c>
      <c r="AE302" s="22">
        <f t="shared" si="782"/>
        <v>0</v>
      </c>
      <c r="AF302" s="22">
        <f t="shared" si="783"/>
        <v>0.5</v>
      </c>
      <c r="AG302" s="22">
        <f t="shared" si="784"/>
        <v>1</v>
      </c>
      <c r="AH302" s="22">
        <f t="shared" si="785"/>
        <v>1</v>
      </c>
      <c r="AI302" s="22">
        <f t="shared" si="786"/>
        <v>1.6</v>
      </c>
      <c r="AJ302" s="22">
        <f t="shared" si="787"/>
        <v>0</v>
      </c>
      <c r="AK302" s="22">
        <f t="shared" si="788"/>
        <v>0</v>
      </c>
      <c r="AL302" s="22">
        <f t="shared" ref="AL302:AM302" si="876">AH119</f>
        <v>0</v>
      </c>
      <c r="AM302" s="22">
        <f t="shared" si="876"/>
        <v>4.6833333333333336</v>
      </c>
    </row>
    <row r="303" spans="1:39">
      <c r="A303" t="str">
        <f t="shared" si="766"/>
        <v>P32</v>
      </c>
      <c r="B303" s="8">
        <f t="shared" si="767"/>
        <v>4.1166666666666671</v>
      </c>
      <c r="C303" s="8">
        <f t="shared" si="768"/>
        <v>4.7833333333333332</v>
      </c>
      <c r="M303" t="str">
        <f t="shared" si="769"/>
        <v>P32</v>
      </c>
      <c r="N303" s="22">
        <f t="shared" si="770"/>
        <v>0.33333333333333331</v>
      </c>
      <c r="O303" s="22">
        <f t="shared" si="771"/>
        <v>0.25</v>
      </c>
      <c r="P303" s="22">
        <f t="shared" si="772"/>
        <v>0</v>
      </c>
      <c r="Q303" s="22">
        <f t="shared" si="773"/>
        <v>0.5</v>
      </c>
      <c r="R303" s="22">
        <f t="shared" si="774"/>
        <v>1</v>
      </c>
      <c r="S303" s="22">
        <f t="shared" si="775"/>
        <v>0.33333333333333331</v>
      </c>
      <c r="T303" s="22">
        <f t="shared" si="776"/>
        <v>0.8</v>
      </c>
      <c r="U303" s="22">
        <f t="shared" si="777"/>
        <v>0.5</v>
      </c>
      <c r="V303" s="22">
        <f t="shared" si="778"/>
        <v>0.4</v>
      </c>
      <c r="W303" s="22">
        <f t="shared" ref="W303:X303" si="877">AH256</f>
        <v>0</v>
      </c>
      <c r="X303" s="22">
        <f t="shared" si="877"/>
        <v>4.1166666666666671</v>
      </c>
      <c r="AB303" t="str">
        <f t="shared" ref="AB303:AC303" si="878">A120</f>
        <v>P32</v>
      </c>
      <c r="AC303" s="22">
        <f t="shared" si="878"/>
        <v>0.33333333333333331</v>
      </c>
      <c r="AD303" s="22">
        <f t="shared" si="781"/>
        <v>0.25</v>
      </c>
      <c r="AE303" s="22">
        <f t="shared" si="782"/>
        <v>0</v>
      </c>
      <c r="AF303" s="22">
        <f t="shared" si="783"/>
        <v>0.5</v>
      </c>
      <c r="AG303" s="22">
        <f t="shared" si="784"/>
        <v>1</v>
      </c>
      <c r="AH303" s="22">
        <f t="shared" si="785"/>
        <v>1</v>
      </c>
      <c r="AI303" s="22">
        <f t="shared" si="786"/>
        <v>0.8</v>
      </c>
      <c r="AJ303" s="22">
        <f t="shared" si="787"/>
        <v>0.5</v>
      </c>
      <c r="AK303" s="22">
        <f t="shared" si="788"/>
        <v>0.4</v>
      </c>
      <c r="AL303" s="22">
        <f t="shared" ref="AL303:AM303" si="879">AH120</f>
        <v>0</v>
      </c>
      <c r="AM303" s="22">
        <f t="shared" si="879"/>
        <v>4.7833333333333332</v>
      </c>
    </row>
    <row r="304" spans="1:39">
      <c r="A304" t="str">
        <f t="shared" si="766"/>
        <v>P33</v>
      </c>
      <c r="B304" s="8">
        <f t="shared" si="767"/>
        <v>2.4166666666666665</v>
      </c>
      <c r="C304" s="8">
        <f t="shared" si="768"/>
        <v>2.75</v>
      </c>
      <c r="M304" t="str">
        <f t="shared" si="769"/>
        <v>P33</v>
      </c>
      <c r="N304" s="22">
        <f t="shared" si="770"/>
        <v>0.33333333333333331</v>
      </c>
      <c r="O304" s="22">
        <f t="shared" si="771"/>
        <v>0.25</v>
      </c>
      <c r="P304" s="22">
        <f t="shared" si="772"/>
        <v>0</v>
      </c>
      <c r="Q304" s="22">
        <f t="shared" si="773"/>
        <v>0.5</v>
      </c>
      <c r="R304" s="22">
        <f t="shared" si="774"/>
        <v>0</v>
      </c>
      <c r="S304" s="22">
        <f t="shared" si="775"/>
        <v>0.33333333333333331</v>
      </c>
      <c r="T304" s="22">
        <f t="shared" si="776"/>
        <v>0.60000000000000009</v>
      </c>
      <c r="U304" s="22">
        <f t="shared" si="777"/>
        <v>0</v>
      </c>
      <c r="V304" s="22">
        <f t="shared" si="778"/>
        <v>0.4</v>
      </c>
      <c r="W304" s="22">
        <f t="shared" ref="W304:X304" si="880">AH257</f>
        <v>0</v>
      </c>
      <c r="X304" s="22">
        <f t="shared" si="880"/>
        <v>2.4166666666666665</v>
      </c>
      <c r="AB304" t="str">
        <f t="shared" ref="AB304:AC304" si="881">A121</f>
        <v>P33</v>
      </c>
      <c r="AC304" s="22">
        <f t="shared" si="881"/>
        <v>0.33333333333333331</v>
      </c>
      <c r="AD304" s="22">
        <f t="shared" si="781"/>
        <v>0.25</v>
      </c>
      <c r="AE304" s="22">
        <f t="shared" si="782"/>
        <v>0</v>
      </c>
      <c r="AF304" s="22">
        <f t="shared" si="783"/>
        <v>0.5</v>
      </c>
      <c r="AG304" s="22">
        <f t="shared" si="784"/>
        <v>0</v>
      </c>
      <c r="AH304" s="22">
        <f t="shared" si="785"/>
        <v>0.66666666666666663</v>
      </c>
      <c r="AI304" s="22">
        <f t="shared" si="786"/>
        <v>0.60000000000000009</v>
      </c>
      <c r="AJ304" s="22">
        <f t="shared" si="787"/>
        <v>0</v>
      </c>
      <c r="AK304" s="22">
        <f t="shared" si="788"/>
        <v>0.4</v>
      </c>
      <c r="AL304" s="22">
        <f t="shared" ref="AL304:AM304" si="882">AH121</f>
        <v>0</v>
      </c>
      <c r="AM304" s="22">
        <f t="shared" si="882"/>
        <v>2.75</v>
      </c>
    </row>
    <row r="305" spans="1:39">
      <c r="A305" t="str">
        <f t="shared" si="766"/>
        <v>P34</v>
      </c>
      <c r="B305" s="8">
        <f t="shared" si="767"/>
        <v>3.2833333333333332</v>
      </c>
      <c r="C305" s="8">
        <f t="shared" si="768"/>
        <v>4.1500000000000004</v>
      </c>
      <c r="M305" t="str">
        <f t="shared" si="769"/>
        <v>P34</v>
      </c>
      <c r="N305" s="22">
        <f t="shared" si="770"/>
        <v>0.33333333333333331</v>
      </c>
      <c r="O305" s="22">
        <f t="shared" si="771"/>
        <v>0.25</v>
      </c>
      <c r="P305" s="22">
        <f t="shared" si="772"/>
        <v>0.33333333333333331</v>
      </c>
      <c r="Q305" s="22">
        <f t="shared" si="773"/>
        <v>0.5</v>
      </c>
      <c r="R305" s="22">
        <f t="shared" si="774"/>
        <v>1</v>
      </c>
      <c r="S305" s="22">
        <f t="shared" si="775"/>
        <v>0.66666666666666663</v>
      </c>
      <c r="T305" s="22">
        <f t="shared" si="776"/>
        <v>0.2</v>
      </c>
      <c r="U305" s="22">
        <f t="shared" si="777"/>
        <v>0</v>
      </c>
      <c r="V305" s="22">
        <f t="shared" si="778"/>
        <v>0</v>
      </c>
      <c r="W305" s="22">
        <f t="shared" ref="W305:X305" si="883">AH258</f>
        <v>0</v>
      </c>
      <c r="X305" s="22">
        <f t="shared" si="883"/>
        <v>3.2833333333333332</v>
      </c>
      <c r="AB305" t="str">
        <f t="shared" ref="AB305:AC305" si="884">A122</f>
        <v>P34</v>
      </c>
      <c r="AC305" s="22">
        <f t="shared" si="884"/>
        <v>0.33333333333333331</v>
      </c>
      <c r="AD305" s="22">
        <f t="shared" si="781"/>
        <v>0.25</v>
      </c>
      <c r="AE305" s="22">
        <f t="shared" si="782"/>
        <v>0.33333333333333331</v>
      </c>
      <c r="AF305" s="22">
        <f t="shared" si="783"/>
        <v>0.5</v>
      </c>
      <c r="AG305" s="22">
        <f t="shared" si="784"/>
        <v>1</v>
      </c>
      <c r="AH305" s="22">
        <f t="shared" si="785"/>
        <v>1.3333333333333333</v>
      </c>
      <c r="AI305" s="22">
        <f t="shared" si="786"/>
        <v>0.4</v>
      </c>
      <c r="AJ305" s="22">
        <f t="shared" si="787"/>
        <v>0</v>
      </c>
      <c r="AK305" s="22">
        <f t="shared" si="788"/>
        <v>0</v>
      </c>
      <c r="AL305" s="22">
        <f t="shared" ref="AL305:AM305" si="885">AH122</f>
        <v>0</v>
      </c>
      <c r="AM305" s="22">
        <f t="shared" si="885"/>
        <v>4.1500000000000004</v>
      </c>
    </row>
    <row r="306" spans="1:39">
      <c r="A306" t="str">
        <f t="shared" si="766"/>
        <v>P35</v>
      </c>
      <c r="B306" s="8">
        <f t="shared" si="767"/>
        <v>3.3833333333333333</v>
      </c>
      <c r="C306" s="8">
        <f t="shared" si="768"/>
        <v>4.0333333333333332</v>
      </c>
      <c r="M306" t="str">
        <f t="shared" si="769"/>
        <v>P35</v>
      </c>
      <c r="N306" s="22">
        <f t="shared" si="770"/>
        <v>0.33333333333333331</v>
      </c>
      <c r="O306" s="22">
        <f t="shared" si="771"/>
        <v>0.25</v>
      </c>
      <c r="P306" s="22">
        <f t="shared" si="772"/>
        <v>0.33333333333333331</v>
      </c>
      <c r="Q306" s="22">
        <f t="shared" si="773"/>
        <v>0.5</v>
      </c>
      <c r="R306" s="22">
        <f t="shared" si="774"/>
        <v>0.60000000000000009</v>
      </c>
      <c r="S306" s="22">
        <f t="shared" si="775"/>
        <v>0.66666666666666663</v>
      </c>
      <c r="T306" s="22">
        <f t="shared" si="776"/>
        <v>0.2</v>
      </c>
      <c r="U306" s="22">
        <f t="shared" si="777"/>
        <v>0.5</v>
      </c>
      <c r="V306" s="22">
        <f t="shared" si="778"/>
        <v>0</v>
      </c>
      <c r="W306" s="22">
        <f t="shared" ref="W306:X306" si="886">AH259</f>
        <v>0</v>
      </c>
      <c r="X306" s="22">
        <f t="shared" si="886"/>
        <v>3.3833333333333333</v>
      </c>
      <c r="AB306" t="str">
        <f t="shared" ref="AB306:AC306" si="887">A123</f>
        <v>P35</v>
      </c>
      <c r="AC306" s="22">
        <f t="shared" si="887"/>
        <v>0.33333333333333331</v>
      </c>
      <c r="AD306" s="22">
        <f t="shared" si="781"/>
        <v>0.5</v>
      </c>
      <c r="AE306" s="22">
        <f t="shared" si="782"/>
        <v>0.33333333333333331</v>
      </c>
      <c r="AF306" s="22">
        <f t="shared" si="783"/>
        <v>0.5</v>
      </c>
      <c r="AG306" s="22">
        <f t="shared" si="784"/>
        <v>1</v>
      </c>
      <c r="AH306" s="22">
        <f t="shared" si="785"/>
        <v>0.66666666666666663</v>
      </c>
      <c r="AI306" s="22">
        <f t="shared" si="786"/>
        <v>0.2</v>
      </c>
      <c r="AJ306" s="22">
        <f t="shared" si="787"/>
        <v>0.5</v>
      </c>
      <c r="AK306" s="22">
        <f t="shared" si="788"/>
        <v>0</v>
      </c>
      <c r="AL306" s="22">
        <f t="shared" ref="AL306:AM306" si="888">AH123</f>
        <v>0</v>
      </c>
      <c r="AM306" s="22">
        <f t="shared" si="888"/>
        <v>4.0333333333333332</v>
      </c>
    </row>
    <row r="307" spans="1:39">
      <c r="A307" t="str">
        <f t="shared" si="766"/>
        <v>P36</v>
      </c>
      <c r="B307" s="8">
        <f t="shared" si="767"/>
        <v>4.1500000000000004</v>
      </c>
      <c r="C307" s="8">
        <f t="shared" si="768"/>
        <v>4.4833333333333334</v>
      </c>
      <c r="M307" t="str">
        <f t="shared" si="769"/>
        <v>P36</v>
      </c>
      <c r="N307" s="22">
        <f t="shared" si="770"/>
        <v>0.33333333333333331</v>
      </c>
      <c r="O307" s="22">
        <f t="shared" si="771"/>
        <v>0.25</v>
      </c>
      <c r="P307" s="22">
        <f t="shared" si="772"/>
        <v>0</v>
      </c>
      <c r="Q307" s="22">
        <f t="shared" si="773"/>
        <v>0.5</v>
      </c>
      <c r="R307" s="22">
        <f t="shared" si="774"/>
        <v>0.4</v>
      </c>
      <c r="S307" s="22">
        <f t="shared" si="775"/>
        <v>0.66666666666666663</v>
      </c>
      <c r="T307" s="22">
        <f t="shared" si="776"/>
        <v>0.4</v>
      </c>
      <c r="U307" s="22">
        <f t="shared" si="777"/>
        <v>0</v>
      </c>
      <c r="V307" s="22">
        <f t="shared" si="778"/>
        <v>0.60000000000000009</v>
      </c>
      <c r="W307" s="22">
        <f t="shared" ref="W307:X307" si="889">AH260</f>
        <v>1</v>
      </c>
      <c r="X307" s="22">
        <f t="shared" si="889"/>
        <v>4.1500000000000004</v>
      </c>
      <c r="AB307" t="str">
        <f t="shared" ref="AB307:AC307" si="890">A124</f>
        <v>P36</v>
      </c>
      <c r="AC307" s="22">
        <f t="shared" si="890"/>
        <v>0.33333333333333331</v>
      </c>
      <c r="AD307" s="22">
        <f t="shared" si="781"/>
        <v>0.25</v>
      </c>
      <c r="AE307" s="22">
        <f t="shared" si="782"/>
        <v>0</v>
      </c>
      <c r="AF307" s="22">
        <f t="shared" si="783"/>
        <v>0.5</v>
      </c>
      <c r="AG307" s="22">
        <f t="shared" si="784"/>
        <v>0.4</v>
      </c>
      <c r="AH307" s="22">
        <f t="shared" si="785"/>
        <v>1</v>
      </c>
      <c r="AI307" s="22">
        <f t="shared" si="786"/>
        <v>0.4</v>
      </c>
      <c r="AJ307" s="22">
        <f t="shared" si="787"/>
        <v>0</v>
      </c>
      <c r="AK307" s="22">
        <f t="shared" si="788"/>
        <v>0.60000000000000009</v>
      </c>
      <c r="AL307" s="22">
        <f t="shared" ref="AL307:AM307" si="891">AH124</f>
        <v>1</v>
      </c>
      <c r="AM307" s="22">
        <f t="shared" si="891"/>
        <v>4.4833333333333334</v>
      </c>
    </row>
    <row r="308" spans="1:39">
      <c r="A308" t="str">
        <f t="shared" si="766"/>
        <v>P37</v>
      </c>
      <c r="B308" s="8">
        <f t="shared" si="767"/>
        <v>4.8833333333333337</v>
      </c>
      <c r="C308" s="8">
        <f t="shared" si="768"/>
        <v>7.7166666666666659</v>
      </c>
      <c r="M308" t="str">
        <f t="shared" si="769"/>
        <v>P37</v>
      </c>
      <c r="N308" s="22">
        <f t="shared" si="770"/>
        <v>0.33333333333333331</v>
      </c>
      <c r="O308" s="22">
        <f t="shared" si="771"/>
        <v>0.25</v>
      </c>
      <c r="P308" s="22">
        <f t="shared" si="772"/>
        <v>0.33333333333333331</v>
      </c>
      <c r="Q308" s="22">
        <f t="shared" si="773"/>
        <v>0.5</v>
      </c>
      <c r="R308" s="22">
        <f t="shared" si="774"/>
        <v>0.8</v>
      </c>
      <c r="S308" s="22">
        <f t="shared" si="775"/>
        <v>0.66666666666666663</v>
      </c>
      <c r="T308" s="22">
        <f t="shared" si="776"/>
        <v>0.8</v>
      </c>
      <c r="U308" s="22">
        <f t="shared" si="777"/>
        <v>0</v>
      </c>
      <c r="V308" s="22">
        <f t="shared" si="778"/>
        <v>0.2</v>
      </c>
      <c r="W308" s="22">
        <f t="shared" ref="W308:X308" si="892">AH261</f>
        <v>1</v>
      </c>
      <c r="X308" s="22">
        <f t="shared" si="892"/>
        <v>4.8833333333333337</v>
      </c>
      <c r="AB308" t="str">
        <f t="shared" ref="AB308:AC308" si="893">A125</f>
        <v>P37</v>
      </c>
      <c r="AC308" s="22">
        <f t="shared" si="893"/>
        <v>0.33333333333333331</v>
      </c>
      <c r="AD308" s="22">
        <f t="shared" si="781"/>
        <v>0.25</v>
      </c>
      <c r="AE308" s="22">
        <f t="shared" si="782"/>
        <v>1</v>
      </c>
      <c r="AF308" s="22">
        <f t="shared" si="783"/>
        <v>1</v>
      </c>
      <c r="AG308" s="22">
        <f t="shared" si="784"/>
        <v>1.2000000000000002</v>
      </c>
      <c r="AH308" s="22">
        <f t="shared" si="785"/>
        <v>1.3333333333333333</v>
      </c>
      <c r="AI308" s="22">
        <f t="shared" si="786"/>
        <v>1.4</v>
      </c>
      <c r="AJ308" s="22">
        <f t="shared" si="787"/>
        <v>0</v>
      </c>
      <c r="AK308" s="22">
        <f t="shared" si="788"/>
        <v>0.2</v>
      </c>
      <c r="AL308" s="22">
        <f t="shared" ref="AL308:AM308" si="894">AH125</f>
        <v>1</v>
      </c>
      <c r="AM308" s="22">
        <f t="shared" si="894"/>
        <v>7.7166666666666659</v>
      </c>
    </row>
    <row r="309" spans="1:39">
      <c r="A309" t="str">
        <f t="shared" si="766"/>
        <v>P38</v>
      </c>
      <c r="B309" s="8">
        <f t="shared" si="767"/>
        <v>5.7833333333333332</v>
      </c>
      <c r="C309" s="8">
        <f t="shared" si="768"/>
        <v>6.3833333333333329</v>
      </c>
      <c r="M309" t="str">
        <f t="shared" si="769"/>
        <v>P38</v>
      </c>
      <c r="N309" s="22">
        <f t="shared" si="770"/>
        <v>0.33333333333333331</v>
      </c>
      <c r="O309" s="22">
        <f t="shared" si="771"/>
        <v>0.25</v>
      </c>
      <c r="P309" s="22">
        <f t="shared" si="772"/>
        <v>0.33333333333333331</v>
      </c>
      <c r="Q309" s="22">
        <f t="shared" si="773"/>
        <v>0.5</v>
      </c>
      <c r="R309" s="22">
        <f t="shared" si="774"/>
        <v>1</v>
      </c>
      <c r="S309" s="22">
        <f t="shared" si="775"/>
        <v>0.66666666666666663</v>
      </c>
      <c r="T309" s="22">
        <f t="shared" si="776"/>
        <v>1</v>
      </c>
      <c r="U309" s="22">
        <f t="shared" si="777"/>
        <v>0.5</v>
      </c>
      <c r="V309" s="22">
        <f t="shared" si="778"/>
        <v>0.2</v>
      </c>
      <c r="W309" s="22">
        <f t="shared" ref="W309:X309" si="895">AH262</f>
        <v>1</v>
      </c>
      <c r="X309" s="22">
        <f t="shared" si="895"/>
        <v>5.7833333333333332</v>
      </c>
      <c r="AB309" t="str">
        <f t="shared" ref="AB309:AC309" si="896">A126</f>
        <v>P38</v>
      </c>
      <c r="AC309" s="22">
        <f t="shared" si="896"/>
        <v>0.33333333333333331</v>
      </c>
      <c r="AD309" s="22">
        <f t="shared" si="781"/>
        <v>0.25</v>
      </c>
      <c r="AE309" s="22">
        <f t="shared" si="782"/>
        <v>0.33333333333333331</v>
      </c>
      <c r="AF309" s="22">
        <f t="shared" si="783"/>
        <v>0.5</v>
      </c>
      <c r="AG309" s="22">
        <f t="shared" si="784"/>
        <v>1</v>
      </c>
      <c r="AH309" s="22">
        <f t="shared" si="785"/>
        <v>0.66666666666666663</v>
      </c>
      <c r="AI309" s="22">
        <f t="shared" si="786"/>
        <v>1.5999999999999999</v>
      </c>
      <c r="AJ309" s="22">
        <f t="shared" si="787"/>
        <v>0.5</v>
      </c>
      <c r="AK309" s="22">
        <f t="shared" si="788"/>
        <v>0.2</v>
      </c>
      <c r="AL309" s="22">
        <f t="shared" ref="AL309:AM309" si="897">AH126</f>
        <v>1</v>
      </c>
      <c r="AM309" s="22">
        <f t="shared" si="897"/>
        <v>6.3833333333333329</v>
      </c>
    </row>
    <row r="310" spans="1:39">
      <c r="A310" t="str">
        <f t="shared" si="766"/>
        <v>P39</v>
      </c>
      <c r="B310" s="8">
        <f t="shared" si="767"/>
        <v>3.4166666666666665</v>
      </c>
      <c r="C310" s="8">
        <f t="shared" si="768"/>
        <v>4.2833333333333332</v>
      </c>
      <c r="M310" t="str">
        <f t="shared" si="769"/>
        <v>P39</v>
      </c>
      <c r="N310" s="22">
        <f t="shared" si="770"/>
        <v>0.33333333333333331</v>
      </c>
      <c r="O310" s="22">
        <f t="shared" si="771"/>
        <v>0.25</v>
      </c>
      <c r="P310" s="22">
        <f t="shared" si="772"/>
        <v>0.33333333333333331</v>
      </c>
      <c r="Q310" s="22">
        <f t="shared" si="773"/>
        <v>0.5</v>
      </c>
      <c r="R310" s="22">
        <f t="shared" si="774"/>
        <v>0.60000000000000009</v>
      </c>
      <c r="S310" s="22">
        <f t="shared" si="775"/>
        <v>1</v>
      </c>
      <c r="T310" s="22">
        <f t="shared" si="776"/>
        <v>0.4</v>
      </c>
      <c r="U310" s="22">
        <f t="shared" si="777"/>
        <v>0</v>
      </c>
      <c r="V310" s="22">
        <f t="shared" si="778"/>
        <v>0</v>
      </c>
      <c r="W310" s="22">
        <f t="shared" ref="W310:X310" si="898">AH263</f>
        <v>0</v>
      </c>
      <c r="X310" s="22">
        <f t="shared" si="898"/>
        <v>3.4166666666666665</v>
      </c>
      <c r="AB310" t="str">
        <f t="shared" ref="AB310:AC310" si="899">A127</f>
        <v>P39</v>
      </c>
      <c r="AC310" s="22">
        <f t="shared" si="899"/>
        <v>0.33333333333333331</v>
      </c>
      <c r="AD310" s="22">
        <f t="shared" si="781"/>
        <v>0.25</v>
      </c>
      <c r="AE310" s="22">
        <f t="shared" si="782"/>
        <v>0.33333333333333331</v>
      </c>
      <c r="AF310" s="22">
        <f t="shared" si="783"/>
        <v>0.5</v>
      </c>
      <c r="AG310" s="22">
        <f t="shared" si="784"/>
        <v>0.60000000000000009</v>
      </c>
      <c r="AH310" s="22">
        <f t="shared" si="785"/>
        <v>1.6666666666666665</v>
      </c>
      <c r="AI310" s="22">
        <f t="shared" si="786"/>
        <v>0.60000000000000009</v>
      </c>
      <c r="AJ310" s="22">
        <f t="shared" si="787"/>
        <v>0</v>
      </c>
      <c r="AK310" s="22">
        <f t="shared" si="788"/>
        <v>0</v>
      </c>
      <c r="AL310" s="22">
        <f t="shared" ref="AL310:AM310" si="900">AH127</f>
        <v>0</v>
      </c>
      <c r="AM310" s="22">
        <f t="shared" si="900"/>
        <v>4.2833333333333332</v>
      </c>
    </row>
    <row r="311" spans="1:39">
      <c r="A311" t="str">
        <f t="shared" si="766"/>
        <v>P40</v>
      </c>
      <c r="B311" s="8">
        <f t="shared" si="767"/>
        <v>2.4166666666666665</v>
      </c>
      <c r="C311" s="8">
        <f t="shared" si="768"/>
        <v>2.75</v>
      </c>
      <c r="M311" t="str">
        <f t="shared" si="769"/>
        <v>P40</v>
      </c>
      <c r="N311" s="22">
        <f t="shared" si="770"/>
        <v>0.33333333333333331</v>
      </c>
      <c r="O311" s="22">
        <f t="shared" si="771"/>
        <v>0.25</v>
      </c>
      <c r="P311" s="22">
        <f t="shared" si="772"/>
        <v>0</v>
      </c>
      <c r="Q311" s="22">
        <f t="shared" si="773"/>
        <v>0.5</v>
      </c>
      <c r="R311" s="22">
        <f t="shared" si="774"/>
        <v>0</v>
      </c>
      <c r="S311" s="22">
        <f t="shared" si="775"/>
        <v>0.33333333333333331</v>
      </c>
      <c r="T311" s="22">
        <f t="shared" si="776"/>
        <v>0.60000000000000009</v>
      </c>
      <c r="U311" s="22">
        <f t="shared" si="777"/>
        <v>0</v>
      </c>
      <c r="V311" s="22">
        <f t="shared" si="778"/>
        <v>0.4</v>
      </c>
      <c r="W311" s="22">
        <f t="shared" ref="W311:X311" si="901">AH264</f>
        <v>0</v>
      </c>
      <c r="X311" s="22">
        <f t="shared" si="901"/>
        <v>2.4166666666666665</v>
      </c>
      <c r="AB311" t="str">
        <f t="shared" ref="AB311:AC311" si="902">A128</f>
        <v>P40</v>
      </c>
      <c r="AC311" s="22">
        <f t="shared" si="902"/>
        <v>0.33333333333333331</v>
      </c>
      <c r="AD311" s="22">
        <f t="shared" si="781"/>
        <v>0.25</v>
      </c>
      <c r="AE311" s="22">
        <f t="shared" si="782"/>
        <v>0</v>
      </c>
      <c r="AF311" s="22">
        <f t="shared" si="783"/>
        <v>0.5</v>
      </c>
      <c r="AG311" s="22">
        <f t="shared" si="784"/>
        <v>0</v>
      </c>
      <c r="AH311" s="22">
        <f t="shared" si="785"/>
        <v>0.66666666666666663</v>
      </c>
      <c r="AI311" s="22">
        <f t="shared" si="786"/>
        <v>0.60000000000000009</v>
      </c>
      <c r="AJ311" s="22">
        <f t="shared" si="787"/>
        <v>0</v>
      </c>
      <c r="AK311" s="22">
        <f t="shared" si="788"/>
        <v>0.4</v>
      </c>
      <c r="AL311" s="22">
        <f t="shared" ref="AL311:AM311" si="903">AH128</f>
        <v>0</v>
      </c>
      <c r="AM311" s="22">
        <f t="shared" si="903"/>
        <v>2.75</v>
      </c>
    </row>
    <row r="312" spans="1:39">
      <c r="A312" t="str">
        <f t="shared" si="766"/>
        <v>P41</v>
      </c>
      <c r="B312" s="8">
        <f t="shared" si="767"/>
        <v>3.7833333333333332</v>
      </c>
      <c r="C312" s="8">
        <f t="shared" si="768"/>
        <v>4.45</v>
      </c>
      <c r="M312" t="str">
        <f t="shared" si="769"/>
        <v>P41</v>
      </c>
      <c r="N312" s="22">
        <f t="shared" si="770"/>
        <v>0.33333333333333331</v>
      </c>
      <c r="O312" s="22">
        <f t="shared" si="771"/>
        <v>0.25</v>
      </c>
      <c r="P312" s="22">
        <f t="shared" si="772"/>
        <v>0.33333333333333331</v>
      </c>
      <c r="Q312" s="22">
        <f t="shared" si="773"/>
        <v>0.5</v>
      </c>
      <c r="R312" s="22">
        <f t="shared" si="774"/>
        <v>0.2</v>
      </c>
      <c r="S312" s="22">
        <f t="shared" si="775"/>
        <v>0.66666666666666663</v>
      </c>
      <c r="T312" s="22">
        <f t="shared" si="776"/>
        <v>0.60000000000000009</v>
      </c>
      <c r="U312" s="22">
        <f t="shared" si="777"/>
        <v>0.5</v>
      </c>
      <c r="V312" s="22">
        <f t="shared" si="778"/>
        <v>0.4</v>
      </c>
      <c r="W312" s="22">
        <f t="shared" ref="W312:X312" si="904">AH265</f>
        <v>0</v>
      </c>
      <c r="X312" s="22">
        <f t="shared" si="904"/>
        <v>3.7833333333333332</v>
      </c>
      <c r="AB312" t="str">
        <f t="shared" ref="AB312:AC312" si="905">A129</f>
        <v>P41</v>
      </c>
      <c r="AC312" s="22">
        <f t="shared" si="905"/>
        <v>0.33333333333333331</v>
      </c>
      <c r="AD312" s="22">
        <f t="shared" si="781"/>
        <v>0.25</v>
      </c>
      <c r="AE312" s="22">
        <f t="shared" si="782"/>
        <v>0.33333333333333331</v>
      </c>
      <c r="AF312" s="22">
        <f t="shared" si="783"/>
        <v>0.5</v>
      </c>
      <c r="AG312" s="22">
        <f t="shared" si="784"/>
        <v>0.2</v>
      </c>
      <c r="AH312" s="22">
        <f t="shared" si="785"/>
        <v>1.3333333333333333</v>
      </c>
      <c r="AI312" s="22">
        <f t="shared" si="786"/>
        <v>0.60000000000000009</v>
      </c>
      <c r="AJ312" s="22">
        <f t="shared" si="787"/>
        <v>0.5</v>
      </c>
      <c r="AK312" s="22">
        <f t="shared" si="788"/>
        <v>0.4</v>
      </c>
      <c r="AL312" s="22">
        <f t="shared" ref="AL312:AM312" si="906">AH129</f>
        <v>0</v>
      </c>
      <c r="AM312" s="22">
        <f t="shared" si="906"/>
        <v>4.45</v>
      </c>
    </row>
    <row r="313" spans="1:39">
      <c r="A313" t="str">
        <f t="shared" si="766"/>
        <v>Mean</v>
      </c>
      <c r="B313" s="8">
        <f t="shared" si="767"/>
        <v>3.6158536585365852</v>
      </c>
      <c r="C313" s="8">
        <f t="shared" si="768"/>
        <v>4.5174796747967481</v>
      </c>
      <c r="M313" t="str">
        <f t="shared" si="769"/>
        <v>Mean</v>
      </c>
      <c r="N313" s="22">
        <f t="shared" si="770"/>
        <v>0.33333333333333348</v>
      </c>
      <c r="O313" s="22">
        <f t="shared" si="771"/>
        <v>0.23780487804878048</v>
      </c>
      <c r="P313" s="22">
        <f t="shared" si="772"/>
        <v>0.31707317073170738</v>
      </c>
      <c r="Q313" s="22">
        <f t="shared" si="773"/>
        <v>0.45121951219512196</v>
      </c>
      <c r="R313" s="22">
        <f t="shared" si="774"/>
        <v>0.6634146341463415</v>
      </c>
      <c r="S313" s="22">
        <f t="shared" si="775"/>
        <v>0.5934959349593496</v>
      </c>
      <c r="T313" s="22">
        <f t="shared" si="776"/>
        <v>0.43414634146341474</v>
      </c>
      <c r="U313" s="22">
        <f t="shared" si="777"/>
        <v>0.12195121951219512</v>
      </c>
      <c r="V313" s="22">
        <f t="shared" si="778"/>
        <v>0.21951219512195128</v>
      </c>
      <c r="W313" s="22">
        <f t="shared" ref="W313:X313" si="907">AH266</f>
        <v>0.24390243902439024</v>
      </c>
      <c r="X313" s="22">
        <f t="shared" si="907"/>
        <v>3.6158536585365852</v>
      </c>
      <c r="AB313" t="str">
        <f t="shared" ref="AB313:AC313" si="908">A130</f>
        <v>Mean</v>
      </c>
      <c r="AC313" s="22">
        <f t="shared" si="908"/>
        <v>0.33333333333333348</v>
      </c>
      <c r="AD313" s="22">
        <f t="shared" si="781"/>
        <v>0.25</v>
      </c>
      <c r="AE313" s="22">
        <f t="shared" si="782"/>
        <v>0.47967479674796731</v>
      </c>
      <c r="AF313" s="22">
        <f t="shared" si="783"/>
        <v>0.47560975609756095</v>
      </c>
      <c r="AG313" s="22">
        <f t="shared" si="784"/>
        <v>0.86341463414634179</v>
      </c>
      <c r="AH313" s="22">
        <f t="shared" si="785"/>
        <v>0.93495934959349603</v>
      </c>
      <c r="AI313" s="22">
        <f t="shared" si="786"/>
        <v>0.55609756097560981</v>
      </c>
      <c r="AJ313" s="22">
        <f t="shared" si="787"/>
        <v>0.12195121951219512</v>
      </c>
      <c r="AK313" s="22">
        <f t="shared" si="788"/>
        <v>0.2341463414634147</v>
      </c>
      <c r="AL313" s="22">
        <f t="shared" ref="AL313:AM313" si="909">AH130</f>
        <v>0.26829268292682928</v>
      </c>
      <c r="AM313" s="22">
        <f t="shared" si="909"/>
        <v>4.5174796747967481</v>
      </c>
    </row>
    <row r="315" spans="1:39">
      <c r="N315" s="69">
        <f>N313/$X$313</f>
        <v>9.218662169758296E-2</v>
      </c>
      <c r="O315" s="69">
        <f t="shared" ref="O315:W315" si="910">O313/$X$313</f>
        <v>6.5767284991568295E-2</v>
      </c>
      <c r="P315" s="69">
        <f t="shared" si="910"/>
        <v>8.7689713322091078E-2</v>
      </c>
      <c r="Q315" s="69">
        <f t="shared" si="910"/>
        <v>0.12478920741989882</v>
      </c>
      <c r="R315" s="69">
        <f t="shared" si="910"/>
        <v>0.18347386172006747</v>
      </c>
      <c r="S315" s="69">
        <f t="shared" si="910"/>
        <v>0.16413715570545251</v>
      </c>
      <c r="T315" s="69">
        <f t="shared" si="910"/>
        <v>0.12006745362563241</v>
      </c>
      <c r="U315" s="69">
        <f t="shared" si="910"/>
        <v>3.3726812816188868E-2</v>
      </c>
      <c r="V315" s="69">
        <f t="shared" si="910"/>
        <v>6.0708263069139984E-2</v>
      </c>
      <c r="W315" s="69">
        <f t="shared" si="910"/>
        <v>6.7453625632377737E-2</v>
      </c>
      <c r="AC315" s="69">
        <f>AC313/$AM$313</f>
        <v>7.3787456132457518E-2</v>
      </c>
      <c r="AD315" s="69">
        <f t="shared" ref="AD315:AL315" si="911">AD313/$AM$313</f>
        <v>5.5340592099343111E-2</v>
      </c>
      <c r="AE315" s="69">
        <f t="shared" si="911"/>
        <v>0.10618194906865829</v>
      </c>
      <c r="AF315" s="69">
        <f t="shared" si="911"/>
        <v>0.10528210204265274</v>
      </c>
      <c r="AG315" s="69">
        <f t="shared" si="911"/>
        <v>0.19112750832358505</v>
      </c>
      <c r="AH315" s="69">
        <f t="shared" si="911"/>
        <v>0.20696481598128319</v>
      </c>
      <c r="AI315" s="69">
        <f t="shared" si="911"/>
        <v>0.12309907315756323</v>
      </c>
      <c r="AJ315" s="69">
        <f t="shared" si="911"/>
        <v>2.6995410780167369E-2</v>
      </c>
      <c r="AK315" s="69">
        <f t="shared" si="911"/>
        <v>5.1831188697921367E-2</v>
      </c>
      <c r="AL315" s="69">
        <f t="shared" si="911"/>
        <v>5.9389903716368223E-2</v>
      </c>
    </row>
    <row r="318" spans="1:39">
      <c r="A318" s="16" t="str">
        <f>A271</f>
        <v>Policy</v>
      </c>
      <c r="B318" s="16" t="str">
        <f t="shared" ref="B318" si="912">B271</f>
        <v>PMC-T</v>
      </c>
      <c r="C318" s="16" t="s">
        <v>1425</v>
      </c>
      <c r="D318" s="16" t="str">
        <f>C271</f>
        <v>PMC-I</v>
      </c>
      <c r="E318" s="16" t="s">
        <v>1425</v>
      </c>
      <c r="F318" s="16" t="str">
        <f>A318</f>
        <v>Policy</v>
      </c>
      <c r="G318" s="16" t="str">
        <f t="shared" ref="G318:J318" si="913">B318</f>
        <v>PMC-T</v>
      </c>
      <c r="H318" s="16" t="str">
        <f t="shared" si="913"/>
        <v>Consistency Performance</v>
      </c>
      <c r="I318" s="16" t="str">
        <f t="shared" si="913"/>
        <v>PMC-I</v>
      </c>
      <c r="J318" s="16" t="str">
        <f t="shared" si="913"/>
        <v>Consistency Performance</v>
      </c>
    </row>
    <row r="319" spans="1:39">
      <c r="A319" s="16" t="str">
        <f t="shared" ref="A319:B319" si="914">A272</f>
        <v>P1</v>
      </c>
      <c r="B319" s="16">
        <f t="shared" si="914"/>
        <v>3.0333333333333332</v>
      </c>
      <c r="C319" s="46" t="s">
        <v>1426</v>
      </c>
      <c r="D319" s="16">
        <f t="shared" ref="D319:D360" si="915">C272</f>
        <v>3.0333333333333332</v>
      </c>
      <c r="E319" s="46" t="s">
        <v>1426</v>
      </c>
      <c r="F319" s="16" t="str">
        <f>A340</f>
        <v>P22</v>
      </c>
      <c r="G319" s="16">
        <f t="shared" ref="G319:J319" si="916">B340</f>
        <v>3.4833333333333334</v>
      </c>
      <c r="H319" s="16" t="str">
        <f t="shared" si="916"/>
        <v>low</v>
      </c>
      <c r="I319" s="16">
        <f t="shared" si="916"/>
        <v>4.3499999999999996</v>
      </c>
      <c r="J319" s="16" t="str">
        <f t="shared" si="916"/>
        <v>low</v>
      </c>
    </row>
    <row r="320" spans="1:39">
      <c r="A320" s="16" t="str">
        <f t="shared" ref="A320:B320" si="917">A273</f>
        <v>P2</v>
      </c>
      <c r="B320" s="16">
        <f t="shared" si="917"/>
        <v>3.416666666666667</v>
      </c>
      <c r="C320" s="46" t="s">
        <v>1426</v>
      </c>
      <c r="D320" s="16">
        <f t="shared" si="915"/>
        <v>3.416666666666667</v>
      </c>
      <c r="E320" s="46" t="s">
        <v>1426</v>
      </c>
      <c r="F320" s="16" t="str">
        <f t="shared" ref="F320:F338" si="918">A341</f>
        <v>P23</v>
      </c>
      <c r="G320" s="16">
        <f t="shared" ref="G320:G339" si="919">B341</f>
        <v>4.7166666666666668</v>
      </c>
      <c r="H320" s="16" t="str">
        <f t="shared" ref="H320:H339" si="920">C341</f>
        <v>low</v>
      </c>
      <c r="I320" s="16">
        <f t="shared" ref="I320:I339" si="921">D341</f>
        <v>6.1166666666666671</v>
      </c>
      <c r="J320" s="16" t="str">
        <f t="shared" ref="J320:J339" si="922">E341</f>
        <v>acceptable</v>
      </c>
    </row>
    <row r="321" spans="1:10">
      <c r="A321" s="16" t="str">
        <f t="shared" ref="A321:B321" si="923">A274</f>
        <v>P3</v>
      </c>
      <c r="B321" s="16">
        <f t="shared" si="923"/>
        <v>5.25</v>
      </c>
      <c r="C321" s="16" t="s">
        <v>1428</v>
      </c>
      <c r="D321" s="16">
        <f t="shared" si="915"/>
        <v>6.9166666666666661</v>
      </c>
      <c r="E321" s="16" t="s">
        <v>1428</v>
      </c>
      <c r="F321" s="16" t="str">
        <f t="shared" si="918"/>
        <v>P24</v>
      </c>
      <c r="G321" s="16">
        <f t="shared" si="919"/>
        <v>2.6833333333333331</v>
      </c>
      <c r="H321" s="16" t="str">
        <f t="shared" si="920"/>
        <v>low</v>
      </c>
      <c r="I321" s="16">
        <f t="shared" si="921"/>
        <v>2.6833333333333331</v>
      </c>
      <c r="J321" s="16" t="str">
        <f t="shared" si="922"/>
        <v>low</v>
      </c>
    </row>
    <row r="322" spans="1:10">
      <c r="A322" s="16" t="str">
        <f t="shared" ref="A322:B322" si="924">A275</f>
        <v>P4</v>
      </c>
      <c r="B322" s="16">
        <f t="shared" si="924"/>
        <v>3.8166666666666669</v>
      </c>
      <c r="C322" s="16" t="s">
        <v>1426</v>
      </c>
      <c r="D322" s="16">
        <f t="shared" si="915"/>
        <v>4.3499999999999996</v>
      </c>
      <c r="E322" s="16" t="s">
        <v>1426</v>
      </c>
      <c r="F322" s="16" t="str">
        <f t="shared" si="918"/>
        <v>P25</v>
      </c>
      <c r="G322" s="16">
        <f t="shared" si="919"/>
        <v>4.0833333333333339</v>
      </c>
      <c r="H322" s="16" t="str">
        <f t="shared" si="920"/>
        <v>low</v>
      </c>
      <c r="I322" s="16">
        <f t="shared" si="921"/>
        <v>4.8166666666666664</v>
      </c>
      <c r="J322" s="16" t="str">
        <f t="shared" si="922"/>
        <v>low</v>
      </c>
    </row>
    <row r="323" spans="1:10">
      <c r="A323" s="16" t="str">
        <f t="shared" ref="A323:B323" si="925">A276</f>
        <v>P5</v>
      </c>
      <c r="B323" s="16">
        <f t="shared" si="925"/>
        <v>2.8833333333333333</v>
      </c>
      <c r="C323" s="16" t="s">
        <v>1426</v>
      </c>
      <c r="D323" s="16">
        <f t="shared" si="915"/>
        <v>3.75</v>
      </c>
      <c r="E323" s="16" t="s">
        <v>1426</v>
      </c>
      <c r="F323" s="16" t="str">
        <f t="shared" si="918"/>
        <v>P26</v>
      </c>
      <c r="G323" s="16">
        <f t="shared" si="919"/>
        <v>3.85</v>
      </c>
      <c r="H323" s="16" t="str">
        <f t="shared" si="920"/>
        <v>low</v>
      </c>
      <c r="I323" s="16">
        <f t="shared" si="921"/>
        <v>5.25</v>
      </c>
      <c r="J323" s="16" t="str">
        <f t="shared" si="922"/>
        <v>acceptable</v>
      </c>
    </row>
    <row r="324" spans="1:10">
      <c r="A324" s="16" t="str">
        <f t="shared" ref="A324:B324" si="926">A277</f>
        <v>P6</v>
      </c>
      <c r="B324" s="16">
        <f t="shared" si="926"/>
        <v>3.1166666666666667</v>
      </c>
      <c r="C324" s="16" t="s">
        <v>1426</v>
      </c>
      <c r="D324" s="16">
        <f t="shared" si="915"/>
        <v>3.4499999999999997</v>
      </c>
      <c r="E324" s="16" t="s">
        <v>1426</v>
      </c>
      <c r="F324" s="16" t="str">
        <f t="shared" si="918"/>
        <v>P27</v>
      </c>
      <c r="G324" s="16">
        <f t="shared" si="919"/>
        <v>3.0833333333333335</v>
      </c>
      <c r="H324" s="16" t="str">
        <f t="shared" si="920"/>
        <v>low</v>
      </c>
      <c r="I324" s="16">
        <f t="shared" si="921"/>
        <v>3.416666666666667</v>
      </c>
      <c r="J324" s="16" t="str">
        <f t="shared" si="922"/>
        <v>low</v>
      </c>
    </row>
    <row r="325" spans="1:10">
      <c r="A325" s="16" t="str">
        <f t="shared" ref="A325:B325" si="927">A278</f>
        <v>P7</v>
      </c>
      <c r="B325" s="16">
        <f t="shared" si="927"/>
        <v>2.5499999999999998</v>
      </c>
      <c r="C325" s="16" t="s">
        <v>1429</v>
      </c>
      <c r="D325" s="16">
        <f t="shared" si="915"/>
        <v>4.0166666666666666</v>
      </c>
      <c r="E325" s="16" t="s">
        <v>1426</v>
      </c>
      <c r="F325" s="16" t="str">
        <f t="shared" si="918"/>
        <v>P28</v>
      </c>
      <c r="G325" s="16">
        <f t="shared" si="919"/>
        <v>3.45</v>
      </c>
      <c r="H325" s="16" t="str">
        <f t="shared" si="920"/>
        <v>low</v>
      </c>
      <c r="I325" s="16">
        <f t="shared" si="921"/>
        <v>4.8500000000000005</v>
      </c>
      <c r="J325" s="16" t="str">
        <f t="shared" si="922"/>
        <v>low</v>
      </c>
    </row>
    <row r="326" spans="1:10">
      <c r="A326" s="16" t="str">
        <f t="shared" ref="A326:B326" si="928">A279</f>
        <v>P8</v>
      </c>
      <c r="B326" s="16">
        <f t="shared" si="928"/>
        <v>6.1166666666666671</v>
      </c>
      <c r="C326" s="16" t="s">
        <v>1428</v>
      </c>
      <c r="D326" s="16">
        <f t="shared" si="915"/>
        <v>9.0500000000000007</v>
      </c>
      <c r="E326" s="16" t="s">
        <v>1430</v>
      </c>
      <c r="F326" s="16" t="str">
        <f t="shared" si="918"/>
        <v>P29</v>
      </c>
      <c r="G326" s="16">
        <f t="shared" si="919"/>
        <v>3.4333333333333331</v>
      </c>
      <c r="H326" s="16" t="str">
        <f t="shared" si="920"/>
        <v>low</v>
      </c>
      <c r="I326" s="16">
        <f t="shared" si="921"/>
        <v>3.8333333333333335</v>
      </c>
      <c r="J326" s="16" t="str">
        <f t="shared" si="922"/>
        <v>low</v>
      </c>
    </row>
    <row r="327" spans="1:10">
      <c r="A327" s="16" t="str">
        <f t="shared" ref="A327:B327" si="929">A280</f>
        <v>P9</v>
      </c>
      <c r="B327" s="16">
        <f t="shared" si="929"/>
        <v>5.1833333333333336</v>
      </c>
      <c r="C327" s="16" t="s">
        <v>1428</v>
      </c>
      <c r="D327" s="16">
        <f t="shared" si="915"/>
        <v>6.3166666666666664</v>
      </c>
      <c r="E327" s="16" t="s">
        <v>1428</v>
      </c>
      <c r="F327" s="16" t="str">
        <f t="shared" si="918"/>
        <v>P30</v>
      </c>
      <c r="G327" s="16">
        <f t="shared" si="919"/>
        <v>1.7666666666666664</v>
      </c>
      <c r="H327" s="16" t="str">
        <f t="shared" si="920"/>
        <v>low</v>
      </c>
      <c r="I327" s="16">
        <f t="shared" si="921"/>
        <v>1.7666666666666664</v>
      </c>
      <c r="J327" s="16" t="str">
        <f t="shared" si="922"/>
        <v>low</v>
      </c>
    </row>
    <row r="328" spans="1:10">
      <c r="A328" s="16" t="str">
        <f t="shared" ref="A328:B328" si="930">A281</f>
        <v>P10</v>
      </c>
      <c r="B328" s="16">
        <f t="shared" si="930"/>
        <v>4.4833333333333334</v>
      </c>
      <c r="C328" s="16" t="s">
        <v>1426</v>
      </c>
      <c r="D328" s="16">
        <f t="shared" si="915"/>
        <v>6.5833333333333339</v>
      </c>
      <c r="E328" s="16" t="s">
        <v>1428</v>
      </c>
      <c r="F328" s="16" t="str">
        <f t="shared" si="918"/>
        <v>P31</v>
      </c>
      <c r="G328" s="16">
        <f t="shared" si="919"/>
        <v>3.1500000000000004</v>
      </c>
      <c r="H328" s="16" t="str">
        <f t="shared" si="920"/>
        <v>low</v>
      </c>
      <c r="I328" s="16">
        <f t="shared" si="921"/>
        <v>4.6833333333333336</v>
      </c>
      <c r="J328" s="16" t="str">
        <f t="shared" si="922"/>
        <v>low</v>
      </c>
    </row>
    <row r="329" spans="1:10">
      <c r="A329" s="16" t="str">
        <f t="shared" ref="A329:B329" si="931">A282</f>
        <v>P11</v>
      </c>
      <c r="B329" s="16">
        <f t="shared" si="931"/>
        <v>2.75</v>
      </c>
      <c r="C329" s="16" t="s">
        <v>1426</v>
      </c>
      <c r="D329" s="16">
        <f t="shared" si="915"/>
        <v>3.0833333333333335</v>
      </c>
      <c r="E329" s="16" t="s">
        <v>1426</v>
      </c>
      <c r="F329" s="16" t="str">
        <f t="shared" si="918"/>
        <v>P32</v>
      </c>
      <c r="G329" s="16">
        <f t="shared" si="919"/>
        <v>4.1166666666666671</v>
      </c>
      <c r="H329" s="16" t="str">
        <f t="shared" si="920"/>
        <v>low</v>
      </c>
      <c r="I329" s="16">
        <f t="shared" si="921"/>
        <v>4.7833333333333332</v>
      </c>
      <c r="J329" s="16" t="str">
        <f t="shared" si="922"/>
        <v>low</v>
      </c>
    </row>
    <row r="330" spans="1:10">
      <c r="A330" s="16" t="str">
        <f t="shared" ref="A330:B330" si="932">A283</f>
        <v>P12</v>
      </c>
      <c r="B330" s="16">
        <f t="shared" si="932"/>
        <v>2.4</v>
      </c>
      <c r="C330" s="16" t="s">
        <v>1426</v>
      </c>
      <c r="D330" s="16">
        <f t="shared" si="915"/>
        <v>2.7333333333333329</v>
      </c>
      <c r="E330" s="16" t="s">
        <v>1426</v>
      </c>
      <c r="F330" s="16" t="str">
        <f t="shared" si="918"/>
        <v>P33</v>
      </c>
      <c r="G330" s="16">
        <f t="shared" si="919"/>
        <v>2.4166666666666665</v>
      </c>
      <c r="H330" s="16" t="str">
        <f t="shared" si="920"/>
        <v>low</v>
      </c>
      <c r="I330" s="16">
        <f t="shared" si="921"/>
        <v>2.75</v>
      </c>
      <c r="J330" s="16" t="str">
        <f t="shared" si="922"/>
        <v>low</v>
      </c>
    </row>
    <row r="331" spans="1:10">
      <c r="A331" s="16" t="str">
        <f t="shared" ref="A331:B331" si="933">A284</f>
        <v>P13</v>
      </c>
      <c r="B331" s="16">
        <f t="shared" si="933"/>
        <v>3.4166666666666665</v>
      </c>
      <c r="C331" s="16" t="s">
        <v>1426</v>
      </c>
      <c r="D331" s="16">
        <f t="shared" si="915"/>
        <v>3.9999999999999996</v>
      </c>
      <c r="E331" s="16" t="s">
        <v>1426</v>
      </c>
      <c r="F331" s="16" t="str">
        <f t="shared" si="918"/>
        <v>P34</v>
      </c>
      <c r="G331" s="16">
        <f t="shared" si="919"/>
        <v>3.2833333333333332</v>
      </c>
      <c r="H331" s="16" t="str">
        <f t="shared" si="920"/>
        <v>low</v>
      </c>
      <c r="I331" s="16">
        <f t="shared" si="921"/>
        <v>4.1500000000000004</v>
      </c>
      <c r="J331" s="16" t="str">
        <f t="shared" si="922"/>
        <v>low</v>
      </c>
    </row>
    <row r="332" spans="1:10">
      <c r="A332" s="16" t="str">
        <f t="shared" ref="A332:B332" si="934">A285</f>
        <v>P14</v>
      </c>
      <c r="B332" s="16">
        <f t="shared" si="934"/>
        <v>3.8166666666666669</v>
      </c>
      <c r="C332" s="16" t="s">
        <v>1426</v>
      </c>
      <c r="D332" s="16">
        <f t="shared" si="915"/>
        <v>5.8166666666666673</v>
      </c>
      <c r="E332" s="16" t="s">
        <v>1428</v>
      </c>
      <c r="F332" s="16" t="str">
        <f t="shared" si="918"/>
        <v>P35</v>
      </c>
      <c r="G332" s="16">
        <f t="shared" si="919"/>
        <v>3.3833333333333333</v>
      </c>
      <c r="H332" s="16" t="str">
        <f t="shared" si="920"/>
        <v>low</v>
      </c>
      <c r="I332" s="16">
        <f t="shared" si="921"/>
        <v>4.0333333333333332</v>
      </c>
      <c r="J332" s="16" t="str">
        <f t="shared" si="922"/>
        <v>low</v>
      </c>
    </row>
    <row r="333" spans="1:10">
      <c r="A333" s="16" t="str">
        <f t="shared" ref="A333:B333" si="935">A286</f>
        <v>P15</v>
      </c>
      <c r="B333" s="16">
        <f t="shared" si="935"/>
        <v>3.8166666666666664</v>
      </c>
      <c r="C333" s="16" t="s">
        <v>1426</v>
      </c>
      <c r="D333" s="16">
        <f t="shared" si="915"/>
        <v>6.6833333333333336</v>
      </c>
      <c r="E333" s="16" t="s">
        <v>1428</v>
      </c>
      <c r="F333" s="16" t="str">
        <f t="shared" si="918"/>
        <v>P36</v>
      </c>
      <c r="G333" s="16">
        <f t="shared" si="919"/>
        <v>4.1500000000000004</v>
      </c>
      <c r="H333" s="16" t="str">
        <f t="shared" si="920"/>
        <v>low</v>
      </c>
      <c r="I333" s="16">
        <f t="shared" si="921"/>
        <v>4.4833333333333334</v>
      </c>
      <c r="J333" s="16" t="str">
        <f t="shared" si="922"/>
        <v>low</v>
      </c>
    </row>
    <row r="334" spans="1:10">
      <c r="A334" s="16" t="str">
        <f t="shared" ref="A334:B334" si="936">A287</f>
        <v>P16</v>
      </c>
      <c r="B334" s="16">
        <f t="shared" si="936"/>
        <v>4.8833333333333329</v>
      </c>
      <c r="C334" s="16" t="s">
        <v>1426</v>
      </c>
      <c r="D334" s="16">
        <f t="shared" si="915"/>
        <v>6.2166666666666668</v>
      </c>
      <c r="E334" s="16" t="s">
        <v>1428</v>
      </c>
      <c r="F334" s="16" t="str">
        <f t="shared" si="918"/>
        <v>P37</v>
      </c>
      <c r="G334" s="16">
        <f t="shared" si="919"/>
        <v>4.8833333333333337</v>
      </c>
      <c r="H334" s="16" t="str">
        <f t="shared" si="920"/>
        <v>low</v>
      </c>
      <c r="I334" s="16">
        <f t="shared" si="921"/>
        <v>7.7166666666666659</v>
      </c>
      <c r="J334" s="16" t="str">
        <f t="shared" si="922"/>
        <v>good</v>
      </c>
    </row>
    <row r="335" spans="1:10">
      <c r="A335" s="16" t="str">
        <f t="shared" ref="A335:B335" si="937">A288</f>
        <v>P17</v>
      </c>
      <c r="B335" s="16">
        <f t="shared" si="937"/>
        <v>2.2166666666666668</v>
      </c>
      <c r="C335" s="16" t="s">
        <v>1426</v>
      </c>
      <c r="D335" s="16">
        <f t="shared" si="915"/>
        <v>2.2166666666666668</v>
      </c>
      <c r="E335" s="16" t="s">
        <v>1426</v>
      </c>
      <c r="F335" s="16" t="str">
        <f t="shared" si="918"/>
        <v>P38</v>
      </c>
      <c r="G335" s="16">
        <f t="shared" si="919"/>
        <v>5.7833333333333332</v>
      </c>
      <c r="H335" s="16" t="str">
        <f t="shared" si="920"/>
        <v>acceptable</v>
      </c>
      <c r="I335" s="16">
        <f t="shared" si="921"/>
        <v>6.3833333333333329</v>
      </c>
      <c r="J335" s="16" t="str">
        <f t="shared" si="922"/>
        <v>acceptable</v>
      </c>
    </row>
    <row r="336" spans="1:10">
      <c r="A336" s="16" t="str">
        <f t="shared" ref="A336:B336" si="938">A289</f>
        <v>P18</v>
      </c>
      <c r="B336" s="16">
        <f t="shared" si="938"/>
        <v>4.55</v>
      </c>
      <c r="C336" s="16" t="s">
        <v>1426</v>
      </c>
      <c r="D336" s="16">
        <f t="shared" si="915"/>
        <v>5.083333333333333</v>
      </c>
      <c r="E336" s="16" t="s">
        <v>1428</v>
      </c>
      <c r="F336" s="16" t="str">
        <f t="shared" si="918"/>
        <v>P39</v>
      </c>
      <c r="G336" s="16">
        <f t="shared" si="919"/>
        <v>3.4166666666666665</v>
      </c>
      <c r="H336" s="16" t="str">
        <f t="shared" si="920"/>
        <v>low</v>
      </c>
      <c r="I336" s="16">
        <f t="shared" si="921"/>
        <v>4.2833333333333332</v>
      </c>
      <c r="J336" s="16" t="str">
        <f t="shared" si="922"/>
        <v>low</v>
      </c>
    </row>
    <row r="337" spans="1:10">
      <c r="A337" s="16" t="str">
        <f t="shared" ref="A337:B337" si="939">A290</f>
        <v>P19</v>
      </c>
      <c r="B337" s="16">
        <f t="shared" si="939"/>
        <v>2.6833333333333331</v>
      </c>
      <c r="C337" s="16" t="s">
        <v>1426</v>
      </c>
      <c r="D337" s="16">
        <f t="shared" si="915"/>
        <v>3.083333333333333</v>
      </c>
      <c r="E337" s="16" t="s">
        <v>1426</v>
      </c>
      <c r="F337" s="16" t="str">
        <f t="shared" si="918"/>
        <v>P40</v>
      </c>
      <c r="G337" s="16">
        <f t="shared" si="919"/>
        <v>2.4166666666666665</v>
      </c>
      <c r="H337" s="16" t="str">
        <f t="shared" si="920"/>
        <v>low</v>
      </c>
      <c r="I337" s="16">
        <f t="shared" si="921"/>
        <v>2.75</v>
      </c>
      <c r="J337" s="16" t="str">
        <f t="shared" si="922"/>
        <v>low</v>
      </c>
    </row>
    <row r="338" spans="1:10">
      <c r="A338" s="16" t="str">
        <f t="shared" ref="A338:B338" si="940">A291</f>
        <v>P20</v>
      </c>
      <c r="B338" s="16">
        <f t="shared" si="940"/>
        <v>3.083333333333333</v>
      </c>
      <c r="C338" s="16" t="s">
        <v>1426</v>
      </c>
      <c r="D338" s="16">
        <f t="shared" si="915"/>
        <v>4.083333333333333</v>
      </c>
      <c r="E338" s="16" t="s">
        <v>1426</v>
      </c>
      <c r="F338" s="16" t="str">
        <f t="shared" si="918"/>
        <v>P41</v>
      </c>
      <c r="G338" s="16">
        <f t="shared" si="919"/>
        <v>3.7833333333333332</v>
      </c>
      <c r="H338" s="16" t="str">
        <f t="shared" si="920"/>
        <v>low</v>
      </c>
      <c r="I338" s="16">
        <f t="shared" si="921"/>
        <v>4.45</v>
      </c>
      <c r="J338" s="16" t="str">
        <f t="shared" si="922"/>
        <v>low</v>
      </c>
    </row>
    <row r="339" spans="1:10">
      <c r="A339" s="16" t="str">
        <f t="shared" ref="A339:B339" si="941">A292</f>
        <v>P21</v>
      </c>
      <c r="B339" s="16">
        <f t="shared" si="941"/>
        <v>3.4499999999999997</v>
      </c>
      <c r="C339" s="16" t="s">
        <v>1426</v>
      </c>
      <c r="D339" s="16">
        <f t="shared" si="915"/>
        <v>3.7833333333333328</v>
      </c>
      <c r="E339" s="16" t="s">
        <v>1426</v>
      </c>
      <c r="F339" s="16" t="str">
        <f>A360</f>
        <v>Mean</v>
      </c>
      <c r="G339" s="16">
        <f t="shared" si="919"/>
        <v>3.6158536585365852</v>
      </c>
      <c r="H339" s="16" t="str">
        <f t="shared" si="920"/>
        <v>low</v>
      </c>
      <c r="I339" s="16">
        <f t="shared" si="921"/>
        <v>4.5174796747967481</v>
      </c>
      <c r="J339" s="16" t="str">
        <f t="shared" si="922"/>
        <v>low</v>
      </c>
    </row>
    <row r="340" spans="1:10">
      <c r="A340" t="str">
        <f t="shared" ref="A340:B340" si="942">A293</f>
        <v>P22</v>
      </c>
      <c r="B340">
        <f t="shared" si="942"/>
        <v>3.4833333333333334</v>
      </c>
      <c r="C340" t="s">
        <v>1426</v>
      </c>
      <c r="D340">
        <f t="shared" si="915"/>
        <v>4.3499999999999996</v>
      </c>
      <c r="E340" t="s">
        <v>1426</v>
      </c>
    </row>
    <row r="341" spans="1:10">
      <c r="A341" t="str">
        <f t="shared" ref="A341:B341" si="943">A294</f>
        <v>P23</v>
      </c>
      <c r="B341">
        <f t="shared" si="943"/>
        <v>4.7166666666666668</v>
      </c>
      <c r="C341" t="s">
        <v>1426</v>
      </c>
      <c r="D341">
        <f t="shared" si="915"/>
        <v>6.1166666666666671</v>
      </c>
      <c r="E341" t="s">
        <v>1428</v>
      </c>
    </row>
    <row r="342" spans="1:10">
      <c r="A342" t="str">
        <f t="shared" ref="A342:B342" si="944">A295</f>
        <v>P24</v>
      </c>
      <c r="B342">
        <f t="shared" si="944"/>
        <v>2.6833333333333331</v>
      </c>
      <c r="C342" t="s">
        <v>1426</v>
      </c>
      <c r="D342">
        <f t="shared" si="915"/>
        <v>2.6833333333333331</v>
      </c>
      <c r="E342" t="s">
        <v>1426</v>
      </c>
    </row>
    <row r="343" spans="1:10">
      <c r="A343" t="str">
        <f t="shared" ref="A343:B343" si="945">A296</f>
        <v>P25</v>
      </c>
      <c r="B343">
        <f t="shared" si="945"/>
        <v>4.0833333333333339</v>
      </c>
      <c r="C343" t="s">
        <v>1426</v>
      </c>
      <c r="D343">
        <f t="shared" si="915"/>
        <v>4.8166666666666664</v>
      </c>
      <c r="E343" t="s">
        <v>1426</v>
      </c>
    </row>
    <row r="344" spans="1:10">
      <c r="A344" t="str">
        <f t="shared" ref="A344:B344" si="946">A297</f>
        <v>P26</v>
      </c>
      <c r="B344">
        <f t="shared" si="946"/>
        <v>3.85</v>
      </c>
      <c r="C344" t="s">
        <v>1426</v>
      </c>
      <c r="D344">
        <f t="shared" si="915"/>
        <v>5.25</v>
      </c>
      <c r="E344" t="s">
        <v>1428</v>
      </c>
    </row>
    <row r="345" spans="1:10">
      <c r="A345" t="str">
        <f t="shared" ref="A345:B345" si="947">A298</f>
        <v>P27</v>
      </c>
      <c r="B345">
        <f t="shared" si="947"/>
        <v>3.0833333333333335</v>
      </c>
      <c r="C345" t="s">
        <v>1426</v>
      </c>
      <c r="D345">
        <f t="shared" si="915"/>
        <v>3.416666666666667</v>
      </c>
      <c r="E345" t="s">
        <v>1426</v>
      </c>
    </row>
    <row r="346" spans="1:10">
      <c r="A346" t="str">
        <f t="shared" ref="A346:B346" si="948">A299</f>
        <v>P28</v>
      </c>
      <c r="B346">
        <f t="shared" si="948"/>
        <v>3.45</v>
      </c>
      <c r="C346" t="s">
        <v>1426</v>
      </c>
      <c r="D346">
        <f t="shared" si="915"/>
        <v>4.8500000000000005</v>
      </c>
      <c r="E346" t="s">
        <v>1426</v>
      </c>
    </row>
    <row r="347" spans="1:10">
      <c r="A347" t="str">
        <f t="shared" ref="A347:B347" si="949">A300</f>
        <v>P29</v>
      </c>
      <c r="B347">
        <f t="shared" si="949"/>
        <v>3.4333333333333331</v>
      </c>
      <c r="C347" t="s">
        <v>1426</v>
      </c>
      <c r="D347">
        <f t="shared" si="915"/>
        <v>3.8333333333333335</v>
      </c>
      <c r="E347" t="s">
        <v>1426</v>
      </c>
    </row>
    <row r="348" spans="1:10">
      <c r="A348" t="str">
        <f t="shared" ref="A348:B348" si="950">A301</f>
        <v>P30</v>
      </c>
      <c r="B348">
        <f t="shared" si="950"/>
        <v>1.7666666666666664</v>
      </c>
      <c r="C348" t="s">
        <v>1426</v>
      </c>
      <c r="D348">
        <f t="shared" si="915"/>
        <v>1.7666666666666664</v>
      </c>
      <c r="E348" t="s">
        <v>1426</v>
      </c>
    </row>
    <row r="349" spans="1:10">
      <c r="A349" t="str">
        <f t="shared" ref="A349:B349" si="951">A302</f>
        <v>P31</v>
      </c>
      <c r="B349">
        <f t="shared" si="951"/>
        <v>3.1500000000000004</v>
      </c>
      <c r="C349" t="s">
        <v>1426</v>
      </c>
      <c r="D349">
        <f t="shared" si="915"/>
        <v>4.6833333333333336</v>
      </c>
      <c r="E349" t="s">
        <v>1426</v>
      </c>
    </row>
    <row r="350" spans="1:10">
      <c r="A350" t="str">
        <f t="shared" ref="A350:B350" si="952">A303</f>
        <v>P32</v>
      </c>
      <c r="B350">
        <f t="shared" si="952"/>
        <v>4.1166666666666671</v>
      </c>
      <c r="C350" t="s">
        <v>1426</v>
      </c>
      <c r="D350">
        <f t="shared" si="915"/>
        <v>4.7833333333333332</v>
      </c>
      <c r="E350" t="s">
        <v>1426</v>
      </c>
    </row>
    <row r="351" spans="1:10">
      <c r="A351" t="str">
        <f t="shared" ref="A351:B351" si="953">A304</f>
        <v>P33</v>
      </c>
      <c r="B351">
        <f t="shared" si="953"/>
        <v>2.4166666666666665</v>
      </c>
      <c r="C351" t="s">
        <v>1426</v>
      </c>
      <c r="D351">
        <f t="shared" si="915"/>
        <v>2.75</v>
      </c>
      <c r="E351" t="s">
        <v>1426</v>
      </c>
    </row>
    <row r="352" spans="1:10">
      <c r="A352" t="str">
        <f t="shared" ref="A352:B352" si="954">A305</f>
        <v>P34</v>
      </c>
      <c r="B352">
        <f t="shared" si="954"/>
        <v>3.2833333333333332</v>
      </c>
      <c r="C352" t="s">
        <v>1426</v>
      </c>
      <c r="D352">
        <f t="shared" si="915"/>
        <v>4.1500000000000004</v>
      </c>
      <c r="E352" t="s">
        <v>1426</v>
      </c>
    </row>
    <row r="353" spans="1:5">
      <c r="A353" t="str">
        <f t="shared" ref="A353:B353" si="955">A306</f>
        <v>P35</v>
      </c>
      <c r="B353">
        <f t="shared" si="955"/>
        <v>3.3833333333333333</v>
      </c>
      <c r="C353" t="s">
        <v>1426</v>
      </c>
      <c r="D353">
        <f t="shared" si="915"/>
        <v>4.0333333333333332</v>
      </c>
      <c r="E353" t="s">
        <v>1426</v>
      </c>
    </row>
    <row r="354" spans="1:5">
      <c r="A354" t="str">
        <f t="shared" ref="A354:B354" si="956">A307</f>
        <v>P36</v>
      </c>
      <c r="B354">
        <f t="shared" si="956"/>
        <v>4.1500000000000004</v>
      </c>
      <c r="C354" t="s">
        <v>1426</v>
      </c>
      <c r="D354">
        <f t="shared" si="915"/>
        <v>4.4833333333333334</v>
      </c>
      <c r="E354" t="s">
        <v>1426</v>
      </c>
    </row>
    <row r="355" spans="1:5">
      <c r="A355" t="str">
        <f t="shared" ref="A355:B355" si="957">A308</f>
        <v>P37</v>
      </c>
      <c r="B355">
        <f t="shared" si="957"/>
        <v>4.8833333333333337</v>
      </c>
      <c r="C355" t="s">
        <v>1426</v>
      </c>
      <c r="D355">
        <f t="shared" si="915"/>
        <v>7.7166666666666659</v>
      </c>
      <c r="E355" t="s">
        <v>1427</v>
      </c>
    </row>
    <row r="356" spans="1:5">
      <c r="A356" t="str">
        <f t="shared" ref="A356:B356" si="958">A309</f>
        <v>P38</v>
      </c>
      <c r="B356">
        <f t="shared" si="958"/>
        <v>5.7833333333333332</v>
      </c>
      <c r="C356" t="s">
        <v>1428</v>
      </c>
      <c r="D356">
        <f t="shared" si="915"/>
        <v>6.3833333333333329</v>
      </c>
      <c r="E356" t="s">
        <v>1428</v>
      </c>
    </row>
    <row r="357" spans="1:5">
      <c r="A357" t="str">
        <f t="shared" ref="A357:B357" si="959">A310</f>
        <v>P39</v>
      </c>
      <c r="B357">
        <f t="shared" si="959"/>
        <v>3.4166666666666665</v>
      </c>
      <c r="C357" t="s">
        <v>1426</v>
      </c>
      <c r="D357">
        <f t="shared" si="915"/>
        <v>4.2833333333333332</v>
      </c>
      <c r="E357" t="s">
        <v>1426</v>
      </c>
    </row>
    <row r="358" spans="1:5">
      <c r="A358" t="str">
        <f t="shared" ref="A358:B358" si="960">A311</f>
        <v>P40</v>
      </c>
      <c r="B358">
        <f t="shared" si="960"/>
        <v>2.4166666666666665</v>
      </c>
      <c r="C358" t="s">
        <v>1426</v>
      </c>
      <c r="D358">
        <f t="shared" si="915"/>
        <v>2.75</v>
      </c>
      <c r="E358" t="s">
        <v>1426</v>
      </c>
    </row>
    <row r="359" spans="1:5">
      <c r="A359" t="str">
        <f t="shared" ref="A359:B359" si="961">A312</f>
        <v>P41</v>
      </c>
      <c r="B359">
        <f t="shared" si="961"/>
        <v>3.7833333333333332</v>
      </c>
      <c r="C359" t="s">
        <v>1426</v>
      </c>
      <c r="D359">
        <f t="shared" si="915"/>
        <v>4.45</v>
      </c>
      <c r="E359" t="s">
        <v>1426</v>
      </c>
    </row>
    <row r="360" spans="1:5">
      <c r="A360" t="str">
        <f t="shared" ref="A360:B360" si="962">A313</f>
        <v>Mean</v>
      </c>
      <c r="B360">
        <f t="shared" si="962"/>
        <v>3.6158536585365852</v>
      </c>
      <c r="C360" t="s">
        <v>1426</v>
      </c>
      <c r="D360">
        <f t="shared" si="915"/>
        <v>4.5174796747967481</v>
      </c>
      <c r="E360" t="s">
        <v>1426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C5F-9DF4-4157-AB4B-376FFA4C321A}">
  <dimension ref="B1:AB60"/>
  <sheetViews>
    <sheetView tabSelected="1" topLeftCell="E1" zoomScale="115" zoomScaleNormal="115" workbookViewId="0">
      <selection activeCell="I3" sqref="I3:I43"/>
    </sheetView>
  </sheetViews>
  <sheetFormatPr defaultRowHeight="13.8"/>
  <cols>
    <col min="4" max="4" width="17.33203125" bestFit="1" customWidth="1"/>
    <col min="5" max="5" width="11.5546875" bestFit="1" customWidth="1"/>
    <col min="6" max="6" width="11.88671875" bestFit="1" customWidth="1"/>
    <col min="7" max="7" width="11.109375" bestFit="1" customWidth="1"/>
    <col min="8" max="8" width="15.44140625" bestFit="1" customWidth="1"/>
    <col min="9" max="9" width="9.109375" style="65" bestFit="1" customWidth="1"/>
    <col min="10" max="10" width="9.5546875" style="65" bestFit="1" customWidth="1"/>
    <col min="11" max="11" width="9" style="65" bestFit="1" customWidth="1"/>
    <col min="12" max="12" width="20.44140625" style="61" bestFit="1" customWidth="1"/>
    <col min="13" max="13" width="13.88671875" style="61" bestFit="1" customWidth="1"/>
  </cols>
  <sheetData>
    <row r="1" spans="2:20">
      <c r="G1" t="s">
        <v>1539</v>
      </c>
      <c r="H1" t="s">
        <v>1540</v>
      </c>
      <c r="I1" s="65" t="s">
        <v>1540</v>
      </c>
      <c r="J1" s="65" t="s">
        <v>1539</v>
      </c>
      <c r="K1" s="65" t="s">
        <v>1539</v>
      </c>
      <c r="L1" s="61" t="s">
        <v>1543</v>
      </c>
      <c r="M1" s="61" t="s">
        <v>1543</v>
      </c>
      <c r="S1" s="65" t="s">
        <v>1540</v>
      </c>
    </row>
    <row r="2" spans="2:20" ht="69">
      <c r="B2" t="s">
        <v>1465</v>
      </c>
      <c r="C2" t="s">
        <v>1570</v>
      </c>
      <c r="D2" s="62" t="s">
        <v>1527</v>
      </c>
      <c r="E2" s="62" t="s">
        <v>1533</v>
      </c>
      <c r="F2" s="62" t="s">
        <v>1466</v>
      </c>
      <c r="G2" s="62" t="s">
        <v>1534</v>
      </c>
      <c r="H2" s="62" t="s">
        <v>1545</v>
      </c>
      <c r="I2" s="64" t="s">
        <v>1536</v>
      </c>
      <c r="J2" s="64" t="s">
        <v>1541</v>
      </c>
      <c r="K2" s="64" t="s">
        <v>1542</v>
      </c>
      <c r="L2" s="63" t="s">
        <v>1537</v>
      </c>
      <c r="M2" s="63" t="s">
        <v>1538</v>
      </c>
      <c r="N2" t="str">
        <f>'Evaluation-transfer'!AI88</f>
        <v>PMC-I</v>
      </c>
      <c r="O2" t="str">
        <f>'Evaluation-transfer'!AI224</f>
        <v>PMC-T</v>
      </c>
      <c r="S2" s="64" t="s">
        <v>1536</v>
      </c>
    </row>
    <row r="3" spans="2:20">
      <c r="B3" t="s">
        <v>1503</v>
      </c>
      <c r="C3" t="s">
        <v>33</v>
      </c>
      <c r="D3" t="s">
        <v>1525</v>
      </c>
      <c r="E3" t="s">
        <v>1532</v>
      </c>
      <c r="F3" t="s">
        <v>1468</v>
      </c>
      <c r="G3">
        <v>7850</v>
      </c>
      <c r="H3">
        <v>109.1</v>
      </c>
      <c r="I3" s="65">
        <v>27.141666666666666</v>
      </c>
      <c r="J3" s="65">
        <v>3500</v>
      </c>
      <c r="K3" s="65">
        <v>44.559243975903627</v>
      </c>
      <c r="L3" s="61">
        <v>5.6763368122170225E-3</v>
      </c>
      <c r="M3" s="61">
        <v>0.44585987261146498</v>
      </c>
      <c r="N3" s="8">
        <f>'Evaluation-transfer'!AI89</f>
        <v>3.0333333333333332</v>
      </c>
      <c r="O3" s="8">
        <f>'Evaluation-transfer'!AI225</f>
        <v>3.0333333333333332</v>
      </c>
      <c r="S3" s="65">
        <v>27.141666666666666</v>
      </c>
      <c r="T3" s="65">
        <v>26.5</v>
      </c>
    </row>
    <row r="4" spans="2:20">
      <c r="B4" t="s">
        <v>1488</v>
      </c>
      <c r="C4" t="s">
        <v>34</v>
      </c>
      <c r="D4" t="s">
        <v>1515</v>
      </c>
      <c r="E4" t="s">
        <v>1532</v>
      </c>
      <c r="F4" t="s">
        <v>1489</v>
      </c>
      <c r="G4">
        <v>6800</v>
      </c>
      <c r="H4">
        <v>11.524896817743491</v>
      </c>
      <c r="I4" s="65">
        <v>27.141666666666666</v>
      </c>
      <c r="J4" s="65">
        <v>2560.1078977230795</v>
      </c>
      <c r="K4" s="65">
        <v>315.86099395899265</v>
      </c>
      <c r="L4" s="61">
        <v>4.6450146170440097E-2</v>
      </c>
      <c r="M4" s="61">
        <v>0.3764864555475117</v>
      </c>
      <c r="N4" s="8">
        <f>'Evaluation-transfer'!AI90</f>
        <v>3.416666666666667</v>
      </c>
      <c r="O4" s="8">
        <f>'Evaluation-transfer'!AI226</f>
        <v>3.416666666666667</v>
      </c>
      <c r="S4" s="65">
        <v>27.141666666666666</v>
      </c>
      <c r="T4" s="65">
        <v>27.141666666666666</v>
      </c>
    </row>
    <row r="5" spans="2:20">
      <c r="B5" t="s">
        <v>1487</v>
      </c>
      <c r="C5" t="s">
        <v>35</v>
      </c>
      <c r="D5" t="s">
        <v>1385</v>
      </c>
      <c r="E5" t="s">
        <v>1530</v>
      </c>
      <c r="F5" t="s">
        <v>1385</v>
      </c>
      <c r="G5">
        <v>40094</v>
      </c>
      <c r="H5">
        <v>19</v>
      </c>
      <c r="I5" s="65">
        <v>28.008333333333333</v>
      </c>
      <c r="J5" s="65">
        <v>5000</v>
      </c>
      <c r="K5" s="65">
        <v>1175.8516973684211</v>
      </c>
      <c r="L5" s="61">
        <v>2.9327373107408117E-2</v>
      </c>
      <c r="M5" s="61">
        <v>0.12470693869406894</v>
      </c>
      <c r="N5" s="8">
        <f>'Evaluation-transfer'!AI91</f>
        <v>6.9166666666666661</v>
      </c>
      <c r="O5" s="8">
        <f>'Evaluation-transfer'!AI227</f>
        <v>5.25</v>
      </c>
      <c r="S5" s="65">
        <v>28.008333333333333</v>
      </c>
      <c r="T5" s="65">
        <v>27.1</v>
      </c>
    </row>
    <row r="6" spans="2:20">
      <c r="B6" t="s">
        <v>1499</v>
      </c>
      <c r="C6" t="s">
        <v>36</v>
      </c>
      <c r="D6" t="s">
        <v>1521</v>
      </c>
      <c r="E6" t="s">
        <v>1532</v>
      </c>
      <c r="F6" t="s">
        <v>1468</v>
      </c>
      <c r="G6">
        <v>11522</v>
      </c>
      <c r="H6">
        <v>54.5</v>
      </c>
      <c r="I6" s="65">
        <v>27.141666666666666</v>
      </c>
      <c r="J6" s="65">
        <v>3500</v>
      </c>
      <c r="K6" s="65">
        <v>498.09375000000006</v>
      </c>
      <c r="L6" s="61">
        <v>4.3229799513973273E-2</v>
      </c>
      <c r="M6" s="61">
        <v>0.30376670716889431</v>
      </c>
      <c r="N6" s="8">
        <f>'Evaluation-transfer'!AI92</f>
        <v>4.3499999999999996</v>
      </c>
      <c r="O6" s="8">
        <f>'Evaluation-transfer'!AI228</f>
        <v>3.8166666666666669</v>
      </c>
      <c r="S6" s="65">
        <v>27.141666666666666</v>
      </c>
      <c r="T6" s="65">
        <v>26.5</v>
      </c>
    </row>
    <row r="7" spans="2:20">
      <c r="B7" t="s">
        <v>1484</v>
      </c>
      <c r="C7" t="s">
        <v>37</v>
      </c>
      <c r="D7" t="s">
        <v>1514</v>
      </c>
      <c r="E7" t="s">
        <v>1532</v>
      </c>
      <c r="F7" t="s">
        <v>1468</v>
      </c>
      <c r="G7">
        <v>10533</v>
      </c>
      <c r="H7">
        <v>82.5</v>
      </c>
      <c r="I7" s="65">
        <v>27.141666666666666</v>
      </c>
      <c r="J7" s="65">
        <v>1798.1090909090908</v>
      </c>
      <c r="K7" s="65">
        <v>84.611563636363641</v>
      </c>
      <c r="L7" s="61">
        <v>8.0329975919836358E-3</v>
      </c>
      <c r="M7" s="61">
        <v>0.17071196154078522</v>
      </c>
      <c r="N7" s="8">
        <f>'Evaluation-transfer'!AI93</f>
        <v>3.75</v>
      </c>
      <c r="O7" s="8">
        <f>'Evaluation-transfer'!AI229</f>
        <v>2.8833333333333333</v>
      </c>
      <c r="S7" s="65">
        <v>27.141666666666666</v>
      </c>
      <c r="T7" s="65">
        <v>26.5</v>
      </c>
    </row>
    <row r="8" spans="2:20">
      <c r="B8" t="s">
        <v>1491</v>
      </c>
      <c r="C8" t="s">
        <v>38</v>
      </c>
      <c r="D8" t="s">
        <v>1528</v>
      </c>
      <c r="E8" t="s">
        <v>1532</v>
      </c>
      <c r="F8" t="s">
        <v>1468</v>
      </c>
      <c r="G8">
        <v>8030</v>
      </c>
      <c r="H8">
        <v>41.5</v>
      </c>
      <c r="I8" s="65">
        <v>27.141666666666666</v>
      </c>
      <c r="J8" s="65">
        <v>1315.7590361445782</v>
      </c>
      <c r="K8" s="65">
        <v>67.589864457831339</v>
      </c>
      <c r="L8" s="61">
        <v>8.4171686746987977E-3</v>
      </c>
      <c r="M8" s="61">
        <v>0.16385542168674697</v>
      </c>
      <c r="N8" s="8">
        <f>'Evaluation-transfer'!AI94</f>
        <v>3.4499999999999997</v>
      </c>
      <c r="O8" s="8">
        <f>'Evaluation-transfer'!AI230</f>
        <v>3.1166666666666667</v>
      </c>
      <c r="S8" s="65">
        <v>27.141666666666666</v>
      </c>
      <c r="T8" s="65">
        <v>26.5</v>
      </c>
    </row>
    <row r="9" spans="2:20">
      <c r="B9" t="s">
        <v>1470</v>
      </c>
      <c r="C9" t="s">
        <v>39</v>
      </c>
      <c r="D9" t="s">
        <v>1506</v>
      </c>
      <c r="E9" t="s">
        <v>1532</v>
      </c>
      <c r="F9" t="s">
        <v>1468</v>
      </c>
      <c r="G9">
        <v>12405</v>
      </c>
      <c r="H9">
        <v>61.7</v>
      </c>
      <c r="I9" s="65">
        <v>27.141666666666666</v>
      </c>
      <c r="J9" s="65">
        <v>1256.5842787682332</v>
      </c>
      <c r="K9" s="65">
        <v>71.444355753646676</v>
      </c>
      <c r="L9" s="61">
        <v>5.7593192868719608E-3</v>
      </c>
      <c r="M9" s="61">
        <v>0.10129659643435979</v>
      </c>
      <c r="N9" s="8">
        <f>'Evaluation-transfer'!AI95</f>
        <v>4.0166666666666666</v>
      </c>
      <c r="O9" s="8">
        <f>'Evaluation-transfer'!AI231</f>
        <v>2.5499999999999998</v>
      </c>
      <c r="S9" s="65">
        <v>27.141666666666666</v>
      </c>
      <c r="T9" s="65">
        <v>26.5</v>
      </c>
    </row>
    <row r="10" spans="2:20">
      <c r="B10" t="s">
        <v>878</v>
      </c>
      <c r="C10" t="s">
        <v>40</v>
      </c>
      <c r="D10" t="s">
        <v>1400</v>
      </c>
      <c r="E10" t="s">
        <v>1531</v>
      </c>
      <c r="F10" t="s">
        <v>1471</v>
      </c>
      <c r="G10">
        <v>36305</v>
      </c>
      <c r="H10">
        <v>25.6</v>
      </c>
      <c r="I10" s="65">
        <v>27.141666666666666</v>
      </c>
      <c r="J10" s="65">
        <v>14819.814453125</v>
      </c>
      <c r="K10" s="65">
        <v>999.32703369140654</v>
      </c>
      <c r="L10" s="61">
        <v>2.7525878906250009E-2</v>
      </c>
      <c r="M10" s="61">
        <v>0.408203125</v>
      </c>
      <c r="N10" s="8">
        <f>'Evaluation-transfer'!AI96</f>
        <v>9.0500000000000007</v>
      </c>
      <c r="O10" s="8">
        <f>'Evaluation-transfer'!AI232</f>
        <v>6.1166666666666671</v>
      </c>
      <c r="S10" s="65">
        <v>27.141666666666666</v>
      </c>
      <c r="T10" s="65">
        <v>27.141666666666666</v>
      </c>
    </row>
    <row r="11" spans="2:20">
      <c r="B11" t="s">
        <v>1472</v>
      </c>
      <c r="C11" t="s">
        <v>41</v>
      </c>
      <c r="D11" t="s">
        <v>1507</v>
      </c>
      <c r="E11" t="s">
        <v>1532</v>
      </c>
      <c r="F11" t="s">
        <v>1473</v>
      </c>
      <c r="G11">
        <v>8079</v>
      </c>
      <c r="H11">
        <v>52.3</v>
      </c>
      <c r="I11" s="65">
        <v>28.008333333333333</v>
      </c>
      <c r="J11" s="65">
        <v>1668.3212237093694</v>
      </c>
      <c r="K11" s="65">
        <v>133.5004545889102</v>
      </c>
      <c r="L11" s="61">
        <v>1.6524378585086052E-2</v>
      </c>
      <c r="M11" s="61">
        <v>0.2065009560229446</v>
      </c>
      <c r="N11" s="8">
        <f>'Evaluation-transfer'!AI97</f>
        <v>6.3166666666666664</v>
      </c>
      <c r="O11" s="8">
        <f>'Evaluation-transfer'!AI233</f>
        <v>5.1833333333333336</v>
      </c>
      <c r="S11" s="65">
        <v>28.008333333333333</v>
      </c>
      <c r="T11" s="65">
        <v>28.008333333333333</v>
      </c>
    </row>
    <row r="12" spans="2:20">
      <c r="B12" t="s">
        <v>1481</v>
      </c>
      <c r="C12" t="s">
        <v>42</v>
      </c>
      <c r="D12" t="s">
        <v>1512</v>
      </c>
      <c r="E12" t="s">
        <v>1531</v>
      </c>
      <c r="F12" t="s">
        <v>1471</v>
      </c>
      <c r="G12">
        <v>18333</v>
      </c>
      <c r="H12">
        <v>19.899999999999999</v>
      </c>
      <c r="I12" s="65">
        <v>27.141666666666666</v>
      </c>
      <c r="J12" s="65">
        <v>1372.6718592964824</v>
      </c>
      <c r="K12" s="65">
        <v>66.268267462311556</v>
      </c>
      <c r="L12" s="61">
        <v>3.6146984924623113E-3</v>
      </c>
      <c r="M12" s="61">
        <v>7.4874371859296476E-2</v>
      </c>
      <c r="N12" s="8">
        <f>'Evaluation-transfer'!AI98</f>
        <v>6.5833333333333339</v>
      </c>
      <c r="O12" s="8">
        <f>'Evaluation-transfer'!AI234</f>
        <v>4.4833333333333334</v>
      </c>
      <c r="S12" s="65">
        <v>27.141666666666666</v>
      </c>
      <c r="T12" s="65">
        <v>25</v>
      </c>
    </row>
    <row r="13" spans="2:20">
      <c r="B13" t="s">
        <v>1492</v>
      </c>
      <c r="C13" t="s">
        <v>43</v>
      </c>
      <c r="D13" t="s">
        <v>1409</v>
      </c>
      <c r="E13" t="s">
        <v>1530</v>
      </c>
      <c r="F13" t="s">
        <v>1471</v>
      </c>
      <c r="G13">
        <v>37881</v>
      </c>
      <c r="H13">
        <v>17.600000000000001</v>
      </c>
      <c r="I13" s="65">
        <v>27.141666666666666</v>
      </c>
      <c r="J13" s="65">
        <v>6177.1857954545458</v>
      </c>
      <c r="K13" s="65">
        <v>809.75480241477283</v>
      </c>
      <c r="L13" s="61">
        <v>2.1376278409090912E-2</v>
      </c>
      <c r="M13" s="61">
        <v>0.16306818181818183</v>
      </c>
      <c r="N13" s="8">
        <f>'Evaluation-transfer'!AI99</f>
        <v>3.0833333333333335</v>
      </c>
      <c r="O13" s="8">
        <f>'Evaluation-transfer'!AI235</f>
        <v>2.75</v>
      </c>
      <c r="S13" s="65">
        <v>27.141666666666666</v>
      </c>
      <c r="T13" s="65">
        <v>24</v>
      </c>
    </row>
    <row r="14" spans="2:20">
      <c r="B14" t="s">
        <v>1496</v>
      </c>
      <c r="C14" t="s">
        <v>44</v>
      </c>
      <c r="D14" t="s">
        <v>1519</v>
      </c>
      <c r="E14" t="s">
        <v>1531</v>
      </c>
      <c r="F14" t="s">
        <v>1468</v>
      </c>
      <c r="G14">
        <v>18307</v>
      </c>
      <c r="H14">
        <v>19.399999999999999</v>
      </c>
      <c r="I14" s="65">
        <v>27.141666666666666</v>
      </c>
      <c r="J14" s="65">
        <v>5000</v>
      </c>
      <c r="K14" s="65">
        <v>427.89905412371144</v>
      </c>
      <c r="L14" s="61">
        <v>2.3373521282772241E-2</v>
      </c>
      <c r="M14" s="61">
        <v>0.27311957174851148</v>
      </c>
      <c r="N14" s="8">
        <f>'Evaluation-transfer'!AI100</f>
        <v>2.7333333333333329</v>
      </c>
      <c r="O14" s="8">
        <f>'Evaluation-transfer'!AI236</f>
        <v>2.4</v>
      </c>
      <c r="S14" s="65">
        <v>27.141666666666666</v>
      </c>
      <c r="T14" s="65">
        <v>26.5</v>
      </c>
    </row>
    <row r="15" spans="2:20">
      <c r="B15" t="s">
        <v>1490</v>
      </c>
      <c r="C15" t="s">
        <v>45</v>
      </c>
      <c r="D15" t="s">
        <v>1415</v>
      </c>
      <c r="E15" t="s">
        <v>1531</v>
      </c>
      <c r="F15" t="s">
        <v>1485</v>
      </c>
      <c r="G15">
        <v>21353</v>
      </c>
      <c r="H15">
        <v>7.1</v>
      </c>
      <c r="I15" s="65">
        <v>27.141666666666666</v>
      </c>
      <c r="J15" s="65">
        <v>2400</v>
      </c>
      <c r="K15" s="65">
        <v>244.26000000000005</v>
      </c>
      <c r="L15" s="61">
        <v>1.1439142040931018E-2</v>
      </c>
      <c r="M15" s="61">
        <v>0.11239638458296258</v>
      </c>
      <c r="N15" s="8">
        <f>'Evaluation-transfer'!AI101</f>
        <v>3.9999999999999996</v>
      </c>
      <c r="O15" s="8">
        <f>'Evaluation-transfer'!AI237</f>
        <v>3.4166666666666665</v>
      </c>
      <c r="S15" s="65">
        <v>27.141666666666666</v>
      </c>
      <c r="T15" s="65">
        <v>27.141666666666666</v>
      </c>
    </row>
    <row r="16" spans="2:20">
      <c r="B16" t="s">
        <v>884</v>
      </c>
      <c r="C16" t="s">
        <v>1346</v>
      </c>
      <c r="D16" t="s">
        <v>1418</v>
      </c>
      <c r="E16" t="s">
        <v>1531</v>
      </c>
      <c r="F16" t="s">
        <v>1471</v>
      </c>
      <c r="G16">
        <v>12824</v>
      </c>
      <c r="H16">
        <v>25.1</v>
      </c>
      <c r="I16" s="65">
        <v>27.141666666666666</v>
      </c>
      <c r="J16" s="65">
        <v>4281.4788844621517</v>
      </c>
      <c r="K16" s="65">
        <v>307.49627330677293</v>
      </c>
      <c r="L16" s="61">
        <v>2.3978187250996017E-2</v>
      </c>
      <c r="M16" s="61">
        <v>0.33386454183266934</v>
      </c>
      <c r="N16" s="8">
        <f>'Evaluation-transfer'!AI102</f>
        <v>5.8166666666666673</v>
      </c>
      <c r="O16" s="8">
        <f>'Evaluation-transfer'!AI238</f>
        <v>3.8166666666666669</v>
      </c>
      <c r="S16" s="65">
        <v>27.141666666666666</v>
      </c>
      <c r="T16" s="65">
        <v>24</v>
      </c>
    </row>
    <row r="17" spans="2:20">
      <c r="B17" t="s">
        <v>1480</v>
      </c>
      <c r="C17" t="s">
        <v>1347</v>
      </c>
      <c r="D17" t="s">
        <v>1511</v>
      </c>
      <c r="E17" t="s">
        <v>1531</v>
      </c>
      <c r="F17" t="s">
        <v>1469</v>
      </c>
      <c r="G17">
        <v>8624</v>
      </c>
      <c r="H17">
        <v>22.4</v>
      </c>
      <c r="I17" s="65">
        <v>27.141666666666666</v>
      </c>
      <c r="J17" s="65">
        <v>1724.8000000000002</v>
      </c>
      <c r="K17" s="65">
        <v>100.26693599999999</v>
      </c>
      <c r="L17" s="61">
        <v>1.1626499999999998E-2</v>
      </c>
      <c r="M17" s="61">
        <v>0.2</v>
      </c>
      <c r="N17" s="8">
        <f>'Evaluation-transfer'!AI103</f>
        <v>6.6833333333333336</v>
      </c>
      <c r="O17" s="8">
        <f>'Evaluation-transfer'!AI239</f>
        <v>3.8166666666666664</v>
      </c>
      <c r="S17" s="65">
        <v>27.141666666666666</v>
      </c>
      <c r="T17" s="65">
        <v>27.141666666666666</v>
      </c>
    </row>
    <row r="18" spans="2:20">
      <c r="B18" t="s">
        <v>886</v>
      </c>
      <c r="C18" t="s">
        <v>1348</v>
      </c>
      <c r="D18" t="s">
        <v>1383</v>
      </c>
      <c r="E18" t="s">
        <v>1531</v>
      </c>
      <c r="F18" t="s">
        <v>1486</v>
      </c>
      <c r="G18">
        <v>10711</v>
      </c>
      <c r="H18">
        <v>52.1</v>
      </c>
      <c r="I18" s="65">
        <v>28.008333333333333</v>
      </c>
      <c r="J18" s="65">
        <v>3600</v>
      </c>
      <c r="K18" s="65">
        <v>139.00073176583496</v>
      </c>
      <c r="L18" s="61">
        <v>1.2977381361762203E-2</v>
      </c>
      <c r="M18" s="61">
        <v>0.33610307160862662</v>
      </c>
      <c r="N18" s="8">
        <f>'Evaluation-transfer'!AI104</f>
        <v>6.2166666666666668</v>
      </c>
      <c r="O18" s="8">
        <f>'Evaluation-transfer'!AI240</f>
        <v>4.8833333333333329</v>
      </c>
      <c r="S18" s="65">
        <v>28.008333333333333</v>
      </c>
      <c r="T18" s="65">
        <v>29.5</v>
      </c>
    </row>
    <row r="19" spans="2:20">
      <c r="B19" t="s">
        <v>1477</v>
      </c>
      <c r="C19" t="s">
        <v>1349</v>
      </c>
      <c r="D19" t="s">
        <v>1509</v>
      </c>
      <c r="E19" t="s">
        <v>1532</v>
      </c>
      <c r="F19" t="s">
        <v>1468</v>
      </c>
      <c r="G19">
        <v>11934</v>
      </c>
      <c r="H19">
        <v>126.4</v>
      </c>
      <c r="I19" s="65">
        <v>27.141666666666666</v>
      </c>
      <c r="J19" s="65">
        <v>604.25316455696202</v>
      </c>
      <c r="K19" s="65">
        <v>26.954175830696201</v>
      </c>
      <c r="L19" s="61">
        <v>2.2586036392405061E-3</v>
      </c>
      <c r="M19" s="61">
        <v>5.0632911392405063E-2</v>
      </c>
      <c r="N19" s="8">
        <f>'Evaluation-transfer'!AI105</f>
        <v>2.2166666666666668</v>
      </c>
      <c r="O19" s="8">
        <f>'Evaluation-transfer'!AI241</f>
        <v>2.2166666666666668</v>
      </c>
      <c r="S19" s="65">
        <v>27.141666666666666</v>
      </c>
      <c r="T19" s="65">
        <v>27</v>
      </c>
    </row>
    <row r="20" spans="2:20">
      <c r="B20" t="s">
        <v>1478</v>
      </c>
      <c r="C20" t="s">
        <v>1350</v>
      </c>
      <c r="D20" t="s">
        <v>1510</v>
      </c>
      <c r="E20" t="s">
        <v>1532</v>
      </c>
      <c r="F20" t="s">
        <v>1479</v>
      </c>
      <c r="G20">
        <v>6016</v>
      </c>
      <c r="H20">
        <v>6.4</v>
      </c>
      <c r="I20" s="65">
        <v>27.141666666666666</v>
      </c>
      <c r="J20" s="65">
        <v>3600</v>
      </c>
      <c r="K20" s="65">
        <v>45.022500000000008</v>
      </c>
      <c r="L20" s="61">
        <v>7.483793218085108E-3</v>
      </c>
      <c r="M20" s="61">
        <v>0.59840425531914898</v>
      </c>
      <c r="N20" s="8">
        <f>'Evaluation-transfer'!AI106</f>
        <v>5.083333333333333</v>
      </c>
      <c r="O20" s="8">
        <f>'Evaluation-transfer'!AI242</f>
        <v>4.55</v>
      </c>
      <c r="S20" s="65">
        <v>27.141666666666666</v>
      </c>
      <c r="T20" s="65">
        <v>27.141666666666666</v>
      </c>
    </row>
    <row r="21" spans="2:20">
      <c r="B21" t="s">
        <v>1475</v>
      </c>
      <c r="C21" t="s">
        <v>1351</v>
      </c>
      <c r="D21" t="s">
        <v>1508</v>
      </c>
      <c r="E21" t="s">
        <v>1531</v>
      </c>
      <c r="F21" t="s">
        <v>1476</v>
      </c>
      <c r="G21">
        <v>12875</v>
      </c>
      <c r="H21">
        <v>43.7</v>
      </c>
      <c r="I21" s="65">
        <v>27.141666666666666</v>
      </c>
      <c r="J21" s="65">
        <v>2622.139588100687</v>
      </c>
      <c r="K21" s="65">
        <v>174.95600328947364</v>
      </c>
      <c r="L21" s="61">
        <v>1.3588815789473681E-2</v>
      </c>
      <c r="M21" s="61">
        <v>0.20366132723112132</v>
      </c>
      <c r="N21" s="8">
        <f>'Evaluation-transfer'!AI107</f>
        <v>3.083333333333333</v>
      </c>
      <c r="O21" s="8">
        <f>'Evaluation-transfer'!AI243</f>
        <v>2.6833333333333331</v>
      </c>
      <c r="S21" s="65">
        <v>27.141666666666666</v>
      </c>
      <c r="T21" s="65">
        <v>27.141666666666666</v>
      </c>
    </row>
    <row r="22" spans="2:20">
      <c r="B22" t="s">
        <v>890</v>
      </c>
      <c r="C22" t="s">
        <v>1352</v>
      </c>
      <c r="D22" t="s">
        <v>1395</v>
      </c>
      <c r="E22" t="s">
        <v>1532</v>
      </c>
      <c r="F22" t="s">
        <v>1468</v>
      </c>
      <c r="G22">
        <v>10601</v>
      </c>
      <c r="H22">
        <v>73.599999999999994</v>
      </c>
      <c r="I22" s="65">
        <v>27.141666666666666</v>
      </c>
      <c r="J22" s="65">
        <v>965.03668478260875</v>
      </c>
      <c r="K22" s="65">
        <v>44.474507812499994</v>
      </c>
      <c r="L22" s="61">
        <v>4.1953124999999994E-3</v>
      </c>
      <c r="M22" s="61">
        <v>9.1032608695652176E-2</v>
      </c>
      <c r="N22" s="8">
        <f>'Evaluation-transfer'!AI108</f>
        <v>4.083333333333333</v>
      </c>
      <c r="O22" s="8">
        <f>'Evaluation-transfer'!AI244</f>
        <v>3.083333333333333</v>
      </c>
      <c r="S22" s="65">
        <v>27.141666666666666</v>
      </c>
      <c r="T22" s="65">
        <v>26.5</v>
      </c>
    </row>
    <row r="23" spans="2:20">
      <c r="B23" t="s">
        <v>891</v>
      </c>
      <c r="C23" t="s">
        <v>1353</v>
      </c>
      <c r="D23" t="s">
        <v>1398</v>
      </c>
      <c r="E23" t="s">
        <v>1532</v>
      </c>
      <c r="F23" t="s">
        <v>1468</v>
      </c>
      <c r="G23">
        <v>19437</v>
      </c>
      <c r="H23">
        <v>25.4</v>
      </c>
      <c r="I23" s="65">
        <v>27.141666666666666</v>
      </c>
      <c r="J23" s="65">
        <v>5662.748031496063</v>
      </c>
      <c r="K23" s="65">
        <v>360.36886712598414</v>
      </c>
      <c r="L23" s="61">
        <v>1.8540354330708657E-2</v>
      </c>
      <c r="M23" s="61">
        <v>0.29133858267716534</v>
      </c>
      <c r="N23" s="8">
        <f>'Evaluation-transfer'!AI109</f>
        <v>3.7833333333333328</v>
      </c>
      <c r="O23" s="8">
        <f>'Evaluation-transfer'!AI245</f>
        <v>3.4499999999999997</v>
      </c>
      <c r="S23" s="65">
        <v>27.141666666666666</v>
      </c>
      <c r="T23" s="65">
        <v>26.5</v>
      </c>
    </row>
    <row r="24" spans="2:20">
      <c r="B24" t="s">
        <v>892</v>
      </c>
      <c r="C24" t="s">
        <v>1354</v>
      </c>
      <c r="D24" t="s">
        <v>1529</v>
      </c>
      <c r="E24" t="s">
        <v>1532</v>
      </c>
      <c r="F24" t="s">
        <v>1485</v>
      </c>
      <c r="G24">
        <v>8031</v>
      </c>
      <c r="H24">
        <v>20.7</v>
      </c>
      <c r="I24" s="65">
        <v>27.141666666666666</v>
      </c>
      <c r="J24" s="65">
        <v>2400</v>
      </c>
      <c r="K24" s="65">
        <v>138.15337499999998</v>
      </c>
      <c r="L24" s="61">
        <v>1.7202512140455734E-2</v>
      </c>
      <c r="M24" s="61">
        <v>0.29884198729921552</v>
      </c>
      <c r="N24" s="8">
        <f>'Evaluation-transfer'!AI110</f>
        <v>4.3499999999999996</v>
      </c>
      <c r="O24" s="8">
        <f>'Evaluation-transfer'!AI246</f>
        <v>3.4833333333333334</v>
      </c>
      <c r="S24" s="65">
        <v>27.141666666666666</v>
      </c>
      <c r="T24" s="65">
        <v>24</v>
      </c>
    </row>
    <row r="25" spans="2:20">
      <c r="B25" t="s">
        <v>1498</v>
      </c>
      <c r="C25" t="s">
        <v>1355</v>
      </c>
      <c r="D25" t="s">
        <v>1520</v>
      </c>
      <c r="E25" t="s">
        <v>1532</v>
      </c>
      <c r="F25" t="s">
        <v>1471</v>
      </c>
      <c r="G25">
        <v>6925</v>
      </c>
      <c r="H25">
        <v>22.4</v>
      </c>
      <c r="I25" s="65">
        <v>27.141666666666666</v>
      </c>
      <c r="J25" s="65">
        <v>3391.5178571428573</v>
      </c>
      <c r="K25" s="65">
        <v>281.77374441964287</v>
      </c>
      <c r="L25" s="61">
        <v>4.068934937467767E-2</v>
      </c>
      <c r="M25" s="61">
        <v>0.48974987106756063</v>
      </c>
      <c r="N25" s="8">
        <f>'Evaluation-transfer'!AI111</f>
        <v>6.1166666666666671</v>
      </c>
      <c r="O25" s="8">
        <f>'Evaluation-transfer'!AI247</f>
        <v>4.7166666666666668</v>
      </c>
      <c r="S25" s="65">
        <v>27.141666666666666</v>
      </c>
      <c r="T25" s="65">
        <v>28</v>
      </c>
    </row>
    <row r="26" spans="2:20">
      <c r="B26" t="s">
        <v>1502</v>
      </c>
      <c r="C26" t="s">
        <v>1356</v>
      </c>
      <c r="D26" t="s">
        <v>1524</v>
      </c>
      <c r="E26" t="s">
        <v>1532</v>
      </c>
      <c r="F26" t="s">
        <v>1468</v>
      </c>
      <c r="G26">
        <v>14729</v>
      </c>
      <c r="H26">
        <v>49</v>
      </c>
      <c r="I26" s="65">
        <v>27.141666666666666</v>
      </c>
      <c r="J26" s="65">
        <v>6384.85</v>
      </c>
      <c r="K26" s="65">
        <v>1313.4035503125006</v>
      </c>
      <c r="L26" s="61">
        <v>8.9171264193937172E-2</v>
      </c>
      <c r="M26" s="61">
        <v>0.43348835630389032</v>
      </c>
      <c r="N26" s="8">
        <f>'Evaluation-transfer'!AI112</f>
        <v>2.6833333333333331</v>
      </c>
      <c r="O26" s="8">
        <f>'Evaluation-transfer'!AI248</f>
        <v>2.6833333333333331</v>
      </c>
      <c r="S26" s="65">
        <v>27.141666666666666</v>
      </c>
      <c r="T26" s="65">
        <v>26.5</v>
      </c>
    </row>
    <row r="27" spans="2:20">
      <c r="B27" t="s">
        <v>1501</v>
      </c>
      <c r="C27" t="s">
        <v>1357</v>
      </c>
      <c r="D27" t="s">
        <v>1523</v>
      </c>
      <c r="E27" t="s">
        <v>1532</v>
      </c>
      <c r="F27" t="s">
        <v>1468</v>
      </c>
      <c r="G27">
        <v>8655</v>
      </c>
      <c r="H27">
        <v>152.5</v>
      </c>
      <c r="I27" s="65">
        <v>27.141666666666666</v>
      </c>
      <c r="J27" s="65">
        <v>3150</v>
      </c>
      <c r="K27" s="65">
        <v>978.07500000000005</v>
      </c>
      <c r="L27" s="61">
        <v>0.11300693240901213</v>
      </c>
      <c r="M27" s="61">
        <v>0.36395147313691506</v>
      </c>
      <c r="N27" s="8">
        <f>'Evaluation-transfer'!AI113</f>
        <v>4.8166666666666664</v>
      </c>
      <c r="O27" s="8">
        <f>'Evaluation-transfer'!AI249</f>
        <v>4.0833333333333339</v>
      </c>
      <c r="S27" s="65">
        <v>27.141666666666666</v>
      </c>
      <c r="T27" s="65">
        <v>26.5</v>
      </c>
    </row>
    <row r="28" spans="2:20">
      <c r="B28" t="s">
        <v>1495</v>
      </c>
      <c r="C28" t="s">
        <v>1358</v>
      </c>
      <c r="D28" t="s">
        <v>1518</v>
      </c>
      <c r="E28" t="s">
        <v>1531</v>
      </c>
      <c r="F28" t="s">
        <v>1471</v>
      </c>
      <c r="G28">
        <v>10573</v>
      </c>
      <c r="H28">
        <v>34.1</v>
      </c>
      <c r="I28" s="65">
        <v>27.141666666666666</v>
      </c>
      <c r="J28" s="65">
        <v>3485.5865102639295</v>
      </c>
      <c r="K28" s="65">
        <v>380.94829178885635</v>
      </c>
      <c r="L28" s="61">
        <v>3.6030293368850504E-2</v>
      </c>
      <c r="M28" s="61">
        <v>0.32966863806525393</v>
      </c>
      <c r="N28" s="8">
        <f>'Evaluation-transfer'!AI114</f>
        <v>5.25</v>
      </c>
      <c r="O28" s="8">
        <f>'Evaluation-transfer'!AI250</f>
        <v>3.85</v>
      </c>
      <c r="S28" s="65">
        <v>27.141666666666666</v>
      </c>
      <c r="T28" s="65">
        <v>27.141666666666666</v>
      </c>
    </row>
    <row r="29" spans="2:20">
      <c r="B29" t="s">
        <v>897</v>
      </c>
      <c r="C29" t="s">
        <v>1359</v>
      </c>
      <c r="D29" t="s">
        <v>1416</v>
      </c>
      <c r="E29" t="s">
        <v>1530</v>
      </c>
      <c r="F29" t="s">
        <v>1416</v>
      </c>
      <c r="G29">
        <v>66494</v>
      </c>
      <c r="H29">
        <v>26.4</v>
      </c>
      <c r="I29" s="65">
        <v>27.141666666666666</v>
      </c>
      <c r="J29" s="65">
        <v>35261.969696969696</v>
      </c>
      <c r="K29" s="65">
        <v>2507.4198952020201</v>
      </c>
      <c r="L29" s="61">
        <v>3.7708964646464643E-2</v>
      </c>
      <c r="M29" s="61">
        <v>0.53030303030303028</v>
      </c>
      <c r="N29" s="8">
        <f>'Evaluation-transfer'!AI115</f>
        <v>3.416666666666667</v>
      </c>
      <c r="O29" s="8">
        <f>'Evaluation-transfer'!AI251</f>
        <v>3.0833333333333335</v>
      </c>
      <c r="S29" s="65">
        <v>27.141666666666666</v>
      </c>
      <c r="T29" s="65">
        <v>26.5</v>
      </c>
    </row>
    <row r="30" spans="2:20">
      <c r="B30" t="s">
        <v>898</v>
      </c>
      <c r="C30" t="s">
        <v>1360</v>
      </c>
      <c r="D30" t="s">
        <v>1419</v>
      </c>
      <c r="E30" t="s">
        <v>1532</v>
      </c>
      <c r="F30" t="s">
        <v>1469</v>
      </c>
      <c r="G30">
        <v>7893</v>
      </c>
      <c r="H30">
        <v>11.5</v>
      </c>
      <c r="I30" s="65">
        <v>27.141666666666666</v>
      </c>
      <c r="J30" s="65">
        <v>1235.4260869565217</v>
      </c>
      <c r="K30" s="65">
        <v>165.161025</v>
      </c>
      <c r="L30" s="61">
        <v>2.0924999999999999E-2</v>
      </c>
      <c r="M30" s="61">
        <v>0.15652173913043477</v>
      </c>
      <c r="N30" s="8">
        <f>'Evaluation-transfer'!AI116</f>
        <v>4.8500000000000005</v>
      </c>
      <c r="O30" s="8">
        <f>'Evaluation-transfer'!AI252</f>
        <v>3.45</v>
      </c>
      <c r="S30" s="65">
        <v>27.141666666666666</v>
      </c>
      <c r="T30" s="65">
        <v>27.5</v>
      </c>
    </row>
    <row r="31" spans="2:20">
      <c r="B31" t="s">
        <v>899</v>
      </c>
      <c r="C31" t="s">
        <v>1361</v>
      </c>
      <c r="D31" t="s">
        <v>1381</v>
      </c>
      <c r="E31" t="s">
        <v>1532</v>
      </c>
      <c r="F31" t="s">
        <v>1471</v>
      </c>
      <c r="G31">
        <v>6205</v>
      </c>
      <c r="H31">
        <v>19.789568751411153</v>
      </c>
      <c r="I31" s="65">
        <v>27.141666666666666</v>
      </c>
      <c r="J31" s="65">
        <v>1881.2941538882801</v>
      </c>
      <c r="K31" s="65">
        <v>553.59156727050254</v>
      </c>
      <c r="L31" s="61">
        <v>8.9217013258743358E-2</v>
      </c>
      <c r="M31" s="61">
        <v>0.30319003285870749</v>
      </c>
      <c r="N31" s="8">
        <f>'Evaluation-transfer'!AI117</f>
        <v>3.8333333333333335</v>
      </c>
      <c r="O31" s="8">
        <f>'Evaluation-transfer'!AI253</f>
        <v>3.4333333333333331</v>
      </c>
      <c r="S31" s="65">
        <v>27.141666666666666</v>
      </c>
      <c r="T31" s="65">
        <v>27.141666666666666</v>
      </c>
    </row>
    <row r="32" spans="2:20">
      <c r="B32" t="s">
        <v>1497</v>
      </c>
      <c r="C32" t="s">
        <v>1362</v>
      </c>
      <c r="D32" t="s">
        <v>1384</v>
      </c>
      <c r="E32" t="s">
        <v>1530</v>
      </c>
      <c r="F32" t="s">
        <v>1471</v>
      </c>
      <c r="G32">
        <v>63675</v>
      </c>
      <c r="H32">
        <v>23.5</v>
      </c>
      <c r="I32" s="65">
        <v>27.141666666666666</v>
      </c>
      <c r="J32" s="65">
        <v>8427.978723404256</v>
      </c>
      <c r="K32" s="65">
        <v>828.76523936170213</v>
      </c>
      <c r="L32" s="61">
        <v>1.3015551462296068E-2</v>
      </c>
      <c r="M32" s="61">
        <v>0.13235930464710258</v>
      </c>
      <c r="N32" s="8">
        <f>'Evaluation-transfer'!AI118</f>
        <v>1.7666666666666664</v>
      </c>
      <c r="O32" s="8">
        <f>'Evaluation-transfer'!AI254</f>
        <v>1.7666666666666664</v>
      </c>
      <c r="S32" s="65">
        <v>27.141666666666666</v>
      </c>
      <c r="T32" s="65">
        <v>27.141666666666666</v>
      </c>
    </row>
    <row r="33" spans="2:20">
      <c r="B33" t="s">
        <v>1467</v>
      </c>
      <c r="C33" t="s">
        <v>1363</v>
      </c>
      <c r="D33" t="s">
        <v>1505</v>
      </c>
      <c r="E33" t="s">
        <v>1532</v>
      </c>
      <c r="F33" t="s">
        <v>1468</v>
      </c>
      <c r="G33">
        <v>16309</v>
      </c>
      <c r="H33">
        <v>59.8</v>
      </c>
      <c r="I33" s="65">
        <v>27.141666666666666</v>
      </c>
      <c r="J33" s="65">
        <v>1745.4448160535117</v>
      </c>
      <c r="K33" s="65">
        <v>77.859793269230764</v>
      </c>
      <c r="L33" s="61">
        <v>4.7740384615384615E-3</v>
      </c>
      <c r="M33" s="61">
        <v>0.10702341137123746</v>
      </c>
      <c r="N33" s="8">
        <f>'Evaluation-transfer'!AI119</f>
        <v>4.6833333333333336</v>
      </c>
      <c r="O33" s="8">
        <f>'Evaluation-transfer'!AI255</f>
        <v>3.1500000000000004</v>
      </c>
      <c r="S33" s="65">
        <v>27.141666666666666</v>
      </c>
      <c r="T33" s="65">
        <v>26.5</v>
      </c>
    </row>
    <row r="34" spans="2:20">
      <c r="B34" t="s">
        <v>1493</v>
      </c>
      <c r="C34" t="s">
        <v>1364</v>
      </c>
      <c r="D34" t="s">
        <v>1516</v>
      </c>
      <c r="E34" t="s">
        <v>1532</v>
      </c>
      <c r="F34" t="s">
        <v>1468</v>
      </c>
      <c r="G34">
        <v>12355</v>
      </c>
      <c r="H34">
        <v>111.2</v>
      </c>
      <c r="I34" s="65">
        <v>27.141666666666666</v>
      </c>
      <c r="J34" s="65">
        <v>755.52158273381281</v>
      </c>
      <c r="K34" s="65">
        <v>38.810754833633105</v>
      </c>
      <c r="L34" s="61">
        <v>3.1412994604316557E-3</v>
      </c>
      <c r="M34" s="61">
        <v>6.1151079136690635E-2</v>
      </c>
      <c r="N34" s="8">
        <f>'Evaluation-transfer'!AI120</f>
        <v>4.7833333333333332</v>
      </c>
      <c r="O34" s="8">
        <f>'Evaluation-transfer'!AI256</f>
        <v>4.1166666666666671</v>
      </c>
      <c r="S34" s="65">
        <v>27.141666666666666</v>
      </c>
      <c r="T34" s="65">
        <v>26.5</v>
      </c>
    </row>
    <row r="35" spans="2:20">
      <c r="B35" t="s">
        <v>903</v>
      </c>
      <c r="C35" t="s">
        <v>1365</v>
      </c>
      <c r="D35" t="s">
        <v>1393</v>
      </c>
      <c r="E35" t="s">
        <v>1532</v>
      </c>
      <c r="F35" t="s">
        <v>1468</v>
      </c>
      <c r="G35">
        <v>13585</v>
      </c>
      <c r="H35">
        <v>318.7</v>
      </c>
      <c r="I35" s="65">
        <v>27.141666666666666</v>
      </c>
      <c r="J35" s="65">
        <v>289.85880138060872</v>
      </c>
      <c r="K35" s="65">
        <v>14.889897434891749</v>
      </c>
      <c r="L35" s="61">
        <v>1.0960542830247882E-3</v>
      </c>
      <c r="M35" s="61">
        <v>2.1336680263570756E-2</v>
      </c>
      <c r="N35" s="8">
        <f>'Evaluation-transfer'!AI121</f>
        <v>2.75</v>
      </c>
      <c r="O35" s="8">
        <f>'Evaluation-transfer'!AI257</f>
        <v>2.4166666666666665</v>
      </c>
      <c r="S35" s="65">
        <v>27.141666666666666</v>
      </c>
      <c r="T35" s="65">
        <v>26.5</v>
      </c>
    </row>
    <row r="36" spans="2:20">
      <c r="B36" t="s">
        <v>1482</v>
      </c>
      <c r="C36" t="s">
        <v>1366</v>
      </c>
      <c r="D36" t="s">
        <v>1513</v>
      </c>
      <c r="E36" t="s">
        <v>1532</v>
      </c>
      <c r="F36" t="s">
        <v>1483</v>
      </c>
      <c r="G36">
        <v>7100</v>
      </c>
      <c r="H36">
        <v>120</v>
      </c>
      <c r="I36" s="65">
        <v>28.008333333333333</v>
      </c>
      <c r="J36" s="65">
        <v>426</v>
      </c>
      <c r="K36" s="65">
        <v>34.088875000000002</v>
      </c>
      <c r="L36" s="61">
        <v>4.80125E-3</v>
      </c>
      <c r="M36" s="61">
        <v>0.06</v>
      </c>
      <c r="N36" s="8">
        <f>'Evaluation-transfer'!AI122</f>
        <v>4.1500000000000004</v>
      </c>
      <c r="O36" s="8">
        <f>'Evaluation-transfer'!AI258</f>
        <v>3.2833333333333332</v>
      </c>
      <c r="S36" s="65">
        <v>28.008333333333333</v>
      </c>
      <c r="T36" s="65">
        <v>28.008333333333333</v>
      </c>
    </row>
    <row r="37" spans="2:20">
      <c r="B37" t="s">
        <v>905</v>
      </c>
      <c r="C37" t="s">
        <v>1367</v>
      </c>
      <c r="D37" t="s">
        <v>1399</v>
      </c>
      <c r="E37" t="s">
        <v>1531</v>
      </c>
      <c r="F37" t="s">
        <v>1476</v>
      </c>
      <c r="G37">
        <v>30654</v>
      </c>
      <c r="H37">
        <v>21.1</v>
      </c>
      <c r="I37" s="65">
        <v>27.141666666666666</v>
      </c>
      <c r="J37" s="65">
        <v>12929.886255924168</v>
      </c>
      <c r="K37" s="65">
        <v>862.71578850710875</v>
      </c>
      <c r="L37" s="61">
        <v>2.814366113744075E-2</v>
      </c>
      <c r="M37" s="61">
        <v>0.42180094786729849</v>
      </c>
      <c r="N37" s="8">
        <f>'Evaluation-transfer'!AI123</f>
        <v>4.0333333333333332</v>
      </c>
      <c r="O37" s="8">
        <f>'Evaluation-transfer'!AI259</f>
        <v>3.3833333333333333</v>
      </c>
      <c r="S37" s="65">
        <v>27.141666666666666</v>
      </c>
      <c r="T37" s="65">
        <v>27.141666666666666</v>
      </c>
    </row>
    <row r="38" spans="2:20">
      <c r="B38" t="s">
        <v>1504</v>
      </c>
      <c r="C38" t="s">
        <v>1368</v>
      </c>
      <c r="D38" t="s">
        <v>1526</v>
      </c>
      <c r="E38" t="s">
        <v>1531</v>
      </c>
      <c r="F38" t="s">
        <v>1471</v>
      </c>
      <c r="G38">
        <v>5911</v>
      </c>
      <c r="H38">
        <v>12</v>
      </c>
      <c r="I38" s="65">
        <v>27.141666666666666</v>
      </c>
      <c r="J38" s="65">
        <v>502.43499999999995</v>
      </c>
      <c r="K38" s="65">
        <v>26.001011249999998</v>
      </c>
      <c r="L38" s="61">
        <v>4.3987499999999999E-3</v>
      </c>
      <c r="M38" s="61">
        <v>8.4999999999999992E-2</v>
      </c>
      <c r="N38" s="8">
        <f>'Evaluation-transfer'!AI124</f>
        <v>4.4833333333333334</v>
      </c>
      <c r="O38" s="8">
        <f>'Evaluation-transfer'!AI260</f>
        <v>4.1500000000000004</v>
      </c>
      <c r="S38" s="65">
        <v>27.141666666666666</v>
      </c>
      <c r="T38" s="65">
        <v>27.141666666666666</v>
      </c>
    </row>
    <row r="39" spans="2:20">
      <c r="B39" t="s">
        <v>907</v>
      </c>
      <c r="C39" t="s">
        <v>1369</v>
      </c>
      <c r="D39" t="s">
        <v>1405</v>
      </c>
      <c r="E39" t="s">
        <v>1531</v>
      </c>
      <c r="F39" t="s">
        <v>1471</v>
      </c>
      <c r="G39">
        <v>13988</v>
      </c>
      <c r="H39">
        <v>22.6</v>
      </c>
      <c r="I39" s="65">
        <v>27.141666666666666</v>
      </c>
      <c r="J39" s="65">
        <v>3500</v>
      </c>
      <c r="K39" s="65">
        <v>336.375</v>
      </c>
      <c r="L39" s="61">
        <v>2.404739776951673E-2</v>
      </c>
      <c r="M39" s="61">
        <v>0.25021446954532456</v>
      </c>
      <c r="N39" s="8">
        <f>'Evaluation-transfer'!AI125</f>
        <v>7.7166666666666659</v>
      </c>
      <c r="O39" s="8">
        <f>'Evaluation-transfer'!AI261</f>
        <v>4.8833333333333337</v>
      </c>
      <c r="S39" s="65">
        <v>27.141666666666666</v>
      </c>
      <c r="T39" s="65">
        <v>27.141666666666666</v>
      </c>
    </row>
    <row r="40" spans="2:20">
      <c r="B40" t="s">
        <v>908</v>
      </c>
      <c r="C40" t="s">
        <v>1370</v>
      </c>
      <c r="D40" t="s">
        <v>1408</v>
      </c>
      <c r="E40" t="s">
        <v>1532</v>
      </c>
      <c r="F40" t="s">
        <v>1474</v>
      </c>
      <c r="G40">
        <v>4898</v>
      </c>
      <c r="H40">
        <v>55.1</v>
      </c>
      <c r="I40" s="65">
        <v>28.008333333333333</v>
      </c>
      <c r="J40" s="65">
        <v>978.71107078039927</v>
      </c>
      <c r="K40" s="65">
        <v>70.222185980036286</v>
      </c>
      <c r="L40" s="61">
        <v>1.433691016333938E-2</v>
      </c>
      <c r="M40" s="61">
        <v>0.19981851179673321</v>
      </c>
      <c r="N40" s="8">
        <f>'Evaluation-transfer'!AI126</f>
        <v>6.3833333333333329</v>
      </c>
      <c r="O40" s="8">
        <f>'Evaluation-transfer'!AI262</f>
        <v>5.7833333333333332</v>
      </c>
      <c r="S40" s="65">
        <v>28.008333333333333</v>
      </c>
      <c r="T40" s="65">
        <v>29.5</v>
      </c>
    </row>
    <row r="41" spans="2:20">
      <c r="B41" t="s">
        <v>1500</v>
      </c>
      <c r="C41" t="s">
        <v>1371</v>
      </c>
      <c r="D41" t="s">
        <v>1522</v>
      </c>
      <c r="E41" t="s">
        <v>1531</v>
      </c>
      <c r="F41" t="s">
        <v>1471</v>
      </c>
      <c r="G41">
        <v>26073</v>
      </c>
      <c r="H41">
        <v>55.7</v>
      </c>
      <c r="I41" s="65">
        <v>27.141666666666666</v>
      </c>
      <c r="J41" s="65">
        <v>4000</v>
      </c>
      <c r="K41" s="65">
        <v>2174.6102558348293</v>
      </c>
      <c r="L41" s="61">
        <v>8.3404681311503442E-2</v>
      </c>
      <c r="M41" s="61">
        <v>0.15341541057799257</v>
      </c>
      <c r="N41" s="8">
        <f>'Evaluation-transfer'!AI127</f>
        <v>4.2833333333333332</v>
      </c>
      <c r="O41" s="8">
        <f>'Evaluation-transfer'!AI263</f>
        <v>3.4166666666666665</v>
      </c>
      <c r="S41" s="65">
        <v>27.141666666666666</v>
      </c>
      <c r="T41" s="65">
        <v>27.141666666666666</v>
      </c>
    </row>
    <row r="42" spans="2:20">
      <c r="B42" t="s">
        <v>1571</v>
      </c>
      <c r="C42" t="s">
        <v>1372</v>
      </c>
      <c r="D42" t="s">
        <v>1414</v>
      </c>
      <c r="E42" t="s">
        <v>1532</v>
      </c>
      <c r="F42" t="s">
        <v>1468</v>
      </c>
      <c r="G42">
        <v>8395</v>
      </c>
      <c r="H42">
        <v>75</v>
      </c>
      <c r="I42" s="65">
        <v>27.141666666666666</v>
      </c>
      <c r="J42" s="65">
        <v>761.14666666666653</v>
      </c>
      <c r="K42" s="65">
        <v>39.09971250000001</v>
      </c>
      <c r="L42" s="61">
        <v>4.657500000000001E-3</v>
      </c>
      <c r="M42" s="61">
        <v>9.0666666666666645E-2</v>
      </c>
      <c r="N42" s="8">
        <f>'Evaluation-transfer'!AI128</f>
        <v>2.75</v>
      </c>
      <c r="O42" s="8">
        <f>'Evaluation-transfer'!AI264</f>
        <v>2.4166666666666665</v>
      </c>
      <c r="S42" s="65">
        <v>27.141666666666666</v>
      </c>
      <c r="T42" s="65">
        <v>26.5</v>
      </c>
    </row>
    <row r="43" spans="2:20">
      <c r="B43" t="s">
        <v>1494</v>
      </c>
      <c r="C43" t="s">
        <v>1373</v>
      </c>
      <c r="D43" t="s">
        <v>1517</v>
      </c>
      <c r="E43" t="s">
        <v>1532</v>
      </c>
      <c r="F43" t="s">
        <v>1468</v>
      </c>
      <c r="G43">
        <v>6880</v>
      </c>
      <c r="H43">
        <v>18.100000000000001</v>
      </c>
      <c r="I43" s="65">
        <v>27.141666666666666</v>
      </c>
      <c r="J43" s="65">
        <v>2508.7292817679554</v>
      </c>
      <c r="K43" s="65">
        <v>131.79381215469616</v>
      </c>
      <c r="L43" s="61">
        <v>1.9156077348066302E-2</v>
      </c>
      <c r="M43" s="61">
        <v>0.36464088397790051</v>
      </c>
      <c r="N43" s="8">
        <f>'Evaluation-transfer'!AI129</f>
        <v>4.45</v>
      </c>
      <c r="O43" s="8">
        <f>'Evaluation-transfer'!AI265</f>
        <v>3.7833333333333332</v>
      </c>
      <c r="S43" s="65">
        <v>27.141666666666666</v>
      </c>
      <c r="T43" s="65">
        <v>26.5</v>
      </c>
    </row>
    <row r="50" spans="2:28">
      <c r="E50" t="s">
        <v>1560</v>
      </c>
      <c r="F50" t="s">
        <v>1558</v>
      </c>
      <c r="G50" t="s">
        <v>1561</v>
      </c>
      <c r="H50" t="s">
        <v>1562</v>
      </c>
      <c r="I50" s="65" t="s">
        <v>1563</v>
      </c>
      <c r="J50" s="65" t="s">
        <v>1564</v>
      </c>
      <c r="K50" s="65" t="s">
        <v>1565</v>
      </c>
      <c r="L50" s="61" t="s">
        <v>1566</v>
      </c>
      <c r="M50" s="61" t="s">
        <v>1567</v>
      </c>
      <c r="N50" s="65" t="s">
        <v>1568</v>
      </c>
      <c r="O50" s="65" t="s">
        <v>1569</v>
      </c>
      <c r="AB50" t="s">
        <v>1559</v>
      </c>
    </row>
    <row r="51" spans="2:28">
      <c r="E51" t="s">
        <v>1547</v>
      </c>
      <c r="F51" t="s">
        <v>1548</v>
      </c>
      <c r="G51" t="s">
        <v>1549</v>
      </c>
      <c r="H51" t="s">
        <v>1550</v>
      </c>
      <c r="I51" s="65" t="s">
        <v>1551</v>
      </c>
      <c r="J51" s="65" t="s">
        <v>1552</v>
      </c>
      <c r="K51" s="65" t="s">
        <v>1553</v>
      </c>
      <c r="L51" s="61" t="s">
        <v>1554</v>
      </c>
      <c r="M51" s="61" t="s">
        <v>1555</v>
      </c>
      <c r="N51" t="s">
        <v>1556</v>
      </c>
      <c r="O51" t="s">
        <v>1557</v>
      </c>
    </row>
    <row r="52" spans="2:28">
      <c r="B52" t="s">
        <v>1544</v>
      </c>
      <c r="D52" t="s">
        <v>1532</v>
      </c>
      <c r="E52">
        <v>24</v>
      </c>
      <c r="F52" s="22">
        <v>69.946439999999996</v>
      </c>
      <c r="G52" s="22">
        <v>66.837789999999998</v>
      </c>
      <c r="H52" s="22">
        <v>4467.2902700000004</v>
      </c>
      <c r="I52" s="22">
        <v>2.4002599999999998</v>
      </c>
      <c r="J52" s="65">
        <v>6.4</v>
      </c>
      <c r="K52" s="65">
        <v>21.55</v>
      </c>
      <c r="L52" s="61">
        <v>54.8</v>
      </c>
      <c r="M52" s="61">
        <v>95.8</v>
      </c>
      <c r="N52">
        <v>318.7</v>
      </c>
      <c r="O52">
        <v>312.3</v>
      </c>
    </row>
    <row r="53" spans="2:28">
      <c r="D53" t="s">
        <v>1530</v>
      </c>
      <c r="E53">
        <v>4</v>
      </c>
      <c r="F53" s="22">
        <v>21.625</v>
      </c>
      <c r="G53" s="22">
        <v>4.0582200000000004</v>
      </c>
      <c r="H53" s="22">
        <v>16.469169999999998</v>
      </c>
      <c r="I53" s="22">
        <v>0.32088</v>
      </c>
      <c r="J53" s="65">
        <v>17.600000000000001</v>
      </c>
      <c r="K53" s="65">
        <v>18.3</v>
      </c>
      <c r="L53" s="61">
        <v>21.25</v>
      </c>
      <c r="M53" s="61">
        <v>24.95</v>
      </c>
      <c r="N53">
        <v>26.4</v>
      </c>
      <c r="O53">
        <v>8.8000000000000007</v>
      </c>
    </row>
    <row r="54" spans="2:28">
      <c r="D54" t="s">
        <v>1531</v>
      </c>
      <c r="E54">
        <v>13</v>
      </c>
      <c r="F54" s="22">
        <v>27.75385</v>
      </c>
      <c r="G54" s="22">
        <v>14.679040000000001</v>
      </c>
      <c r="H54" s="22">
        <v>215.47435999999999</v>
      </c>
      <c r="I54" s="22">
        <v>0.81471000000000005</v>
      </c>
      <c r="J54" s="65">
        <v>7.1</v>
      </c>
      <c r="K54" s="65">
        <v>19.899999999999999</v>
      </c>
      <c r="L54" s="61">
        <v>22.6</v>
      </c>
      <c r="M54" s="61">
        <v>34.1</v>
      </c>
      <c r="N54">
        <v>55.7</v>
      </c>
      <c r="O54">
        <v>48.6</v>
      </c>
    </row>
    <row r="55" spans="2:28">
      <c r="B55" t="s">
        <v>1546</v>
      </c>
      <c r="D55" t="s">
        <v>1532</v>
      </c>
      <c r="E55">
        <v>24</v>
      </c>
      <c r="F55" s="22">
        <v>9798.625</v>
      </c>
      <c r="G55" s="22">
        <v>3612.6279800000002</v>
      </c>
      <c r="H55" s="22">
        <v>13051100</v>
      </c>
      <c r="I55" s="22">
        <v>1.05376</v>
      </c>
      <c r="J55" s="65">
        <v>4898</v>
      </c>
      <c r="K55" s="65">
        <v>7012.5</v>
      </c>
      <c r="L55" s="61">
        <v>8237</v>
      </c>
      <c r="M55" s="61">
        <v>12144.5</v>
      </c>
      <c r="N55">
        <v>19437</v>
      </c>
      <c r="O55">
        <v>14539</v>
      </c>
    </row>
    <row r="56" spans="2:28">
      <c r="D56" t="s">
        <v>1530</v>
      </c>
      <c r="E56">
        <v>4</v>
      </c>
      <c r="F56" s="22">
        <v>52036</v>
      </c>
      <c r="G56" s="22">
        <v>15137.981750000001</v>
      </c>
      <c r="H56" s="22">
        <v>229158000</v>
      </c>
      <c r="I56" s="22">
        <v>1.1469999999999999E-2</v>
      </c>
      <c r="J56" s="65">
        <v>37881</v>
      </c>
      <c r="K56" s="65">
        <v>38987.5</v>
      </c>
      <c r="L56" s="61">
        <v>51884.5</v>
      </c>
      <c r="M56" s="61">
        <v>65084.5</v>
      </c>
      <c r="N56">
        <v>66494</v>
      </c>
      <c r="O56">
        <v>28613</v>
      </c>
    </row>
    <row r="57" spans="2:28">
      <c r="D57" t="s">
        <v>1531</v>
      </c>
      <c r="E57">
        <v>13</v>
      </c>
      <c r="F57" s="22">
        <v>17425.46154</v>
      </c>
      <c r="G57" s="22">
        <v>9032.45298</v>
      </c>
      <c r="H57" s="22">
        <v>81585200</v>
      </c>
      <c r="I57" s="22">
        <v>0.89378999999999997</v>
      </c>
      <c r="J57" s="65">
        <v>5911</v>
      </c>
      <c r="K57" s="65">
        <v>10711</v>
      </c>
      <c r="L57" s="61">
        <v>13988</v>
      </c>
      <c r="M57" s="61">
        <v>21353</v>
      </c>
      <c r="N57">
        <v>36305</v>
      </c>
      <c r="O57">
        <v>30394</v>
      </c>
    </row>
    <row r="58" spans="2:28">
      <c r="B58" t="s">
        <v>1535</v>
      </c>
      <c r="D58" t="s">
        <v>1532</v>
      </c>
      <c r="E58">
        <v>24</v>
      </c>
      <c r="F58" s="22">
        <v>27.25</v>
      </c>
      <c r="G58" s="22">
        <v>0.29278999999999999</v>
      </c>
      <c r="H58" s="22">
        <v>8.5720000000000005E-2</v>
      </c>
      <c r="I58" s="22">
        <v>2.4218600000000001</v>
      </c>
      <c r="J58" s="65">
        <v>27.141670000000001</v>
      </c>
      <c r="K58" s="65">
        <v>27.141670000000001</v>
      </c>
      <c r="L58" s="61">
        <v>27.141670000000001</v>
      </c>
      <c r="M58" s="61">
        <v>27.141670000000001</v>
      </c>
      <c r="N58">
        <v>28.008330000000001</v>
      </c>
      <c r="O58">
        <v>0.86667000000000005</v>
      </c>
    </row>
    <row r="59" spans="2:28">
      <c r="D59" t="s">
        <v>1530</v>
      </c>
      <c r="E59">
        <v>4</v>
      </c>
      <c r="F59" s="22">
        <v>27.358329999999999</v>
      </c>
      <c r="G59" s="22">
        <v>0.43332999999999999</v>
      </c>
      <c r="H59" s="22">
        <v>0.18778</v>
      </c>
      <c r="I59" s="22">
        <v>2</v>
      </c>
      <c r="J59" s="65">
        <v>27.141670000000001</v>
      </c>
      <c r="K59" s="65">
        <v>27.141670000000001</v>
      </c>
      <c r="L59" s="61">
        <v>27.141670000000001</v>
      </c>
      <c r="M59" s="61">
        <v>27.574999999999999</v>
      </c>
      <c r="N59">
        <v>28.008330000000001</v>
      </c>
      <c r="O59">
        <v>0.86667000000000005</v>
      </c>
    </row>
    <row r="60" spans="2:28">
      <c r="D60" t="s">
        <v>1531</v>
      </c>
      <c r="E60">
        <v>13</v>
      </c>
      <c r="F60" s="22">
        <v>27.20833</v>
      </c>
      <c r="G60" s="22">
        <v>0.24037</v>
      </c>
      <c r="H60" s="22">
        <v>5.7779999999999998E-2</v>
      </c>
      <c r="I60" s="22">
        <v>3.60555</v>
      </c>
      <c r="J60" s="65">
        <v>27.141670000000001</v>
      </c>
      <c r="K60" s="65">
        <v>27.141670000000001</v>
      </c>
      <c r="L60" s="61">
        <v>27.141670000000001</v>
      </c>
      <c r="M60" s="61">
        <v>27.141670000000001</v>
      </c>
      <c r="N60">
        <v>28.008330000000001</v>
      </c>
      <c r="O60">
        <v>0.86667000000000005</v>
      </c>
    </row>
  </sheetData>
  <autoFilter ref="B2:AB43" xr:uid="{31F8AC5F-9DF4-4157-AB4B-376FFA4C321A}"/>
  <sortState xmlns:xlrd2="http://schemas.microsoft.com/office/spreadsheetml/2017/richdata2" ref="B3:M43">
    <sortCondition ref="C3:C43"/>
  </sortState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D4D8-E9C0-4EA9-AF63-F51D5BCF53F2}">
  <dimension ref="A2:AA63"/>
  <sheetViews>
    <sheetView zoomScale="61" workbookViewId="0">
      <selection activeCell="S76" sqref="S76"/>
    </sheetView>
  </sheetViews>
  <sheetFormatPr defaultRowHeight="13.8"/>
  <cols>
    <col min="1" max="1" width="9.77734375" bestFit="1" customWidth="1"/>
    <col min="2" max="2" width="11.5546875" bestFit="1" customWidth="1"/>
    <col min="3" max="9" width="14.109375" style="66" bestFit="1" customWidth="1"/>
    <col min="10" max="10" width="12.88671875" style="66" bestFit="1" customWidth="1"/>
    <col min="11" max="12" width="14.109375" style="66" bestFit="1" customWidth="1"/>
    <col min="13" max="13" width="7.6640625" style="66" bestFit="1" customWidth="1"/>
    <col min="14" max="14" width="8.88671875" style="16"/>
    <col min="15" max="15" width="9.77734375" bestFit="1" customWidth="1"/>
    <col min="16" max="16" width="11.5546875" bestFit="1" customWidth="1"/>
    <col min="17" max="17" width="14.109375" style="66" bestFit="1" customWidth="1"/>
    <col min="18" max="18" width="12.77734375" style="66" bestFit="1" customWidth="1"/>
    <col min="19" max="21" width="14.109375" style="66" bestFit="1" customWidth="1"/>
    <col min="22" max="22" width="12.88671875" style="66" bestFit="1" customWidth="1"/>
    <col min="23" max="23" width="14.109375" style="66" bestFit="1" customWidth="1"/>
    <col min="24" max="24" width="12.88671875" style="66" bestFit="1" customWidth="1"/>
    <col min="25" max="26" width="14.109375" style="66" bestFit="1" customWidth="1"/>
    <col min="27" max="27" width="7.109375" style="66" bestFit="1" customWidth="1"/>
  </cols>
  <sheetData>
    <row r="2" spans="1:27">
      <c r="A2" t="str">
        <f>machine_learning!C2</f>
        <v>PMCcode</v>
      </c>
      <c r="B2" t="str">
        <f>machine_learning!E2</f>
        <v>Tier System</v>
      </c>
      <c r="C2" s="66" t="str">
        <f>'Evaluation-transfer'!N271</f>
        <v>X1</v>
      </c>
      <c r="D2" s="66" t="str">
        <f>'Evaluation-transfer'!O271</f>
        <v>X2</v>
      </c>
      <c r="E2" s="66" t="str">
        <f>'Evaluation-transfer'!P271</f>
        <v>X3</v>
      </c>
      <c r="F2" s="66" t="str">
        <f>'Evaluation-transfer'!Q271</f>
        <v>X4</v>
      </c>
      <c r="G2" s="66" t="str">
        <f>'Evaluation-transfer'!R271</f>
        <v>X5</v>
      </c>
      <c r="H2" s="66" t="str">
        <f>'Evaluation-transfer'!S271</f>
        <v>X6</v>
      </c>
      <c r="I2" s="66" t="str">
        <f>'Evaluation-transfer'!T271</f>
        <v>X7</v>
      </c>
      <c r="J2" s="66" t="str">
        <f>'Evaluation-transfer'!U271</f>
        <v>X8</v>
      </c>
      <c r="K2" s="66" t="str">
        <f>'Evaluation-transfer'!V271</f>
        <v>X9</v>
      </c>
      <c r="L2" s="66" t="str">
        <f>'Evaluation-transfer'!W271</f>
        <v>X10</v>
      </c>
      <c r="M2" s="66" t="str">
        <f>'Evaluation-transfer'!X271</f>
        <v>PMC-T</v>
      </c>
      <c r="O2" t="str">
        <f>A2</f>
        <v>PMCcode</v>
      </c>
      <c r="P2" t="str">
        <f>B2</f>
        <v>Tier System</v>
      </c>
      <c r="Q2" s="66" t="str">
        <f>'Evaluation-transfer'!AC271</f>
        <v>X1</v>
      </c>
      <c r="R2" s="66" t="str">
        <f>'Evaluation-transfer'!AD271</f>
        <v>X2</v>
      </c>
      <c r="S2" s="66" t="str">
        <f>'Evaluation-transfer'!AE271</f>
        <v>X3</v>
      </c>
      <c r="T2" s="66" t="str">
        <f>'Evaluation-transfer'!AF271</f>
        <v>X4</v>
      </c>
      <c r="U2" s="66" t="str">
        <f>'Evaluation-transfer'!AG271</f>
        <v>X5</v>
      </c>
      <c r="V2" s="66" t="str">
        <f>'Evaluation-transfer'!AH271</f>
        <v>X6</v>
      </c>
      <c r="W2" s="66" t="str">
        <f>'Evaluation-transfer'!AI271</f>
        <v>X7</v>
      </c>
      <c r="X2" s="66" t="str">
        <f>'Evaluation-transfer'!AJ271</f>
        <v>X8</v>
      </c>
      <c r="Y2" s="66" t="str">
        <f>'Evaluation-transfer'!AK271</f>
        <v>X9</v>
      </c>
      <c r="Z2" s="66" t="str">
        <f>'Evaluation-transfer'!AL271</f>
        <v>X10</v>
      </c>
      <c r="AA2" s="66" t="str">
        <f>'Evaluation-transfer'!AM271</f>
        <v>PMC-I</v>
      </c>
    </row>
    <row r="3" spans="1:27">
      <c r="A3" t="str">
        <f>machine_learning!C3</f>
        <v>P1</v>
      </c>
      <c r="B3" t="str">
        <f>machine_learning!E3</f>
        <v>Third Tier</v>
      </c>
      <c r="C3" s="66">
        <f>'Evaluation-transfer'!N272</f>
        <v>0.33333333333333331</v>
      </c>
      <c r="D3" s="66">
        <f>'Evaluation-transfer'!O272</f>
        <v>0</v>
      </c>
      <c r="E3" s="66">
        <f>'Evaluation-transfer'!P272</f>
        <v>0.33333333333333331</v>
      </c>
      <c r="F3" s="66">
        <f>'Evaluation-transfer'!Q272</f>
        <v>0.5</v>
      </c>
      <c r="G3" s="66">
        <f>'Evaluation-transfer'!R272</f>
        <v>0.8</v>
      </c>
      <c r="H3" s="66">
        <f>'Evaluation-transfer'!S272</f>
        <v>0.66666666666666663</v>
      </c>
      <c r="I3" s="66">
        <f>'Evaluation-transfer'!T272</f>
        <v>0</v>
      </c>
      <c r="J3" s="66">
        <f>'Evaluation-transfer'!U272</f>
        <v>0</v>
      </c>
      <c r="K3" s="66">
        <f>'Evaluation-transfer'!V272</f>
        <v>0.4</v>
      </c>
      <c r="L3" s="66">
        <f>'Evaluation-transfer'!W272</f>
        <v>0</v>
      </c>
      <c r="M3" s="66">
        <f>'Evaluation-transfer'!X272</f>
        <v>3.0333333333333332</v>
      </c>
      <c r="O3" t="str">
        <f t="shared" ref="O3:O43" si="0">A3</f>
        <v>P1</v>
      </c>
      <c r="P3" t="str">
        <f t="shared" ref="P3:P43" si="1">B3</f>
        <v>Third Tier</v>
      </c>
      <c r="Q3" s="66">
        <f>'Evaluation-transfer'!AC272</f>
        <v>0.33333333333333331</v>
      </c>
      <c r="R3" s="66">
        <f>'Evaluation-transfer'!AD272</f>
        <v>0</v>
      </c>
      <c r="S3" s="66">
        <f>'Evaluation-transfer'!AE272</f>
        <v>0.33333333333333331</v>
      </c>
      <c r="T3" s="66">
        <f>'Evaluation-transfer'!AF272</f>
        <v>0.5</v>
      </c>
      <c r="U3" s="66">
        <f>'Evaluation-transfer'!AG272</f>
        <v>0.8</v>
      </c>
      <c r="V3" s="66">
        <f>'Evaluation-transfer'!AH272</f>
        <v>0.66666666666666663</v>
      </c>
      <c r="W3" s="66">
        <f>'Evaluation-transfer'!AI272</f>
        <v>0</v>
      </c>
      <c r="X3" s="66">
        <f>'Evaluation-transfer'!AJ272</f>
        <v>0</v>
      </c>
      <c r="Y3" s="66">
        <f>'Evaluation-transfer'!AK272</f>
        <v>0.4</v>
      </c>
      <c r="Z3" s="66">
        <f>'Evaluation-transfer'!AL272</f>
        <v>0</v>
      </c>
      <c r="AA3" s="66">
        <f>'Evaluation-transfer'!AM272</f>
        <v>3.0333333333333332</v>
      </c>
    </row>
    <row r="4" spans="1:27">
      <c r="A4" t="str">
        <f>machine_learning!C4</f>
        <v>P2</v>
      </c>
      <c r="B4" t="str">
        <f>machine_learning!E4</f>
        <v>Third Tier</v>
      </c>
      <c r="C4" s="66">
        <f>'Evaluation-transfer'!N273</f>
        <v>0.33333333333333331</v>
      </c>
      <c r="D4" s="66">
        <f>'Evaluation-transfer'!O273</f>
        <v>0.25</v>
      </c>
      <c r="E4" s="66">
        <f>'Evaluation-transfer'!P273</f>
        <v>0</v>
      </c>
      <c r="F4" s="66">
        <f>'Evaluation-transfer'!Q273</f>
        <v>0.5</v>
      </c>
      <c r="G4" s="66">
        <f>'Evaluation-transfer'!R273</f>
        <v>1</v>
      </c>
      <c r="H4" s="66">
        <f>'Evaluation-transfer'!S273</f>
        <v>0.33333333333333331</v>
      </c>
      <c r="I4" s="66">
        <f>'Evaluation-transfer'!T273</f>
        <v>0.8</v>
      </c>
      <c r="J4" s="66">
        <f>'Evaluation-transfer'!U273</f>
        <v>0</v>
      </c>
      <c r="K4" s="66">
        <f>'Evaluation-transfer'!V273</f>
        <v>0.2</v>
      </c>
      <c r="L4" s="66">
        <f>'Evaluation-transfer'!W273</f>
        <v>0</v>
      </c>
      <c r="M4" s="66">
        <f>'Evaluation-transfer'!X273</f>
        <v>3.416666666666667</v>
      </c>
      <c r="O4" t="str">
        <f t="shared" si="0"/>
        <v>P2</v>
      </c>
      <c r="P4" t="str">
        <f t="shared" si="1"/>
        <v>Third Tier</v>
      </c>
      <c r="Q4" s="66">
        <f>'Evaluation-transfer'!AC273</f>
        <v>0.33333333333333331</v>
      </c>
      <c r="R4" s="66">
        <f>'Evaluation-transfer'!AD273</f>
        <v>0.25</v>
      </c>
      <c r="S4" s="66">
        <f>'Evaluation-transfer'!AE273</f>
        <v>0</v>
      </c>
      <c r="T4" s="66">
        <f>'Evaluation-transfer'!AF273</f>
        <v>0.5</v>
      </c>
      <c r="U4" s="66">
        <f>'Evaluation-transfer'!AG273</f>
        <v>1</v>
      </c>
      <c r="V4" s="66">
        <f>'Evaluation-transfer'!AH273</f>
        <v>0.33333333333333331</v>
      </c>
      <c r="W4" s="66">
        <f>'Evaluation-transfer'!AI273</f>
        <v>0.8</v>
      </c>
      <c r="X4" s="66">
        <f>'Evaluation-transfer'!AJ273</f>
        <v>0</v>
      </c>
      <c r="Y4" s="66">
        <f>'Evaluation-transfer'!AK273</f>
        <v>0.2</v>
      </c>
      <c r="Z4" s="66">
        <f>'Evaluation-transfer'!AL273</f>
        <v>0</v>
      </c>
      <c r="AA4" s="66">
        <f>'Evaluation-transfer'!AM273</f>
        <v>3.416666666666667</v>
      </c>
    </row>
    <row r="5" spans="1:27">
      <c r="A5" t="str">
        <f>machine_learning!C5</f>
        <v>P3</v>
      </c>
      <c r="B5" t="str">
        <f>machine_learning!E5</f>
        <v>First Tier</v>
      </c>
      <c r="C5" s="66">
        <f>'Evaluation-transfer'!N274</f>
        <v>0.33333333333333331</v>
      </c>
      <c r="D5" s="66">
        <f>'Evaluation-transfer'!O274</f>
        <v>0.25</v>
      </c>
      <c r="E5" s="66">
        <f>'Evaluation-transfer'!P274</f>
        <v>0.66666666666666663</v>
      </c>
      <c r="F5" s="66">
        <f>'Evaluation-transfer'!Q274</f>
        <v>0.5</v>
      </c>
      <c r="G5" s="66">
        <f>'Evaluation-transfer'!R274</f>
        <v>1</v>
      </c>
      <c r="H5" s="66">
        <f>'Evaluation-transfer'!S274</f>
        <v>1</v>
      </c>
      <c r="I5" s="66">
        <f>'Evaluation-transfer'!T274</f>
        <v>0.60000000000000009</v>
      </c>
      <c r="J5" s="66">
        <f>'Evaluation-transfer'!U274</f>
        <v>0.5</v>
      </c>
      <c r="K5" s="66">
        <f>'Evaluation-transfer'!V274</f>
        <v>0.4</v>
      </c>
      <c r="L5" s="66">
        <f>'Evaluation-transfer'!W274</f>
        <v>0</v>
      </c>
      <c r="M5" s="66">
        <f>'Evaluation-transfer'!X274</f>
        <v>5.25</v>
      </c>
      <c r="O5" t="str">
        <f t="shared" si="0"/>
        <v>P3</v>
      </c>
      <c r="P5" t="str">
        <f t="shared" si="1"/>
        <v>First Tier</v>
      </c>
      <c r="Q5" s="66">
        <f>'Evaluation-transfer'!AC274</f>
        <v>0.33333333333333331</v>
      </c>
      <c r="R5" s="66">
        <f>'Evaluation-transfer'!AD274</f>
        <v>0.25</v>
      </c>
      <c r="S5" s="66">
        <f>'Evaluation-transfer'!AE274</f>
        <v>1.3333333333333333</v>
      </c>
      <c r="T5" s="66">
        <f>'Evaluation-transfer'!AF274</f>
        <v>0.5</v>
      </c>
      <c r="U5" s="66">
        <f>'Evaluation-transfer'!AG274</f>
        <v>1.5999999999999999</v>
      </c>
      <c r="V5" s="66">
        <f>'Evaluation-transfer'!AH274</f>
        <v>1</v>
      </c>
      <c r="W5" s="66">
        <f>'Evaluation-transfer'!AI274</f>
        <v>0.8</v>
      </c>
      <c r="X5" s="66">
        <f>'Evaluation-transfer'!AJ274</f>
        <v>0.5</v>
      </c>
      <c r="Y5" s="66">
        <f>'Evaluation-transfer'!AK274</f>
        <v>0.60000000000000009</v>
      </c>
      <c r="Z5" s="66">
        <f>'Evaluation-transfer'!AL274</f>
        <v>0</v>
      </c>
      <c r="AA5" s="66">
        <f>'Evaluation-transfer'!AM274</f>
        <v>6.9166666666666661</v>
      </c>
    </row>
    <row r="6" spans="1:27">
      <c r="A6" t="str">
        <f>machine_learning!C6</f>
        <v>P4</v>
      </c>
      <c r="B6" t="str">
        <f>machine_learning!E6</f>
        <v>Third Tier</v>
      </c>
      <c r="C6" s="66">
        <f>'Evaluation-transfer'!N275</f>
        <v>0.33333333333333331</v>
      </c>
      <c r="D6" s="66">
        <f>'Evaluation-transfer'!O275</f>
        <v>0.25</v>
      </c>
      <c r="E6" s="66">
        <f>'Evaluation-transfer'!P275</f>
        <v>0.33333333333333331</v>
      </c>
      <c r="F6" s="66">
        <f>'Evaluation-transfer'!Q275</f>
        <v>0.5</v>
      </c>
      <c r="G6" s="66">
        <f>'Evaluation-transfer'!R275</f>
        <v>0.60000000000000009</v>
      </c>
      <c r="H6" s="66">
        <f>'Evaluation-transfer'!S275</f>
        <v>1</v>
      </c>
      <c r="I6" s="66">
        <f>'Evaluation-transfer'!T275</f>
        <v>0.2</v>
      </c>
      <c r="J6" s="66">
        <f>'Evaluation-transfer'!U275</f>
        <v>0</v>
      </c>
      <c r="K6" s="66">
        <f>'Evaluation-transfer'!V275</f>
        <v>0.60000000000000009</v>
      </c>
      <c r="L6" s="66">
        <f>'Evaluation-transfer'!W275</f>
        <v>0</v>
      </c>
      <c r="M6" s="66">
        <f>'Evaluation-transfer'!X275</f>
        <v>3.8166666666666669</v>
      </c>
      <c r="O6" t="str">
        <f t="shared" si="0"/>
        <v>P4</v>
      </c>
      <c r="P6" t="str">
        <f t="shared" si="1"/>
        <v>Third Tier</v>
      </c>
      <c r="Q6" s="66">
        <f>'Evaluation-transfer'!AC275</f>
        <v>0.33333333333333331</v>
      </c>
      <c r="R6" s="66">
        <f>'Evaluation-transfer'!AD275</f>
        <v>0.25</v>
      </c>
      <c r="S6" s="66">
        <f>'Evaluation-transfer'!AE275</f>
        <v>0.33333333333333331</v>
      </c>
      <c r="T6" s="66">
        <f>'Evaluation-transfer'!AF275</f>
        <v>0.5</v>
      </c>
      <c r="U6" s="66">
        <f>'Evaluation-transfer'!AG275</f>
        <v>0.8</v>
      </c>
      <c r="V6" s="66">
        <f>'Evaluation-transfer'!AH275</f>
        <v>1.3333333333333333</v>
      </c>
      <c r="W6" s="66">
        <f>'Evaluation-transfer'!AI275</f>
        <v>0.2</v>
      </c>
      <c r="X6" s="66">
        <f>'Evaluation-transfer'!AJ275</f>
        <v>0</v>
      </c>
      <c r="Y6" s="66">
        <f>'Evaluation-transfer'!AK275</f>
        <v>0.60000000000000009</v>
      </c>
      <c r="Z6" s="66">
        <f>'Evaluation-transfer'!AL275</f>
        <v>0</v>
      </c>
      <c r="AA6" s="66">
        <f>'Evaluation-transfer'!AM275</f>
        <v>4.3499999999999996</v>
      </c>
    </row>
    <row r="7" spans="1:27">
      <c r="A7" t="str">
        <f>machine_learning!C7</f>
        <v>P5</v>
      </c>
      <c r="B7" t="str">
        <f>machine_learning!E7</f>
        <v>Third Tier</v>
      </c>
      <c r="C7" s="66">
        <f>'Evaluation-transfer'!N276</f>
        <v>0.33333333333333331</v>
      </c>
      <c r="D7" s="66">
        <f>'Evaluation-transfer'!O276</f>
        <v>0.25</v>
      </c>
      <c r="E7" s="66">
        <f>'Evaluation-transfer'!P276</f>
        <v>0.33333333333333331</v>
      </c>
      <c r="F7" s="66">
        <f>'Evaluation-transfer'!Q276</f>
        <v>0.5</v>
      </c>
      <c r="G7" s="66">
        <f>'Evaluation-transfer'!R276</f>
        <v>0.60000000000000009</v>
      </c>
      <c r="H7" s="66">
        <f>'Evaluation-transfer'!S276</f>
        <v>0.66666666666666663</v>
      </c>
      <c r="I7" s="66">
        <f>'Evaluation-transfer'!T276</f>
        <v>0.2</v>
      </c>
      <c r="J7" s="66">
        <f>'Evaluation-transfer'!U276</f>
        <v>0</v>
      </c>
      <c r="K7" s="66">
        <f>'Evaluation-transfer'!V276</f>
        <v>0</v>
      </c>
      <c r="L7" s="66">
        <f>'Evaluation-transfer'!W276</f>
        <v>0</v>
      </c>
      <c r="M7" s="66">
        <f>'Evaluation-transfer'!X276</f>
        <v>2.8833333333333333</v>
      </c>
      <c r="O7" t="str">
        <f t="shared" si="0"/>
        <v>P5</v>
      </c>
      <c r="P7" t="str">
        <f t="shared" si="1"/>
        <v>Third Tier</v>
      </c>
      <c r="Q7" s="66">
        <f>'Evaluation-transfer'!AC276</f>
        <v>0.33333333333333331</v>
      </c>
      <c r="R7" s="66">
        <f>'Evaluation-transfer'!AD276</f>
        <v>0.25</v>
      </c>
      <c r="S7" s="66">
        <f>'Evaluation-transfer'!AE276</f>
        <v>0.33333333333333331</v>
      </c>
      <c r="T7" s="66">
        <f>'Evaluation-transfer'!AF276</f>
        <v>0.5</v>
      </c>
      <c r="U7" s="66">
        <f>'Evaluation-transfer'!AG276</f>
        <v>0.8</v>
      </c>
      <c r="V7" s="66">
        <f>'Evaluation-transfer'!AH276</f>
        <v>1.3333333333333333</v>
      </c>
      <c r="W7" s="66">
        <f>'Evaluation-transfer'!AI276</f>
        <v>0.2</v>
      </c>
      <c r="X7" s="66">
        <f>'Evaluation-transfer'!AJ276</f>
        <v>0</v>
      </c>
      <c r="Y7" s="66">
        <f>'Evaluation-transfer'!AK276</f>
        <v>0</v>
      </c>
      <c r="Z7" s="66">
        <f>'Evaluation-transfer'!AL276</f>
        <v>0</v>
      </c>
      <c r="AA7" s="66">
        <f>'Evaluation-transfer'!AM276</f>
        <v>3.75</v>
      </c>
    </row>
    <row r="8" spans="1:27">
      <c r="A8" t="str">
        <f>machine_learning!C8</f>
        <v>P6</v>
      </c>
      <c r="B8" t="str">
        <f>machine_learning!E8</f>
        <v>Third Tier</v>
      </c>
      <c r="C8" s="66">
        <f>'Evaluation-transfer'!N277</f>
        <v>0.33333333333333331</v>
      </c>
      <c r="D8" s="66">
        <f>'Evaluation-transfer'!O277</f>
        <v>0.25</v>
      </c>
      <c r="E8" s="66">
        <f>'Evaluation-transfer'!P277</f>
        <v>0</v>
      </c>
      <c r="F8" s="66">
        <f>'Evaluation-transfer'!Q277</f>
        <v>0.5</v>
      </c>
      <c r="G8" s="66">
        <f>'Evaluation-transfer'!R277</f>
        <v>0</v>
      </c>
      <c r="H8" s="66">
        <f>'Evaluation-transfer'!S277</f>
        <v>0.33333333333333331</v>
      </c>
      <c r="I8" s="66">
        <f>'Evaluation-transfer'!T277</f>
        <v>0.8</v>
      </c>
      <c r="J8" s="66">
        <f>'Evaluation-transfer'!U277</f>
        <v>0.5</v>
      </c>
      <c r="K8" s="66">
        <f>'Evaluation-transfer'!V277</f>
        <v>0.4</v>
      </c>
      <c r="L8" s="66">
        <f>'Evaluation-transfer'!W277</f>
        <v>0</v>
      </c>
      <c r="M8" s="66">
        <f>'Evaluation-transfer'!X277</f>
        <v>3.1166666666666667</v>
      </c>
      <c r="O8" t="str">
        <f t="shared" si="0"/>
        <v>P6</v>
      </c>
      <c r="P8" t="str">
        <f t="shared" si="1"/>
        <v>Third Tier</v>
      </c>
      <c r="Q8" s="66">
        <f>'Evaluation-transfer'!AC277</f>
        <v>0.33333333333333331</v>
      </c>
      <c r="R8" s="66">
        <f>'Evaluation-transfer'!AD277</f>
        <v>0.25</v>
      </c>
      <c r="S8" s="66">
        <f>'Evaluation-transfer'!AE277</f>
        <v>0</v>
      </c>
      <c r="T8" s="66">
        <f>'Evaluation-transfer'!AF277</f>
        <v>0.5</v>
      </c>
      <c r="U8" s="66">
        <f>'Evaluation-transfer'!AG277</f>
        <v>0</v>
      </c>
      <c r="V8" s="66">
        <f>'Evaluation-transfer'!AH277</f>
        <v>0.66666666666666663</v>
      </c>
      <c r="W8" s="66">
        <f>'Evaluation-transfer'!AI277</f>
        <v>0.8</v>
      </c>
      <c r="X8" s="66">
        <f>'Evaluation-transfer'!AJ277</f>
        <v>0.5</v>
      </c>
      <c r="Y8" s="66">
        <f>'Evaluation-transfer'!AK277</f>
        <v>0.4</v>
      </c>
      <c r="Z8" s="66">
        <f>'Evaluation-transfer'!AL277</f>
        <v>0</v>
      </c>
      <c r="AA8" s="66">
        <f>'Evaluation-transfer'!AM277</f>
        <v>3.4499999999999997</v>
      </c>
    </row>
    <row r="9" spans="1:27">
      <c r="A9" t="str">
        <f>machine_learning!C9</f>
        <v>P7</v>
      </c>
      <c r="B9" t="str">
        <f>machine_learning!E9</f>
        <v>Third Tier</v>
      </c>
      <c r="C9" s="66">
        <f>'Evaluation-transfer'!N278</f>
        <v>0.33333333333333331</v>
      </c>
      <c r="D9" s="66">
        <f>'Evaluation-transfer'!O278</f>
        <v>0.25</v>
      </c>
      <c r="E9" s="66">
        <f>'Evaluation-transfer'!P278</f>
        <v>0</v>
      </c>
      <c r="F9" s="66">
        <f>'Evaluation-transfer'!Q278</f>
        <v>0.5</v>
      </c>
      <c r="G9" s="66">
        <f>'Evaluation-transfer'!R278</f>
        <v>0.8</v>
      </c>
      <c r="H9" s="66">
        <f>'Evaluation-transfer'!S278</f>
        <v>0.66666666666666663</v>
      </c>
      <c r="I9" s="66">
        <f>'Evaluation-transfer'!T278</f>
        <v>0</v>
      </c>
      <c r="J9" s="66">
        <f>'Evaluation-transfer'!U278</f>
        <v>0</v>
      </c>
      <c r="K9" s="66">
        <f>'Evaluation-transfer'!V278</f>
        <v>0</v>
      </c>
      <c r="L9" s="66">
        <f>'Evaluation-transfer'!W278</f>
        <v>0</v>
      </c>
      <c r="M9" s="66">
        <f>'Evaluation-transfer'!X278</f>
        <v>2.5499999999999998</v>
      </c>
      <c r="O9" t="str">
        <f t="shared" si="0"/>
        <v>P7</v>
      </c>
      <c r="P9" t="str">
        <f t="shared" si="1"/>
        <v>Third Tier</v>
      </c>
      <c r="Q9" s="66">
        <f>'Evaluation-transfer'!AC278</f>
        <v>0.33333333333333331</v>
      </c>
      <c r="R9" s="66">
        <f>'Evaluation-transfer'!AD278</f>
        <v>0.25</v>
      </c>
      <c r="S9" s="66">
        <f>'Evaluation-transfer'!AE278</f>
        <v>0</v>
      </c>
      <c r="T9" s="66">
        <f>'Evaluation-transfer'!AF278</f>
        <v>0.5</v>
      </c>
      <c r="U9" s="66">
        <f>'Evaluation-transfer'!AG278</f>
        <v>1.6</v>
      </c>
      <c r="V9" s="66">
        <f>'Evaluation-transfer'!AH278</f>
        <v>1.3333333333333333</v>
      </c>
      <c r="W9" s="66">
        <f>'Evaluation-transfer'!AI278</f>
        <v>0</v>
      </c>
      <c r="X9" s="66">
        <f>'Evaluation-transfer'!AJ278</f>
        <v>0</v>
      </c>
      <c r="Y9" s="66">
        <f>'Evaluation-transfer'!AK278</f>
        <v>0</v>
      </c>
      <c r="Z9" s="66">
        <f>'Evaluation-transfer'!AL278</f>
        <v>0</v>
      </c>
      <c r="AA9" s="66">
        <f>'Evaluation-transfer'!AM278</f>
        <v>4.0166666666666666</v>
      </c>
    </row>
    <row r="10" spans="1:27">
      <c r="A10" t="str">
        <f>machine_learning!C10</f>
        <v>P8</v>
      </c>
      <c r="B10" t="str">
        <f>machine_learning!E10</f>
        <v>Second Tier</v>
      </c>
      <c r="C10" s="66">
        <f>'Evaluation-transfer'!N279</f>
        <v>0.33333333333333331</v>
      </c>
      <c r="D10" s="66">
        <f>'Evaluation-transfer'!O279</f>
        <v>0.25</v>
      </c>
      <c r="E10" s="66">
        <f>'Evaluation-transfer'!P279</f>
        <v>0.66666666666666663</v>
      </c>
      <c r="F10" s="66">
        <f>'Evaluation-transfer'!Q279</f>
        <v>0.5</v>
      </c>
      <c r="G10" s="66">
        <f>'Evaluation-transfer'!R279</f>
        <v>0.8</v>
      </c>
      <c r="H10" s="66">
        <f>'Evaluation-transfer'!S279</f>
        <v>0.66666666666666663</v>
      </c>
      <c r="I10" s="66">
        <f>'Evaluation-transfer'!T279</f>
        <v>1</v>
      </c>
      <c r="J10" s="66">
        <f>'Evaluation-transfer'!U279</f>
        <v>0.5</v>
      </c>
      <c r="K10" s="66">
        <f>'Evaluation-transfer'!V279</f>
        <v>0.4</v>
      </c>
      <c r="L10" s="66">
        <f>'Evaluation-transfer'!W279</f>
        <v>1</v>
      </c>
      <c r="M10" s="66">
        <f>'Evaluation-transfer'!X279</f>
        <v>6.1166666666666671</v>
      </c>
      <c r="O10" t="str">
        <f t="shared" si="0"/>
        <v>P8</v>
      </c>
      <c r="P10" t="str">
        <f t="shared" si="1"/>
        <v>Second Tier</v>
      </c>
      <c r="Q10" s="66">
        <f>'Evaluation-transfer'!AC279</f>
        <v>0.33333333333333331</v>
      </c>
      <c r="R10" s="66">
        <f>'Evaluation-transfer'!AD279</f>
        <v>0.25</v>
      </c>
      <c r="S10" s="66">
        <f>'Evaluation-transfer'!AE279</f>
        <v>1.3333333333333333</v>
      </c>
      <c r="T10" s="66">
        <f>'Evaluation-transfer'!AF279</f>
        <v>0.5</v>
      </c>
      <c r="U10" s="66">
        <f>'Evaluation-transfer'!AG279</f>
        <v>1</v>
      </c>
      <c r="V10" s="66">
        <f>'Evaluation-transfer'!AH279</f>
        <v>2.333333333333333</v>
      </c>
      <c r="W10" s="66">
        <f>'Evaluation-transfer'!AI279</f>
        <v>1.4</v>
      </c>
      <c r="X10" s="66">
        <f>'Evaluation-transfer'!AJ279</f>
        <v>0.5</v>
      </c>
      <c r="Y10" s="66">
        <f>'Evaluation-transfer'!AK279</f>
        <v>0.4</v>
      </c>
      <c r="Z10" s="66">
        <f>'Evaluation-transfer'!AL279</f>
        <v>1</v>
      </c>
      <c r="AA10" s="66">
        <f>'Evaluation-transfer'!AM279</f>
        <v>9.0500000000000007</v>
      </c>
    </row>
    <row r="11" spans="1:27">
      <c r="A11" t="str">
        <f>machine_learning!C11</f>
        <v>P9</v>
      </c>
      <c r="B11" t="str">
        <f>machine_learning!E11</f>
        <v>Third Tier</v>
      </c>
      <c r="C11" s="66">
        <f>'Evaluation-transfer'!N280</f>
        <v>0.33333333333333331</v>
      </c>
      <c r="D11" s="66">
        <f>'Evaluation-transfer'!O280</f>
        <v>0.25</v>
      </c>
      <c r="E11" s="66">
        <f>'Evaluation-transfer'!P280</f>
        <v>0.66666666666666663</v>
      </c>
      <c r="F11" s="66">
        <f>'Evaluation-transfer'!Q280</f>
        <v>0.5</v>
      </c>
      <c r="G11" s="66">
        <f>'Evaluation-transfer'!R280</f>
        <v>1</v>
      </c>
      <c r="H11" s="66">
        <f>'Evaluation-transfer'!S280</f>
        <v>0.33333333333333331</v>
      </c>
      <c r="I11" s="66">
        <f>'Evaluation-transfer'!T280</f>
        <v>0.60000000000000009</v>
      </c>
      <c r="J11" s="66">
        <f>'Evaluation-transfer'!U280</f>
        <v>0.5</v>
      </c>
      <c r="K11" s="66">
        <f>'Evaluation-transfer'!V280</f>
        <v>0</v>
      </c>
      <c r="L11" s="66">
        <f>'Evaluation-transfer'!W280</f>
        <v>1</v>
      </c>
      <c r="M11" s="66">
        <f>'Evaluation-transfer'!X280</f>
        <v>5.1833333333333336</v>
      </c>
      <c r="O11" t="str">
        <f t="shared" si="0"/>
        <v>P9</v>
      </c>
      <c r="P11" t="str">
        <f t="shared" si="1"/>
        <v>Third Tier</v>
      </c>
      <c r="Q11" s="66">
        <f>'Evaluation-transfer'!AC280</f>
        <v>0.33333333333333331</v>
      </c>
      <c r="R11" s="66">
        <f>'Evaluation-transfer'!AD280</f>
        <v>0.25</v>
      </c>
      <c r="S11" s="66">
        <f>'Evaluation-transfer'!AE280</f>
        <v>1</v>
      </c>
      <c r="T11" s="66">
        <f>'Evaluation-transfer'!AF280</f>
        <v>0.5</v>
      </c>
      <c r="U11" s="66">
        <f>'Evaluation-transfer'!AG280</f>
        <v>1.7999999999999998</v>
      </c>
      <c r="V11" s="66">
        <f>'Evaluation-transfer'!AH280</f>
        <v>0.33333333333333331</v>
      </c>
      <c r="W11" s="66">
        <f>'Evaluation-transfer'!AI280</f>
        <v>0.60000000000000009</v>
      </c>
      <c r="X11" s="66">
        <f>'Evaluation-transfer'!AJ280</f>
        <v>0.5</v>
      </c>
      <c r="Y11" s="66">
        <f>'Evaluation-transfer'!AK280</f>
        <v>0</v>
      </c>
      <c r="Z11" s="66">
        <f>'Evaluation-transfer'!AL280</f>
        <v>1</v>
      </c>
      <c r="AA11" s="66">
        <f>'Evaluation-transfer'!AM280</f>
        <v>6.3166666666666664</v>
      </c>
    </row>
    <row r="12" spans="1:27">
      <c r="A12" t="str">
        <f>machine_learning!C12</f>
        <v>P10</v>
      </c>
      <c r="B12" t="str">
        <f>machine_learning!E12</f>
        <v>Second Tier</v>
      </c>
      <c r="C12" s="66">
        <f>'Evaluation-transfer'!N281</f>
        <v>0.33333333333333331</v>
      </c>
      <c r="D12" s="66">
        <f>'Evaluation-transfer'!O281</f>
        <v>0.25</v>
      </c>
      <c r="E12" s="66">
        <f>'Evaluation-transfer'!P281</f>
        <v>0.33333333333333331</v>
      </c>
      <c r="F12" s="66">
        <f>'Evaluation-transfer'!Q281</f>
        <v>0.5</v>
      </c>
      <c r="G12" s="66">
        <f>'Evaluation-transfer'!R281</f>
        <v>1</v>
      </c>
      <c r="H12" s="66">
        <f>'Evaluation-transfer'!S281</f>
        <v>0.66666666666666663</v>
      </c>
      <c r="I12" s="66">
        <f>'Evaluation-transfer'!T281</f>
        <v>0.2</v>
      </c>
      <c r="J12" s="66">
        <f>'Evaluation-transfer'!U281</f>
        <v>0</v>
      </c>
      <c r="K12" s="66">
        <f>'Evaluation-transfer'!V281</f>
        <v>0.2</v>
      </c>
      <c r="L12" s="66">
        <f>'Evaluation-transfer'!W281</f>
        <v>1</v>
      </c>
      <c r="M12" s="66">
        <f>'Evaluation-transfer'!X281</f>
        <v>4.4833333333333334</v>
      </c>
      <c r="O12" t="str">
        <f t="shared" si="0"/>
        <v>P10</v>
      </c>
      <c r="P12" t="str">
        <f t="shared" si="1"/>
        <v>Second Tier</v>
      </c>
      <c r="Q12" s="66">
        <f>'Evaluation-transfer'!AC281</f>
        <v>0.33333333333333331</v>
      </c>
      <c r="R12" s="66">
        <f>'Evaluation-transfer'!AD281</f>
        <v>0.25</v>
      </c>
      <c r="S12" s="66">
        <f>'Evaluation-transfer'!AE281</f>
        <v>0.33333333333333331</v>
      </c>
      <c r="T12" s="66">
        <f>'Evaluation-transfer'!AF281</f>
        <v>1</v>
      </c>
      <c r="U12" s="66">
        <f>'Evaluation-transfer'!AG281</f>
        <v>1.5999999999999999</v>
      </c>
      <c r="V12" s="66">
        <f>'Evaluation-transfer'!AH281</f>
        <v>0.66666666666666663</v>
      </c>
      <c r="W12" s="66">
        <f>'Evaluation-transfer'!AI281</f>
        <v>0.2</v>
      </c>
      <c r="X12" s="66">
        <f>'Evaluation-transfer'!AJ281</f>
        <v>0</v>
      </c>
      <c r="Y12" s="66">
        <f>'Evaluation-transfer'!AK281</f>
        <v>0.2</v>
      </c>
      <c r="Z12" s="66">
        <f>'Evaluation-transfer'!AL281</f>
        <v>2</v>
      </c>
      <c r="AA12" s="66">
        <f>'Evaluation-transfer'!AM281</f>
        <v>6.5833333333333339</v>
      </c>
    </row>
    <row r="13" spans="1:27">
      <c r="A13" t="str">
        <f>machine_learning!C13</f>
        <v>P11</v>
      </c>
      <c r="B13" t="str">
        <f>machine_learning!E13</f>
        <v>First Tier</v>
      </c>
      <c r="C13" s="66">
        <f>'Evaluation-transfer'!N282</f>
        <v>0.33333333333333331</v>
      </c>
      <c r="D13" s="66">
        <f>'Evaluation-transfer'!O282</f>
        <v>0.25</v>
      </c>
      <c r="E13" s="66">
        <f>'Evaluation-transfer'!P282</f>
        <v>0</v>
      </c>
      <c r="F13" s="66">
        <f>'Evaluation-transfer'!Q282</f>
        <v>0.5</v>
      </c>
      <c r="G13" s="66">
        <f>'Evaluation-transfer'!R282</f>
        <v>0.60000000000000009</v>
      </c>
      <c r="H13" s="66">
        <f>'Evaluation-transfer'!S282</f>
        <v>0.66666666666666663</v>
      </c>
      <c r="I13" s="66">
        <f>'Evaluation-transfer'!T282</f>
        <v>0.4</v>
      </c>
      <c r="J13" s="66">
        <f>'Evaluation-transfer'!U282</f>
        <v>0</v>
      </c>
      <c r="K13" s="66">
        <f>'Evaluation-transfer'!V282</f>
        <v>0</v>
      </c>
      <c r="L13" s="66">
        <f>'Evaluation-transfer'!W282</f>
        <v>0</v>
      </c>
      <c r="M13" s="66">
        <f>'Evaluation-transfer'!X282</f>
        <v>2.75</v>
      </c>
      <c r="O13" t="str">
        <f t="shared" si="0"/>
        <v>P11</v>
      </c>
      <c r="P13" t="str">
        <f t="shared" si="1"/>
        <v>First Tier</v>
      </c>
      <c r="Q13" s="66">
        <f>'Evaluation-transfer'!AC282</f>
        <v>0.33333333333333331</v>
      </c>
      <c r="R13" s="66">
        <f>'Evaluation-transfer'!AD282</f>
        <v>0.25</v>
      </c>
      <c r="S13" s="66">
        <f>'Evaluation-transfer'!AE282</f>
        <v>0</v>
      </c>
      <c r="T13" s="66">
        <f>'Evaluation-transfer'!AF282</f>
        <v>0.5</v>
      </c>
      <c r="U13" s="66">
        <f>'Evaluation-transfer'!AG282</f>
        <v>0.60000000000000009</v>
      </c>
      <c r="V13" s="66">
        <f>'Evaluation-transfer'!AH282</f>
        <v>1</v>
      </c>
      <c r="W13" s="66">
        <f>'Evaluation-transfer'!AI282</f>
        <v>0.4</v>
      </c>
      <c r="X13" s="66">
        <f>'Evaluation-transfer'!AJ282</f>
        <v>0</v>
      </c>
      <c r="Y13" s="66">
        <f>'Evaluation-transfer'!AK282</f>
        <v>0</v>
      </c>
      <c r="Z13" s="66">
        <f>'Evaluation-transfer'!AL282</f>
        <v>0</v>
      </c>
      <c r="AA13" s="66">
        <f>'Evaluation-transfer'!AM282</f>
        <v>3.0833333333333335</v>
      </c>
    </row>
    <row r="14" spans="1:27">
      <c r="A14" t="str">
        <f>machine_learning!C14</f>
        <v>P12</v>
      </c>
      <c r="B14" t="str">
        <f>machine_learning!E14</f>
        <v>Second Tier</v>
      </c>
      <c r="C14" s="66">
        <f>'Evaluation-transfer'!N283</f>
        <v>0</v>
      </c>
      <c r="D14" s="66">
        <f>'Evaluation-transfer'!O283</f>
        <v>0</v>
      </c>
      <c r="E14" s="66">
        <f>'Evaluation-transfer'!P283</f>
        <v>0.33333333333333331</v>
      </c>
      <c r="F14" s="66">
        <f>'Evaluation-transfer'!Q283</f>
        <v>0</v>
      </c>
      <c r="G14" s="66">
        <f>'Evaluation-transfer'!R283</f>
        <v>1</v>
      </c>
      <c r="H14" s="66">
        <f>'Evaluation-transfer'!S283</f>
        <v>0.66666666666666663</v>
      </c>
      <c r="I14" s="66">
        <f>'Evaluation-transfer'!T283</f>
        <v>0.4</v>
      </c>
      <c r="J14" s="66">
        <f>'Evaluation-transfer'!U283</f>
        <v>0</v>
      </c>
      <c r="K14" s="66">
        <f>'Evaluation-transfer'!V283</f>
        <v>0</v>
      </c>
      <c r="L14" s="66">
        <f>'Evaluation-transfer'!W283</f>
        <v>0</v>
      </c>
      <c r="M14" s="66">
        <f>'Evaluation-transfer'!X283</f>
        <v>2.4</v>
      </c>
      <c r="O14" t="str">
        <f t="shared" si="0"/>
        <v>P12</v>
      </c>
      <c r="P14" t="str">
        <f t="shared" si="1"/>
        <v>Second Tier</v>
      </c>
      <c r="Q14" s="66">
        <f>'Evaluation-transfer'!AC283</f>
        <v>0</v>
      </c>
      <c r="R14" s="66">
        <f>'Evaluation-transfer'!AD283</f>
        <v>0</v>
      </c>
      <c r="S14" s="66">
        <f>'Evaluation-transfer'!AE283</f>
        <v>0.33333333333333331</v>
      </c>
      <c r="T14" s="66">
        <f>'Evaluation-transfer'!AF283</f>
        <v>0</v>
      </c>
      <c r="U14" s="66">
        <f>'Evaluation-transfer'!AG283</f>
        <v>1</v>
      </c>
      <c r="V14" s="66">
        <f>'Evaluation-transfer'!AH283</f>
        <v>1</v>
      </c>
      <c r="W14" s="66">
        <f>'Evaluation-transfer'!AI283</f>
        <v>0.4</v>
      </c>
      <c r="X14" s="66">
        <f>'Evaluation-transfer'!AJ283</f>
        <v>0</v>
      </c>
      <c r="Y14" s="66">
        <f>'Evaluation-transfer'!AK283</f>
        <v>0</v>
      </c>
      <c r="Z14" s="66">
        <f>'Evaluation-transfer'!AL283</f>
        <v>0</v>
      </c>
      <c r="AA14" s="66">
        <f>'Evaluation-transfer'!AM283</f>
        <v>2.7333333333333329</v>
      </c>
    </row>
    <row r="15" spans="1:27">
      <c r="A15" t="str">
        <f>machine_learning!C15</f>
        <v>P13</v>
      </c>
      <c r="B15" t="str">
        <f>machine_learning!E15</f>
        <v>Second Tier</v>
      </c>
      <c r="C15" s="66">
        <f>'Evaluation-transfer'!N284</f>
        <v>0.33333333333333331</v>
      </c>
      <c r="D15" s="66">
        <f>'Evaluation-transfer'!O284</f>
        <v>0.25</v>
      </c>
      <c r="E15" s="66">
        <f>'Evaluation-transfer'!P284</f>
        <v>0.66666666666666663</v>
      </c>
      <c r="F15" s="66">
        <f>'Evaluation-transfer'!Q284</f>
        <v>0.5</v>
      </c>
      <c r="G15" s="66">
        <f>'Evaluation-transfer'!R284</f>
        <v>0.8</v>
      </c>
      <c r="H15" s="66">
        <f>'Evaluation-transfer'!S284</f>
        <v>0.66666666666666663</v>
      </c>
      <c r="I15" s="66">
        <f>'Evaluation-transfer'!T284</f>
        <v>0.2</v>
      </c>
      <c r="J15" s="66">
        <f>'Evaluation-transfer'!U284</f>
        <v>0</v>
      </c>
      <c r="K15" s="66">
        <f>'Evaluation-transfer'!V284</f>
        <v>0</v>
      </c>
      <c r="L15" s="66">
        <f>'Evaluation-transfer'!W284</f>
        <v>0</v>
      </c>
      <c r="M15" s="66">
        <f>'Evaluation-transfer'!X284</f>
        <v>3.4166666666666665</v>
      </c>
      <c r="O15" t="str">
        <f t="shared" si="0"/>
        <v>P13</v>
      </c>
      <c r="P15" t="str">
        <f t="shared" si="1"/>
        <v>Second Tier</v>
      </c>
      <c r="Q15" s="66">
        <f>'Evaluation-transfer'!AC284</f>
        <v>0.33333333333333331</v>
      </c>
      <c r="R15" s="66">
        <f>'Evaluation-transfer'!AD284</f>
        <v>0.5</v>
      </c>
      <c r="S15" s="66">
        <f>'Evaluation-transfer'!AE284</f>
        <v>1</v>
      </c>
      <c r="T15" s="66">
        <f>'Evaluation-transfer'!AF284</f>
        <v>0.5</v>
      </c>
      <c r="U15" s="66">
        <f>'Evaluation-transfer'!AG284</f>
        <v>0.8</v>
      </c>
      <c r="V15" s="66">
        <f>'Evaluation-transfer'!AH284</f>
        <v>0.66666666666666663</v>
      </c>
      <c r="W15" s="66">
        <f>'Evaluation-transfer'!AI284</f>
        <v>0.2</v>
      </c>
      <c r="X15" s="66">
        <f>'Evaluation-transfer'!AJ284</f>
        <v>0</v>
      </c>
      <c r="Y15" s="66">
        <f>'Evaluation-transfer'!AK284</f>
        <v>0</v>
      </c>
      <c r="Z15" s="66">
        <f>'Evaluation-transfer'!AL284</f>
        <v>0</v>
      </c>
      <c r="AA15" s="66">
        <f>'Evaluation-transfer'!AM284</f>
        <v>3.9999999999999996</v>
      </c>
    </row>
    <row r="16" spans="1:27">
      <c r="A16" t="str">
        <f>machine_learning!C16</f>
        <v>P14</v>
      </c>
      <c r="B16" t="str">
        <f>machine_learning!E16</f>
        <v>Second Tier</v>
      </c>
      <c r="C16" s="66">
        <f>'Evaluation-transfer'!N285</f>
        <v>0.33333333333333331</v>
      </c>
      <c r="D16" s="66">
        <f>'Evaluation-transfer'!O285</f>
        <v>0.25</v>
      </c>
      <c r="E16" s="66">
        <f>'Evaluation-transfer'!P285</f>
        <v>0.66666666666666663</v>
      </c>
      <c r="F16" s="66">
        <f>'Evaluation-transfer'!Q285</f>
        <v>0.5</v>
      </c>
      <c r="G16" s="66">
        <f>'Evaluation-transfer'!R285</f>
        <v>1</v>
      </c>
      <c r="H16" s="66">
        <f>'Evaluation-transfer'!S285</f>
        <v>0.66666666666666663</v>
      </c>
      <c r="I16" s="66">
        <f>'Evaluation-transfer'!T285</f>
        <v>0.2</v>
      </c>
      <c r="J16" s="66">
        <f>'Evaluation-transfer'!U285</f>
        <v>0</v>
      </c>
      <c r="K16" s="66">
        <f>'Evaluation-transfer'!V285</f>
        <v>0.2</v>
      </c>
      <c r="L16" s="66">
        <f>'Evaluation-transfer'!W285</f>
        <v>0</v>
      </c>
      <c r="M16" s="66">
        <f>'Evaluation-transfer'!X285</f>
        <v>3.8166666666666669</v>
      </c>
      <c r="O16" t="str">
        <f t="shared" si="0"/>
        <v>P14</v>
      </c>
      <c r="P16" t="str">
        <f t="shared" si="1"/>
        <v>Second Tier</v>
      </c>
      <c r="Q16" s="66">
        <f>'Evaluation-transfer'!AC285</f>
        <v>0.33333333333333331</v>
      </c>
      <c r="R16" s="66">
        <f>'Evaluation-transfer'!AD285</f>
        <v>0.25</v>
      </c>
      <c r="S16" s="66">
        <f>'Evaluation-transfer'!AE285</f>
        <v>1</v>
      </c>
      <c r="T16" s="66">
        <f>'Evaluation-transfer'!AF285</f>
        <v>0.5</v>
      </c>
      <c r="U16" s="66">
        <f>'Evaluation-transfer'!AG285</f>
        <v>1.8000000000000003</v>
      </c>
      <c r="V16" s="66">
        <f>'Evaluation-transfer'!AH285</f>
        <v>1.3333333333333333</v>
      </c>
      <c r="W16" s="66">
        <f>'Evaluation-transfer'!AI285</f>
        <v>0.4</v>
      </c>
      <c r="X16" s="66">
        <f>'Evaluation-transfer'!AJ285</f>
        <v>0</v>
      </c>
      <c r="Y16" s="66">
        <f>'Evaluation-transfer'!AK285</f>
        <v>0.2</v>
      </c>
      <c r="Z16" s="66">
        <f>'Evaluation-transfer'!AL285</f>
        <v>0</v>
      </c>
      <c r="AA16" s="66">
        <f>'Evaluation-transfer'!AM285</f>
        <v>5.8166666666666673</v>
      </c>
    </row>
    <row r="17" spans="1:27">
      <c r="A17" t="str">
        <f>machine_learning!C17</f>
        <v>P15</v>
      </c>
      <c r="B17" t="str">
        <f>machine_learning!E17</f>
        <v>Second Tier</v>
      </c>
      <c r="C17" s="66">
        <f>'Evaluation-transfer'!N286</f>
        <v>0.33333333333333331</v>
      </c>
      <c r="D17" s="66">
        <f>'Evaluation-transfer'!O286</f>
        <v>0.25</v>
      </c>
      <c r="E17" s="66">
        <f>'Evaluation-transfer'!P286</f>
        <v>0.66666666666666663</v>
      </c>
      <c r="F17" s="66">
        <f>'Evaluation-transfer'!Q286</f>
        <v>0.5</v>
      </c>
      <c r="G17" s="66">
        <f>'Evaluation-transfer'!R286</f>
        <v>1</v>
      </c>
      <c r="H17" s="66">
        <f>'Evaluation-transfer'!S286</f>
        <v>0.66666666666666663</v>
      </c>
      <c r="I17" s="66">
        <f>'Evaluation-transfer'!T286</f>
        <v>0.4</v>
      </c>
      <c r="J17" s="66">
        <f>'Evaluation-transfer'!U286</f>
        <v>0</v>
      </c>
      <c r="K17" s="66">
        <f>'Evaluation-transfer'!V286</f>
        <v>0</v>
      </c>
      <c r="L17" s="66">
        <f>'Evaluation-transfer'!W286</f>
        <v>0</v>
      </c>
      <c r="M17" s="66">
        <f>'Evaluation-transfer'!X286</f>
        <v>3.8166666666666664</v>
      </c>
      <c r="O17" t="str">
        <f t="shared" si="0"/>
        <v>P15</v>
      </c>
      <c r="P17" t="str">
        <f t="shared" si="1"/>
        <v>Second Tier</v>
      </c>
      <c r="Q17" s="66">
        <f>'Evaluation-transfer'!AC286</f>
        <v>0.33333333333333331</v>
      </c>
      <c r="R17" s="66">
        <f>'Evaluation-transfer'!AD286</f>
        <v>0.25</v>
      </c>
      <c r="S17" s="66">
        <f>'Evaluation-transfer'!AE286</f>
        <v>1.3333333333333333</v>
      </c>
      <c r="T17" s="66">
        <f>'Evaluation-transfer'!AF286</f>
        <v>0.5</v>
      </c>
      <c r="U17" s="66">
        <f>'Evaluation-transfer'!AG286</f>
        <v>1.5999999999999999</v>
      </c>
      <c r="V17" s="66">
        <f>'Evaluation-transfer'!AH286</f>
        <v>1.6666666666666665</v>
      </c>
      <c r="W17" s="66">
        <f>'Evaluation-transfer'!AI286</f>
        <v>1</v>
      </c>
      <c r="X17" s="66">
        <f>'Evaluation-transfer'!AJ286</f>
        <v>0</v>
      </c>
      <c r="Y17" s="66">
        <f>'Evaluation-transfer'!AK286</f>
        <v>0</v>
      </c>
      <c r="Z17" s="66">
        <f>'Evaluation-transfer'!AL286</f>
        <v>0</v>
      </c>
      <c r="AA17" s="66">
        <f>'Evaluation-transfer'!AM286</f>
        <v>6.6833333333333336</v>
      </c>
    </row>
    <row r="18" spans="1:27">
      <c r="A18" t="str">
        <f>machine_learning!C18</f>
        <v>P16</v>
      </c>
      <c r="B18" t="str">
        <f>machine_learning!E18</f>
        <v>Second Tier</v>
      </c>
      <c r="C18" s="66">
        <f>'Evaluation-transfer'!N287</f>
        <v>0.33333333333333331</v>
      </c>
      <c r="D18" s="66">
        <f>'Evaluation-transfer'!O287</f>
        <v>0.25</v>
      </c>
      <c r="E18" s="66">
        <f>'Evaluation-transfer'!P287</f>
        <v>0.33333333333333331</v>
      </c>
      <c r="F18" s="66">
        <f>'Evaluation-transfer'!Q287</f>
        <v>0.5</v>
      </c>
      <c r="G18" s="66">
        <f>'Evaluation-transfer'!R287</f>
        <v>1</v>
      </c>
      <c r="H18" s="66">
        <f>'Evaluation-transfer'!S287</f>
        <v>0.66666666666666663</v>
      </c>
      <c r="I18" s="66">
        <f>'Evaluation-transfer'!T287</f>
        <v>0.4</v>
      </c>
      <c r="J18" s="66">
        <f>'Evaluation-transfer'!U287</f>
        <v>0</v>
      </c>
      <c r="K18" s="66">
        <f>'Evaluation-transfer'!V287</f>
        <v>0.4</v>
      </c>
      <c r="L18" s="66">
        <f>'Evaluation-transfer'!W287</f>
        <v>1</v>
      </c>
      <c r="M18" s="66">
        <f>'Evaluation-transfer'!X287</f>
        <v>4.8833333333333329</v>
      </c>
      <c r="O18" t="str">
        <f t="shared" si="0"/>
        <v>P16</v>
      </c>
      <c r="P18" t="str">
        <f t="shared" si="1"/>
        <v>Second Tier</v>
      </c>
      <c r="Q18" s="66">
        <f>'Evaluation-transfer'!AC287</f>
        <v>0.33333333333333331</v>
      </c>
      <c r="R18" s="66">
        <f>'Evaluation-transfer'!AD287</f>
        <v>0.25</v>
      </c>
      <c r="S18" s="66">
        <f>'Evaluation-transfer'!AE287</f>
        <v>0.33333333333333331</v>
      </c>
      <c r="T18" s="66">
        <f>'Evaluation-transfer'!AF287</f>
        <v>0.5</v>
      </c>
      <c r="U18" s="66">
        <f>'Evaluation-transfer'!AG287</f>
        <v>2</v>
      </c>
      <c r="V18" s="66">
        <f>'Evaluation-transfer'!AH287</f>
        <v>1</v>
      </c>
      <c r="W18" s="66">
        <f>'Evaluation-transfer'!AI287</f>
        <v>0.4</v>
      </c>
      <c r="X18" s="66">
        <f>'Evaluation-transfer'!AJ287</f>
        <v>0</v>
      </c>
      <c r="Y18" s="66">
        <f>'Evaluation-transfer'!AK287</f>
        <v>0.4</v>
      </c>
      <c r="Z18" s="66">
        <f>'Evaluation-transfer'!AL287</f>
        <v>1</v>
      </c>
      <c r="AA18" s="66">
        <f>'Evaluation-transfer'!AM287</f>
        <v>6.2166666666666668</v>
      </c>
    </row>
    <row r="19" spans="1:27">
      <c r="A19" t="str">
        <f>machine_learning!C19</f>
        <v>P17</v>
      </c>
      <c r="B19" t="str">
        <f>machine_learning!E19</f>
        <v>Third Tier</v>
      </c>
      <c r="C19" s="66">
        <f>'Evaluation-transfer'!N288</f>
        <v>0.33333333333333331</v>
      </c>
      <c r="D19" s="66">
        <f>'Evaluation-transfer'!O288</f>
        <v>0.25</v>
      </c>
      <c r="E19" s="66">
        <f>'Evaluation-transfer'!P288</f>
        <v>0</v>
      </c>
      <c r="F19" s="66">
        <f>'Evaluation-transfer'!Q288</f>
        <v>0.5</v>
      </c>
      <c r="G19" s="66">
        <f>'Evaluation-transfer'!R288</f>
        <v>0.8</v>
      </c>
      <c r="H19" s="66">
        <f>'Evaluation-transfer'!S288</f>
        <v>0.33333333333333331</v>
      </c>
      <c r="I19" s="66">
        <f>'Evaluation-transfer'!T288</f>
        <v>0</v>
      </c>
      <c r="J19" s="66">
        <f>'Evaluation-transfer'!U288</f>
        <v>0</v>
      </c>
      <c r="K19" s="66">
        <f>'Evaluation-transfer'!V288</f>
        <v>0</v>
      </c>
      <c r="L19" s="66">
        <f>'Evaluation-transfer'!W288</f>
        <v>0</v>
      </c>
      <c r="M19" s="66">
        <f>'Evaluation-transfer'!X288</f>
        <v>2.2166666666666668</v>
      </c>
      <c r="O19" t="str">
        <f t="shared" si="0"/>
        <v>P17</v>
      </c>
      <c r="P19" t="str">
        <f t="shared" si="1"/>
        <v>Third Tier</v>
      </c>
      <c r="Q19" s="66">
        <f>'Evaluation-transfer'!AC288</f>
        <v>0.33333333333333331</v>
      </c>
      <c r="R19" s="66">
        <f>'Evaluation-transfer'!AD288</f>
        <v>0.25</v>
      </c>
      <c r="S19" s="66">
        <f>'Evaluation-transfer'!AE288</f>
        <v>0</v>
      </c>
      <c r="T19" s="66">
        <f>'Evaluation-transfer'!AF288</f>
        <v>0.5</v>
      </c>
      <c r="U19" s="66">
        <f>'Evaluation-transfer'!AG288</f>
        <v>0.8</v>
      </c>
      <c r="V19" s="66">
        <f>'Evaluation-transfer'!AH288</f>
        <v>0.33333333333333331</v>
      </c>
      <c r="W19" s="66">
        <f>'Evaluation-transfer'!AI288</f>
        <v>0</v>
      </c>
      <c r="X19" s="66">
        <f>'Evaluation-transfer'!AJ288</f>
        <v>0</v>
      </c>
      <c r="Y19" s="66">
        <f>'Evaluation-transfer'!AK288</f>
        <v>0</v>
      </c>
      <c r="Z19" s="66">
        <f>'Evaluation-transfer'!AL288</f>
        <v>0</v>
      </c>
      <c r="AA19" s="66">
        <f>'Evaluation-transfer'!AM288</f>
        <v>2.2166666666666668</v>
      </c>
    </row>
    <row r="20" spans="1:27">
      <c r="A20" t="str">
        <f>machine_learning!C20</f>
        <v>P18</v>
      </c>
      <c r="B20" t="str">
        <f>machine_learning!E20</f>
        <v>Third Tier</v>
      </c>
      <c r="C20" s="66">
        <f>'Evaluation-transfer'!N289</f>
        <v>0.33333333333333331</v>
      </c>
      <c r="D20" s="66">
        <f>'Evaluation-transfer'!O289</f>
        <v>0.25</v>
      </c>
      <c r="E20" s="66">
        <f>'Evaluation-transfer'!P289</f>
        <v>0.33333333333333331</v>
      </c>
      <c r="F20" s="66">
        <f>'Evaluation-transfer'!Q289</f>
        <v>0.5</v>
      </c>
      <c r="G20" s="66">
        <f>'Evaluation-transfer'!R289</f>
        <v>1</v>
      </c>
      <c r="H20" s="66">
        <f>'Evaluation-transfer'!S289</f>
        <v>0.33333333333333331</v>
      </c>
      <c r="I20" s="66">
        <f>'Evaluation-transfer'!T289</f>
        <v>0.4</v>
      </c>
      <c r="J20" s="66">
        <f>'Evaluation-transfer'!U289</f>
        <v>0</v>
      </c>
      <c r="K20" s="66">
        <f>'Evaluation-transfer'!V289</f>
        <v>0.4</v>
      </c>
      <c r="L20" s="66">
        <f>'Evaluation-transfer'!W289</f>
        <v>1</v>
      </c>
      <c r="M20" s="66">
        <f>'Evaluation-transfer'!X289</f>
        <v>4.55</v>
      </c>
      <c r="O20" t="str">
        <f t="shared" si="0"/>
        <v>P18</v>
      </c>
      <c r="P20" t="str">
        <f t="shared" si="1"/>
        <v>Third Tier</v>
      </c>
      <c r="Q20" s="66">
        <f>'Evaluation-transfer'!AC289</f>
        <v>0.33333333333333331</v>
      </c>
      <c r="R20" s="66">
        <f>'Evaluation-transfer'!AD289</f>
        <v>0.25</v>
      </c>
      <c r="S20" s="66">
        <f>'Evaluation-transfer'!AE289</f>
        <v>0.33333333333333331</v>
      </c>
      <c r="T20" s="66">
        <f>'Evaluation-transfer'!AF289</f>
        <v>0.5</v>
      </c>
      <c r="U20" s="66">
        <f>'Evaluation-transfer'!AG289</f>
        <v>1</v>
      </c>
      <c r="V20" s="66">
        <f>'Evaluation-transfer'!AH289</f>
        <v>0.66666666666666663</v>
      </c>
      <c r="W20" s="66">
        <f>'Evaluation-transfer'!AI289</f>
        <v>0.60000000000000009</v>
      </c>
      <c r="X20" s="66">
        <f>'Evaluation-transfer'!AJ289</f>
        <v>0</v>
      </c>
      <c r="Y20" s="66">
        <f>'Evaluation-transfer'!AK289</f>
        <v>0.4</v>
      </c>
      <c r="Z20" s="66">
        <f>'Evaluation-transfer'!AL289</f>
        <v>1</v>
      </c>
      <c r="AA20" s="66">
        <f>'Evaluation-transfer'!AM289</f>
        <v>5.083333333333333</v>
      </c>
    </row>
    <row r="21" spans="1:27">
      <c r="A21" t="str">
        <f>machine_learning!C21</f>
        <v>P19</v>
      </c>
      <c r="B21" t="str">
        <f>machine_learning!E21</f>
        <v>Second Tier</v>
      </c>
      <c r="C21" s="66">
        <f>'Evaluation-transfer'!N290</f>
        <v>0.33333333333333331</v>
      </c>
      <c r="D21" s="66">
        <f>'Evaluation-transfer'!O290</f>
        <v>0.25</v>
      </c>
      <c r="E21" s="66">
        <f>'Evaluation-transfer'!P290</f>
        <v>0.33333333333333331</v>
      </c>
      <c r="F21" s="66">
        <f>'Evaluation-transfer'!Q290</f>
        <v>0.5</v>
      </c>
      <c r="G21" s="66">
        <f>'Evaluation-transfer'!R290</f>
        <v>0.60000000000000009</v>
      </c>
      <c r="H21" s="66">
        <f>'Evaluation-transfer'!S290</f>
        <v>0.66666666666666663</v>
      </c>
      <c r="I21" s="66">
        <f>'Evaluation-transfer'!T290</f>
        <v>0</v>
      </c>
      <c r="J21" s="66">
        <f>'Evaluation-transfer'!U290</f>
        <v>0</v>
      </c>
      <c r="K21" s="66">
        <f>'Evaluation-transfer'!V290</f>
        <v>0</v>
      </c>
      <c r="L21" s="66">
        <f>'Evaluation-transfer'!W290</f>
        <v>0</v>
      </c>
      <c r="M21" s="66">
        <f>'Evaluation-transfer'!X290</f>
        <v>2.6833333333333331</v>
      </c>
      <c r="O21" t="str">
        <f t="shared" si="0"/>
        <v>P19</v>
      </c>
      <c r="P21" t="str">
        <f t="shared" si="1"/>
        <v>Second Tier</v>
      </c>
      <c r="Q21" s="66">
        <f>'Evaluation-transfer'!AC290</f>
        <v>0.33333333333333331</v>
      </c>
      <c r="R21" s="66">
        <f>'Evaluation-transfer'!AD290</f>
        <v>0.25</v>
      </c>
      <c r="S21" s="66">
        <f>'Evaluation-transfer'!AE290</f>
        <v>0.33333333333333331</v>
      </c>
      <c r="T21" s="66">
        <f>'Evaluation-transfer'!AF290</f>
        <v>0.5</v>
      </c>
      <c r="U21" s="66">
        <f>'Evaluation-transfer'!AG290</f>
        <v>1</v>
      </c>
      <c r="V21" s="66">
        <f>'Evaluation-transfer'!AH290</f>
        <v>0.66666666666666663</v>
      </c>
      <c r="W21" s="66">
        <f>'Evaluation-transfer'!AI290</f>
        <v>0</v>
      </c>
      <c r="X21" s="66">
        <f>'Evaluation-transfer'!AJ290</f>
        <v>0</v>
      </c>
      <c r="Y21" s="66">
        <f>'Evaluation-transfer'!AK290</f>
        <v>0</v>
      </c>
      <c r="Z21" s="66">
        <f>'Evaluation-transfer'!AL290</f>
        <v>0</v>
      </c>
      <c r="AA21" s="66">
        <f>'Evaluation-transfer'!AM290</f>
        <v>3.083333333333333</v>
      </c>
    </row>
    <row r="22" spans="1:27">
      <c r="A22" t="str">
        <f>machine_learning!C22</f>
        <v>P20</v>
      </c>
      <c r="B22" t="str">
        <f>machine_learning!E22</f>
        <v>Third Tier</v>
      </c>
      <c r="C22" s="66">
        <f>'Evaluation-transfer'!N291</f>
        <v>0.33333333333333331</v>
      </c>
      <c r="D22" s="66">
        <f>'Evaluation-transfer'!O291</f>
        <v>0.25</v>
      </c>
      <c r="E22" s="66">
        <f>'Evaluation-transfer'!P291</f>
        <v>0.33333333333333331</v>
      </c>
      <c r="F22" s="66">
        <f>'Evaluation-transfer'!Q291</f>
        <v>0.5</v>
      </c>
      <c r="G22" s="66">
        <f>'Evaluation-transfer'!R291</f>
        <v>0</v>
      </c>
      <c r="H22" s="66">
        <f>'Evaluation-transfer'!S291</f>
        <v>0.66666666666666663</v>
      </c>
      <c r="I22" s="66">
        <f>'Evaluation-transfer'!T291</f>
        <v>0.60000000000000009</v>
      </c>
      <c r="J22" s="66">
        <f>'Evaluation-transfer'!U291</f>
        <v>0</v>
      </c>
      <c r="K22" s="66">
        <f>'Evaluation-transfer'!V291</f>
        <v>0.4</v>
      </c>
      <c r="L22" s="66">
        <f>'Evaluation-transfer'!W291</f>
        <v>0</v>
      </c>
      <c r="M22" s="66">
        <f>'Evaluation-transfer'!X291</f>
        <v>3.083333333333333</v>
      </c>
      <c r="O22" t="str">
        <f t="shared" si="0"/>
        <v>P20</v>
      </c>
      <c r="P22" t="str">
        <f t="shared" si="1"/>
        <v>Third Tier</v>
      </c>
      <c r="Q22" s="66">
        <f>'Evaluation-transfer'!AC291</f>
        <v>0.33333333333333331</v>
      </c>
      <c r="R22" s="66">
        <f>'Evaluation-transfer'!AD291</f>
        <v>0.25</v>
      </c>
      <c r="S22" s="66">
        <f>'Evaluation-transfer'!AE291</f>
        <v>0.66666666666666663</v>
      </c>
      <c r="T22" s="66">
        <f>'Evaluation-transfer'!AF291</f>
        <v>0.5</v>
      </c>
      <c r="U22" s="66">
        <f>'Evaluation-transfer'!AG291</f>
        <v>0</v>
      </c>
      <c r="V22" s="66">
        <f>'Evaluation-transfer'!AH291</f>
        <v>1.3333333333333333</v>
      </c>
      <c r="W22" s="66">
        <f>'Evaluation-transfer'!AI291</f>
        <v>0.60000000000000009</v>
      </c>
      <c r="X22" s="66">
        <f>'Evaluation-transfer'!AJ291</f>
        <v>0</v>
      </c>
      <c r="Y22" s="66">
        <f>'Evaluation-transfer'!AK291</f>
        <v>0.4</v>
      </c>
      <c r="Z22" s="66">
        <f>'Evaluation-transfer'!AL291</f>
        <v>0</v>
      </c>
      <c r="AA22" s="66">
        <f>'Evaluation-transfer'!AM291</f>
        <v>4.083333333333333</v>
      </c>
    </row>
    <row r="23" spans="1:27">
      <c r="A23" t="str">
        <f>machine_learning!C23</f>
        <v>P21</v>
      </c>
      <c r="B23" t="str">
        <f>machine_learning!E23</f>
        <v>Third Tier</v>
      </c>
      <c r="C23" s="66">
        <f>'Evaluation-transfer'!N292</f>
        <v>0.66666666666666663</v>
      </c>
      <c r="D23" s="66">
        <f>'Evaluation-transfer'!O292</f>
        <v>0.25</v>
      </c>
      <c r="E23" s="66">
        <f>'Evaluation-transfer'!P292</f>
        <v>0</v>
      </c>
      <c r="F23" s="66">
        <f>'Evaluation-transfer'!Q292</f>
        <v>0.5</v>
      </c>
      <c r="G23" s="66">
        <f>'Evaluation-transfer'!R292</f>
        <v>0</v>
      </c>
      <c r="H23" s="66">
        <f>'Evaluation-transfer'!S292</f>
        <v>0.33333333333333331</v>
      </c>
      <c r="I23" s="66">
        <f>'Evaluation-transfer'!T292</f>
        <v>0.8</v>
      </c>
      <c r="J23" s="66">
        <f>'Evaluation-transfer'!U292</f>
        <v>0.5</v>
      </c>
      <c r="K23" s="66">
        <f>'Evaluation-transfer'!V292</f>
        <v>0.4</v>
      </c>
      <c r="L23" s="66">
        <f>'Evaluation-transfer'!W292</f>
        <v>0</v>
      </c>
      <c r="M23" s="66">
        <f>'Evaluation-transfer'!X292</f>
        <v>3.4499999999999997</v>
      </c>
      <c r="O23" t="str">
        <f t="shared" si="0"/>
        <v>P21</v>
      </c>
      <c r="P23" t="str">
        <f t="shared" si="1"/>
        <v>Third Tier</v>
      </c>
      <c r="Q23" s="66">
        <f>'Evaluation-transfer'!AC292</f>
        <v>0.66666666666666663</v>
      </c>
      <c r="R23" s="66">
        <f>'Evaluation-transfer'!AD292</f>
        <v>0.25</v>
      </c>
      <c r="S23" s="66">
        <f>'Evaluation-transfer'!AE292</f>
        <v>0</v>
      </c>
      <c r="T23" s="66">
        <f>'Evaluation-transfer'!AF292</f>
        <v>0.5</v>
      </c>
      <c r="U23" s="66">
        <f>'Evaluation-transfer'!AG292</f>
        <v>0</v>
      </c>
      <c r="V23" s="66">
        <f>'Evaluation-transfer'!AH292</f>
        <v>0.66666666666666663</v>
      </c>
      <c r="W23" s="66">
        <f>'Evaluation-transfer'!AI292</f>
        <v>0.8</v>
      </c>
      <c r="X23" s="66">
        <f>'Evaluation-transfer'!AJ292</f>
        <v>0.5</v>
      </c>
      <c r="Y23" s="66">
        <f>'Evaluation-transfer'!AK292</f>
        <v>0.4</v>
      </c>
      <c r="Z23" s="66">
        <f>'Evaluation-transfer'!AL292</f>
        <v>0</v>
      </c>
      <c r="AA23" s="66">
        <f>'Evaluation-transfer'!AM292</f>
        <v>3.7833333333333328</v>
      </c>
    </row>
    <row r="24" spans="1:27">
      <c r="A24" t="str">
        <f>machine_learning!C24</f>
        <v>P22</v>
      </c>
      <c r="B24" t="str">
        <f>machine_learning!E24</f>
        <v>Third Tier</v>
      </c>
      <c r="C24" s="66">
        <f>'Evaluation-transfer'!N293</f>
        <v>0.33333333333333331</v>
      </c>
      <c r="D24" s="66">
        <f>'Evaluation-transfer'!O293</f>
        <v>0.25</v>
      </c>
      <c r="E24" s="66">
        <f>'Evaluation-transfer'!P293</f>
        <v>0.66666666666666663</v>
      </c>
      <c r="F24" s="66">
        <f>'Evaluation-transfer'!Q293</f>
        <v>0.5</v>
      </c>
      <c r="G24" s="66">
        <f>'Evaluation-transfer'!R293</f>
        <v>0.8</v>
      </c>
      <c r="H24" s="66">
        <f>'Evaluation-transfer'!S293</f>
        <v>0.33333333333333331</v>
      </c>
      <c r="I24" s="66">
        <f>'Evaluation-transfer'!T293</f>
        <v>0.4</v>
      </c>
      <c r="J24" s="66">
        <f>'Evaluation-transfer'!U293</f>
        <v>0</v>
      </c>
      <c r="K24" s="66">
        <f>'Evaluation-transfer'!V293</f>
        <v>0.2</v>
      </c>
      <c r="L24" s="66">
        <f>'Evaluation-transfer'!W293</f>
        <v>0</v>
      </c>
      <c r="M24" s="66">
        <f>'Evaluation-transfer'!X293</f>
        <v>3.4833333333333334</v>
      </c>
      <c r="O24" t="str">
        <f t="shared" si="0"/>
        <v>P22</v>
      </c>
      <c r="P24" t="str">
        <f t="shared" si="1"/>
        <v>Third Tier</v>
      </c>
      <c r="Q24" s="66">
        <f>'Evaluation-transfer'!AC293</f>
        <v>0.33333333333333331</v>
      </c>
      <c r="R24" s="66">
        <f>'Evaluation-transfer'!AD293</f>
        <v>0.25</v>
      </c>
      <c r="S24" s="66">
        <f>'Evaluation-transfer'!AE293</f>
        <v>1</v>
      </c>
      <c r="T24" s="66">
        <f>'Evaluation-transfer'!AF293</f>
        <v>0.5</v>
      </c>
      <c r="U24" s="66">
        <f>'Evaluation-transfer'!AG293</f>
        <v>0.8</v>
      </c>
      <c r="V24" s="66">
        <f>'Evaluation-transfer'!AH293</f>
        <v>0.66666666666666663</v>
      </c>
      <c r="W24" s="66">
        <f>'Evaluation-transfer'!AI293</f>
        <v>0.4</v>
      </c>
      <c r="X24" s="66">
        <f>'Evaluation-transfer'!AJ293</f>
        <v>0</v>
      </c>
      <c r="Y24" s="66">
        <f>'Evaluation-transfer'!AK293</f>
        <v>0.4</v>
      </c>
      <c r="Z24" s="66">
        <f>'Evaluation-transfer'!AL293</f>
        <v>0</v>
      </c>
      <c r="AA24" s="66">
        <f>'Evaluation-transfer'!AM293</f>
        <v>4.3499999999999996</v>
      </c>
    </row>
    <row r="25" spans="1:27">
      <c r="A25" t="str">
        <f>machine_learning!C25</f>
        <v>P23</v>
      </c>
      <c r="B25" t="str">
        <f>machine_learning!E25</f>
        <v>Third Tier</v>
      </c>
      <c r="C25" s="66">
        <f>'Evaluation-transfer'!N294</f>
        <v>0.33333333333333331</v>
      </c>
      <c r="D25" s="66">
        <f>'Evaluation-transfer'!O294</f>
        <v>0.25</v>
      </c>
      <c r="E25" s="66">
        <f>'Evaluation-transfer'!P294</f>
        <v>0.66666666666666663</v>
      </c>
      <c r="F25" s="66">
        <f>'Evaluation-transfer'!Q294</f>
        <v>0</v>
      </c>
      <c r="G25" s="66">
        <f>'Evaluation-transfer'!R294</f>
        <v>0.60000000000000009</v>
      </c>
      <c r="H25" s="66">
        <f>'Evaluation-transfer'!S294</f>
        <v>0.66666666666666663</v>
      </c>
      <c r="I25" s="66">
        <f>'Evaluation-transfer'!T294</f>
        <v>0.8</v>
      </c>
      <c r="J25" s="66">
        <f>'Evaluation-transfer'!U294</f>
        <v>0</v>
      </c>
      <c r="K25" s="66">
        <f>'Evaluation-transfer'!V294</f>
        <v>0.4</v>
      </c>
      <c r="L25" s="66">
        <f>'Evaluation-transfer'!W294</f>
        <v>1</v>
      </c>
      <c r="M25" s="66">
        <f>'Evaluation-transfer'!X294</f>
        <v>4.7166666666666668</v>
      </c>
      <c r="O25" t="str">
        <f t="shared" si="0"/>
        <v>P23</v>
      </c>
      <c r="P25" t="str">
        <f t="shared" si="1"/>
        <v>Third Tier</v>
      </c>
      <c r="Q25" s="66">
        <f>'Evaluation-transfer'!AC294</f>
        <v>0.33333333333333331</v>
      </c>
      <c r="R25" s="66">
        <f>'Evaluation-transfer'!AD294</f>
        <v>0.25</v>
      </c>
      <c r="S25" s="66">
        <f>'Evaluation-transfer'!AE294</f>
        <v>1.3333333333333333</v>
      </c>
      <c r="T25" s="66">
        <f>'Evaluation-transfer'!AF294</f>
        <v>0</v>
      </c>
      <c r="U25" s="66">
        <f>'Evaluation-transfer'!AG294</f>
        <v>0.8</v>
      </c>
      <c r="V25" s="66">
        <f>'Evaluation-transfer'!AH294</f>
        <v>1</v>
      </c>
      <c r="W25" s="66">
        <f>'Evaluation-transfer'!AI294</f>
        <v>0.8</v>
      </c>
      <c r="X25" s="66">
        <f>'Evaluation-transfer'!AJ294</f>
        <v>0</v>
      </c>
      <c r="Y25" s="66">
        <f>'Evaluation-transfer'!AK294</f>
        <v>0.60000000000000009</v>
      </c>
      <c r="Z25" s="66">
        <f>'Evaluation-transfer'!AL294</f>
        <v>1</v>
      </c>
      <c r="AA25" s="66">
        <f>'Evaluation-transfer'!AM294</f>
        <v>6.1166666666666671</v>
      </c>
    </row>
    <row r="26" spans="1:27">
      <c r="A26" t="str">
        <f>machine_learning!C26</f>
        <v>P24</v>
      </c>
      <c r="B26" t="str">
        <f>machine_learning!E26</f>
        <v>Third Tier</v>
      </c>
      <c r="C26" s="66">
        <f>'Evaluation-transfer'!N295</f>
        <v>0.33333333333333331</v>
      </c>
      <c r="D26" s="66">
        <f>'Evaluation-transfer'!O295</f>
        <v>0.25</v>
      </c>
      <c r="E26" s="66">
        <f>'Evaluation-transfer'!P295</f>
        <v>0.33333333333333331</v>
      </c>
      <c r="F26" s="66">
        <f>'Evaluation-transfer'!Q295</f>
        <v>0.5</v>
      </c>
      <c r="G26" s="66">
        <f>'Evaluation-transfer'!R295</f>
        <v>0.60000000000000009</v>
      </c>
      <c r="H26" s="66">
        <f>'Evaluation-transfer'!S295</f>
        <v>0.66666666666666663</v>
      </c>
      <c r="I26" s="66">
        <f>'Evaluation-transfer'!T295</f>
        <v>0</v>
      </c>
      <c r="J26" s="66">
        <f>'Evaluation-transfer'!U295</f>
        <v>0</v>
      </c>
      <c r="K26" s="66">
        <f>'Evaluation-transfer'!V295</f>
        <v>0</v>
      </c>
      <c r="L26" s="66">
        <f>'Evaluation-transfer'!W295</f>
        <v>0</v>
      </c>
      <c r="M26" s="66">
        <f>'Evaluation-transfer'!X295</f>
        <v>2.6833333333333331</v>
      </c>
      <c r="O26" t="str">
        <f t="shared" si="0"/>
        <v>P24</v>
      </c>
      <c r="P26" t="str">
        <f t="shared" si="1"/>
        <v>Third Tier</v>
      </c>
      <c r="Q26" s="66">
        <f>'Evaluation-transfer'!AC295</f>
        <v>0.33333333333333331</v>
      </c>
      <c r="R26" s="66">
        <f>'Evaluation-transfer'!AD295</f>
        <v>0.25</v>
      </c>
      <c r="S26" s="66">
        <f>'Evaluation-transfer'!AE295</f>
        <v>0.33333333333333331</v>
      </c>
      <c r="T26" s="66">
        <f>'Evaluation-transfer'!AF295</f>
        <v>0.5</v>
      </c>
      <c r="U26" s="66">
        <f>'Evaluation-transfer'!AG295</f>
        <v>0.60000000000000009</v>
      </c>
      <c r="V26" s="66">
        <f>'Evaluation-transfer'!AH295</f>
        <v>0.66666666666666663</v>
      </c>
      <c r="W26" s="66">
        <f>'Evaluation-transfer'!AI295</f>
        <v>0</v>
      </c>
      <c r="X26" s="66">
        <f>'Evaluation-transfer'!AJ295</f>
        <v>0</v>
      </c>
      <c r="Y26" s="66">
        <f>'Evaluation-transfer'!AK295</f>
        <v>0</v>
      </c>
      <c r="Z26" s="66">
        <f>'Evaluation-transfer'!AL295</f>
        <v>0</v>
      </c>
      <c r="AA26" s="66">
        <f>'Evaluation-transfer'!AM295</f>
        <v>2.6833333333333331</v>
      </c>
    </row>
    <row r="27" spans="1:27">
      <c r="A27" t="str">
        <f>machine_learning!C27</f>
        <v>P25</v>
      </c>
      <c r="B27" t="str">
        <f>machine_learning!E27</f>
        <v>Third Tier</v>
      </c>
      <c r="C27" s="66">
        <f>'Evaluation-transfer'!N296</f>
        <v>0.33333333333333331</v>
      </c>
      <c r="D27" s="66">
        <f>'Evaluation-transfer'!O296</f>
        <v>0.25</v>
      </c>
      <c r="E27" s="66">
        <f>'Evaluation-transfer'!P296</f>
        <v>0.66666666666666663</v>
      </c>
      <c r="F27" s="66">
        <f>'Evaluation-transfer'!Q296</f>
        <v>0.5</v>
      </c>
      <c r="G27" s="66">
        <f>'Evaluation-transfer'!R296</f>
        <v>0.8</v>
      </c>
      <c r="H27" s="66">
        <f>'Evaluation-transfer'!S296</f>
        <v>0.33333333333333331</v>
      </c>
      <c r="I27" s="66">
        <f>'Evaluation-transfer'!T296</f>
        <v>0.8</v>
      </c>
      <c r="J27" s="66">
        <f>'Evaluation-transfer'!U296</f>
        <v>0</v>
      </c>
      <c r="K27" s="66">
        <f>'Evaluation-transfer'!V296</f>
        <v>0.4</v>
      </c>
      <c r="L27" s="66">
        <f>'Evaluation-transfer'!W296</f>
        <v>0</v>
      </c>
      <c r="M27" s="66">
        <f>'Evaluation-transfer'!X296</f>
        <v>4.0833333333333339</v>
      </c>
      <c r="O27" t="str">
        <f t="shared" si="0"/>
        <v>P25</v>
      </c>
      <c r="P27" t="str">
        <f t="shared" si="1"/>
        <v>Third Tier</v>
      </c>
      <c r="Q27" s="66">
        <f>'Evaluation-transfer'!AC296</f>
        <v>0.33333333333333331</v>
      </c>
      <c r="R27" s="66">
        <f>'Evaluation-transfer'!AD296</f>
        <v>0.25</v>
      </c>
      <c r="S27" s="66">
        <f>'Evaluation-transfer'!AE296</f>
        <v>0.66666666666666663</v>
      </c>
      <c r="T27" s="66">
        <f>'Evaluation-transfer'!AF296</f>
        <v>0.5</v>
      </c>
      <c r="U27" s="66">
        <f>'Evaluation-transfer'!AG296</f>
        <v>0.8</v>
      </c>
      <c r="V27" s="66">
        <f>'Evaluation-transfer'!AH296</f>
        <v>0.66666666666666663</v>
      </c>
      <c r="W27" s="66">
        <f>'Evaluation-transfer'!AI296</f>
        <v>1.2</v>
      </c>
      <c r="X27" s="66">
        <f>'Evaluation-transfer'!AJ296</f>
        <v>0</v>
      </c>
      <c r="Y27" s="66">
        <f>'Evaluation-transfer'!AK296</f>
        <v>0.4</v>
      </c>
      <c r="Z27" s="66">
        <f>'Evaluation-transfer'!AL296</f>
        <v>0</v>
      </c>
      <c r="AA27" s="66">
        <f>'Evaluation-transfer'!AM296</f>
        <v>4.8166666666666664</v>
      </c>
    </row>
    <row r="28" spans="1:27">
      <c r="A28" t="str">
        <f>machine_learning!C28</f>
        <v>P26</v>
      </c>
      <c r="B28" t="str">
        <f>machine_learning!E28</f>
        <v>Second Tier</v>
      </c>
      <c r="C28" s="66">
        <f>'Evaluation-transfer'!N297</f>
        <v>0.33333333333333331</v>
      </c>
      <c r="D28" s="66">
        <f>'Evaluation-transfer'!O297</f>
        <v>0.25</v>
      </c>
      <c r="E28" s="66">
        <f>'Evaluation-transfer'!P297</f>
        <v>0.66666666666666663</v>
      </c>
      <c r="F28" s="66">
        <f>'Evaluation-transfer'!Q297</f>
        <v>0</v>
      </c>
      <c r="G28" s="66">
        <f>'Evaluation-transfer'!R297</f>
        <v>1</v>
      </c>
      <c r="H28" s="66">
        <f>'Evaluation-transfer'!S297</f>
        <v>1</v>
      </c>
      <c r="I28" s="66">
        <f>'Evaluation-transfer'!T297</f>
        <v>0.2</v>
      </c>
      <c r="J28" s="66">
        <f>'Evaluation-transfer'!U297</f>
        <v>0</v>
      </c>
      <c r="K28" s="66">
        <f>'Evaluation-transfer'!V297</f>
        <v>0.4</v>
      </c>
      <c r="L28" s="66">
        <f>'Evaluation-transfer'!W297</f>
        <v>0</v>
      </c>
      <c r="M28" s="66">
        <f>'Evaluation-transfer'!X297</f>
        <v>3.85</v>
      </c>
      <c r="O28" t="str">
        <f t="shared" si="0"/>
        <v>P26</v>
      </c>
      <c r="P28" t="str">
        <f t="shared" si="1"/>
        <v>Second Tier</v>
      </c>
      <c r="Q28" s="66">
        <f>'Evaluation-transfer'!AC297</f>
        <v>0.33333333333333331</v>
      </c>
      <c r="R28" s="66">
        <f>'Evaluation-transfer'!AD297</f>
        <v>0.25</v>
      </c>
      <c r="S28" s="66">
        <f>'Evaluation-transfer'!AE297</f>
        <v>1.3333333333333333</v>
      </c>
      <c r="T28" s="66">
        <f>'Evaluation-transfer'!AF297</f>
        <v>0</v>
      </c>
      <c r="U28" s="66">
        <f>'Evaluation-transfer'!AG297</f>
        <v>1</v>
      </c>
      <c r="V28" s="66">
        <f>'Evaluation-transfer'!AH297</f>
        <v>1.3333333333333333</v>
      </c>
      <c r="W28" s="66">
        <f>'Evaluation-transfer'!AI297</f>
        <v>0.6</v>
      </c>
      <c r="X28" s="66">
        <f>'Evaluation-transfer'!AJ297</f>
        <v>0</v>
      </c>
      <c r="Y28" s="66">
        <f>'Evaluation-transfer'!AK297</f>
        <v>0.4</v>
      </c>
      <c r="Z28" s="66">
        <f>'Evaluation-transfer'!AL297</f>
        <v>0</v>
      </c>
      <c r="AA28" s="66">
        <f>'Evaluation-transfer'!AM297</f>
        <v>5.25</v>
      </c>
    </row>
    <row r="29" spans="1:27">
      <c r="A29" t="str">
        <f>machine_learning!C29</f>
        <v>P27</v>
      </c>
      <c r="B29" t="str">
        <f>machine_learning!E29</f>
        <v>First Tier</v>
      </c>
      <c r="C29" s="66">
        <f>'Evaluation-transfer'!N298</f>
        <v>0.33333333333333331</v>
      </c>
      <c r="D29" s="66">
        <f>'Evaluation-transfer'!O298</f>
        <v>0.25</v>
      </c>
      <c r="E29" s="66">
        <f>'Evaluation-transfer'!P298</f>
        <v>0</v>
      </c>
      <c r="F29" s="66">
        <f>'Evaluation-transfer'!Q298</f>
        <v>0.5</v>
      </c>
      <c r="G29" s="66">
        <f>'Evaluation-transfer'!R298</f>
        <v>0.8</v>
      </c>
      <c r="H29" s="66">
        <f>'Evaluation-transfer'!S298</f>
        <v>1</v>
      </c>
      <c r="I29" s="66">
        <f>'Evaluation-transfer'!T298</f>
        <v>0</v>
      </c>
      <c r="J29" s="66">
        <f>'Evaluation-transfer'!U298</f>
        <v>0</v>
      </c>
      <c r="K29" s="66">
        <f>'Evaluation-transfer'!V298</f>
        <v>0.2</v>
      </c>
      <c r="L29" s="66">
        <f>'Evaluation-transfer'!W298</f>
        <v>0</v>
      </c>
      <c r="M29" s="66">
        <f>'Evaluation-transfer'!X298</f>
        <v>3.0833333333333335</v>
      </c>
      <c r="O29" t="str">
        <f t="shared" si="0"/>
        <v>P27</v>
      </c>
      <c r="P29" t="str">
        <f t="shared" si="1"/>
        <v>First Tier</v>
      </c>
      <c r="Q29" s="66">
        <f>'Evaluation-transfer'!AC298</f>
        <v>0.33333333333333331</v>
      </c>
      <c r="R29" s="66">
        <f>'Evaluation-transfer'!AD298</f>
        <v>0.25</v>
      </c>
      <c r="S29" s="66">
        <f>'Evaluation-transfer'!AE298</f>
        <v>0</v>
      </c>
      <c r="T29" s="66">
        <f>'Evaluation-transfer'!AF298</f>
        <v>0.5</v>
      </c>
      <c r="U29" s="66">
        <f>'Evaluation-transfer'!AG298</f>
        <v>0.8</v>
      </c>
      <c r="V29" s="66">
        <f>'Evaluation-transfer'!AH298</f>
        <v>1.3333333333333333</v>
      </c>
      <c r="W29" s="66">
        <f>'Evaluation-transfer'!AI298</f>
        <v>0</v>
      </c>
      <c r="X29" s="66">
        <f>'Evaluation-transfer'!AJ298</f>
        <v>0</v>
      </c>
      <c r="Y29" s="66">
        <f>'Evaluation-transfer'!AK298</f>
        <v>0.2</v>
      </c>
      <c r="Z29" s="66">
        <f>'Evaluation-transfer'!AL298</f>
        <v>0</v>
      </c>
      <c r="AA29" s="66">
        <f>'Evaluation-transfer'!AM298</f>
        <v>3.416666666666667</v>
      </c>
    </row>
    <row r="30" spans="1:27">
      <c r="A30" t="str">
        <f>machine_learning!C30</f>
        <v>P28</v>
      </c>
      <c r="B30" t="str">
        <f>machine_learning!E30</f>
        <v>Third Tier</v>
      </c>
      <c r="C30" s="66">
        <f>'Evaluation-transfer'!N299</f>
        <v>0.33333333333333331</v>
      </c>
      <c r="D30" s="66">
        <f>'Evaluation-transfer'!O299</f>
        <v>0.25</v>
      </c>
      <c r="E30" s="66">
        <f>'Evaluation-transfer'!P299</f>
        <v>0.66666666666666663</v>
      </c>
      <c r="F30" s="66">
        <f>'Evaluation-transfer'!Q299</f>
        <v>0.5</v>
      </c>
      <c r="G30" s="66">
        <f>'Evaluation-transfer'!R299</f>
        <v>0.4</v>
      </c>
      <c r="H30" s="66">
        <f>'Evaluation-transfer'!S299</f>
        <v>0</v>
      </c>
      <c r="I30" s="66">
        <f>'Evaluation-transfer'!T299</f>
        <v>0.60000000000000009</v>
      </c>
      <c r="J30" s="66">
        <f>'Evaluation-transfer'!U299</f>
        <v>0.5</v>
      </c>
      <c r="K30" s="66">
        <f>'Evaluation-transfer'!V299</f>
        <v>0.2</v>
      </c>
      <c r="L30" s="66">
        <f>'Evaluation-transfer'!W299</f>
        <v>0</v>
      </c>
      <c r="M30" s="66">
        <f>'Evaluation-transfer'!X299</f>
        <v>3.45</v>
      </c>
      <c r="O30" t="str">
        <f t="shared" si="0"/>
        <v>P28</v>
      </c>
      <c r="P30" t="str">
        <f t="shared" si="1"/>
        <v>Third Tier</v>
      </c>
      <c r="Q30" s="66">
        <f>'Evaluation-transfer'!AC299</f>
        <v>0.33333333333333331</v>
      </c>
      <c r="R30" s="66">
        <f>'Evaluation-transfer'!AD299</f>
        <v>0.25</v>
      </c>
      <c r="S30" s="66">
        <f>'Evaluation-transfer'!AE299</f>
        <v>1.6666666666666665</v>
      </c>
      <c r="T30" s="66">
        <f>'Evaluation-transfer'!AF299</f>
        <v>0.5</v>
      </c>
      <c r="U30" s="66">
        <f>'Evaluation-transfer'!AG299</f>
        <v>0.60000000000000009</v>
      </c>
      <c r="V30" s="66">
        <f>'Evaluation-transfer'!AH299</f>
        <v>0</v>
      </c>
      <c r="W30" s="66">
        <f>'Evaluation-transfer'!AI299</f>
        <v>0.8</v>
      </c>
      <c r="X30" s="66">
        <f>'Evaluation-transfer'!AJ299</f>
        <v>0.5</v>
      </c>
      <c r="Y30" s="66">
        <f>'Evaluation-transfer'!AK299</f>
        <v>0.2</v>
      </c>
      <c r="Z30" s="66">
        <f>'Evaluation-transfer'!AL299</f>
        <v>0</v>
      </c>
      <c r="AA30" s="66">
        <f>'Evaluation-transfer'!AM299</f>
        <v>4.8500000000000005</v>
      </c>
    </row>
    <row r="31" spans="1:27">
      <c r="A31" t="str">
        <f>machine_learning!C31</f>
        <v>P29</v>
      </c>
      <c r="B31" t="str">
        <f>machine_learning!E31</f>
        <v>Third Tier</v>
      </c>
      <c r="C31" s="66">
        <f>'Evaluation-transfer'!N300</f>
        <v>0.33333333333333331</v>
      </c>
      <c r="D31" s="66">
        <f>'Evaluation-transfer'!O300</f>
        <v>0</v>
      </c>
      <c r="E31" s="66">
        <f>'Evaluation-transfer'!P300</f>
        <v>0.33333333333333331</v>
      </c>
      <c r="F31" s="66">
        <f>'Evaluation-transfer'!Q300</f>
        <v>0.5</v>
      </c>
      <c r="G31" s="66">
        <f>'Evaluation-transfer'!R300</f>
        <v>0.4</v>
      </c>
      <c r="H31" s="66">
        <f>'Evaluation-transfer'!S300</f>
        <v>0.66666666666666663</v>
      </c>
      <c r="I31" s="66">
        <f>'Evaluation-transfer'!T300</f>
        <v>0.2</v>
      </c>
      <c r="J31" s="66">
        <f>'Evaluation-transfer'!U300</f>
        <v>0</v>
      </c>
      <c r="K31" s="66">
        <f>'Evaluation-transfer'!V300</f>
        <v>0</v>
      </c>
      <c r="L31" s="66">
        <f>'Evaluation-transfer'!W300</f>
        <v>1</v>
      </c>
      <c r="M31" s="66">
        <f>'Evaluation-transfer'!X300</f>
        <v>3.4333333333333331</v>
      </c>
      <c r="O31" t="str">
        <f t="shared" si="0"/>
        <v>P29</v>
      </c>
      <c r="P31" t="str">
        <f t="shared" si="1"/>
        <v>Third Tier</v>
      </c>
      <c r="Q31" s="66">
        <f>'Evaluation-transfer'!AC300</f>
        <v>0.33333333333333331</v>
      </c>
      <c r="R31" s="66">
        <f>'Evaluation-transfer'!AD300</f>
        <v>0</v>
      </c>
      <c r="S31" s="66">
        <f>'Evaluation-transfer'!AE300</f>
        <v>0.33333333333333331</v>
      </c>
      <c r="T31" s="66">
        <f>'Evaluation-transfer'!AF300</f>
        <v>0.5</v>
      </c>
      <c r="U31" s="66">
        <f>'Evaluation-transfer'!AG300</f>
        <v>0.8</v>
      </c>
      <c r="V31" s="66">
        <f>'Evaluation-transfer'!AH300</f>
        <v>0.66666666666666663</v>
      </c>
      <c r="W31" s="66">
        <f>'Evaluation-transfer'!AI300</f>
        <v>0.2</v>
      </c>
      <c r="X31" s="66">
        <f>'Evaluation-transfer'!AJ300</f>
        <v>0</v>
      </c>
      <c r="Y31" s="66">
        <f>'Evaluation-transfer'!AK300</f>
        <v>0</v>
      </c>
      <c r="Z31" s="66">
        <f>'Evaluation-transfer'!AL300</f>
        <v>1</v>
      </c>
      <c r="AA31" s="66">
        <f>'Evaluation-transfer'!AM300</f>
        <v>3.8333333333333335</v>
      </c>
    </row>
    <row r="32" spans="1:27">
      <c r="A32" t="str">
        <f>machine_learning!C32</f>
        <v>P30</v>
      </c>
      <c r="B32" t="str">
        <f>machine_learning!E32</f>
        <v>First Tier</v>
      </c>
      <c r="C32" s="66">
        <f>'Evaluation-transfer'!N301</f>
        <v>0.33333333333333331</v>
      </c>
      <c r="D32" s="66">
        <f>'Evaluation-transfer'!O301</f>
        <v>0.5</v>
      </c>
      <c r="E32" s="66">
        <f>'Evaluation-transfer'!P301</f>
        <v>0</v>
      </c>
      <c r="F32" s="66">
        <f>'Evaluation-transfer'!Q301</f>
        <v>0</v>
      </c>
      <c r="G32" s="66">
        <f>'Evaluation-transfer'!R301</f>
        <v>0.2</v>
      </c>
      <c r="H32" s="66">
        <f>'Evaluation-transfer'!S301</f>
        <v>0.33333333333333331</v>
      </c>
      <c r="I32" s="66">
        <f>'Evaluation-transfer'!T301</f>
        <v>0.2</v>
      </c>
      <c r="J32" s="66">
        <f>'Evaluation-transfer'!U301</f>
        <v>0</v>
      </c>
      <c r="K32" s="66">
        <f>'Evaluation-transfer'!V301</f>
        <v>0.2</v>
      </c>
      <c r="L32" s="66">
        <f>'Evaluation-transfer'!W301</f>
        <v>0</v>
      </c>
      <c r="M32" s="66">
        <f>'Evaluation-transfer'!X301</f>
        <v>1.7666666666666664</v>
      </c>
      <c r="O32" t="str">
        <f t="shared" si="0"/>
        <v>P30</v>
      </c>
      <c r="P32" t="str">
        <f t="shared" si="1"/>
        <v>First Tier</v>
      </c>
      <c r="Q32" s="66">
        <f>'Evaluation-transfer'!AC301</f>
        <v>0.33333333333333331</v>
      </c>
      <c r="R32" s="66">
        <f>'Evaluation-transfer'!AD301</f>
        <v>0.5</v>
      </c>
      <c r="S32" s="66">
        <f>'Evaluation-transfer'!AE301</f>
        <v>0</v>
      </c>
      <c r="T32" s="66">
        <f>'Evaluation-transfer'!AF301</f>
        <v>0</v>
      </c>
      <c r="U32" s="66">
        <f>'Evaluation-transfer'!AG301</f>
        <v>0.2</v>
      </c>
      <c r="V32" s="66">
        <f>'Evaluation-transfer'!AH301</f>
        <v>0.33333333333333331</v>
      </c>
      <c r="W32" s="66">
        <f>'Evaluation-transfer'!AI301</f>
        <v>0.2</v>
      </c>
      <c r="X32" s="66">
        <f>'Evaluation-transfer'!AJ301</f>
        <v>0</v>
      </c>
      <c r="Y32" s="66">
        <f>'Evaluation-transfer'!AK301</f>
        <v>0.2</v>
      </c>
      <c r="Z32" s="66">
        <f>'Evaluation-transfer'!AL301</f>
        <v>0</v>
      </c>
      <c r="AA32" s="66">
        <f>'Evaluation-transfer'!AM301</f>
        <v>1.7666666666666664</v>
      </c>
    </row>
    <row r="33" spans="1:27">
      <c r="A33" t="str">
        <f>machine_learning!C33</f>
        <v>P31</v>
      </c>
      <c r="B33" t="str">
        <f>machine_learning!E33</f>
        <v>Third Tier</v>
      </c>
      <c r="C33" s="66">
        <f>'Evaluation-transfer'!N302</f>
        <v>0.33333333333333331</v>
      </c>
      <c r="D33" s="66">
        <f>'Evaluation-transfer'!O302</f>
        <v>0.25</v>
      </c>
      <c r="E33" s="66">
        <f>'Evaluation-transfer'!P302</f>
        <v>0</v>
      </c>
      <c r="F33" s="66">
        <f>'Evaluation-transfer'!Q302</f>
        <v>0.5</v>
      </c>
      <c r="G33" s="66">
        <f>'Evaluation-transfer'!R302</f>
        <v>0.60000000000000009</v>
      </c>
      <c r="H33" s="66">
        <f>'Evaluation-transfer'!S302</f>
        <v>0.66666666666666663</v>
      </c>
      <c r="I33" s="66">
        <f>'Evaluation-transfer'!T302</f>
        <v>0.8</v>
      </c>
      <c r="J33" s="66">
        <f>'Evaluation-transfer'!U302</f>
        <v>0</v>
      </c>
      <c r="K33" s="66">
        <f>'Evaluation-transfer'!V302</f>
        <v>0</v>
      </c>
      <c r="L33" s="66">
        <f>'Evaluation-transfer'!W302</f>
        <v>0</v>
      </c>
      <c r="M33" s="66">
        <f>'Evaluation-transfer'!X302</f>
        <v>3.1500000000000004</v>
      </c>
      <c r="O33" t="str">
        <f t="shared" si="0"/>
        <v>P31</v>
      </c>
      <c r="P33" t="str">
        <f t="shared" si="1"/>
        <v>Third Tier</v>
      </c>
      <c r="Q33" s="66">
        <f>'Evaluation-transfer'!AC302</f>
        <v>0.33333333333333331</v>
      </c>
      <c r="R33" s="66">
        <f>'Evaluation-transfer'!AD302</f>
        <v>0.25</v>
      </c>
      <c r="S33" s="66">
        <f>'Evaluation-transfer'!AE302</f>
        <v>0</v>
      </c>
      <c r="T33" s="66">
        <f>'Evaluation-transfer'!AF302</f>
        <v>0.5</v>
      </c>
      <c r="U33" s="66">
        <f>'Evaluation-transfer'!AG302</f>
        <v>1</v>
      </c>
      <c r="V33" s="66">
        <f>'Evaluation-transfer'!AH302</f>
        <v>1</v>
      </c>
      <c r="W33" s="66">
        <f>'Evaluation-transfer'!AI302</f>
        <v>1.6</v>
      </c>
      <c r="X33" s="66">
        <f>'Evaluation-transfer'!AJ302</f>
        <v>0</v>
      </c>
      <c r="Y33" s="66">
        <f>'Evaluation-transfer'!AK302</f>
        <v>0</v>
      </c>
      <c r="Z33" s="66">
        <f>'Evaluation-transfer'!AL302</f>
        <v>0</v>
      </c>
      <c r="AA33" s="66">
        <f>'Evaluation-transfer'!AM302</f>
        <v>4.6833333333333336</v>
      </c>
    </row>
    <row r="34" spans="1:27">
      <c r="A34" t="str">
        <f>machine_learning!C34</f>
        <v>P32</v>
      </c>
      <c r="B34" t="str">
        <f>machine_learning!E34</f>
        <v>Third Tier</v>
      </c>
      <c r="C34" s="66">
        <f>'Evaluation-transfer'!N303</f>
        <v>0.33333333333333331</v>
      </c>
      <c r="D34" s="66">
        <f>'Evaluation-transfer'!O303</f>
        <v>0.25</v>
      </c>
      <c r="E34" s="66">
        <f>'Evaluation-transfer'!P303</f>
        <v>0</v>
      </c>
      <c r="F34" s="66">
        <f>'Evaluation-transfer'!Q303</f>
        <v>0.5</v>
      </c>
      <c r="G34" s="66">
        <f>'Evaluation-transfer'!R303</f>
        <v>1</v>
      </c>
      <c r="H34" s="66">
        <f>'Evaluation-transfer'!S303</f>
        <v>0.33333333333333331</v>
      </c>
      <c r="I34" s="66">
        <f>'Evaluation-transfer'!T303</f>
        <v>0.8</v>
      </c>
      <c r="J34" s="66">
        <f>'Evaluation-transfer'!U303</f>
        <v>0.5</v>
      </c>
      <c r="K34" s="66">
        <f>'Evaluation-transfer'!V303</f>
        <v>0.4</v>
      </c>
      <c r="L34" s="66">
        <f>'Evaluation-transfer'!W303</f>
        <v>0</v>
      </c>
      <c r="M34" s="66">
        <f>'Evaluation-transfer'!X303</f>
        <v>4.1166666666666671</v>
      </c>
      <c r="O34" t="str">
        <f t="shared" si="0"/>
        <v>P32</v>
      </c>
      <c r="P34" t="str">
        <f t="shared" si="1"/>
        <v>Third Tier</v>
      </c>
      <c r="Q34" s="66">
        <f>'Evaluation-transfer'!AC303</f>
        <v>0.33333333333333331</v>
      </c>
      <c r="R34" s="66">
        <f>'Evaluation-transfer'!AD303</f>
        <v>0.25</v>
      </c>
      <c r="S34" s="66">
        <f>'Evaluation-transfer'!AE303</f>
        <v>0</v>
      </c>
      <c r="T34" s="66">
        <f>'Evaluation-transfer'!AF303</f>
        <v>0.5</v>
      </c>
      <c r="U34" s="66">
        <f>'Evaluation-transfer'!AG303</f>
        <v>1</v>
      </c>
      <c r="V34" s="66">
        <f>'Evaluation-transfer'!AH303</f>
        <v>1</v>
      </c>
      <c r="W34" s="66">
        <f>'Evaluation-transfer'!AI303</f>
        <v>0.8</v>
      </c>
      <c r="X34" s="66">
        <f>'Evaluation-transfer'!AJ303</f>
        <v>0.5</v>
      </c>
      <c r="Y34" s="66">
        <f>'Evaluation-transfer'!AK303</f>
        <v>0.4</v>
      </c>
      <c r="Z34" s="66">
        <f>'Evaluation-transfer'!AL303</f>
        <v>0</v>
      </c>
      <c r="AA34" s="66">
        <f>'Evaluation-transfer'!AM303</f>
        <v>4.7833333333333332</v>
      </c>
    </row>
    <row r="35" spans="1:27">
      <c r="A35" t="str">
        <f>machine_learning!C35</f>
        <v>P33</v>
      </c>
      <c r="B35" t="str">
        <f>machine_learning!E35</f>
        <v>Third Tier</v>
      </c>
      <c r="C35" s="66">
        <f>'Evaluation-transfer'!N304</f>
        <v>0.33333333333333331</v>
      </c>
      <c r="D35" s="66">
        <f>'Evaluation-transfer'!O304</f>
        <v>0.25</v>
      </c>
      <c r="E35" s="66">
        <f>'Evaluation-transfer'!P304</f>
        <v>0</v>
      </c>
      <c r="F35" s="66">
        <f>'Evaluation-transfer'!Q304</f>
        <v>0.5</v>
      </c>
      <c r="G35" s="66">
        <f>'Evaluation-transfer'!R304</f>
        <v>0</v>
      </c>
      <c r="H35" s="66">
        <f>'Evaluation-transfer'!S304</f>
        <v>0.33333333333333331</v>
      </c>
      <c r="I35" s="66">
        <f>'Evaluation-transfer'!T304</f>
        <v>0.60000000000000009</v>
      </c>
      <c r="J35" s="66">
        <f>'Evaluation-transfer'!U304</f>
        <v>0</v>
      </c>
      <c r="K35" s="66">
        <f>'Evaluation-transfer'!V304</f>
        <v>0.4</v>
      </c>
      <c r="L35" s="66">
        <f>'Evaluation-transfer'!W304</f>
        <v>0</v>
      </c>
      <c r="M35" s="66">
        <f>'Evaluation-transfer'!X304</f>
        <v>2.4166666666666665</v>
      </c>
      <c r="O35" t="str">
        <f t="shared" si="0"/>
        <v>P33</v>
      </c>
      <c r="P35" t="str">
        <f t="shared" si="1"/>
        <v>Third Tier</v>
      </c>
      <c r="Q35" s="66">
        <f>'Evaluation-transfer'!AC304</f>
        <v>0.33333333333333331</v>
      </c>
      <c r="R35" s="66">
        <f>'Evaluation-transfer'!AD304</f>
        <v>0.25</v>
      </c>
      <c r="S35" s="66">
        <f>'Evaluation-transfer'!AE304</f>
        <v>0</v>
      </c>
      <c r="T35" s="66">
        <f>'Evaluation-transfer'!AF304</f>
        <v>0.5</v>
      </c>
      <c r="U35" s="66">
        <f>'Evaluation-transfer'!AG304</f>
        <v>0</v>
      </c>
      <c r="V35" s="66">
        <f>'Evaluation-transfer'!AH304</f>
        <v>0.66666666666666663</v>
      </c>
      <c r="W35" s="66">
        <f>'Evaluation-transfer'!AI304</f>
        <v>0.60000000000000009</v>
      </c>
      <c r="X35" s="66">
        <f>'Evaluation-transfer'!AJ304</f>
        <v>0</v>
      </c>
      <c r="Y35" s="66">
        <f>'Evaluation-transfer'!AK304</f>
        <v>0.4</v>
      </c>
      <c r="Z35" s="66">
        <f>'Evaluation-transfer'!AL304</f>
        <v>0</v>
      </c>
      <c r="AA35" s="66">
        <f>'Evaluation-transfer'!AM304</f>
        <v>2.75</v>
      </c>
    </row>
    <row r="36" spans="1:27">
      <c r="A36" t="str">
        <f>machine_learning!C36</f>
        <v>P34</v>
      </c>
      <c r="B36" t="str">
        <f>machine_learning!E36</f>
        <v>Third Tier</v>
      </c>
      <c r="C36" s="66">
        <f>'Evaluation-transfer'!N305</f>
        <v>0.33333333333333331</v>
      </c>
      <c r="D36" s="66">
        <f>'Evaluation-transfer'!O305</f>
        <v>0.25</v>
      </c>
      <c r="E36" s="66">
        <f>'Evaluation-transfer'!P305</f>
        <v>0.33333333333333331</v>
      </c>
      <c r="F36" s="66">
        <f>'Evaluation-transfer'!Q305</f>
        <v>0.5</v>
      </c>
      <c r="G36" s="66">
        <f>'Evaluation-transfer'!R305</f>
        <v>1</v>
      </c>
      <c r="H36" s="66">
        <f>'Evaluation-transfer'!S305</f>
        <v>0.66666666666666663</v>
      </c>
      <c r="I36" s="66">
        <f>'Evaluation-transfer'!T305</f>
        <v>0.2</v>
      </c>
      <c r="J36" s="66">
        <f>'Evaluation-transfer'!U305</f>
        <v>0</v>
      </c>
      <c r="K36" s="66">
        <f>'Evaluation-transfer'!V305</f>
        <v>0</v>
      </c>
      <c r="L36" s="66">
        <f>'Evaluation-transfer'!W305</f>
        <v>0</v>
      </c>
      <c r="M36" s="66">
        <f>'Evaluation-transfer'!X305</f>
        <v>3.2833333333333332</v>
      </c>
      <c r="O36" t="str">
        <f t="shared" si="0"/>
        <v>P34</v>
      </c>
      <c r="P36" t="str">
        <f t="shared" si="1"/>
        <v>Third Tier</v>
      </c>
      <c r="Q36" s="66">
        <f>'Evaluation-transfer'!AC305</f>
        <v>0.33333333333333331</v>
      </c>
      <c r="R36" s="66">
        <f>'Evaluation-transfer'!AD305</f>
        <v>0.25</v>
      </c>
      <c r="S36" s="66">
        <f>'Evaluation-transfer'!AE305</f>
        <v>0.33333333333333331</v>
      </c>
      <c r="T36" s="66">
        <f>'Evaluation-transfer'!AF305</f>
        <v>0.5</v>
      </c>
      <c r="U36" s="66">
        <f>'Evaluation-transfer'!AG305</f>
        <v>1</v>
      </c>
      <c r="V36" s="66">
        <f>'Evaluation-transfer'!AH305</f>
        <v>1.3333333333333333</v>
      </c>
      <c r="W36" s="66">
        <f>'Evaluation-transfer'!AI305</f>
        <v>0.4</v>
      </c>
      <c r="X36" s="66">
        <f>'Evaluation-transfer'!AJ305</f>
        <v>0</v>
      </c>
      <c r="Y36" s="66">
        <f>'Evaluation-transfer'!AK305</f>
        <v>0</v>
      </c>
      <c r="Z36" s="66">
        <f>'Evaluation-transfer'!AL305</f>
        <v>0</v>
      </c>
      <c r="AA36" s="66">
        <f>'Evaluation-transfer'!AM305</f>
        <v>4.1500000000000004</v>
      </c>
    </row>
    <row r="37" spans="1:27">
      <c r="A37" t="str">
        <f>machine_learning!C37</f>
        <v>P35</v>
      </c>
      <c r="B37" t="str">
        <f>machine_learning!E37</f>
        <v>Second Tier</v>
      </c>
      <c r="C37" s="66">
        <f>'Evaluation-transfer'!N306</f>
        <v>0.33333333333333331</v>
      </c>
      <c r="D37" s="66">
        <f>'Evaluation-transfer'!O306</f>
        <v>0.25</v>
      </c>
      <c r="E37" s="66">
        <f>'Evaluation-transfer'!P306</f>
        <v>0.33333333333333331</v>
      </c>
      <c r="F37" s="66">
        <f>'Evaluation-transfer'!Q306</f>
        <v>0.5</v>
      </c>
      <c r="G37" s="66">
        <f>'Evaluation-transfer'!R306</f>
        <v>0.60000000000000009</v>
      </c>
      <c r="H37" s="66">
        <f>'Evaluation-transfer'!S306</f>
        <v>0.66666666666666663</v>
      </c>
      <c r="I37" s="66">
        <f>'Evaluation-transfer'!T306</f>
        <v>0.2</v>
      </c>
      <c r="J37" s="66">
        <f>'Evaluation-transfer'!U306</f>
        <v>0.5</v>
      </c>
      <c r="K37" s="66">
        <f>'Evaluation-transfer'!V306</f>
        <v>0</v>
      </c>
      <c r="L37" s="66">
        <f>'Evaluation-transfer'!W306</f>
        <v>0</v>
      </c>
      <c r="M37" s="66">
        <f>'Evaluation-transfer'!X306</f>
        <v>3.3833333333333333</v>
      </c>
      <c r="O37" t="str">
        <f t="shared" si="0"/>
        <v>P35</v>
      </c>
      <c r="P37" t="str">
        <f t="shared" si="1"/>
        <v>Second Tier</v>
      </c>
      <c r="Q37" s="66">
        <f>'Evaluation-transfer'!AC306</f>
        <v>0.33333333333333331</v>
      </c>
      <c r="R37" s="66">
        <f>'Evaluation-transfer'!AD306</f>
        <v>0.5</v>
      </c>
      <c r="S37" s="66">
        <f>'Evaluation-transfer'!AE306</f>
        <v>0.33333333333333331</v>
      </c>
      <c r="T37" s="66">
        <f>'Evaluation-transfer'!AF306</f>
        <v>0.5</v>
      </c>
      <c r="U37" s="66">
        <f>'Evaluation-transfer'!AG306</f>
        <v>1</v>
      </c>
      <c r="V37" s="66">
        <f>'Evaluation-transfer'!AH306</f>
        <v>0.66666666666666663</v>
      </c>
      <c r="W37" s="66">
        <f>'Evaluation-transfer'!AI306</f>
        <v>0.2</v>
      </c>
      <c r="X37" s="66">
        <f>'Evaluation-transfer'!AJ306</f>
        <v>0.5</v>
      </c>
      <c r="Y37" s="66">
        <f>'Evaluation-transfer'!AK306</f>
        <v>0</v>
      </c>
      <c r="Z37" s="66">
        <f>'Evaluation-transfer'!AL306</f>
        <v>0</v>
      </c>
      <c r="AA37" s="66">
        <f>'Evaluation-transfer'!AM306</f>
        <v>4.0333333333333332</v>
      </c>
    </row>
    <row r="38" spans="1:27">
      <c r="A38" t="str">
        <f>machine_learning!C38</f>
        <v>P36</v>
      </c>
      <c r="B38" t="str">
        <f>machine_learning!E38</f>
        <v>Second Tier</v>
      </c>
      <c r="C38" s="66">
        <f>'Evaluation-transfer'!N307</f>
        <v>0.33333333333333331</v>
      </c>
      <c r="D38" s="66">
        <f>'Evaluation-transfer'!O307</f>
        <v>0.25</v>
      </c>
      <c r="E38" s="66">
        <f>'Evaluation-transfer'!P307</f>
        <v>0</v>
      </c>
      <c r="F38" s="66">
        <f>'Evaluation-transfer'!Q307</f>
        <v>0.5</v>
      </c>
      <c r="G38" s="66">
        <f>'Evaluation-transfer'!R307</f>
        <v>0.4</v>
      </c>
      <c r="H38" s="66">
        <f>'Evaluation-transfer'!S307</f>
        <v>0.66666666666666663</v>
      </c>
      <c r="I38" s="66">
        <f>'Evaluation-transfer'!T307</f>
        <v>0.4</v>
      </c>
      <c r="J38" s="66">
        <f>'Evaluation-transfer'!U307</f>
        <v>0</v>
      </c>
      <c r="K38" s="66">
        <f>'Evaluation-transfer'!V307</f>
        <v>0.60000000000000009</v>
      </c>
      <c r="L38" s="66">
        <f>'Evaluation-transfer'!W307</f>
        <v>1</v>
      </c>
      <c r="M38" s="66">
        <f>'Evaluation-transfer'!X307</f>
        <v>4.1500000000000004</v>
      </c>
      <c r="O38" t="str">
        <f t="shared" si="0"/>
        <v>P36</v>
      </c>
      <c r="P38" t="str">
        <f t="shared" si="1"/>
        <v>Second Tier</v>
      </c>
      <c r="Q38" s="66">
        <f>'Evaluation-transfer'!AC307</f>
        <v>0.33333333333333331</v>
      </c>
      <c r="R38" s="66">
        <f>'Evaluation-transfer'!AD307</f>
        <v>0.25</v>
      </c>
      <c r="S38" s="66">
        <f>'Evaluation-transfer'!AE307</f>
        <v>0</v>
      </c>
      <c r="T38" s="66">
        <f>'Evaluation-transfer'!AF307</f>
        <v>0.5</v>
      </c>
      <c r="U38" s="66">
        <f>'Evaluation-transfer'!AG307</f>
        <v>0.4</v>
      </c>
      <c r="V38" s="66">
        <f>'Evaluation-transfer'!AH307</f>
        <v>1</v>
      </c>
      <c r="W38" s="66">
        <f>'Evaluation-transfer'!AI307</f>
        <v>0.4</v>
      </c>
      <c r="X38" s="66">
        <f>'Evaluation-transfer'!AJ307</f>
        <v>0</v>
      </c>
      <c r="Y38" s="66">
        <f>'Evaluation-transfer'!AK307</f>
        <v>0.60000000000000009</v>
      </c>
      <c r="Z38" s="66">
        <f>'Evaluation-transfer'!AL307</f>
        <v>1</v>
      </c>
      <c r="AA38" s="66">
        <f>'Evaluation-transfer'!AM307</f>
        <v>4.4833333333333334</v>
      </c>
    </row>
    <row r="39" spans="1:27">
      <c r="A39" t="str">
        <f>machine_learning!C39</f>
        <v>P37</v>
      </c>
      <c r="B39" t="str">
        <f>machine_learning!E39</f>
        <v>Second Tier</v>
      </c>
      <c r="C39" s="66">
        <f>'Evaluation-transfer'!N308</f>
        <v>0.33333333333333331</v>
      </c>
      <c r="D39" s="66">
        <f>'Evaluation-transfer'!O308</f>
        <v>0.25</v>
      </c>
      <c r="E39" s="66">
        <f>'Evaluation-transfer'!P308</f>
        <v>0.33333333333333331</v>
      </c>
      <c r="F39" s="66">
        <f>'Evaluation-transfer'!Q308</f>
        <v>0.5</v>
      </c>
      <c r="G39" s="66">
        <f>'Evaluation-transfer'!R308</f>
        <v>0.8</v>
      </c>
      <c r="H39" s="66">
        <f>'Evaluation-transfer'!S308</f>
        <v>0.66666666666666663</v>
      </c>
      <c r="I39" s="66">
        <f>'Evaluation-transfer'!T308</f>
        <v>0.8</v>
      </c>
      <c r="J39" s="66">
        <f>'Evaluation-transfer'!U308</f>
        <v>0</v>
      </c>
      <c r="K39" s="66">
        <f>'Evaluation-transfer'!V308</f>
        <v>0.2</v>
      </c>
      <c r="L39" s="66">
        <f>'Evaluation-transfer'!W308</f>
        <v>1</v>
      </c>
      <c r="M39" s="66">
        <f>'Evaluation-transfer'!X308</f>
        <v>4.8833333333333337</v>
      </c>
      <c r="O39" t="str">
        <f t="shared" si="0"/>
        <v>P37</v>
      </c>
      <c r="P39" t="str">
        <f t="shared" si="1"/>
        <v>Second Tier</v>
      </c>
      <c r="Q39" s="66">
        <f>'Evaluation-transfer'!AC308</f>
        <v>0.33333333333333331</v>
      </c>
      <c r="R39" s="66">
        <f>'Evaluation-transfer'!AD308</f>
        <v>0.25</v>
      </c>
      <c r="S39" s="66">
        <f>'Evaluation-transfer'!AE308</f>
        <v>1</v>
      </c>
      <c r="T39" s="66">
        <f>'Evaluation-transfer'!AF308</f>
        <v>1</v>
      </c>
      <c r="U39" s="66">
        <f>'Evaluation-transfer'!AG308</f>
        <v>1.2000000000000002</v>
      </c>
      <c r="V39" s="66">
        <f>'Evaluation-transfer'!AH308</f>
        <v>1.3333333333333333</v>
      </c>
      <c r="W39" s="66">
        <f>'Evaluation-transfer'!AI308</f>
        <v>1.4</v>
      </c>
      <c r="X39" s="66">
        <f>'Evaluation-transfer'!AJ308</f>
        <v>0</v>
      </c>
      <c r="Y39" s="66">
        <f>'Evaluation-transfer'!AK308</f>
        <v>0.2</v>
      </c>
      <c r="Z39" s="66">
        <f>'Evaluation-transfer'!AL308</f>
        <v>1</v>
      </c>
      <c r="AA39" s="66">
        <f>'Evaluation-transfer'!AM308</f>
        <v>7.7166666666666659</v>
      </c>
    </row>
    <row r="40" spans="1:27">
      <c r="A40" t="str">
        <f>machine_learning!C40</f>
        <v>P38</v>
      </c>
      <c r="B40" t="str">
        <f>machine_learning!E40</f>
        <v>Third Tier</v>
      </c>
      <c r="C40" s="66">
        <f>'Evaluation-transfer'!N309</f>
        <v>0.33333333333333331</v>
      </c>
      <c r="D40" s="66">
        <f>'Evaluation-transfer'!O309</f>
        <v>0.25</v>
      </c>
      <c r="E40" s="66">
        <f>'Evaluation-transfer'!P309</f>
        <v>0.33333333333333331</v>
      </c>
      <c r="F40" s="66">
        <f>'Evaluation-transfer'!Q309</f>
        <v>0.5</v>
      </c>
      <c r="G40" s="66">
        <f>'Evaluation-transfer'!R309</f>
        <v>1</v>
      </c>
      <c r="H40" s="66">
        <f>'Evaluation-transfer'!S309</f>
        <v>0.66666666666666663</v>
      </c>
      <c r="I40" s="66">
        <f>'Evaluation-transfer'!T309</f>
        <v>1</v>
      </c>
      <c r="J40" s="66">
        <f>'Evaluation-transfer'!U309</f>
        <v>0.5</v>
      </c>
      <c r="K40" s="66">
        <f>'Evaluation-transfer'!V309</f>
        <v>0.2</v>
      </c>
      <c r="L40" s="66">
        <f>'Evaluation-transfer'!W309</f>
        <v>1</v>
      </c>
      <c r="M40" s="66">
        <f>'Evaluation-transfer'!X309</f>
        <v>5.7833333333333332</v>
      </c>
      <c r="O40" t="str">
        <f t="shared" si="0"/>
        <v>P38</v>
      </c>
      <c r="P40" t="str">
        <f t="shared" si="1"/>
        <v>Third Tier</v>
      </c>
      <c r="Q40" s="66">
        <f>'Evaluation-transfer'!AC309</f>
        <v>0.33333333333333331</v>
      </c>
      <c r="R40" s="66">
        <f>'Evaluation-transfer'!AD309</f>
        <v>0.25</v>
      </c>
      <c r="S40" s="66">
        <f>'Evaluation-transfer'!AE309</f>
        <v>0.33333333333333331</v>
      </c>
      <c r="T40" s="66">
        <f>'Evaluation-transfer'!AF309</f>
        <v>0.5</v>
      </c>
      <c r="U40" s="66">
        <f>'Evaluation-transfer'!AG309</f>
        <v>1</v>
      </c>
      <c r="V40" s="66">
        <f>'Evaluation-transfer'!AH309</f>
        <v>0.66666666666666663</v>
      </c>
      <c r="W40" s="66">
        <f>'Evaluation-transfer'!AI309</f>
        <v>1.5999999999999999</v>
      </c>
      <c r="X40" s="66">
        <f>'Evaluation-transfer'!AJ309</f>
        <v>0.5</v>
      </c>
      <c r="Y40" s="66">
        <f>'Evaluation-transfer'!AK309</f>
        <v>0.2</v>
      </c>
      <c r="Z40" s="66">
        <f>'Evaluation-transfer'!AL309</f>
        <v>1</v>
      </c>
      <c r="AA40" s="66">
        <f>'Evaluation-transfer'!AM309</f>
        <v>6.3833333333333329</v>
      </c>
    </row>
    <row r="41" spans="1:27">
      <c r="A41" t="str">
        <f>machine_learning!C41</f>
        <v>P39</v>
      </c>
      <c r="B41" t="str">
        <f>machine_learning!E41</f>
        <v>Second Tier</v>
      </c>
      <c r="C41" s="66">
        <f>'Evaluation-transfer'!N310</f>
        <v>0.33333333333333331</v>
      </c>
      <c r="D41" s="66">
        <f>'Evaluation-transfer'!O310</f>
        <v>0.25</v>
      </c>
      <c r="E41" s="66">
        <f>'Evaluation-transfer'!P310</f>
        <v>0.33333333333333331</v>
      </c>
      <c r="F41" s="66">
        <f>'Evaluation-transfer'!Q310</f>
        <v>0.5</v>
      </c>
      <c r="G41" s="66">
        <f>'Evaluation-transfer'!R310</f>
        <v>0.60000000000000009</v>
      </c>
      <c r="H41" s="66">
        <f>'Evaluation-transfer'!S310</f>
        <v>1</v>
      </c>
      <c r="I41" s="66">
        <f>'Evaluation-transfer'!T310</f>
        <v>0.4</v>
      </c>
      <c r="J41" s="66">
        <f>'Evaluation-transfer'!U310</f>
        <v>0</v>
      </c>
      <c r="K41" s="66">
        <f>'Evaluation-transfer'!V310</f>
        <v>0</v>
      </c>
      <c r="L41" s="66">
        <f>'Evaluation-transfer'!W310</f>
        <v>0</v>
      </c>
      <c r="M41" s="66">
        <f>'Evaluation-transfer'!X310</f>
        <v>3.4166666666666665</v>
      </c>
      <c r="O41" t="str">
        <f t="shared" si="0"/>
        <v>P39</v>
      </c>
      <c r="P41" t="str">
        <f t="shared" si="1"/>
        <v>Second Tier</v>
      </c>
      <c r="Q41" s="66">
        <f>'Evaluation-transfer'!AC310</f>
        <v>0.33333333333333331</v>
      </c>
      <c r="R41" s="66">
        <f>'Evaluation-transfer'!AD310</f>
        <v>0.25</v>
      </c>
      <c r="S41" s="66">
        <f>'Evaluation-transfer'!AE310</f>
        <v>0.33333333333333331</v>
      </c>
      <c r="T41" s="66">
        <f>'Evaluation-transfer'!AF310</f>
        <v>0.5</v>
      </c>
      <c r="U41" s="66">
        <f>'Evaluation-transfer'!AG310</f>
        <v>0.60000000000000009</v>
      </c>
      <c r="V41" s="66">
        <f>'Evaluation-transfer'!AH310</f>
        <v>1.6666666666666665</v>
      </c>
      <c r="W41" s="66">
        <f>'Evaluation-transfer'!AI310</f>
        <v>0.60000000000000009</v>
      </c>
      <c r="X41" s="66">
        <f>'Evaluation-transfer'!AJ310</f>
        <v>0</v>
      </c>
      <c r="Y41" s="66">
        <f>'Evaluation-transfer'!AK310</f>
        <v>0</v>
      </c>
      <c r="Z41" s="66">
        <f>'Evaluation-transfer'!AL310</f>
        <v>0</v>
      </c>
      <c r="AA41" s="66">
        <f>'Evaluation-transfer'!AM310</f>
        <v>4.2833333333333332</v>
      </c>
    </row>
    <row r="42" spans="1:27">
      <c r="A42" t="str">
        <f>machine_learning!C42</f>
        <v>P40</v>
      </c>
      <c r="B42" t="str">
        <f>machine_learning!E42</f>
        <v>Third Tier</v>
      </c>
      <c r="C42" s="66">
        <f>'Evaluation-transfer'!N311</f>
        <v>0.33333333333333331</v>
      </c>
      <c r="D42" s="66">
        <f>'Evaluation-transfer'!O311</f>
        <v>0.25</v>
      </c>
      <c r="E42" s="66">
        <f>'Evaluation-transfer'!P311</f>
        <v>0</v>
      </c>
      <c r="F42" s="66">
        <f>'Evaluation-transfer'!Q311</f>
        <v>0.5</v>
      </c>
      <c r="G42" s="66">
        <f>'Evaluation-transfer'!R311</f>
        <v>0</v>
      </c>
      <c r="H42" s="66">
        <f>'Evaluation-transfer'!S311</f>
        <v>0.33333333333333331</v>
      </c>
      <c r="I42" s="66">
        <f>'Evaluation-transfer'!T311</f>
        <v>0.60000000000000009</v>
      </c>
      <c r="J42" s="66">
        <f>'Evaluation-transfer'!U311</f>
        <v>0</v>
      </c>
      <c r="K42" s="66">
        <f>'Evaluation-transfer'!V311</f>
        <v>0.4</v>
      </c>
      <c r="L42" s="66">
        <f>'Evaluation-transfer'!W311</f>
        <v>0</v>
      </c>
      <c r="M42" s="66">
        <f>'Evaluation-transfer'!X311</f>
        <v>2.4166666666666665</v>
      </c>
      <c r="O42" t="str">
        <f t="shared" si="0"/>
        <v>P40</v>
      </c>
      <c r="P42" t="str">
        <f t="shared" si="1"/>
        <v>Third Tier</v>
      </c>
      <c r="Q42" s="66">
        <f>'Evaluation-transfer'!AC311</f>
        <v>0.33333333333333331</v>
      </c>
      <c r="R42" s="66">
        <f>'Evaluation-transfer'!AD311</f>
        <v>0.25</v>
      </c>
      <c r="S42" s="66">
        <f>'Evaluation-transfer'!AE311</f>
        <v>0</v>
      </c>
      <c r="T42" s="66">
        <f>'Evaluation-transfer'!AF311</f>
        <v>0.5</v>
      </c>
      <c r="U42" s="66">
        <f>'Evaluation-transfer'!AG311</f>
        <v>0</v>
      </c>
      <c r="V42" s="66">
        <f>'Evaluation-transfer'!AH311</f>
        <v>0.66666666666666663</v>
      </c>
      <c r="W42" s="66">
        <f>'Evaluation-transfer'!AI311</f>
        <v>0.60000000000000009</v>
      </c>
      <c r="X42" s="66">
        <f>'Evaluation-transfer'!AJ311</f>
        <v>0</v>
      </c>
      <c r="Y42" s="66">
        <f>'Evaluation-transfer'!AK311</f>
        <v>0.4</v>
      </c>
      <c r="Z42" s="66">
        <f>'Evaluation-transfer'!AL311</f>
        <v>0</v>
      </c>
      <c r="AA42" s="66">
        <f>'Evaluation-transfer'!AM311</f>
        <v>2.75</v>
      </c>
    </row>
    <row r="43" spans="1:27">
      <c r="A43" t="str">
        <f>machine_learning!C43</f>
        <v>P41</v>
      </c>
      <c r="B43" t="str">
        <f>machine_learning!E43</f>
        <v>Third Tier</v>
      </c>
      <c r="C43" s="66">
        <f>'Evaluation-transfer'!N312</f>
        <v>0.33333333333333331</v>
      </c>
      <c r="D43" s="66">
        <f>'Evaluation-transfer'!O312</f>
        <v>0.25</v>
      </c>
      <c r="E43" s="66">
        <f>'Evaluation-transfer'!P312</f>
        <v>0.33333333333333331</v>
      </c>
      <c r="F43" s="66">
        <f>'Evaluation-transfer'!Q312</f>
        <v>0.5</v>
      </c>
      <c r="G43" s="66">
        <f>'Evaluation-transfer'!R312</f>
        <v>0.2</v>
      </c>
      <c r="H43" s="66">
        <f>'Evaluation-transfer'!S312</f>
        <v>0.66666666666666663</v>
      </c>
      <c r="I43" s="66">
        <f>'Evaluation-transfer'!T312</f>
        <v>0.60000000000000009</v>
      </c>
      <c r="J43" s="66">
        <f>'Evaluation-transfer'!U312</f>
        <v>0.5</v>
      </c>
      <c r="K43" s="66">
        <f>'Evaluation-transfer'!V312</f>
        <v>0.4</v>
      </c>
      <c r="L43" s="66">
        <f>'Evaluation-transfer'!W312</f>
        <v>0</v>
      </c>
      <c r="M43" s="66">
        <f>'Evaluation-transfer'!X312</f>
        <v>3.7833333333333332</v>
      </c>
      <c r="O43" t="str">
        <f t="shared" si="0"/>
        <v>P41</v>
      </c>
      <c r="P43" t="str">
        <f t="shared" si="1"/>
        <v>Third Tier</v>
      </c>
      <c r="Q43" s="66">
        <f>'Evaluation-transfer'!AC312</f>
        <v>0.33333333333333331</v>
      </c>
      <c r="R43" s="66">
        <f>'Evaluation-transfer'!AD312</f>
        <v>0.25</v>
      </c>
      <c r="S43" s="66">
        <f>'Evaluation-transfer'!AE312</f>
        <v>0.33333333333333331</v>
      </c>
      <c r="T43" s="66">
        <f>'Evaluation-transfer'!AF312</f>
        <v>0.5</v>
      </c>
      <c r="U43" s="66">
        <f>'Evaluation-transfer'!AG312</f>
        <v>0.2</v>
      </c>
      <c r="V43" s="66">
        <f>'Evaluation-transfer'!AH312</f>
        <v>1.3333333333333333</v>
      </c>
      <c r="W43" s="66">
        <f>'Evaluation-transfer'!AI312</f>
        <v>0.60000000000000009</v>
      </c>
      <c r="X43" s="66">
        <f>'Evaluation-transfer'!AJ312</f>
        <v>0.5</v>
      </c>
      <c r="Y43" s="66">
        <f>'Evaluation-transfer'!AK312</f>
        <v>0.4</v>
      </c>
      <c r="Z43" s="66">
        <f>'Evaluation-transfer'!AL312</f>
        <v>0</v>
      </c>
      <c r="AA43" s="66">
        <f>'Evaluation-transfer'!AM312</f>
        <v>4.45</v>
      </c>
    </row>
    <row r="46" spans="1:27">
      <c r="B46" s="67" t="s">
        <v>1572</v>
      </c>
      <c r="C46" t="s">
        <v>1574</v>
      </c>
      <c r="D46" t="s">
        <v>1575</v>
      </c>
      <c r="E46" t="s">
        <v>1576</v>
      </c>
      <c r="F46" t="s">
        <v>1577</v>
      </c>
      <c r="G46" t="s">
        <v>1578</v>
      </c>
      <c r="H46" t="s">
        <v>1579</v>
      </c>
      <c r="I46" t="s">
        <v>1580</v>
      </c>
      <c r="J46" t="s">
        <v>1581</v>
      </c>
      <c r="K46" t="s">
        <v>1582</v>
      </c>
      <c r="L46" t="s">
        <v>1583</v>
      </c>
      <c r="P46" s="67" t="s">
        <v>1572</v>
      </c>
      <c r="Q46" t="s">
        <v>1574</v>
      </c>
      <c r="R46" t="s">
        <v>1575</v>
      </c>
      <c r="S46" t="s">
        <v>1576</v>
      </c>
      <c r="T46" t="s">
        <v>1577</v>
      </c>
      <c r="U46" t="s">
        <v>1578</v>
      </c>
      <c r="V46" t="s">
        <v>1579</v>
      </c>
      <c r="W46" t="s">
        <v>1580</v>
      </c>
      <c r="X46" t="s">
        <v>1581</v>
      </c>
      <c r="Y46" t="s">
        <v>1582</v>
      </c>
      <c r="Z46" t="s">
        <v>1583</v>
      </c>
    </row>
    <row r="47" spans="1:27">
      <c r="B47" s="68" t="s">
        <v>1530</v>
      </c>
      <c r="C47" s="8">
        <v>0.33333333333333331</v>
      </c>
      <c r="D47" s="8">
        <v>0.3125</v>
      </c>
      <c r="E47" s="8">
        <v>0.16666666666666666</v>
      </c>
      <c r="F47" s="8">
        <v>0.375</v>
      </c>
      <c r="G47" s="8">
        <v>0.65000000000000013</v>
      </c>
      <c r="H47" s="8">
        <v>0.75</v>
      </c>
      <c r="I47" s="8">
        <v>0.3</v>
      </c>
      <c r="J47" s="8">
        <v>0.125</v>
      </c>
      <c r="K47" s="8">
        <v>0.2</v>
      </c>
      <c r="L47" s="8">
        <v>0</v>
      </c>
      <c r="P47" s="68" t="s">
        <v>1530</v>
      </c>
      <c r="Q47" s="8">
        <v>0.33333333333333331</v>
      </c>
      <c r="R47" s="8">
        <v>0.3125</v>
      </c>
      <c r="S47" s="8">
        <v>0.33333333333333331</v>
      </c>
      <c r="T47" s="8">
        <v>0.375</v>
      </c>
      <c r="U47" s="8">
        <v>0.8</v>
      </c>
      <c r="V47" s="8">
        <v>0.91666666666666663</v>
      </c>
      <c r="W47" s="8">
        <v>0.35000000000000003</v>
      </c>
      <c r="X47" s="8">
        <v>0.125</v>
      </c>
      <c r="Y47" s="8">
        <v>0.25</v>
      </c>
      <c r="Z47" s="8">
        <v>0</v>
      </c>
    </row>
    <row r="48" spans="1:27">
      <c r="B48" s="68" t="s">
        <v>1531</v>
      </c>
      <c r="C48" s="8">
        <v>0.30769230769230771</v>
      </c>
      <c r="D48" s="8">
        <v>0.23076923076923078</v>
      </c>
      <c r="E48" s="8">
        <v>0.43589743589743585</v>
      </c>
      <c r="F48" s="8">
        <v>0.42307692307692307</v>
      </c>
      <c r="G48" s="8">
        <v>0.81538461538461537</v>
      </c>
      <c r="H48" s="8">
        <v>0.71794871794871795</v>
      </c>
      <c r="I48" s="8">
        <v>0.36923076923076931</v>
      </c>
      <c r="J48" s="8">
        <v>7.6923076923076927E-2</v>
      </c>
      <c r="K48" s="8">
        <v>0.18461538461538465</v>
      </c>
      <c r="L48" s="8">
        <v>0.38461538461538464</v>
      </c>
      <c r="P48" s="68" t="s">
        <v>1531</v>
      </c>
      <c r="Q48" s="8">
        <v>0.30769230769230771</v>
      </c>
      <c r="R48" s="8">
        <v>0.26923076923076922</v>
      </c>
      <c r="S48" s="8">
        <v>0.69230769230769218</v>
      </c>
      <c r="T48" s="8">
        <v>0.5</v>
      </c>
      <c r="U48" s="8">
        <v>1.1538461538461537</v>
      </c>
      <c r="V48" s="8">
        <v>1.1794871794871793</v>
      </c>
      <c r="W48" s="8">
        <v>0.55384615384615377</v>
      </c>
      <c r="X48" s="8">
        <v>7.6923076923076927E-2</v>
      </c>
      <c r="Y48" s="8">
        <v>0.18461538461538465</v>
      </c>
      <c r="Z48" s="8">
        <v>0.46153846153846156</v>
      </c>
    </row>
    <row r="49" spans="2:26">
      <c r="B49" s="68" t="s">
        <v>1532</v>
      </c>
      <c r="C49" s="8">
        <v>0.3472222222222221</v>
      </c>
      <c r="D49" s="8">
        <v>0.22916666666666666</v>
      </c>
      <c r="E49" s="8">
        <v>0.27777777777777773</v>
      </c>
      <c r="F49" s="8">
        <v>0.47916666666666669</v>
      </c>
      <c r="G49" s="8">
        <v>0.58333333333333337</v>
      </c>
      <c r="H49" s="8">
        <v>0.49999999999999994</v>
      </c>
      <c r="I49" s="8">
        <v>0.49166666666666664</v>
      </c>
      <c r="J49" s="8">
        <v>0.14583333333333334</v>
      </c>
      <c r="K49" s="8">
        <v>0.24166666666666672</v>
      </c>
      <c r="L49" s="8">
        <v>0.20833333333333334</v>
      </c>
      <c r="P49" s="68" t="s">
        <v>1532</v>
      </c>
      <c r="Q49" s="8">
        <v>0.3472222222222221</v>
      </c>
      <c r="R49" s="8">
        <v>0.22916666666666666</v>
      </c>
      <c r="S49" s="8">
        <v>0.38888888888888901</v>
      </c>
      <c r="T49" s="8">
        <v>0.47916666666666669</v>
      </c>
      <c r="U49" s="8">
        <v>0.71666666666666667</v>
      </c>
      <c r="V49" s="8">
        <v>0.80555555555555536</v>
      </c>
      <c r="W49" s="8">
        <v>0.59166666666666667</v>
      </c>
      <c r="X49" s="8">
        <v>0.14583333333333334</v>
      </c>
      <c r="Y49" s="8">
        <v>0.25833333333333341</v>
      </c>
      <c r="Z49" s="8">
        <v>0.20833333333333334</v>
      </c>
    </row>
    <row r="50" spans="2:26">
      <c r="B50" s="68" t="s">
        <v>1573</v>
      </c>
      <c r="C50" s="8">
        <v>0.33333333333333343</v>
      </c>
      <c r="D50" s="8">
        <v>0.23780487804878048</v>
      </c>
      <c r="E50" s="8">
        <v>0.31707317073170732</v>
      </c>
      <c r="F50" s="8">
        <v>0.45121951219512196</v>
      </c>
      <c r="G50" s="8">
        <v>0.6634146341463415</v>
      </c>
      <c r="H50" s="8">
        <v>0.5934959349593496</v>
      </c>
      <c r="I50" s="8">
        <v>0.43414634146341474</v>
      </c>
      <c r="J50" s="8">
        <v>0.12195121951219512</v>
      </c>
      <c r="K50" s="8">
        <v>0.2195121951219513</v>
      </c>
      <c r="L50" s="8">
        <v>0.24390243902439024</v>
      </c>
      <c r="P50" s="68" t="s">
        <v>1573</v>
      </c>
      <c r="Q50" s="8">
        <v>0.33333333333333343</v>
      </c>
      <c r="R50" s="8">
        <v>0.25</v>
      </c>
      <c r="S50" s="8">
        <v>0.47967479674796754</v>
      </c>
      <c r="T50" s="8">
        <v>0.47560975609756095</v>
      </c>
      <c r="U50" s="8">
        <v>0.86341463414634179</v>
      </c>
      <c r="V50" s="8">
        <v>0.93495934959349603</v>
      </c>
      <c r="W50" s="8">
        <v>0.55609756097560981</v>
      </c>
      <c r="X50" s="8">
        <v>0.12195121951219512</v>
      </c>
      <c r="Y50" s="8">
        <v>0.23414634146341468</v>
      </c>
      <c r="Z50" s="8">
        <v>0.26829268292682928</v>
      </c>
    </row>
    <row r="51" spans="2:26">
      <c r="C51"/>
      <c r="D51"/>
      <c r="Q51"/>
      <c r="R51"/>
    </row>
    <row r="52" spans="2:26">
      <c r="C52"/>
      <c r="D52"/>
      <c r="Q52"/>
      <c r="R52"/>
    </row>
    <row r="53" spans="2:26">
      <c r="C53"/>
      <c r="D53"/>
      <c r="Q53"/>
      <c r="R53"/>
    </row>
    <row r="54" spans="2:26">
      <c r="C54"/>
      <c r="D54"/>
      <c r="Q54"/>
      <c r="R54"/>
    </row>
    <row r="55" spans="2:26">
      <c r="C55"/>
      <c r="D55"/>
      <c r="Q55"/>
      <c r="R55"/>
    </row>
    <row r="56" spans="2:26">
      <c r="C56"/>
      <c r="D56"/>
      <c r="Q56"/>
      <c r="R56"/>
    </row>
    <row r="57" spans="2:26">
      <c r="C57"/>
      <c r="D57"/>
      <c r="Q57"/>
      <c r="R57"/>
    </row>
    <row r="58" spans="2:26">
      <c r="C58"/>
      <c r="D58"/>
      <c r="Q58"/>
      <c r="R58"/>
    </row>
    <row r="59" spans="2:26">
      <c r="C59"/>
      <c r="D59"/>
      <c r="Q59"/>
      <c r="R59"/>
    </row>
    <row r="60" spans="2:26">
      <c r="C60"/>
      <c r="D60"/>
      <c r="Q60"/>
      <c r="R60"/>
    </row>
    <row r="61" spans="2:26">
      <c r="C61"/>
      <c r="D61"/>
      <c r="Q61"/>
      <c r="R61"/>
    </row>
    <row r="62" spans="2:26">
      <c r="C62"/>
      <c r="D62"/>
      <c r="Q62"/>
      <c r="R62"/>
    </row>
    <row r="63" spans="2:26">
      <c r="C63"/>
      <c r="D63"/>
      <c r="Q63"/>
      <c r="R63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708A-CD5C-4812-BCFF-05D79B14B140}">
  <dimension ref="B2:AL71"/>
  <sheetViews>
    <sheetView workbookViewId="0">
      <selection activeCell="H36" sqref="H36"/>
    </sheetView>
  </sheetViews>
  <sheetFormatPr defaultRowHeight="13.8"/>
  <cols>
    <col min="2" max="2" width="22.6640625" bestFit="1" customWidth="1"/>
    <col min="3" max="3" width="11.6640625" bestFit="1" customWidth="1"/>
    <col min="4" max="6" width="10.5546875" bestFit="1" customWidth="1"/>
    <col min="7" max="10" width="11.6640625" bestFit="1" customWidth="1"/>
    <col min="11" max="19" width="10.5546875" bestFit="1" customWidth="1"/>
    <col min="20" max="22" width="11.6640625" bestFit="1" customWidth="1"/>
    <col min="23" max="31" width="10.5546875" bestFit="1" customWidth="1"/>
    <col min="32" max="34" width="11.6640625" bestFit="1" customWidth="1"/>
    <col min="35" max="38" width="10.5546875" bestFit="1" customWidth="1"/>
  </cols>
  <sheetData>
    <row r="2" spans="2:38"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2:38">
      <c r="B3" t="s">
        <v>1584</v>
      </c>
      <c r="C3" s="70">
        <v>45413</v>
      </c>
      <c r="D3" s="70">
        <v>45383</v>
      </c>
      <c r="E3" s="70">
        <v>45352</v>
      </c>
      <c r="F3" s="70">
        <v>45323</v>
      </c>
      <c r="G3" s="70">
        <v>45292</v>
      </c>
      <c r="H3" s="70">
        <v>45261</v>
      </c>
      <c r="I3" s="70">
        <v>45231</v>
      </c>
      <c r="J3" s="70">
        <v>45200</v>
      </c>
      <c r="K3" s="70">
        <v>45170</v>
      </c>
      <c r="L3" s="70">
        <v>45139</v>
      </c>
      <c r="M3" s="70">
        <v>45108</v>
      </c>
      <c r="N3" s="70">
        <v>45078</v>
      </c>
      <c r="O3" s="70">
        <v>45047</v>
      </c>
      <c r="P3" s="70">
        <v>45017</v>
      </c>
      <c r="Q3" s="70">
        <v>44986</v>
      </c>
      <c r="R3" s="70">
        <v>44958</v>
      </c>
      <c r="S3" s="70">
        <v>44927</v>
      </c>
      <c r="T3" s="70">
        <v>44896</v>
      </c>
      <c r="U3" s="70">
        <v>44866</v>
      </c>
      <c r="V3" s="70">
        <v>44835</v>
      </c>
      <c r="W3" s="70">
        <v>44805</v>
      </c>
      <c r="X3" s="70">
        <v>44774</v>
      </c>
      <c r="Y3" s="70">
        <v>44743</v>
      </c>
      <c r="Z3" s="70">
        <v>44713</v>
      </c>
      <c r="AA3" s="70">
        <v>44682</v>
      </c>
      <c r="AB3" s="70">
        <v>44652</v>
      </c>
      <c r="AC3" s="70">
        <v>44621</v>
      </c>
      <c r="AD3" s="70">
        <v>44593</v>
      </c>
      <c r="AE3" s="70">
        <v>44562</v>
      </c>
      <c r="AF3" s="70">
        <v>44531</v>
      </c>
      <c r="AG3" s="70">
        <v>44501</v>
      </c>
      <c r="AH3" s="70">
        <v>44470</v>
      </c>
      <c r="AI3" s="70">
        <v>44440</v>
      </c>
      <c r="AJ3" s="70">
        <v>44409</v>
      </c>
      <c r="AK3" s="70">
        <v>44378</v>
      </c>
      <c r="AL3" s="70">
        <v>44348</v>
      </c>
    </row>
    <row r="4" spans="2:38">
      <c r="B4" t="s">
        <v>1585</v>
      </c>
    </row>
    <row r="5" spans="2:38">
      <c r="B5" t="s">
        <v>1586</v>
      </c>
      <c r="C5">
        <v>30744.16</v>
      </c>
      <c r="D5">
        <v>24507.14</v>
      </c>
      <c r="E5">
        <v>18941.900000000001</v>
      </c>
      <c r="F5">
        <v>9558.82</v>
      </c>
      <c r="H5">
        <v>94796.35</v>
      </c>
      <c r="I5">
        <v>85964.5</v>
      </c>
      <c r="J5">
        <v>79385.98</v>
      </c>
      <c r="K5">
        <v>72769.59</v>
      </c>
      <c r="L5">
        <v>63811.11</v>
      </c>
      <c r="M5">
        <v>57622.54</v>
      </c>
      <c r="N5">
        <v>51592.34</v>
      </c>
      <c r="O5">
        <v>40663.17</v>
      </c>
      <c r="P5">
        <v>32965.870000000003</v>
      </c>
      <c r="Q5">
        <v>26251.39</v>
      </c>
      <c r="R5">
        <v>13387.18</v>
      </c>
      <c r="T5">
        <v>114630.65</v>
      </c>
      <c r="U5">
        <v>102726.84</v>
      </c>
      <c r="V5">
        <v>94129.37</v>
      </c>
      <c r="W5">
        <v>85758.17</v>
      </c>
      <c r="X5">
        <v>74402.559999999998</v>
      </c>
      <c r="Y5">
        <v>66087.03</v>
      </c>
      <c r="Z5">
        <v>58056.89</v>
      </c>
      <c r="AA5">
        <v>42902.6</v>
      </c>
      <c r="AB5">
        <v>33721.72</v>
      </c>
      <c r="AC5">
        <v>26304.59</v>
      </c>
      <c r="AD5">
        <v>13462.26</v>
      </c>
      <c r="AF5">
        <v>156532.17000000001</v>
      </c>
      <c r="AG5">
        <v>139156.19</v>
      </c>
      <c r="AH5">
        <v>126419.25</v>
      </c>
      <c r="AI5">
        <v>115431.87</v>
      </c>
      <c r="AJ5">
        <v>101606.71</v>
      </c>
      <c r="AK5">
        <v>90597.93</v>
      </c>
      <c r="AL5">
        <v>79081.42</v>
      </c>
    </row>
    <row r="6" spans="2:38">
      <c r="B6" t="s">
        <v>1585</v>
      </c>
    </row>
    <row r="7" spans="2:38">
      <c r="B7" t="s">
        <v>1587</v>
      </c>
      <c r="C7">
        <v>-23.6</v>
      </c>
      <c r="D7">
        <v>-23.8</v>
      </c>
      <c r="E7">
        <v>-23.4</v>
      </c>
      <c r="F7">
        <v>-24.8</v>
      </c>
      <c r="H7">
        <v>-8.1999999999999993</v>
      </c>
      <c r="I7">
        <v>-7.3</v>
      </c>
      <c r="J7">
        <v>-6.8</v>
      </c>
      <c r="K7">
        <v>-6.3</v>
      </c>
      <c r="L7">
        <v>-5.5</v>
      </c>
      <c r="M7">
        <v>-4.3</v>
      </c>
      <c r="N7">
        <v>-2.8</v>
      </c>
      <c r="O7">
        <v>2.2999999999999998</v>
      </c>
      <c r="P7">
        <v>2.7</v>
      </c>
      <c r="Q7">
        <v>1.4</v>
      </c>
      <c r="R7">
        <v>-0.6</v>
      </c>
      <c r="T7">
        <v>-26.8</v>
      </c>
      <c r="U7">
        <v>-26.2</v>
      </c>
      <c r="V7">
        <v>-25.5</v>
      </c>
      <c r="W7">
        <v>-25.7</v>
      </c>
      <c r="X7">
        <v>-26.8</v>
      </c>
      <c r="Y7">
        <v>-27.1</v>
      </c>
      <c r="Z7">
        <v>-26.6</v>
      </c>
      <c r="AA7">
        <v>-28.1</v>
      </c>
      <c r="AB7">
        <v>-25.4</v>
      </c>
      <c r="AC7">
        <v>-18.600000000000001</v>
      </c>
      <c r="AD7">
        <v>-13.8</v>
      </c>
      <c r="AF7">
        <v>1.1000000000000001</v>
      </c>
      <c r="AG7">
        <v>4.4000000000000004</v>
      </c>
      <c r="AH7">
        <v>7.1</v>
      </c>
      <c r="AI7">
        <v>11.4</v>
      </c>
      <c r="AJ7">
        <v>16.5</v>
      </c>
      <c r="AK7">
        <v>22.7</v>
      </c>
      <c r="AL7">
        <v>29.4</v>
      </c>
    </row>
    <row r="8" spans="2:38">
      <c r="B8" t="s">
        <v>1588</v>
      </c>
    </row>
    <row r="9" spans="2:38">
      <c r="B9" t="s">
        <v>1586</v>
      </c>
      <c r="C9">
        <v>8239.06</v>
      </c>
      <c r="D9">
        <v>6594.56</v>
      </c>
      <c r="E9">
        <v>5095.59</v>
      </c>
      <c r="F9">
        <v>2530.27</v>
      </c>
      <c r="H9">
        <v>17765.240000000002</v>
      </c>
      <c r="I9">
        <v>15643.06</v>
      </c>
      <c r="J9">
        <v>14297.21</v>
      </c>
      <c r="K9">
        <v>12992.43</v>
      </c>
      <c r="L9">
        <v>11105.61</v>
      </c>
      <c r="M9">
        <v>9859.9599999999991</v>
      </c>
      <c r="N9">
        <v>8715.02</v>
      </c>
      <c r="O9">
        <v>6729.16</v>
      </c>
      <c r="P9">
        <v>5528.71</v>
      </c>
      <c r="Q9">
        <v>4455.6899999999996</v>
      </c>
      <c r="R9">
        <v>2174.6999999999998</v>
      </c>
      <c r="T9">
        <v>15974.38</v>
      </c>
      <c r="U9">
        <v>14010.42</v>
      </c>
      <c r="V9">
        <v>12916.77</v>
      </c>
      <c r="W9">
        <v>11818.09</v>
      </c>
      <c r="X9">
        <v>10284.700000000001</v>
      </c>
      <c r="Y9">
        <v>9157.69</v>
      </c>
      <c r="Z9">
        <v>8083.33</v>
      </c>
      <c r="AA9">
        <v>5699.66</v>
      </c>
      <c r="AB9">
        <v>4439.28</v>
      </c>
      <c r="AC9">
        <v>3446.67</v>
      </c>
      <c r="AD9">
        <v>1812.26</v>
      </c>
      <c r="AF9">
        <v>16356.74</v>
      </c>
      <c r="AG9">
        <v>13976.18</v>
      </c>
      <c r="AH9">
        <v>12452.23</v>
      </c>
      <c r="AI9">
        <v>11270.76</v>
      </c>
      <c r="AJ9">
        <v>9691.0499999999993</v>
      </c>
      <c r="AK9">
        <v>8635.8700000000008</v>
      </c>
      <c r="AL9">
        <v>7502.96</v>
      </c>
    </row>
    <row r="10" spans="2:38">
      <c r="B10" t="s">
        <v>1588</v>
      </c>
    </row>
    <row r="11" spans="2:38">
      <c r="B11" t="s">
        <v>1587</v>
      </c>
      <c r="C11">
        <v>23.8</v>
      </c>
      <c r="D11">
        <v>22.6</v>
      </c>
      <c r="E11">
        <v>21.2</v>
      </c>
      <c r="F11">
        <v>22.3</v>
      </c>
      <c r="H11">
        <v>22.7</v>
      </c>
      <c r="I11">
        <v>23.2</v>
      </c>
      <c r="J11">
        <v>21.9</v>
      </c>
      <c r="K11">
        <v>21.2</v>
      </c>
      <c r="L11">
        <v>18.8</v>
      </c>
      <c r="M11">
        <v>17.899999999999999</v>
      </c>
      <c r="N11">
        <v>17.5</v>
      </c>
      <c r="O11">
        <v>26.5</v>
      </c>
      <c r="P11">
        <v>30.5</v>
      </c>
      <c r="Q11">
        <v>30.3</v>
      </c>
      <c r="R11">
        <v>20</v>
      </c>
      <c r="T11">
        <v>-2.2999999999999998</v>
      </c>
      <c r="U11">
        <v>0.2</v>
      </c>
      <c r="V11">
        <v>3.7</v>
      </c>
      <c r="W11">
        <v>4.9000000000000004</v>
      </c>
      <c r="X11">
        <v>6.1</v>
      </c>
      <c r="Y11">
        <v>6</v>
      </c>
      <c r="Z11">
        <v>7.7</v>
      </c>
      <c r="AA11">
        <v>4</v>
      </c>
      <c r="AB11">
        <v>5.3</v>
      </c>
      <c r="AC11">
        <v>13.3</v>
      </c>
      <c r="AD11">
        <v>17.100000000000001</v>
      </c>
      <c r="AF11">
        <v>3.9</v>
      </c>
      <c r="AG11">
        <v>4.0999999999999996</v>
      </c>
      <c r="AH11">
        <v>5.4</v>
      </c>
      <c r="AI11">
        <v>8.1999999999999993</v>
      </c>
      <c r="AJ11">
        <v>10</v>
      </c>
      <c r="AK11">
        <v>13.7</v>
      </c>
      <c r="AL11">
        <v>17.5</v>
      </c>
    </row>
    <row r="12" spans="2:38" s="16" customFormat="1">
      <c r="B12" s="16" t="s">
        <v>1589</v>
      </c>
    </row>
    <row r="13" spans="2:38" s="16" customFormat="1">
      <c r="B13" s="16" t="s">
        <v>1586</v>
      </c>
      <c r="C13" s="16">
        <v>22505.1</v>
      </c>
      <c r="D13" s="16">
        <v>17912.59</v>
      </c>
      <c r="E13" s="16">
        <v>13846.31</v>
      </c>
      <c r="F13" s="16">
        <v>7028.55</v>
      </c>
      <c r="H13" s="16">
        <v>77031.11</v>
      </c>
      <c r="I13" s="16">
        <v>70321.440000000002</v>
      </c>
      <c r="J13" s="16">
        <v>65088.77</v>
      </c>
      <c r="K13" s="16">
        <v>59777.16</v>
      </c>
      <c r="L13" s="16">
        <v>52705.5</v>
      </c>
      <c r="M13" s="16">
        <v>47762.57</v>
      </c>
      <c r="N13" s="16">
        <v>42877.32</v>
      </c>
      <c r="O13" s="16">
        <v>33934.01</v>
      </c>
      <c r="P13" s="16">
        <v>27437.16</v>
      </c>
      <c r="Q13" s="16">
        <v>21795.71</v>
      </c>
      <c r="R13" s="16">
        <v>11212.48</v>
      </c>
      <c r="T13" s="16">
        <v>98656.28</v>
      </c>
      <c r="U13" s="16">
        <v>88716.42</v>
      </c>
      <c r="V13" s="16">
        <v>81212.600000000006</v>
      </c>
      <c r="W13" s="16">
        <v>73940.08</v>
      </c>
      <c r="X13" s="16">
        <v>64117.86</v>
      </c>
      <c r="Y13" s="16">
        <v>56929.34</v>
      </c>
      <c r="Z13" s="16">
        <v>49973.56</v>
      </c>
      <c r="AA13" s="16">
        <v>37202.93</v>
      </c>
      <c r="AB13" s="16">
        <v>29282.44</v>
      </c>
      <c r="AC13" s="16">
        <v>22857.919999999998</v>
      </c>
      <c r="AD13" s="16">
        <v>11650</v>
      </c>
      <c r="AF13" s="16">
        <v>140175.43</v>
      </c>
      <c r="AG13" s="16">
        <v>125180.01</v>
      </c>
      <c r="AH13" s="16">
        <v>113967.02</v>
      </c>
      <c r="AI13" s="16">
        <v>104161.11</v>
      </c>
      <c r="AJ13" s="16">
        <v>91915.67</v>
      </c>
      <c r="AK13" s="16">
        <v>81962.06</v>
      </c>
      <c r="AL13" s="16">
        <v>71578.460000000006</v>
      </c>
    </row>
    <row r="14" spans="2:38">
      <c r="B14" t="s">
        <v>1589</v>
      </c>
    </row>
    <row r="15" spans="2:38"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</row>
    <row r="16" spans="2:38"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</row>
    <row r="17" spans="2:38">
      <c r="B17" t="s">
        <v>1584</v>
      </c>
      <c r="C17" s="70">
        <v>45413</v>
      </c>
      <c r="D17" s="70">
        <v>45383</v>
      </c>
      <c r="E17" s="70">
        <v>45352</v>
      </c>
      <c r="F17" s="70">
        <v>45323</v>
      </c>
      <c r="G17" s="70">
        <v>45261</v>
      </c>
      <c r="H17" s="70">
        <v>45231</v>
      </c>
      <c r="I17" s="70">
        <v>45200</v>
      </c>
      <c r="J17" s="70">
        <v>45170</v>
      </c>
      <c r="K17" s="70">
        <v>45139</v>
      </c>
      <c r="L17" s="70">
        <v>45108</v>
      </c>
      <c r="M17" s="70">
        <v>45078</v>
      </c>
      <c r="N17" s="70">
        <v>45047</v>
      </c>
      <c r="O17" s="70">
        <v>45017</v>
      </c>
      <c r="P17" s="70">
        <v>44986</v>
      </c>
      <c r="Q17" s="70">
        <v>44958</v>
      </c>
      <c r="R17" s="70">
        <v>44896</v>
      </c>
      <c r="S17" s="70">
        <v>44866</v>
      </c>
      <c r="T17" s="70">
        <v>44835</v>
      </c>
      <c r="U17" s="70">
        <v>44805</v>
      </c>
      <c r="V17" s="70">
        <v>44774</v>
      </c>
      <c r="W17" s="70">
        <v>44743</v>
      </c>
      <c r="X17" s="70">
        <v>44713</v>
      </c>
      <c r="Y17" s="70">
        <v>44682</v>
      </c>
      <c r="Z17" s="70">
        <v>44652</v>
      </c>
      <c r="AA17" s="70">
        <v>44621</v>
      </c>
      <c r="AB17" s="70">
        <v>44593</v>
      </c>
      <c r="AC17" s="70">
        <v>44531</v>
      </c>
      <c r="AD17" s="70">
        <v>44501</v>
      </c>
      <c r="AE17" s="70">
        <v>44470</v>
      </c>
      <c r="AF17" s="70">
        <v>44440</v>
      </c>
      <c r="AG17" s="70">
        <v>44409</v>
      </c>
      <c r="AH17" s="70">
        <v>44378</v>
      </c>
      <c r="AI17" s="70">
        <v>44348</v>
      </c>
    </row>
    <row r="18" spans="2:38">
      <c r="B18" t="s">
        <v>1590</v>
      </c>
    </row>
    <row r="19" spans="2:38">
      <c r="B19" t="s">
        <v>1586</v>
      </c>
      <c r="C19">
        <v>481557.1</v>
      </c>
      <c r="D19">
        <v>480646.6</v>
      </c>
      <c r="E19">
        <v>474580.41</v>
      </c>
      <c r="F19">
        <v>466635.99</v>
      </c>
      <c r="G19">
        <v>589884.26</v>
      </c>
      <c r="H19">
        <v>585309.35</v>
      </c>
      <c r="I19">
        <v>579361.46</v>
      </c>
      <c r="J19">
        <v>574249.97</v>
      </c>
      <c r="K19">
        <v>567791.72</v>
      </c>
      <c r="L19">
        <v>563025.81999999995</v>
      </c>
      <c r="M19">
        <v>557083.18999999994</v>
      </c>
      <c r="N19">
        <v>548474.66</v>
      </c>
      <c r="O19">
        <v>542968.14</v>
      </c>
      <c r="P19">
        <v>538214.32999999996</v>
      </c>
      <c r="Q19">
        <v>527695.21</v>
      </c>
      <c r="R19">
        <v>639695.93999999994</v>
      </c>
      <c r="S19">
        <v>633915.74</v>
      </c>
      <c r="T19">
        <v>628277.72</v>
      </c>
      <c r="U19">
        <v>621201.24</v>
      </c>
      <c r="V19">
        <v>613604.38</v>
      </c>
      <c r="W19">
        <v>607028.93999999994</v>
      </c>
      <c r="X19">
        <v>599429.46</v>
      </c>
      <c r="Y19">
        <v>586918.31999999995</v>
      </c>
      <c r="Z19">
        <v>577691.56000000006</v>
      </c>
      <c r="AA19">
        <v>569044.86</v>
      </c>
      <c r="AB19">
        <v>553513.53</v>
      </c>
      <c r="AC19">
        <v>690319.37</v>
      </c>
      <c r="AD19">
        <v>679539.72</v>
      </c>
      <c r="AE19">
        <v>667801.09</v>
      </c>
      <c r="AF19">
        <v>656884.06999999995</v>
      </c>
      <c r="AG19">
        <v>644335.62</v>
      </c>
      <c r="AH19">
        <v>631071.97</v>
      </c>
      <c r="AI19">
        <v>617479.66</v>
      </c>
    </row>
    <row r="20" spans="2:38">
      <c r="B20" t="s">
        <v>1590</v>
      </c>
    </row>
    <row r="21" spans="2:38">
      <c r="B21" t="s">
        <v>1587</v>
      </c>
      <c r="C21">
        <v>-12.2</v>
      </c>
      <c r="D21">
        <v>-11.4</v>
      </c>
      <c r="E21">
        <v>-11.7</v>
      </c>
      <c r="F21">
        <v>-11.4</v>
      </c>
      <c r="G21">
        <v>-7.7</v>
      </c>
      <c r="H21">
        <v>-7.6</v>
      </c>
      <c r="I21">
        <v>-7.7</v>
      </c>
      <c r="J21">
        <v>-7.4</v>
      </c>
      <c r="K21">
        <v>-7.3</v>
      </c>
      <c r="L21">
        <v>-7.1</v>
      </c>
      <c r="M21">
        <v>-6.9</v>
      </c>
      <c r="N21">
        <v>-6.5</v>
      </c>
      <c r="O21">
        <v>-5.9</v>
      </c>
      <c r="P21">
        <v>-5.4</v>
      </c>
      <c r="Q21">
        <v>-4.7</v>
      </c>
      <c r="R21">
        <v>-7.3</v>
      </c>
      <c r="S21">
        <v>-6.7</v>
      </c>
      <c r="T21">
        <v>-5.9</v>
      </c>
      <c r="U21">
        <v>-5.4</v>
      </c>
      <c r="V21">
        <v>-4.8</v>
      </c>
      <c r="W21">
        <v>-3.8</v>
      </c>
      <c r="X21">
        <v>-2.9</v>
      </c>
      <c r="Y21">
        <v>-1.1000000000000001</v>
      </c>
      <c r="Z21">
        <v>-0.1</v>
      </c>
      <c r="AA21">
        <v>1.1000000000000001</v>
      </c>
      <c r="AB21">
        <v>2</v>
      </c>
      <c r="AC21">
        <v>5.3</v>
      </c>
      <c r="AD21">
        <v>6.5</v>
      </c>
      <c r="AE21">
        <v>7.4</v>
      </c>
      <c r="AF21">
        <v>8.1999999999999993</v>
      </c>
      <c r="AG21">
        <v>8.8000000000000007</v>
      </c>
      <c r="AH21">
        <v>9.4</v>
      </c>
      <c r="AI21">
        <v>10.5</v>
      </c>
    </row>
    <row r="22" spans="2:38">
      <c r="B22" t="s">
        <v>1591</v>
      </c>
    </row>
    <row r="23" spans="2:38">
      <c r="B23" t="s">
        <v>1586</v>
      </c>
      <c r="C23">
        <v>21759.93</v>
      </c>
      <c r="D23">
        <v>17005.669999999998</v>
      </c>
      <c r="E23">
        <v>12534.02</v>
      </c>
      <c r="F23">
        <v>6795.71</v>
      </c>
      <c r="G23">
        <v>69285.61</v>
      </c>
      <c r="H23">
        <v>63737.03</v>
      </c>
      <c r="I23">
        <v>57658.9</v>
      </c>
      <c r="J23">
        <v>52511.64</v>
      </c>
      <c r="K23">
        <v>46636.07</v>
      </c>
      <c r="L23">
        <v>41546.49</v>
      </c>
      <c r="M23">
        <v>36339.64</v>
      </c>
      <c r="N23">
        <v>29009.79</v>
      </c>
      <c r="O23">
        <v>22899.88</v>
      </c>
      <c r="P23">
        <v>17719.09</v>
      </c>
      <c r="Q23">
        <v>9891.0400000000009</v>
      </c>
      <c r="R23">
        <v>88135.08</v>
      </c>
      <c r="S23">
        <v>81734.350000000006</v>
      </c>
      <c r="T23">
        <v>75934.149999999994</v>
      </c>
      <c r="U23">
        <v>69482.75</v>
      </c>
      <c r="V23">
        <v>62413.69</v>
      </c>
      <c r="W23">
        <v>55918.75</v>
      </c>
      <c r="X23">
        <v>48800.480000000003</v>
      </c>
      <c r="Y23">
        <v>37782.31</v>
      </c>
      <c r="Z23">
        <v>28876.560000000001</v>
      </c>
      <c r="AA23">
        <v>21558.38</v>
      </c>
      <c r="AB23">
        <v>10835.67</v>
      </c>
      <c r="AC23">
        <v>146378.56</v>
      </c>
      <c r="AD23">
        <v>135017.35999999999</v>
      </c>
      <c r="AE23">
        <v>123480.57</v>
      </c>
      <c r="AF23">
        <v>113374.46</v>
      </c>
      <c r="AG23">
        <v>100765.33</v>
      </c>
      <c r="AH23">
        <v>88473.99</v>
      </c>
      <c r="AI23">
        <v>75514.87</v>
      </c>
    </row>
    <row r="24" spans="2:38">
      <c r="B24" t="s">
        <v>1591</v>
      </c>
    </row>
    <row r="25" spans="2:38">
      <c r="B25" t="s">
        <v>1587</v>
      </c>
      <c r="C25">
        <v>-25</v>
      </c>
      <c r="D25">
        <v>-25.6</v>
      </c>
      <c r="E25">
        <v>-28.7</v>
      </c>
      <c r="F25">
        <v>-30.6</v>
      </c>
      <c r="G25">
        <v>-20.9</v>
      </c>
      <c r="H25">
        <v>-21.5</v>
      </c>
      <c r="I25">
        <v>-23.6</v>
      </c>
      <c r="J25">
        <v>-23.9</v>
      </c>
      <c r="K25">
        <v>-24.7</v>
      </c>
      <c r="L25">
        <v>-25</v>
      </c>
      <c r="M25">
        <v>-24.9</v>
      </c>
      <c r="N25">
        <v>-22.7</v>
      </c>
      <c r="O25">
        <v>-20.6</v>
      </c>
      <c r="P25">
        <v>-17.8</v>
      </c>
      <c r="Q25">
        <v>-8.6999999999999993</v>
      </c>
      <c r="R25">
        <v>-39.799999999999997</v>
      </c>
      <c r="S25">
        <v>-39.5</v>
      </c>
      <c r="T25">
        <v>-38.5</v>
      </c>
      <c r="U25">
        <v>-38.700000000000003</v>
      </c>
      <c r="V25">
        <v>-38.1</v>
      </c>
      <c r="W25">
        <v>-36.799999999999997</v>
      </c>
      <c r="X25">
        <v>-35.4</v>
      </c>
      <c r="Y25">
        <v>-31.9</v>
      </c>
      <c r="Z25">
        <v>-28.4</v>
      </c>
      <c r="AA25">
        <v>-20.3</v>
      </c>
      <c r="AB25">
        <v>-14.9</v>
      </c>
      <c r="AC25">
        <v>-10.9</v>
      </c>
      <c r="AD25">
        <v>-8.4</v>
      </c>
      <c r="AE25">
        <v>-6.8</v>
      </c>
      <c r="AF25">
        <v>-3.3</v>
      </c>
      <c r="AG25">
        <v>-1.7</v>
      </c>
      <c r="AH25">
        <v>0.4</v>
      </c>
      <c r="AI25">
        <v>5.5</v>
      </c>
    </row>
    <row r="26" spans="2:38">
      <c r="B26" t="s">
        <v>1592</v>
      </c>
    </row>
    <row r="27" spans="2:38" s="16" customFormat="1">
      <c r="B27" s="16" t="s">
        <v>1586</v>
      </c>
      <c r="C27" s="16">
        <v>16199.37</v>
      </c>
      <c r="D27" s="16">
        <v>13745.79</v>
      </c>
      <c r="E27" s="16">
        <v>11147.95</v>
      </c>
      <c r="F27" s="16">
        <v>7694</v>
      </c>
      <c r="G27" s="16">
        <v>72432.59</v>
      </c>
      <c r="H27" s="16">
        <v>47580.71</v>
      </c>
      <c r="I27" s="16">
        <v>40079.279999999999</v>
      </c>
      <c r="J27" s="16">
        <v>35319.339999999997</v>
      </c>
      <c r="K27" s="16">
        <v>31775.39</v>
      </c>
      <c r="L27" s="16">
        <v>27953.67</v>
      </c>
      <c r="M27" s="16">
        <v>24603.62</v>
      </c>
      <c r="N27" s="16">
        <v>20194.330000000002</v>
      </c>
      <c r="O27" s="16">
        <v>17395.98</v>
      </c>
      <c r="P27" s="16">
        <v>14395.91</v>
      </c>
      <c r="Q27" s="16">
        <v>9781.5</v>
      </c>
      <c r="R27" s="16">
        <v>62539.25</v>
      </c>
      <c r="S27" s="16">
        <v>40441.54</v>
      </c>
      <c r="T27" s="16">
        <v>33771.43</v>
      </c>
      <c r="U27" s="16">
        <v>29595.360000000001</v>
      </c>
      <c r="V27" s="16">
        <v>26737.46</v>
      </c>
      <c r="W27" s="16">
        <v>23279.5</v>
      </c>
      <c r="X27" s="16">
        <v>20858.259999999998</v>
      </c>
      <c r="Y27" s="16">
        <v>17049.73</v>
      </c>
      <c r="Z27" s="16">
        <v>14661.72</v>
      </c>
      <c r="AA27" s="16">
        <v>12322.65</v>
      </c>
      <c r="AB27" s="16">
        <v>8914.7800000000007</v>
      </c>
      <c r="AC27" s="16">
        <v>73016.2</v>
      </c>
      <c r="AD27" s="16">
        <v>49582.28</v>
      </c>
      <c r="AE27" s="16">
        <v>41415.46</v>
      </c>
      <c r="AF27" s="16">
        <v>36816.18</v>
      </c>
      <c r="AG27" s="16">
        <v>33771.050000000003</v>
      </c>
      <c r="AH27" s="16">
        <v>30125.200000000001</v>
      </c>
      <c r="AI27" s="16">
        <v>26253.82</v>
      </c>
    </row>
    <row r="28" spans="2:38">
      <c r="B28" t="s">
        <v>1592</v>
      </c>
      <c r="C28">
        <f>C27</f>
        <v>16199.37</v>
      </c>
      <c r="G28">
        <f>G27-H27</f>
        <v>24851.879999999997</v>
      </c>
      <c r="AA28">
        <f>AA27</f>
        <v>12322.65</v>
      </c>
    </row>
    <row r="29" spans="2:38"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</row>
    <row r="30" spans="2:38"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</row>
    <row r="36" spans="2:38">
      <c r="B36" s="70">
        <v>45413</v>
      </c>
      <c r="C36" s="71">
        <v>45078</v>
      </c>
      <c r="D36" t="s">
        <v>1593</v>
      </c>
      <c r="E36">
        <f>C27+N27</f>
        <v>36393.700000000004</v>
      </c>
    </row>
    <row r="37" spans="2:38">
      <c r="B37" s="71">
        <v>44531</v>
      </c>
      <c r="C37" s="71">
        <v>44896</v>
      </c>
      <c r="D37" t="s">
        <v>1594</v>
      </c>
      <c r="E37">
        <f>T13</f>
        <v>98656.28</v>
      </c>
      <c r="F37">
        <f>E36/E37</f>
        <v>0.36889390112824044</v>
      </c>
    </row>
    <row r="41" spans="2:38">
      <c r="C41" s="71"/>
    </row>
    <row r="42" spans="2:38">
      <c r="C42" s="70"/>
      <c r="D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</row>
    <row r="43" spans="2:38">
      <c r="C43" s="70"/>
      <c r="D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</row>
    <row r="44" spans="2:38">
      <c r="C44" s="70"/>
    </row>
    <row r="45" spans="2:38">
      <c r="C45" s="70"/>
    </row>
    <row r="46" spans="2:38">
      <c r="C46" s="70"/>
    </row>
    <row r="47" spans="2:38">
      <c r="C47" s="70"/>
    </row>
    <row r="48" spans="2:38">
      <c r="C48" s="70"/>
    </row>
    <row r="49" spans="3:35">
      <c r="C49" s="70"/>
    </row>
    <row r="50" spans="3:35">
      <c r="C50" s="70"/>
    </row>
    <row r="51" spans="3:35">
      <c r="C51" s="70"/>
    </row>
    <row r="52" spans="3:35">
      <c r="C52" s="70"/>
    </row>
    <row r="53" spans="3:35">
      <c r="C53" s="70"/>
    </row>
    <row r="54" spans="3:35">
      <c r="C54" s="70"/>
    </row>
    <row r="55" spans="3:35">
      <c r="C55" s="70"/>
    </row>
    <row r="56" spans="3:35">
      <c r="C56" s="70"/>
      <c r="D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</row>
    <row r="57" spans="3:35">
      <c r="C57" s="70"/>
    </row>
    <row r="58" spans="3:35">
      <c r="C58" s="70"/>
    </row>
    <row r="59" spans="3:35">
      <c r="C59" s="70"/>
    </row>
    <row r="60" spans="3:35">
      <c r="C60" s="70"/>
    </row>
    <row r="61" spans="3:35">
      <c r="C61" s="70"/>
    </row>
    <row r="62" spans="3:35">
      <c r="C62" s="70"/>
    </row>
    <row r="63" spans="3:35">
      <c r="C63" s="70"/>
    </row>
    <row r="64" spans="3:35">
      <c r="C64" s="70"/>
    </row>
    <row r="65" spans="3:3">
      <c r="C65" s="70"/>
    </row>
    <row r="66" spans="3:3">
      <c r="C66" s="70"/>
    </row>
    <row r="67" spans="3:3">
      <c r="C67" s="70"/>
    </row>
    <row r="68" spans="3:3">
      <c r="C68" s="70"/>
    </row>
    <row r="69" spans="3:3">
      <c r="C69" s="70"/>
    </row>
    <row r="70" spans="3:3">
      <c r="C70" s="70"/>
    </row>
    <row r="71" spans="3:3">
      <c r="C71" s="70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7"/>
  <sheetViews>
    <sheetView workbookViewId="0"/>
  </sheetViews>
  <sheetFormatPr defaultRowHeight="13.8"/>
  <sheetData>
    <row r="1" spans="1:42"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  <c r="K1" t="s">
        <v>880</v>
      </c>
      <c r="L1" t="s">
        <v>881</v>
      </c>
      <c r="M1" t="s">
        <v>882</v>
      </c>
      <c r="N1" t="s">
        <v>883</v>
      </c>
      <c r="O1" t="s">
        <v>884</v>
      </c>
      <c r="P1" t="s">
        <v>885</v>
      </c>
      <c r="Q1" t="s">
        <v>886</v>
      </c>
      <c r="R1" t="s">
        <v>887</v>
      </c>
      <c r="S1" t="s">
        <v>888</v>
      </c>
      <c r="T1" t="s">
        <v>889</v>
      </c>
      <c r="U1" t="s">
        <v>890</v>
      </c>
      <c r="V1" t="s">
        <v>891</v>
      </c>
      <c r="W1" t="s">
        <v>892</v>
      </c>
      <c r="X1" t="s">
        <v>893</v>
      </c>
      <c r="Y1" t="s">
        <v>894</v>
      </c>
      <c r="Z1" t="s">
        <v>895</v>
      </c>
      <c r="AA1" t="s">
        <v>896</v>
      </c>
      <c r="AB1" t="s">
        <v>897</v>
      </c>
      <c r="AC1" t="s">
        <v>898</v>
      </c>
      <c r="AD1" t="s">
        <v>899</v>
      </c>
      <c r="AE1" t="s">
        <v>900</v>
      </c>
      <c r="AF1" t="s">
        <v>901</v>
      </c>
      <c r="AG1" t="s">
        <v>902</v>
      </c>
      <c r="AH1" t="s">
        <v>903</v>
      </c>
      <c r="AI1" t="s">
        <v>904</v>
      </c>
      <c r="AJ1" t="s">
        <v>905</v>
      </c>
      <c r="AK1" t="s">
        <v>906</v>
      </c>
      <c r="AL1" t="s">
        <v>907</v>
      </c>
      <c r="AM1" t="s">
        <v>908</v>
      </c>
      <c r="AN1" t="s">
        <v>909</v>
      </c>
      <c r="AO1" t="s">
        <v>910</v>
      </c>
      <c r="AP1" t="s">
        <v>1290</v>
      </c>
    </row>
    <row r="2" spans="1:42">
      <c r="A2" t="s">
        <v>911</v>
      </c>
      <c r="B2">
        <v>10</v>
      </c>
      <c r="C2">
        <v>12</v>
      </c>
      <c r="D2">
        <v>20</v>
      </c>
      <c r="E2">
        <v>14</v>
      </c>
      <c r="F2">
        <v>12</v>
      </c>
      <c r="G2">
        <v>9</v>
      </c>
      <c r="H2">
        <v>15</v>
      </c>
      <c r="I2">
        <v>17</v>
      </c>
      <c r="J2">
        <v>13</v>
      </c>
      <c r="K2">
        <v>15</v>
      </c>
      <c r="L2">
        <v>12</v>
      </c>
      <c r="M2">
        <v>6</v>
      </c>
      <c r="N2">
        <v>10</v>
      </c>
      <c r="O2">
        <v>15</v>
      </c>
      <c r="P2">
        <v>26</v>
      </c>
      <c r="Q2">
        <v>13</v>
      </c>
      <c r="R2">
        <v>2</v>
      </c>
      <c r="S2">
        <v>15</v>
      </c>
      <c r="T2">
        <v>11</v>
      </c>
      <c r="U2">
        <v>14</v>
      </c>
      <c r="V2">
        <v>10</v>
      </c>
      <c r="W2">
        <v>10</v>
      </c>
      <c r="X2">
        <v>16</v>
      </c>
      <c r="Y2">
        <v>7</v>
      </c>
      <c r="Z2">
        <v>18</v>
      </c>
      <c r="AA2">
        <v>18</v>
      </c>
      <c r="AB2">
        <v>7</v>
      </c>
      <c r="AC2">
        <v>14</v>
      </c>
      <c r="AD2">
        <v>10</v>
      </c>
      <c r="AE2">
        <v>8</v>
      </c>
      <c r="AF2">
        <v>15</v>
      </c>
      <c r="AG2">
        <v>12</v>
      </c>
      <c r="AH2">
        <v>8</v>
      </c>
      <c r="AI2">
        <v>9</v>
      </c>
      <c r="AJ2">
        <v>12</v>
      </c>
      <c r="AK2">
        <v>15</v>
      </c>
      <c r="AL2">
        <v>24</v>
      </c>
      <c r="AM2">
        <v>18</v>
      </c>
      <c r="AN2">
        <v>12</v>
      </c>
      <c r="AO2">
        <v>8</v>
      </c>
      <c r="AP2">
        <v>8</v>
      </c>
    </row>
    <row r="3" spans="1:42">
      <c r="A3" t="s">
        <v>912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</row>
    <row r="4" spans="1:42">
      <c r="A4" t="s">
        <v>913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</row>
    <row r="5" spans="1:42">
      <c r="A5" t="s">
        <v>914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</row>
    <row r="6" spans="1:42">
      <c r="A6" t="s">
        <v>915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916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917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</row>
    <row r="9" spans="1:42">
      <c r="A9" t="s">
        <v>918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2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2</v>
      </c>
      <c r="AF9">
        <v>1</v>
      </c>
      <c r="AG9">
        <v>1</v>
      </c>
      <c r="AH9">
        <v>1</v>
      </c>
      <c r="AI9">
        <v>1</v>
      </c>
      <c r="AJ9">
        <v>2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</row>
    <row r="10" spans="1:42">
      <c r="A10" t="s">
        <v>919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</row>
    <row r="11" spans="1:42">
      <c r="A11" t="s">
        <v>920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</row>
    <row r="12" spans="1:42">
      <c r="A12" t="s">
        <v>921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922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2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</row>
    <row r="14" spans="1:42">
      <c r="A14" t="s">
        <v>923</v>
      </c>
      <c r="B14">
        <v>1</v>
      </c>
      <c r="C14">
        <v>3</v>
      </c>
      <c r="D14">
        <v>4</v>
      </c>
      <c r="E14">
        <v>1</v>
      </c>
      <c r="F14">
        <v>2</v>
      </c>
      <c r="G14">
        <v>0</v>
      </c>
      <c r="H14">
        <v>5</v>
      </c>
      <c r="I14">
        <v>9</v>
      </c>
      <c r="J14">
        <v>5</v>
      </c>
      <c r="K14">
        <v>3</v>
      </c>
      <c r="L14">
        <v>2</v>
      </c>
      <c r="M14">
        <v>2</v>
      </c>
      <c r="N14">
        <v>3</v>
      </c>
      <c r="O14">
        <v>3</v>
      </c>
      <c r="P14">
        <v>5</v>
      </c>
      <c r="Q14">
        <v>2</v>
      </c>
      <c r="R14">
        <v>1</v>
      </c>
      <c r="S14">
        <v>2</v>
      </c>
      <c r="T14">
        <v>3</v>
      </c>
      <c r="U14">
        <v>3</v>
      </c>
      <c r="V14">
        <v>0</v>
      </c>
      <c r="W14">
        <v>3</v>
      </c>
      <c r="X14">
        <v>3</v>
      </c>
      <c r="Y14">
        <v>2</v>
      </c>
      <c r="Z14">
        <v>3</v>
      </c>
      <c r="AA14">
        <v>3</v>
      </c>
      <c r="AB14">
        <v>1</v>
      </c>
      <c r="AC14">
        <v>7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2</v>
      </c>
      <c r="AJ14">
        <v>3</v>
      </c>
      <c r="AK14">
        <v>1</v>
      </c>
      <c r="AL14">
        <v>4</v>
      </c>
      <c r="AM14">
        <v>2</v>
      </c>
      <c r="AN14">
        <v>1</v>
      </c>
      <c r="AO14">
        <v>0</v>
      </c>
      <c r="AP14">
        <v>0</v>
      </c>
    </row>
    <row r="15" spans="1:42">
      <c r="A15" t="s">
        <v>924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925</v>
      </c>
      <c r="B16">
        <v>0</v>
      </c>
      <c r="C16">
        <v>0</v>
      </c>
      <c r="D16">
        <v>3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2</v>
      </c>
      <c r="O16">
        <v>2</v>
      </c>
      <c r="P16">
        <v>3</v>
      </c>
      <c r="Q16">
        <v>1</v>
      </c>
      <c r="R16">
        <v>0</v>
      </c>
      <c r="S16">
        <v>0</v>
      </c>
      <c r="T16">
        <v>1</v>
      </c>
      <c r="U16">
        <v>2</v>
      </c>
      <c r="V16">
        <v>0</v>
      </c>
      <c r="W16">
        <v>2</v>
      </c>
      <c r="X16">
        <v>3</v>
      </c>
      <c r="Y16">
        <v>1</v>
      </c>
      <c r="Z16">
        <v>1</v>
      </c>
      <c r="AA16">
        <v>2</v>
      </c>
      <c r="AB16">
        <v>0</v>
      </c>
      <c r="AC16">
        <v>3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</row>
    <row r="17" spans="1:42">
      <c r="A17" t="s">
        <v>926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3</v>
      </c>
      <c r="J17">
        <v>2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1</v>
      </c>
    </row>
    <row r="18" spans="1:42">
      <c r="A18" t="s">
        <v>927</v>
      </c>
      <c r="B18">
        <v>0</v>
      </c>
      <c r="C18">
        <v>2</v>
      </c>
      <c r="D18">
        <v>1</v>
      </c>
      <c r="E18">
        <v>1</v>
      </c>
      <c r="F18">
        <v>1</v>
      </c>
      <c r="G18">
        <v>0</v>
      </c>
      <c r="H18">
        <v>4</v>
      </c>
      <c r="I18">
        <v>5</v>
      </c>
      <c r="J18">
        <v>2</v>
      </c>
      <c r="K18">
        <v>3</v>
      </c>
      <c r="L18">
        <v>2</v>
      </c>
      <c r="M18">
        <v>2</v>
      </c>
      <c r="N18">
        <v>2</v>
      </c>
      <c r="O18">
        <v>2</v>
      </c>
      <c r="P18">
        <v>1</v>
      </c>
      <c r="Q18">
        <v>2</v>
      </c>
      <c r="R18">
        <v>1</v>
      </c>
      <c r="S18">
        <v>2</v>
      </c>
      <c r="T18">
        <v>2</v>
      </c>
      <c r="U18">
        <v>0</v>
      </c>
      <c r="V18">
        <v>0</v>
      </c>
      <c r="W18">
        <v>1</v>
      </c>
      <c r="X18">
        <v>2</v>
      </c>
      <c r="Y18">
        <v>1</v>
      </c>
      <c r="Z18">
        <v>1</v>
      </c>
      <c r="AA18">
        <v>1</v>
      </c>
      <c r="AB18">
        <v>1</v>
      </c>
      <c r="AC18">
        <v>2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2</v>
      </c>
      <c r="AK18">
        <v>0</v>
      </c>
      <c r="AL18">
        <v>1</v>
      </c>
      <c r="AM18">
        <v>1</v>
      </c>
      <c r="AN18">
        <v>1</v>
      </c>
      <c r="AO18">
        <v>0</v>
      </c>
      <c r="AP18">
        <v>0</v>
      </c>
    </row>
    <row r="19" spans="1:42">
      <c r="A19" t="s">
        <v>928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929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1</v>
      </c>
      <c r="AO20">
        <v>1</v>
      </c>
      <c r="AP20">
        <v>1</v>
      </c>
    </row>
    <row r="21" spans="1:42">
      <c r="A21" t="s">
        <v>930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2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2</v>
      </c>
      <c r="AM21">
        <v>1</v>
      </c>
      <c r="AN21">
        <v>1</v>
      </c>
      <c r="AO21">
        <v>1</v>
      </c>
      <c r="AP21">
        <v>1</v>
      </c>
    </row>
    <row r="22" spans="1:42">
      <c r="A22" t="s">
        <v>931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932</v>
      </c>
      <c r="B23">
        <v>4</v>
      </c>
      <c r="C23">
        <v>1</v>
      </c>
      <c r="D23">
        <v>4</v>
      </c>
      <c r="E23">
        <v>4</v>
      </c>
      <c r="F23">
        <v>4</v>
      </c>
      <c r="G23">
        <v>0</v>
      </c>
      <c r="H23">
        <v>5</v>
      </c>
      <c r="I23">
        <v>5</v>
      </c>
      <c r="J23">
        <v>2</v>
      </c>
      <c r="K23">
        <v>4</v>
      </c>
      <c r="L23">
        <v>3</v>
      </c>
      <c r="M23">
        <v>1</v>
      </c>
      <c r="N23">
        <v>1</v>
      </c>
      <c r="O23">
        <v>5</v>
      </c>
      <c r="P23">
        <v>8</v>
      </c>
      <c r="Q23">
        <v>2</v>
      </c>
      <c r="R23">
        <v>1</v>
      </c>
      <c r="S23">
        <v>3</v>
      </c>
      <c r="T23">
        <v>5</v>
      </c>
      <c r="U23">
        <v>0</v>
      </c>
      <c r="V23">
        <v>0</v>
      </c>
      <c r="W23">
        <v>1</v>
      </c>
      <c r="X23">
        <v>4</v>
      </c>
      <c r="Y23">
        <v>1</v>
      </c>
      <c r="Z23">
        <v>4</v>
      </c>
      <c r="AA23">
        <v>5</v>
      </c>
      <c r="AB23">
        <v>1</v>
      </c>
      <c r="AC23">
        <v>2</v>
      </c>
      <c r="AD23">
        <v>4</v>
      </c>
      <c r="AE23">
        <v>1</v>
      </c>
      <c r="AF23">
        <v>5</v>
      </c>
      <c r="AG23">
        <v>1</v>
      </c>
      <c r="AH23">
        <v>0</v>
      </c>
      <c r="AI23">
        <v>1</v>
      </c>
      <c r="AJ23">
        <v>5</v>
      </c>
      <c r="AK23">
        <v>2</v>
      </c>
      <c r="AL23">
        <v>6</v>
      </c>
      <c r="AM23">
        <v>5</v>
      </c>
      <c r="AN23">
        <v>3</v>
      </c>
      <c r="AO23">
        <v>0</v>
      </c>
      <c r="AP23">
        <v>0</v>
      </c>
    </row>
    <row r="24" spans="1:42">
      <c r="A24" t="s">
        <v>933</v>
      </c>
      <c r="B24">
        <v>1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2</v>
      </c>
      <c r="Q24">
        <v>2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</row>
    <row r="25" spans="1:42">
      <c r="A25" t="s">
        <v>934</v>
      </c>
      <c r="B25">
        <v>1</v>
      </c>
      <c r="C25">
        <v>1</v>
      </c>
      <c r="D25">
        <v>2</v>
      </c>
      <c r="E25">
        <v>1</v>
      </c>
      <c r="F25">
        <v>1</v>
      </c>
      <c r="G25">
        <v>0</v>
      </c>
      <c r="H25">
        <v>2</v>
      </c>
      <c r="I25">
        <v>2</v>
      </c>
      <c r="J25">
        <v>2</v>
      </c>
      <c r="K25">
        <v>2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1</v>
      </c>
      <c r="AN25">
        <v>1</v>
      </c>
      <c r="AO25">
        <v>0</v>
      </c>
      <c r="AP25">
        <v>0</v>
      </c>
    </row>
    <row r="26" spans="1:42">
      <c r="A26" t="s">
        <v>935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2</v>
      </c>
      <c r="I26">
        <v>1</v>
      </c>
      <c r="J26">
        <v>2</v>
      </c>
      <c r="K26">
        <v>2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0</v>
      </c>
      <c r="AO26">
        <v>0</v>
      </c>
      <c r="AP26">
        <v>0</v>
      </c>
    </row>
    <row r="27" spans="1:42">
      <c r="A27" t="s">
        <v>936</v>
      </c>
      <c r="B27">
        <v>0</v>
      </c>
      <c r="C27">
        <v>1</v>
      </c>
      <c r="D27">
        <v>2</v>
      </c>
      <c r="E27">
        <v>1</v>
      </c>
      <c r="F27">
        <v>1</v>
      </c>
      <c r="G27">
        <v>0</v>
      </c>
      <c r="H27">
        <v>2</v>
      </c>
      <c r="I27">
        <v>1</v>
      </c>
      <c r="J27">
        <v>2</v>
      </c>
      <c r="K27">
        <v>2</v>
      </c>
      <c r="L27">
        <v>1</v>
      </c>
      <c r="M27">
        <v>1</v>
      </c>
      <c r="N27">
        <v>1</v>
      </c>
      <c r="O27">
        <v>3</v>
      </c>
      <c r="P27">
        <v>3</v>
      </c>
      <c r="Q27">
        <v>2</v>
      </c>
      <c r="R27">
        <v>1</v>
      </c>
      <c r="S27">
        <v>1</v>
      </c>
      <c r="T27">
        <v>2</v>
      </c>
      <c r="U27">
        <v>0</v>
      </c>
      <c r="V27">
        <v>0</v>
      </c>
      <c r="W27">
        <v>1</v>
      </c>
      <c r="X27">
        <v>2</v>
      </c>
      <c r="Y27">
        <v>1</v>
      </c>
      <c r="Z27">
        <v>0</v>
      </c>
      <c r="AA27">
        <v>1</v>
      </c>
      <c r="AB27">
        <v>1</v>
      </c>
      <c r="AC27">
        <v>1</v>
      </c>
      <c r="AD27">
        <v>3</v>
      </c>
      <c r="AE27">
        <v>0</v>
      </c>
      <c r="AF27">
        <v>3</v>
      </c>
      <c r="AG27">
        <v>1</v>
      </c>
      <c r="AH27">
        <v>0</v>
      </c>
      <c r="AI27">
        <v>1</v>
      </c>
      <c r="AJ27">
        <v>2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</row>
    <row r="28" spans="1:42">
      <c r="A28" t="s">
        <v>937</v>
      </c>
      <c r="B28">
        <v>1</v>
      </c>
      <c r="C28">
        <v>1</v>
      </c>
      <c r="D28">
        <v>1</v>
      </c>
      <c r="E28">
        <v>2</v>
      </c>
      <c r="F28">
        <v>2</v>
      </c>
      <c r="G28">
        <v>0</v>
      </c>
      <c r="H28">
        <v>2</v>
      </c>
      <c r="I28">
        <v>1</v>
      </c>
      <c r="J28">
        <v>2</v>
      </c>
      <c r="K28">
        <v>1</v>
      </c>
      <c r="L28">
        <v>0</v>
      </c>
      <c r="M28">
        <v>1</v>
      </c>
      <c r="N28">
        <v>0</v>
      </c>
      <c r="O28">
        <v>3</v>
      </c>
      <c r="P28">
        <v>1</v>
      </c>
      <c r="Q28">
        <v>2</v>
      </c>
      <c r="R28">
        <v>1</v>
      </c>
      <c r="S28">
        <v>1</v>
      </c>
      <c r="T28">
        <v>2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  <c r="AC28">
        <v>2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2</v>
      </c>
      <c r="AK28">
        <v>0</v>
      </c>
      <c r="AL28">
        <v>2</v>
      </c>
      <c r="AM28">
        <v>1</v>
      </c>
      <c r="AN28">
        <v>1</v>
      </c>
      <c r="AO28">
        <v>0</v>
      </c>
      <c r="AP28">
        <v>0</v>
      </c>
    </row>
    <row r="29" spans="1:42">
      <c r="A29" t="s">
        <v>938</v>
      </c>
      <c r="B29">
        <v>2</v>
      </c>
      <c r="C29">
        <v>1</v>
      </c>
      <c r="D29">
        <v>3</v>
      </c>
      <c r="E29">
        <v>3</v>
      </c>
      <c r="F29">
        <v>2</v>
      </c>
      <c r="G29">
        <v>2</v>
      </c>
      <c r="H29">
        <v>2</v>
      </c>
      <c r="I29">
        <v>5</v>
      </c>
      <c r="J29">
        <v>2</v>
      </c>
      <c r="K29">
        <v>2</v>
      </c>
      <c r="L29">
        <v>2</v>
      </c>
      <c r="M29">
        <v>2</v>
      </c>
      <c r="N29">
        <v>1</v>
      </c>
      <c r="O29">
        <v>2</v>
      </c>
      <c r="P29">
        <v>5</v>
      </c>
      <c r="Q29">
        <v>3</v>
      </c>
      <c r="R29">
        <v>1</v>
      </c>
      <c r="S29">
        <v>3</v>
      </c>
      <c r="T29">
        <v>1</v>
      </c>
      <c r="U29">
        <v>5</v>
      </c>
      <c r="V29">
        <v>2</v>
      </c>
      <c r="W29">
        <v>2</v>
      </c>
      <c r="X29">
        <v>2</v>
      </c>
      <c r="Y29">
        <v>1</v>
      </c>
      <c r="Z29">
        <v>2</v>
      </c>
      <c r="AA29">
        <v>3</v>
      </c>
      <c r="AB29">
        <v>2</v>
      </c>
      <c r="AC29">
        <v>0</v>
      </c>
      <c r="AD29">
        <v>1</v>
      </c>
      <c r="AE29">
        <v>1</v>
      </c>
      <c r="AF29">
        <v>2</v>
      </c>
      <c r="AG29">
        <v>3</v>
      </c>
      <c r="AH29">
        <v>2</v>
      </c>
      <c r="AI29">
        <v>2</v>
      </c>
      <c r="AJ29">
        <v>1</v>
      </c>
      <c r="AK29">
        <v>3</v>
      </c>
      <c r="AL29">
        <v>3</v>
      </c>
      <c r="AM29">
        <v>1</v>
      </c>
      <c r="AN29">
        <v>4</v>
      </c>
      <c r="AO29">
        <v>2</v>
      </c>
      <c r="AP29">
        <v>2</v>
      </c>
    </row>
    <row r="30" spans="1:42">
      <c r="A30" t="s">
        <v>939</v>
      </c>
      <c r="B30">
        <v>1</v>
      </c>
      <c r="C30">
        <v>1</v>
      </c>
      <c r="D30">
        <v>1</v>
      </c>
      <c r="E30">
        <v>2</v>
      </c>
      <c r="F30">
        <v>2</v>
      </c>
      <c r="G30">
        <v>2</v>
      </c>
      <c r="H30">
        <v>2</v>
      </c>
      <c r="I30">
        <v>4</v>
      </c>
      <c r="J30">
        <v>1</v>
      </c>
      <c r="K30">
        <v>1</v>
      </c>
      <c r="L30">
        <v>1</v>
      </c>
      <c r="M30">
        <v>2</v>
      </c>
      <c r="N30">
        <v>1</v>
      </c>
      <c r="O30">
        <v>2</v>
      </c>
      <c r="P30">
        <v>4</v>
      </c>
      <c r="Q30">
        <v>1</v>
      </c>
      <c r="R30">
        <v>1</v>
      </c>
      <c r="S30">
        <v>2</v>
      </c>
      <c r="T30">
        <v>1</v>
      </c>
      <c r="U30">
        <v>3</v>
      </c>
      <c r="V30">
        <v>2</v>
      </c>
      <c r="W30">
        <v>2</v>
      </c>
      <c r="X30">
        <v>2</v>
      </c>
      <c r="Y30">
        <v>1</v>
      </c>
      <c r="Z30">
        <v>2</v>
      </c>
      <c r="AA30">
        <v>2</v>
      </c>
      <c r="AB30">
        <v>2</v>
      </c>
      <c r="AC30">
        <v>0</v>
      </c>
      <c r="AD30">
        <v>1</v>
      </c>
      <c r="AE30">
        <v>1</v>
      </c>
      <c r="AF30">
        <v>2</v>
      </c>
      <c r="AG30">
        <v>3</v>
      </c>
      <c r="AH30">
        <v>2</v>
      </c>
      <c r="AI30">
        <v>2</v>
      </c>
      <c r="AJ30">
        <v>1</v>
      </c>
      <c r="AK30">
        <v>2</v>
      </c>
      <c r="AL30">
        <v>2</v>
      </c>
      <c r="AM30">
        <v>1</v>
      </c>
      <c r="AN30">
        <v>2</v>
      </c>
      <c r="AO30">
        <v>2</v>
      </c>
      <c r="AP30">
        <v>3</v>
      </c>
    </row>
    <row r="31" spans="1:42">
      <c r="A31" t="s">
        <v>940</v>
      </c>
      <c r="B31">
        <v>1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>
        <v>3</v>
      </c>
      <c r="J31">
        <v>0</v>
      </c>
      <c r="K31">
        <v>1</v>
      </c>
      <c r="L31">
        <v>2</v>
      </c>
      <c r="M31">
        <v>1</v>
      </c>
      <c r="N31">
        <v>1</v>
      </c>
      <c r="O31">
        <v>2</v>
      </c>
      <c r="P31">
        <v>1</v>
      </c>
      <c r="Q31">
        <v>2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2</v>
      </c>
      <c r="AJ31">
        <v>1</v>
      </c>
      <c r="AK31">
        <v>1</v>
      </c>
      <c r="AL31">
        <v>2</v>
      </c>
      <c r="AM31">
        <v>1</v>
      </c>
      <c r="AN31">
        <v>2</v>
      </c>
      <c r="AO31">
        <v>0</v>
      </c>
      <c r="AP31">
        <v>0</v>
      </c>
    </row>
    <row r="32" spans="1:42">
      <c r="A32" t="s">
        <v>941</v>
      </c>
      <c r="B32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</row>
    <row r="33" spans="1:42">
      <c r="A33" t="s">
        <v>942</v>
      </c>
      <c r="B33">
        <v>1</v>
      </c>
      <c r="C33">
        <v>0</v>
      </c>
      <c r="D33">
        <v>1</v>
      </c>
      <c r="E33">
        <v>2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2</v>
      </c>
      <c r="Q33">
        <v>1</v>
      </c>
      <c r="R33">
        <v>0</v>
      </c>
      <c r="S33">
        <v>1</v>
      </c>
      <c r="T33">
        <v>0</v>
      </c>
      <c r="U33">
        <v>2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</row>
    <row r="34" spans="1:42">
      <c r="A34" t="s">
        <v>943</v>
      </c>
      <c r="B34">
        <v>1</v>
      </c>
      <c r="C34">
        <v>1</v>
      </c>
      <c r="D34">
        <v>1</v>
      </c>
      <c r="E34">
        <v>2</v>
      </c>
      <c r="F34">
        <v>2</v>
      </c>
      <c r="G34">
        <v>1</v>
      </c>
      <c r="H34">
        <v>2</v>
      </c>
      <c r="I34">
        <v>5</v>
      </c>
      <c r="J34">
        <v>1</v>
      </c>
      <c r="K34">
        <v>1</v>
      </c>
      <c r="L34">
        <v>2</v>
      </c>
      <c r="M34">
        <v>2</v>
      </c>
      <c r="N34">
        <v>1</v>
      </c>
      <c r="O34">
        <v>2</v>
      </c>
      <c r="P34">
        <v>2</v>
      </c>
      <c r="Q34">
        <v>1</v>
      </c>
      <c r="R34">
        <v>0</v>
      </c>
      <c r="S34">
        <v>1</v>
      </c>
      <c r="T34">
        <v>1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2</v>
      </c>
      <c r="AC34">
        <v>0</v>
      </c>
      <c r="AD34">
        <v>1</v>
      </c>
      <c r="AE34">
        <v>1</v>
      </c>
      <c r="AF34">
        <v>2</v>
      </c>
      <c r="AG34">
        <v>2</v>
      </c>
      <c r="AH34">
        <v>1</v>
      </c>
      <c r="AI34">
        <v>2</v>
      </c>
      <c r="AJ34">
        <v>1</v>
      </c>
      <c r="AK34">
        <v>1</v>
      </c>
      <c r="AL34">
        <v>1</v>
      </c>
      <c r="AM34">
        <v>1</v>
      </c>
      <c r="AN34">
        <v>2</v>
      </c>
      <c r="AO34">
        <v>1</v>
      </c>
      <c r="AP34">
        <v>1</v>
      </c>
    </row>
    <row r="35" spans="1:42">
      <c r="A35" t="s">
        <v>944</v>
      </c>
      <c r="B35">
        <v>0</v>
      </c>
      <c r="C35">
        <v>3</v>
      </c>
      <c r="D35">
        <v>3</v>
      </c>
      <c r="E35">
        <v>1</v>
      </c>
      <c r="F35">
        <v>1</v>
      </c>
      <c r="G35">
        <v>2</v>
      </c>
      <c r="H35">
        <v>0</v>
      </c>
      <c r="I35">
        <v>4</v>
      </c>
      <c r="J35">
        <v>2</v>
      </c>
      <c r="K35">
        <v>1</v>
      </c>
      <c r="L35">
        <v>2</v>
      </c>
      <c r="M35">
        <v>1</v>
      </c>
      <c r="N35">
        <v>1</v>
      </c>
      <c r="O35">
        <v>2</v>
      </c>
      <c r="P35">
        <v>5</v>
      </c>
      <c r="Q35">
        <v>1</v>
      </c>
      <c r="R35">
        <v>0</v>
      </c>
      <c r="S35">
        <v>2</v>
      </c>
      <c r="T35">
        <v>0</v>
      </c>
      <c r="U35">
        <v>2</v>
      </c>
      <c r="V35">
        <v>2</v>
      </c>
      <c r="W35">
        <v>2</v>
      </c>
      <c r="X35">
        <v>3</v>
      </c>
      <c r="Y35">
        <v>0</v>
      </c>
      <c r="Z35">
        <v>5</v>
      </c>
      <c r="AA35">
        <v>3</v>
      </c>
      <c r="AB35">
        <v>0</v>
      </c>
      <c r="AC35">
        <v>3</v>
      </c>
      <c r="AD35">
        <v>1</v>
      </c>
      <c r="AE35">
        <v>1</v>
      </c>
      <c r="AF35">
        <v>5</v>
      </c>
      <c r="AG35">
        <v>2</v>
      </c>
      <c r="AH35">
        <v>2</v>
      </c>
      <c r="AI35">
        <v>2</v>
      </c>
      <c r="AJ35">
        <v>0</v>
      </c>
      <c r="AK35">
        <v>2</v>
      </c>
      <c r="AL35">
        <v>6</v>
      </c>
      <c r="AM35">
        <v>5</v>
      </c>
      <c r="AN35">
        <v>3</v>
      </c>
      <c r="AO35">
        <v>2</v>
      </c>
      <c r="AP35">
        <v>2</v>
      </c>
    </row>
    <row r="36" spans="1:42">
      <c r="A36" t="s">
        <v>945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3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3</v>
      </c>
      <c r="Q36">
        <v>1</v>
      </c>
      <c r="R36">
        <v>0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0</v>
      </c>
      <c r="Z36">
        <v>2</v>
      </c>
      <c r="AA36">
        <v>3</v>
      </c>
      <c r="AB36">
        <v>0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2</v>
      </c>
      <c r="AJ36">
        <v>0</v>
      </c>
      <c r="AK36">
        <v>1</v>
      </c>
      <c r="AL36">
        <v>4</v>
      </c>
      <c r="AM36">
        <v>3</v>
      </c>
      <c r="AN36">
        <v>2</v>
      </c>
      <c r="AO36">
        <v>1</v>
      </c>
      <c r="AP36">
        <v>1</v>
      </c>
    </row>
    <row r="37" spans="1:42">
      <c r="A37" t="s">
        <v>946</v>
      </c>
      <c r="B37">
        <v>0</v>
      </c>
      <c r="C37">
        <v>1</v>
      </c>
      <c r="D37">
        <v>2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2</v>
      </c>
      <c r="P37">
        <v>2</v>
      </c>
      <c r="Q37">
        <v>1</v>
      </c>
      <c r="R37">
        <v>0</v>
      </c>
      <c r="S37">
        <v>2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2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4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2</v>
      </c>
      <c r="AN37">
        <v>1</v>
      </c>
      <c r="AO37">
        <v>0</v>
      </c>
      <c r="AP37">
        <v>0</v>
      </c>
    </row>
    <row r="38" spans="1:42">
      <c r="A38" t="s">
        <v>947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1</v>
      </c>
      <c r="AP38">
        <v>1</v>
      </c>
    </row>
    <row r="39" spans="1:42">
      <c r="A39" t="s">
        <v>948</v>
      </c>
      <c r="B39">
        <v>0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</row>
    <row r="40" spans="1:42">
      <c r="A40" t="s">
        <v>949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950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</row>
    <row r="42" spans="1:42">
      <c r="A42" t="s">
        <v>951</v>
      </c>
      <c r="B42">
        <v>1</v>
      </c>
      <c r="C42">
        <v>1</v>
      </c>
      <c r="D42">
        <v>2</v>
      </c>
      <c r="E42">
        <v>3</v>
      </c>
      <c r="F42">
        <v>0</v>
      </c>
      <c r="G42">
        <v>2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2</v>
      </c>
      <c r="R42">
        <v>0</v>
      </c>
      <c r="S42">
        <v>1</v>
      </c>
      <c r="T42">
        <v>0</v>
      </c>
      <c r="U42">
        <v>2</v>
      </c>
      <c r="V42">
        <v>2</v>
      </c>
      <c r="W42">
        <v>2</v>
      </c>
      <c r="X42">
        <v>3</v>
      </c>
      <c r="Y42">
        <v>0</v>
      </c>
      <c r="Z42">
        <v>2</v>
      </c>
      <c r="AA42">
        <v>2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2</v>
      </c>
      <c r="AH42">
        <v>2</v>
      </c>
      <c r="AI42">
        <v>0</v>
      </c>
      <c r="AJ42">
        <v>0</v>
      </c>
      <c r="AK42">
        <v>3</v>
      </c>
      <c r="AL42">
        <v>1</v>
      </c>
      <c r="AM42">
        <v>1</v>
      </c>
      <c r="AN42">
        <v>0</v>
      </c>
      <c r="AO42">
        <v>2</v>
      </c>
      <c r="AP42">
        <v>2</v>
      </c>
    </row>
    <row r="43" spans="1:42">
      <c r="A43" t="s">
        <v>952</v>
      </c>
      <c r="B43">
        <v>1</v>
      </c>
      <c r="C43">
        <v>0</v>
      </c>
      <c r="D43">
        <v>2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1</v>
      </c>
    </row>
    <row r="44" spans="1:42">
      <c r="A44" t="s">
        <v>953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954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1</v>
      </c>
      <c r="W45">
        <v>2</v>
      </c>
      <c r="X45">
        <v>2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1</v>
      </c>
    </row>
    <row r="46" spans="1:42">
      <c r="A46" t="s">
        <v>955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956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61"/>
  <sheetViews>
    <sheetView workbookViewId="0"/>
  </sheetViews>
  <sheetFormatPr defaultRowHeight="13.8"/>
  <sheetData>
    <row r="1" spans="1:15">
      <c r="A1" s="9" t="s">
        <v>128</v>
      </c>
      <c r="E1" s="9" t="s">
        <v>241</v>
      </c>
      <c r="I1" s="9" t="s">
        <v>303</v>
      </c>
      <c r="M1" s="9" t="s">
        <v>330</v>
      </c>
    </row>
    <row r="2" spans="1:15">
      <c r="A2" s="13" t="s">
        <v>239</v>
      </c>
      <c r="B2" s="13"/>
      <c r="C2" s="13" t="s">
        <v>240</v>
      </c>
      <c r="E2" s="13" t="s">
        <v>239</v>
      </c>
      <c r="F2" s="13"/>
      <c r="G2" s="13" t="s">
        <v>240</v>
      </c>
      <c r="I2" s="13" t="s">
        <v>239</v>
      </c>
      <c r="J2" s="13"/>
      <c r="K2" s="13" t="s">
        <v>240</v>
      </c>
      <c r="M2" s="13" t="s">
        <v>239</v>
      </c>
      <c r="N2" s="13"/>
      <c r="O2" s="13" t="s">
        <v>240</v>
      </c>
    </row>
    <row r="3" spans="1:15">
      <c r="A3" s="14" t="s">
        <v>129</v>
      </c>
      <c r="B3" s="13" t="s">
        <v>171</v>
      </c>
      <c r="C3" s="13" t="s">
        <v>130</v>
      </c>
      <c r="E3" s="13" t="s">
        <v>242</v>
      </c>
      <c r="F3" s="13" t="s">
        <v>171</v>
      </c>
      <c r="G3" s="13" t="s">
        <v>130</v>
      </c>
      <c r="I3" s="13" t="s">
        <v>242</v>
      </c>
      <c r="J3" s="13" t="s">
        <v>171</v>
      </c>
      <c r="K3" s="13" t="s">
        <v>285</v>
      </c>
      <c r="M3" s="13" t="s">
        <v>242</v>
      </c>
      <c r="N3" s="13" t="s">
        <v>171</v>
      </c>
      <c r="O3" s="13" t="s">
        <v>331</v>
      </c>
    </row>
    <row r="4" spans="1:15">
      <c r="A4" s="14"/>
      <c r="B4" s="13" t="s">
        <v>172</v>
      </c>
      <c r="C4" s="13" t="s">
        <v>131</v>
      </c>
      <c r="E4" s="13"/>
      <c r="F4" s="13" t="s">
        <v>172</v>
      </c>
      <c r="G4" s="13" t="s">
        <v>243</v>
      </c>
      <c r="I4" s="13"/>
      <c r="J4" s="13" t="s">
        <v>172</v>
      </c>
      <c r="K4" s="13" t="s">
        <v>286</v>
      </c>
      <c r="M4" s="13"/>
      <c r="N4" s="13" t="s">
        <v>172</v>
      </c>
      <c r="O4" s="13" t="s">
        <v>332</v>
      </c>
    </row>
    <row r="5" spans="1:15">
      <c r="A5" s="14"/>
      <c r="B5" s="13" t="s">
        <v>173</v>
      </c>
      <c r="C5" s="13" t="s">
        <v>132</v>
      </c>
      <c r="E5" s="13"/>
      <c r="F5" s="13" t="s">
        <v>173</v>
      </c>
      <c r="G5" s="13" t="s">
        <v>244</v>
      </c>
      <c r="I5" s="13"/>
      <c r="J5" s="13" t="s">
        <v>173</v>
      </c>
      <c r="K5" s="13" t="s">
        <v>287</v>
      </c>
      <c r="M5" s="13"/>
      <c r="N5" s="13" t="s">
        <v>173</v>
      </c>
      <c r="O5" s="13" t="s">
        <v>333</v>
      </c>
    </row>
    <row r="6" spans="1:15">
      <c r="A6" s="14"/>
      <c r="B6" s="13" t="s">
        <v>174</v>
      </c>
      <c r="C6" s="13" t="s">
        <v>133</v>
      </c>
      <c r="E6" s="13"/>
      <c r="F6" s="13" t="s">
        <v>174</v>
      </c>
      <c r="G6" s="13" t="s">
        <v>245</v>
      </c>
      <c r="I6" s="13"/>
      <c r="J6" s="13" t="s">
        <v>174</v>
      </c>
      <c r="K6" s="13" t="s">
        <v>288</v>
      </c>
      <c r="M6" s="13"/>
      <c r="N6" s="13" t="s">
        <v>174</v>
      </c>
      <c r="O6" s="13" t="s">
        <v>334</v>
      </c>
    </row>
    <row r="7" spans="1:15">
      <c r="A7" s="14"/>
      <c r="B7" s="13" t="s">
        <v>175</v>
      </c>
      <c r="C7" s="13" t="s">
        <v>134</v>
      </c>
      <c r="E7" s="13"/>
      <c r="F7" s="13" t="s">
        <v>175</v>
      </c>
      <c r="G7" s="13" t="s">
        <v>246</v>
      </c>
      <c r="H7" s="11"/>
      <c r="I7" s="13"/>
      <c r="J7" s="13"/>
      <c r="K7" s="13"/>
      <c r="M7" s="13"/>
      <c r="N7" s="13" t="s">
        <v>175</v>
      </c>
      <c r="O7" s="13" t="s">
        <v>245</v>
      </c>
    </row>
    <row r="8" spans="1:15">
      <c r="A8" s="14"/>
      <c r="B8" s="13" t="s">
        <v>176</v>
      </c>
      <c r="C8" s="13" t="s">
        <v>135</v>
      </c>
      <c r="E8" s="13"/>
      <c r="F8" s="13"/>
      <c r="G8" s="13"/>
      <c r="H8" s="11"/>
      <c r="I8" s="13"/>
      <c r="J8" s="13"/>
      <c r="K8" s="13"/>
      <c r="M8" s="13"/>
      <c r="N8" s="13"/>
      <c r="O8" s="13"/>
    </row>
    <row r="9" spans="1:15">
      <c r="A9" s="14"/>
      <c r="B9" s="13" t="s">
        <v>177</v>
      </c>
      <c r="C9" s="13" t="s">
        <v>136</v>
      </c>
      <c r="E9" s="13"/>
      <c r="F9" s="13"/>
      <c r="G9" s="13"/>
      <c r="H9" s="11"/>
      <c r="I9" s="13"/>
      <c r="J9" s="13"/>
      <c r="K9" s="13"/>
      <c r="M9" s="13"/>
      <c r="N9" s="13"/>
      <c r="O9" s="13"/>
    </row>
    <row r="10" spans="1:15">
      <c r="A10" s="14" t="s">
        <v>137</v>
      </c>
      <c r="B10" s="13" t="s">
        <v>178</v>
      </c>
      <c r="C10" s="13" t="s">
        <v>138</v>
      </c>
      <c r="E10" s="13" t="s">
        <v>250</v>
      </c>
      <c r="F10" s="13" t="s">
        <v>178</v>
      </c>
      <c r="G10" s="13" t="s">
        <v>247</v>
      </c>
      <c r="H10" s="11"/>
      <c r="I10" s="13" t="s">
        <v>250</v>
      </c>
      <c r="J10" s="13" t="s">
        <v>178</v>
      </c>
      <c r="K10" s="13" t="s">
        <v>247</v>
      </c>
      <c r="M10" s="13" t="s">
        <v>335</v>
      </c>
      <c r="N10" s="13" t="s">
        <v>178</v>
      </c>
      <c r="O10" s="13" t="s">
        <v>336</v>
      </c>
    </row>
    <row r="11" spans="1:15">
      <c r="A11" s="14"/>
      <c r="B11" s="13" t="s">
        <v>179</v>
      </c>
      <c r="C11" s="13" t="s">
        <v>139</v>
      </c>
      <c r="E11" s="13"/>
      <c r="F11" s="13" t="s">
        <v>179</v>
      </c>
      <c r="G11" s="13" t="s">
        <v>248</v>
      </c>
      <c r="H11" s="11"/>
      <c r="I11" s="13"/>
      <c r="J11" s="13" t="s">
        <v>179</v>
      </c>
      <c r="K11" s="13" t="s">
        <v>248</v>
      </c>
      <c r="M11" s="13"/>
      <c r="N11" s="13" t="s">
        <v>179</v>
      </c>
      <c r="O11" s="13" t="s">
        <v>337</v>
      </c>
    </row>
    <row r="12" spans="1:15">
      <c r="A12" s="14"/>
      <c r="B12" s="13" t="s">
        <v>180</v>
      </c>
      <c r="C12" s="13" t="s">
        <v>140</v>
      </c>
      <c r="E12" s="13"/>
      <c r="F12" s="13" t="s">
        <v>180</v>
      </c>
      <c r="G12" s="13" t="s">
        <v>249</v>
      </c>
      <c r="H12" s="11"/>
      <c r="I12" s="13"/>
      <c r="J12" s="13" t="s">
        <v>180</v>
      </c>
      <c r="K12" s="13" t="s">
        <v>249</v>
      </c>
      <c r="M12" s="13"/>
      <c r="N12" s="13" t="s">
        <v>180</v>
      </c>
      <c r="O12" s="13" t="s">
        <v>338</v>
      </c>
    </row>
    <row r="13" spans="1:15">
      <c r="A13" s="14"/>
      <c r="B13" s="13" t="s">
        <v>181</v>
      </c>
      <c r="C13" s="13" t="s">
        <v>141</v>
      </c>
      <c r="E13" s="13"/>
      <c r="F13" s="13"/>
      <c r="G13" s="13"/>
      <c r="H13" s="11"/>
      <c r="I13" s="13"/>
      <c r="J13" s="13"/>
      <c r="K13" s="13"/>
      <c r="M13" s="13"/>
      <c r="N13" s="13"/>
      <c r="O13" s="13"/>
    </row>
    <row r="14" spans="1:15">
      <c r="A14" s="14"/>
      <c r="B14" s="13" t="s">
        <v>182</v>
      </c>
      <c r="C14" s="13" t="s">
        <v>142</v>
      </c>
      <c r="E14" s="13"/>
      <c r="F14" s="13"/>
      <c r="G14" s="13"/>
      <c r="H14" s="11"/>
      <c r="I14" s="13"/>
      <c r="J14" s="13"/>
      <c r="K14" s="13"/>
      <c r="M14" s="13"/>
      <c r="N14" s="13"/>
      <c r="O14" s="13"/>
    </row>
    <row r="15" spans="1:15">
      <c r="A15" s="14"/>
      <c r="B15" s="13" t="s">
        <v>183</v>
      </c>
      <c r="C15" s="13" t="s">
        <v>143</v>
      </c>
      <c r="E15" s="13"/>
      <c r="F15" s="13"/>
      <c r="G15" s="13"/>
      <c r="H15" s="11"/>
      <c r="I15" s="13"/>
      <c r="J15" s="13"/>
      <c r="K15" s="13"/>
      <c r="M15" s="13"/>
      <c r="N15" s="13"/>
      <c r="O15" s="13"/>
    </row>
    <row r="16" spans="1:15">
      <c r="A16" s="14" t="s">
        <v>144</v>
      </c>
      <c r="B16" s="13" t="s">
        <v>184</v>
      </c>
      <c r="C16" s="14" t="s">
        <v>145</v>
      </c>
      <c r="E16" s="13" t="s">
        <v>251</v>
      </c>
      <c r="F16" s="13" t="s">
        <v>184</v>
      </c>
      <c r="G16" s="13" t="s">
        <v>252</v>
      </c>
      <c r="H16" s="11"/>
      <c r="I16" s="13" t="s">
        <v>289</v>
      </c>
      <c r="J16" s="13" t="s">
        <v>184</v>
      </c>
      <c r="K16" s="13" t="s">
        <v>290</v>
      </c>
      <c r="M16" s="13" t="s">
        <v>339</v>
      </c>
      <c r="N16" s="13" t="s">
        <v>184</v>
      </c>
      <c r="O16" s="13" t="s">
        <v>340</v>
      </c>
    </row>
    <row r="17" spans="1:15">
      <c r="A17" s="14"/>
      <c r="B17" s="13" t="s">
        <v>185</v>
      </c>
      <c r="C17" s="14" t="s">
        <v>146</v>
      </c>
      <c r="E17" s="13"/>
      <c r="F17" s="13" t="s">
        <v>185</v>
      </c>
      <c r="G17" s="13" t="s">
        <v>253</v>
      </c>
      <c r="H17" s="11"/>
      <c r="I17" s="13"/>
      <c r="J17" s="13" t="s">
        <v>185</v>
      </c>
      <c r="K17" s="13" t="s">
        <v>291</v>
      </c>
      <c r="M17" s="13"/>
      <c r="N17" s="13" t="s">
        <v>185</v>
      </c>
      <c r="O17" s="13" t="s">
        <v>341</v>
      </c>
    </row>
    <row r="18" spans="1:15">
      <c r="A18" s="13"/>
      <c r="B18" s="13" t="s">
        <v>186</v>
      </c>
      <c r="C18" s="14" t="s">
        <v>147</v>
      </c>
      <c r="E18" s="13"/>
      <c r="F18" s="13"/>
      <c r="G18" s="13"/>
      <c r="H18" s="12"/>
      <c r="I18" s="13"/>
      <c r="J18" s="13" t="s">
        <v>186</v>
      </c>
      <c r="K18" s="13" t="s">
        <v>292</v>
      </c>
      <c r="M18" s="13"/>
      <c r="N18" s="13" t="s">
        <v>186</v>
      </c>
      <c r="O18" s="13" t="s">
        <v>342</v>
      </c>
    </row>
    <row r="19" spans="1:15">
      <c r="A19" s="13"/>
      <c r="B19" s="13" t="s">
        <v>187</v>
      </c>
      <c r="C19" s="14" t="s">
        <v>148</v>
      </c>
      <c r="E19" s="13"/>
      <c r="F19" s="13"/>
      <c r="G19" s="13"/>
      <c r="H19" s="11"/>
      <c r="I19" s="13"/>
      <c r="J19" s="13" t="s">
        <v>187</v>
      </c>
      <c r="K19" s="13" t="s">
        <v>293</v>
      </c>
      <c r="M19" s="13"/>
      <c r="N19" s="13" t="s">
        <v>187</v>
      </c>
      <c r="O19" s="13" t="s">
        <v>343</v>
      </c>
    </row>
    <row r="20" spans="1:15">
      <c r="A20" s="13"/>
      <c r="B20" s="13" t="s">
        <v>188</v>
      </c>
      <c r="C20" s="14" t="s">
        <v>149</v>
      </c>
      <c r="E20" s="13"/>
      <c r="F20" s="13"/>
      <c r="G20" s="13"/>
      <c r="I20" s="13"/>
      <c r="J20" s="13"/>
      <c r="K20" s="13"/>
      <c r="M20" s="13"/>
      <c r="N20" s="13"/>
      <c r="O20" s="13"/>
    </row>
    <row r="21" spans="1:15">
      <c r="A21" s="13"/>
      <c r="B21" s="13" t="s">
        <v>189</v>
      </c>
      <c r="C21" s="14" t="s">
        <v>150</v>
      </c>
      <c r="E21" s="13"/>
      <c r="F21" s="13"/>
      <c r="G21" s="13"/>
      <c r="I21" s="13"/>
      <c r="J21" s="13"/>
      <c r="K21" s="13"/>
      <c r="M21" s="13"/>
      <c r="N21" s="13"/>
      <c r="O21" s="13"/>
    </row>
    <row r="22" spans="1:15">
      <c r="A22" s="14" t="s">
        <v>151</v>
      </c>
      <c r="B22" s="13" t="s">
        <v>190</v>
      </c>
      <c r="C22" s="14" t="s">
        <v>152</v>
      </c>
      <c r="E22" s="13" t="s">
        <v>254</v>
      </c>
      <c r="F22" s="13" t="s">
        <v>190</v>
      </c>
      <c r="G22" s="13" t="s">
        <v>255</v>
      </c>
      <c r="I22" s="13" t="s">
        <v>294</v>
      </c>
      <c r="J22" s="13" t="s">
        <v>190</v>
      </c>
      <c r="K22" s="13" t="s">
        <v>295</v>
      </c>
      <c r="M22" s="13" t="s">
        <v>344</v>
      </c>
      <c r="N22" s="13" t="s">
        <v>190</v>
      </c>
      <c r="O22" s="13" t="s">
        <v>345</v>
      </c>
    </row>
    <row r="23" spans="1:15">
      <c r="A23" s="13"/>
      <c r="B23" s="13" t="s">
        <v>191</v>
      </c>
      <c r="C23" s="14" t="s">
        <v>153</v>
      </c>
      <c r="E23" s="13"/>
      <c r="F23" s="13" t="s">
        <v>191</v>
      </c>
      <c r="G23" s="13" t="s">
        <v>256</v>
      </c>
      <c r="I23" s="13"/>
      <c r="J23" s="13" t="s">
        <v>191</v>
      </c>
      <c r="K23" s="13" t="s">
        <v>296</v>
      </c>
      <c r="M23" s="13"/>
      <c r="N23" s="13" t="s">
        <v>191</v>
      </c>
      <c r="O23" s="13" t="s">
        <v>346</v>
      </c>
    </row>
    <row r="24" spans="1:15">
      <c r="A24" s="14"/>
      <c r="B24" s="13" t="s">
        <v>192</v>
      </c>
      <c r="C24" s="14" t="s">
        <v>154</v>
      </c>
      <c r="E24" s="13"/>
      <c r="F24" s="13" t="s">
        <v>192</v>
      </c>
      <c r="G24" s="13" t="s">
        <v>257</v>
      </c>
      <c r="I24" s="13"/>
      <c r="J24" s="13" t="s">
        <v>192</v>
      </c>
      <c r="K24" s="13" t="s">
        <v>297</v>
      </c>
      <c r="M24" s="13"/>
      <c r="N24" s="13" t="s">
        <v>192</v>
      </c>
      <c r="O24" s="13" t="s">
        <v>347</v>
      </c>
    </row>
    <row r="25" spans="1:15">
      <c r="A25" s="13"/>
      <c r="B25" s="13" t="s">
        <v>193</v>
      </c>
      <c r="C25" s="14" t="s">
        <v>155</v>
      </c>
      <c r="E25" s="13"/>
      <c r="F25" s="13"/>
      <c r="G25" s="13"/>
      <c r="I25" s="13"/>
      <c r="J25" s="13" t="s">
        <v>193</v>
      </c>
      <c r="K25" s="13" t="s">
        <v>298</v>
      </c>
      <c r="M25" s="13"/>
      <c r="N25" s="13" t="s">
        <v>193</v>
      </c>
      <c r="O25" s="13" t="s">
        <v>348</v>
      </c>
    </row>
    <row r="26" spans="1:15">
      <c r="A26" s="14"/>
      <c r="B26" s="13" t="s">
        <v>194</v>
      </c>
      <c r="C26" s="14" t="s">
        <v>156</v>
      </c>
      <c r="E26" s="13"/>
      <c r="F26" s="13"/>
      <c r="G26" s="13"/>
      <c r="I26" s="13"/>
      <c r="J26" s="13" t="s">
        <v>194</v>
      </c>
      <c r="K26" s="13" t="s">
        <v>299</v>
      </c>
      <c r="M26" s="13"/>
      <c r="N26" s="13"/>
      <c r="O26" s="13"/>
    </row>
    <row r="27" spans="1:15">
      <c r="A27" s="13"/>
      <c r="B27" s="13" t="s">
        <v>195</v>
      </c>
      <c r="C27" s="14" t="s">
        <v>157</v>
      </c>
      <c r="E27" s="13"/>
      <c r="F27" s="13"/>
      <c r="G27" s="13"/>
      <c r="I27" s="13"/>
      <c r="J27" s="13" t="s">
        <v>195</v>
      </c>
      <c r="K27" s="13" t="s">
        <v>300</v>
      </c>
      <c r="M27" s="13"/>
      <c r="N27" s="13"/>
      <c r="O27" s="13"/>
    </row>
    <row r="28" spans="1:15">
      <c r="A28" s="14" t="s">
        <v>158</v>
      </c>
      <c r="B28" s="13" t="s">
        <v>196</v>
      </c>
      <c r="C28" s="14" t="s">
        <v>159</v>
      </c>
      <c r="E28" s="13" t="s">
        <v>258</v>
      </c>
      <c r="F28" s="13" t="s">
        <v>196</v>
      </c>
      <c r="G28" s="13" t="s">
        <v>259</v>
      </c>
      <c r="I28" s="13" t="s">
        <v>301</v>
      </c>
      <c r="J28" s="13" t="s">
        <v>196</v>
      </c>
      <c r="K28" s="13" t="s">
        <v>302</v>
      </c>
      <c r="M28" s="13" t="s">
        <v>349</v>
      </c>
      <c r="N28" s="13" t="s">
        <v>196</v>
      </c>
      <c r="O28" s="13" t="s">
        <v>350</v>
      </c>
    </row>
    <row r="29" spans="1:15">
      <c r="A29" s="13"/>
      <c r="B29" s="13" t="s">
        <v>197</v>
      </c>
      <c r="C29" s="14" t="s">
        <v>160</v>
      </c>
      <c r="E29" s="13"/>
      <c r="F29" s="13" t="s">
        <v>197</v>
      </c>
      <c r="G29" s="13" t="s">
        <v>260</v>
      </c>
      <c r="I29" s="13"/>
      <c r="J29" s="13" t="s">
        <v>197</v>
      </c>
      <c r="K29" s="13" t="s">
        <v>304</v>
      </c>
      <c r="M29" s="13"/>
      <c r="N29" s="13" t="s">
        <v>197</v>
      </c>
      <c r="O29" s="13" t="s">
        <v>351</v>
      </c>
    </row>
    <row r="30" spans="1:15">
      <c r="A30" s="13"/>
      <c r="B30" s="13" t="s">
        <v>198</v>
      </c>
      <c r="C30" s="14" t="s">
        <v>161</v>
      </c>
      <c r="E30" s="13"/>
      <c r="F30" s="13" t="s">
        <v>198</v>
      </c>
      <c r="G30" s="13" t="s">
        <v>261</v>
      </c>
      <c r="I30" s="13"/>
      <c r="J30" s="13" t="s">
        <v>198</v>
      </c>
      <c r="K30" s="13" t="s">
        <v>305</v>
      </c>
      <c r="M30" s="13"/>
      <c r="N30" s="13" t="s">
        <v>198</v>
      </c>
      <c r="O30" s="13" t="s">
        <v>352</v>
      </c>
    </row>
    <row r="31" spans="1:15">
      <c r="A31" s="13"/>
      <c r="B31" s="13" t="s">
        <v>199</v>
      </c>
      <c r="C31" s="14" t="s">
        <v>162</v>
      </c>
      <c r="E31" s="13"/>
      <c r="F31" s="13" t="s">
        <v>199</v>
      </c>
      <c r="G31" s="13" t="s">
        <v>262</v>
      </c>
      <c r="I31" s="13"/>
      <c r="J31" s="13" t="s">
        <v>199</v>
      </c>
      <c r="K31" s="13" t="s">
        <v>306</v>
      </c>
      <c r="M31" s="13"/>
      <c r="N31" s="13"/>
      <c r="O31" s="13"/>
    </row>
    <row r="32" spans="1:15">
      <c r="A32" s="13"/>
      <c r="B32" s="13" t="s">
        <v>200</v>
      </c>
      <c r="C32" s="14" t="s">
        <v>163</v>
      </c>
      <c r="E32" s="13"/>
      <c r="F32" s="13" t="s">
        <v>200</v>
      </c>
      <c r="G32" s="13" t="s">
        <v>263</v>
      </c>
      <c r="I32" s="13"/>
      <c r="J32" s="13" t="s">
        <v>200</v>
      </c>
      <c r="K32" s="13" t="s">
        <v>307</v>
      </c>
      <c r="M32" s="13"/>
      <c r="N32" s="13"/>
      <c r="O32" s="13"/>
    </row>
    <row r="33" spans="1:15">
      <c r="A33" s="14"/>
      <c r="B33" s="13" t="s">
        <v>201</v>
      </c>
      <c r="C33" s="14" t="s">
        <v>164</v>
      </c>
      <c r="E33" s="13"/>
      <c r="F33" s="13" t="s">
        <v>201</v>
      </c>
      <c r="G33" s="13" t="s">
        <v>264</v>
      </c>
      <c r="I33" s="13"/>
      <c r="J33" s="13"/>
      <c r="K33" s="13"/>
      <c r="M33" s="13"/>
      <c r="N33" s="13"/>
      <c r="O33" s="13"/>
    </row>
    <row r="34" spans="1:15">
      <c r="A34" s="13"/>
      <c r="B34" s="13" t="s">
        <v>202</v>
      </c>
      <c r="C34" s="14" t="s">
        <v>165</v>
      </c>
      <c r="E34" s="13"/>
      <c r="F34" s="13"/>
      <c r="G34" s="13"/>
      <c r="I34" s="13"/>
      <c r="J34" s="13"/>
      <c r="K34" s="13"/>
      <c r="M34" s="13"/>
      <c r="N34" s="13"/>
      <c r="O34" s="13"/>
    </row>
    <row r="35" spans="1:15">
      <c r="A35" s="14"/>
      <c r="B35" s="13" t="s">
        <v>203</v>
      </c>
      <c r="C35" s="14" t="s">
        <v>166</v>
      </c>
      <c r="E35" s="13"/>
      <c r="F35" s="13"/>
      <c r="G35" s="13"/>
      <c r="I35" s="13"/>
      <c r="J35" s="13"/>
      <c r="K35" s="13"/>
      <c r="M35" s="13"/>
      <c r="N35" s="13"/>
      <c r="O35" s="13"/>
    </row>
    <row r="36" spans="1:15">
      <c r="A36" s="14" t="s">
        <v>167</v>
      </c>
      <c r="B36" s="13" t="s">
        <v>204</v>
      </c>
      <c r="C36" s="14" t="s">
        <v>168</v>
      </c>
      <c r="E36" s="13" t="s">
        <v>265</v>
      </c>
      <c r="F36" s="13" t="s">
        <v>204</v>
      </c>
      <c r="G36" s="13" t="s">
        <v>266</v>
      </c>
      <c r="I36" s="13" t="s">
        <v>308</v>
      </c>
      <c r="J36" s="13" t="s">
        <v>204</v>
      </c>
      <c r="K36" s="13" t="s">
        <v>280</v>
      </c>
      <c r="M36" s="13" t="s">
        <v>353</v>
      </c>
      <c r="N36" s="13" t="s">
        <v>204</v>
      </c>
      <c r="O36" s="13" t="s">
        <v>354</v>
      </c>
    </row>
    <row r="37" spans="1:15">
      <c r="A37" s="13"/>
      <c r="B37" s="13" t="s">
        <v>205</v>
      </c>
      <c r="C37" s="14" t="s">
        <v>169</v>
      </c>
      <c r="E37" s="13"/>
      <c r="F37" s="13" t="s">
        <v>205</v>
      </c>
      <c r="G37" s="13" t="s">
        <v>267</v>
      </c>
      <c r="I37" s="13"/>
      <c r="J37" s="13" t="s">
        <v>205</v>
      </c>
      <c r="K37" s="13" t="s">
        <v>309</v>
      </c>
      <c r="M37" s="13"/>
      <c r="N37" s="13" t="s">
        <v>205</v>
      </c>
      <c r="O37" s="13" t="s">
        <v>355</v>
      </c>
    </row>
    <row r="38" spans="1:15">
      <c r="A38" s="13"/>
      <c r="B38" s="13" t="s">
        <v>206</v>
      </c>
      <c r="C38" s="14" t="s">
        <v>170</v>
      </c>
      <c r="E38" s="13"/>
      <c r="F38" s="13"/>
      <c r="G38" s="13"/>
      <c r="I38" s="13"/>
      <c r="J38" s="13" t="s">
        <v>206</v>
      </c>
      <c r="K38" s="13" t="s">
        <v>310</v>
      </c>
      <c r="M38" s="13"/>
      <c r="N38" s="13" t="s">
        <v>206</v>
      </c>
      <c r="O38" s="13" t="s">
        <v>356</v>
      </c>
    </row>
    <row r="39" spans="1:15">
      <c r="I39" s="13"/>
      <c r="J39" s="13" t="s">
        <v>312</v>
      </c>
      <c r="K39" s="13" t="s">
        <v>311</v>
      </c>
      <c r="M39" s="13"/>
      <c r="N39" s="13"/>
      <c r="O39" s="13"/>
    </row>
    <row r="40" spans="1:15">
      <c r="A40" s="13" t="s">
        <v>207</v>
      </c>
      <c r="B40" s="13" t="s">
        <v>225</v>
      </c>
      <c r="C40" s="13" t="s">
        <v>208</v>
      </c>
      <c r="E40" s="13" t="s">
        <v>268</v>
      </c>
      <c r="F40" s="13" t="s">
        <v>225</v>
      </c>
      <c r="G40" s="13" t="s">
        <v>269</v>
      </c>
      <c r="I40" s="13" t="s">
        <v>313</v>
      </c>
      <c r="J40" s="13" t="s">
        <v>225</v>
      </c>
      <c r="K40" s="13" t="s">
        <v>315</v>
      </c>
      <c r="M40" s="13" t="s">
        <v>357</v>
      </c>
      <c r="N40" s="13" t="s">
        <v>225</v>
      </c>
      <c r="O40" s="13" t="s">
        <v>358</v>
      </c>
    </row>
    <row r="41" spans="1:15">
      <c r="A41" s="13"/>
      <c r="B41" s="13" t="s">
        <v>228</v>
      </c>
      <c r="C41" s="13" t="s">
        <v>209</v>
      </c>
      <c r="E41" s="13"/>
      <c r="F41" s="13" t="s">
        <v>228</v>
      </c>
      <c r="G41" s="13" t="s">
        <v>270</v>
      </c>
      <c r="I41" s="13"/>
      <c r="J41" s="13" t="s">
        <v>228</v>
      </c>
      <c r="K41" s="13" t="s">
        <v>316</v>
      </c>
      <c r="M41" s="13"/>
      <c r="N41" s="13" t="s">
        <v>228</v>
      </c>
      <c r="O41" s="13" t="s">
        <v>359</v>
      </c>
    </row>
    <row r="42" spans="1:15">
      <c r="A42" s="13"/>
      <c r="B42" s="13" t="s">
        <v>229</v>
      </c>
      <c r="C42" s="13" t="s">
        <v>210</v>
      </c>
      <c r="E42" s="13"/>
      <c r="F42" s="13" t="s">
        <v>229</v>
      </c>
      <c r="G42" s="13" t="s">
        <v>271</v>
      </c>
      <c r="I42" s="13"/>
      <c r="J42" s="13" t="s">
        <v>229</v>
      </c>
      <c r="K42" s="13" t="s">
        <v>317</v>
      </c>
      <c r="M42" s="13"/>
      <c r="N42" s="13" t="s">
        <v>229</v>
      </c>
      <c r="O42" s="13" t="s">
        <v>360</v>
      </c>
    </row>
    <row r="43" spans="1:15">
      <c r="A43" s="13"/>
      <c r="B43" s="13"/>
      <c r="C43" s="13"/>
      <c r="E43" s="13"/>
      <c r="F43" s="13" t="s">
        <v>273</v>
      </c>
      <c r="G43" s="13" t="s">
        <v>272</v>
      </c>
      <c r="I43" s="13"/>
      <c r="J43" s="13" t="s">
        <v>273</v>
      </c>
      <c r="K43" s="13" t="s">
        <v>318</v>
      </c>
      <c r="M43" s="13"/>
      <c r="N43" s="13" t="s">
        <v>273</v>
      </c>
      <c r="O43" s="13" t="s">
        <v>361</v>
      </c>
    </row>
    <row r="44" spans="1:15">
      <c r="E44" s="13"/>
      <c r="F44" s="13"/>
      <c r="G44" s="13"/>
      <c r="I44" s="13"/>
      <c r="J44" s="13" t="s">
        <v>314</v>
      </c>
      <c r="K44" s="13" t="s">
        <v>319</v>
      </c>
      <c r="M44" s="13"/>
      <c r="N44" s="13" t="s">
        <v>314</v>
      </c>
      <c r="O44" s="13" t="s">
        <v>362</v>
      </c>
    </row>
    <row r="45" spans="1:15">
      <c r="A45" s="13" t="s">
        <v>211</v>
      </c>
      <c r="B45" s="13" t="s">
        <v>226</v>
      </c>
      <c r="C45" s="13" t="s">
        <v>212</v>
      </c>
      <c r="E45" s="13" t="s">
        <v>274</v>
      </c>
      <c r="F45" s="13" t="s">
        <v>226</v>
      </c>
      <c r="G45" s="13" t="s">
        <v>275</v>
      </c>
      <c r="I45" s="13" t="s">
        <v>320</v>
      </c>
      <c r="J45" s="13" t="s">
        <v>226</v>
      </c>
      <c r="K45" s="13" t="s">
        <v>321</v>
      </c>
      <c r="M45" s="13" t="s">
        <v>363</v>
      </c>
      <c r="N45" s="13" t="s">
        <v>226</v>
      </c>
      <c r="O45" s="13" t="s">
        <v>364</v>
      </c>
    </row>
    <row r="46" spans="1:15">
      <c r="A46" s="13"/>
      <c r="B46" s="13" t="s">
        <v>230</v>
      </c>
      <c r="C46" s="13" t="s">
        <v>213</v>
      </c>
      <c r="E46" s="13"/>
      <c r="F46" s="13" t="s">
        <v>230</v>
      </c>
      <c r="G46" s="13" t="s">
        <v>276</v>
      </c>
      <c r="I46" s="13"/>
      <c r="J46" s="13" t="s">
        <v>230</v>
      </c>
      <c r="K46" s="13" t="s">
        <v>322</v>
      </c>
      <c r="M46" s="13"/>
      <c r="N46" s="13" t="s">
        <v>230</v>
      </c>
      <c r="O46" s="13" t="s">
        <v>365</v>
      </c>
    </row>
    <row r="47" spans="1:15">
      <c r="A47" s="14"/>
      <c r="B47" s="13" t="s">
        <v>231</v>
      </c>
      <c r="C47" s="13" t="s">
        <v>214</v>
      </c>
      <c r="E47" s="13"/>
      <c r="F47" s="13" t="s">
        <v>231</v>
      </c>
      <c r="G47" s="13" t="s">
        <v>277</v>
      </c>
      <c r="I47" s="13"/>
      <c r="J47" s="13" t="s">
        <v>231</v>
      </c>
      <c r="K47" s="13" t="s">
        <v>323</v>
      </c>
      <c r="M47" s="13"/>
      <c r="N47" s="13" t="s">
        <v>231</v>
      </c>
      <c r="O47" s="13" t="s">
        <v>366</v>
      </c>
    </row>
    <row r="48" spans="1:15">
      <c r="A48" s="13"/>
      <c r="B48" s="13" t="s">
        <v>232</v>
      </c>
      <c r="C48" s="14" t="s">
        <v>215</v>
      </c>
      <c r="E48" s="13"/>
      <c r="F48" s="13" t="s">
        <v>232</v>
      </c>
      <c r="G48" s="13" t="s">
        <v>278</v>
      </c>
      <c r="I48" s="13"/>
      <c r="J48" s="13" t="s">
        <v>232</v>
      </c>
      <c r="K48" s="13" t="s">
        <v>270</v>
      </c>
      <c r="M48" s="13"/>
      <c r="N48" s="13" t="s">
        <v>232</v>
      </c>
      <c r="O48" s="13" t="s">
        <v>367</v>
      </c>
    </row>
    <row r="49" spans="1:15">
      <c r="A49" s="14"/>
      <c r="B49" s="13" t="s">
        <v>233</v>
      </c>
      <c r="C49" s="14" t="s">
        <v>216</v>
      </c>
      <c r="E49" s="13"/>
      <c r="F49" s="13"/>
      <c r="G49" s="13"/>
      <c r="I49" s="13"/>
      <c r="J49" s="13"/>
      <c r="K49" s="13"/>
      <c r="M49" s="13"/>
      <c r="N49" s="13" t="s">
        <v>233</v>
      </c>
      <c r="O49" s="13" t="s">
        <v>368</v>
      </c>
    </row>
    <row r="50" spans="1:15">
      <c r="A50" s="13"/>
      <c r="B50" s="13" t="s">
        <v>234</v>
      </c>
      <c r="C50" s="14" t="s">
        <v>217</v>
      </c>
      <c r="E50" s="13"/>
      <c r="F50" s="13"/>
      <c r="G50" s="13"/>
      <c r="I50" s="13"/>
      <c r="J50" s="13"/>
      <c r="K50" s="13"/>
      <c r="M50" s="13"/>
      <c r="N50" s="13"/>
      <c r="O50" s="13"/>
    </row>
    <row r="51" spans="1:15">
      <c r="A51" s="13"/>
      <c r="B51" s="13" t="s">
        <v>235</v>
      </c>
      <c r="C51" s="14" t="s">
        <v>218</v>
      </c>
      <c r="E51" s="13"/>
      <c r="F51" s="13"/>
      <c r="G51" s="13"/>
      <c r="I51" s="13"/>
      <c r="J51" s="13"/>
      <c r="K51" s="13"/>
      <c r="M51" s="13"/>
      <c r="N51" s="13"/>
      <c r="O51" s="13"/>
    </row>
    <row r="52" spans="1:15">
      <c r="A52" s="13"/>
      <c r="B52" s="13" t="s">
        <v>236</v>
      </c>
      <c r="C52" s="14" t="s">
        <v>219</v>
      </c>
      <c r="E52" s="13"/>
      <c r="F52" s="13"/>
      <c r="G52" s="13"/>
      <c r="I52" s="13"/>
      <c r="J52" s="13"/>
      <c r="K52" s="13"/>
      <c r="M52" s="13"/>
      <c r="N52" s="13"/>
      <c r="O52" s="13"/>
    </row>
    <row r="53" spans="1:15">
      <c r="A53" s="14" t="s">
        <v>220</v>
      </c>
      <c r="B53" s="13" t="s">
        <v>227</v>
      </c>
      <c r="C53" s="14" t="s">
        <v>221</v>
      </c>
      <c r="E53" s="13" t="s">
        <v>279</v>
      </c>
      <c r="F53" s="13" t="s">
        <v>227</v>
      </c>
      <c r="G53" s="13" t="s">
        <v>280</v>
      </c>
      <c r="I53" s="13" t="s">
        <v>325</v>
      </c>
      <c r="J53" s="13" t="s">
        <v>227</v>
      </c>
      <c r="K53" s="13" t="s">
        <v>326</v>
      </c>
      <c r="M53" s="13" t="s">
        <v>369</v>
      </c>
      <c r="N53" s="13" t="s">
        <v>227</v>
      </c>
      <c r="O53" s="13" t="s">
        <v>281</v>
      </c>
    </row>
    <row r="54" spans="1:15">
      <c r="A54" s="13"/>
      <c r="B54" s="13" t="s">
        <v>237</v>
      </c>
      <c r="C54" s="14" t="s">
        <v>222</v>
      </c>
      <c r="E54" s="13"/>
      <c r="F54" s="13" t="s">
        <v>237</v>
      </c>
      <c r="G54" s="13" t="s">
        <v>281</v>
      </c>
      <c r="I54" s="13"/>
      <c r="J54" s="13" t="s">
        <v>237</v>
      </c>
      <c r="K54" s="13" t="s">
        <v>327</v>
      </c>
      <c r="M54" s="13"/>
      <c r="N54" s="13" t="s">
        <v>237</v>
      </c>
      <c r="O54" s="13" t="s">
        <v>370</v>
      </c>
    </row>
    <row r="55" spans="1:15">
      <c r="A55" s="13"/>
      <c r="B55" s="13" t="s">
        <v>238</v>
      </c>
      <c r="C55" s="14" t="s">
        <v>223</v>
      </c>
      <c r="E55" s="13"/>
      <c r="F55" s="13" t="s">
        <v>238</v>
      </c>
      <c r="G55" s="13" t="s">
        <v>282</v>
      </c>
      <c r="I55" s="13"/>
      <c r="J55" s="13" t="s">
        <v>238</v>
      </c>
      <c r="K55" s="13" t="s">
        <v>328</v>
      </c>
      <c r="M55" s="13"/>
      <c r="N55" s="13" t="s">
        <v>238</v>
      </c>
      <c r="O55" s="13" t="s">
        <v>371</v>
      </c>
    </row>
    <row r="56" spans="1:15">
      <c r="A56" s="13"/>
      <c r="B56" s="13"/>
      <c r="C56" s="13"/>
      <c r="E56" s="13"/>
      <c r="F56" s="13" t="s">
        <v>284</v>
      </c>
      <c r="G56" s="13" t="s">
        <v>283</v>
      </c>
      <c r="I56" s="13"/>
      <c r="J56" s="13" t="s">
        <v>284</v>
      </c>
      <c r="K56" s="13" t="s">
        <v>329</v>
      </c>
      <c r="M56" s="13"/>
      <c r="N56" s="13"/>
      <c r="O56" s="13"/>
    </row>
    <row r="57" spans="1:15">
      <c r="A57" s="14" t="s">
        <v>224</v>
      </c>
      <c r="B57" s="13"/>
      <c r="C57" s="13"/>
      <c r="E57" s="13"/>
      <c r="F57" s="13"/>
      <c r="G57" s="13"/>
      <c r="I57" s="13" t="s">
        <v>324</v>
      </c>
      <c r="J57" s="13"/>
      <c r="K57" s="13"/>
      <c r="M57" s="13"/>
      <c r="N57" s="13"/>
      <c r="O57" s="13"/>
    </row>
    <row r="59" spans="1:15">
      <c r="A59" s="15">
        <f>COUNTA(C:C)</f>
        <v>51</v>
      </c>
      <c r="E59" s="15">
        <f>COUNTA(G:G)-1</f>
        <v>33</v>
      </c>
      <c r="I59" s="15">
        <f>COUNTA(K:K)</f>
        <v>40</v>
      </c>
      <c r="M59" s="15">
        <f>COUNTA(O:O)</f>
        <v>36</v>
      </c>
    </row>
    <row r="60" spans="1:15">
      <c r="A60" s="15" t="s">
        <v>72</v>
      </c>
      <c r="E60" s="15" t="s">
        <v>72</v>
      </c>
      <c r="I60" s="15" t="s">
        <v>72</v>
      </c>
      <c r="M60" s="15" t="s">
        <v>72</v>
      </c>
    </row>
    <row r="61" spans="1:15">
      <c r="A61" s="10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M2864"/>
  <sheetViews>
    <sheetView workbookViewId="0"/>
  </sheetViews>
  <sheetFormatPr defaultRowHeight="13.8"/>
  <sheetData>
    <row r="2" spans="1:13">
      <c r="M2" t="s">
        <v>372</v>
      </c>
    </row>
    <row r="3" spans="1:13">
      <c r="A3" t="s">
        <v>373</v>
      </c>
      <c r="B3" t="s">
        <v>374</v>
      </c>
      <c r="C3" t="s">
        <v>375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M3" t="s">
        <v>372</v>
      </c>
    </row>
    <row r="4" spans="1:13">
      <c r="A4" t="s">
        <v>381</v>
      </c>
      <c r="B4">
        <v>13274</v>
      </c>
      <c r="C4">
        <v>146</v>
      </c>
      <c r="D4">
        <v>7451</v>
      </c>
      <c r="E4">
        <v>75</v>
      </c>
      <c r="F4">
        <v>16623</v>
      </c>
      <c r="G4">
        <v>123862588</v>
      </c>
      <c r="H4">
        <v>1.78</v>
      </c>
      <c r="M4" t="s">
        <v>372</v>
      </c>
    </row>
    <row r="5" spans="1:13">
      <c r="A5" t="s">
        <v>382</v>
      </c>
      <c r="B5">
        <v>262195</v>
      </c>
      <c r="C5">
        <v>2349</v>
      </c>
      <c r="D5">
        <v>234882</v>
      </c>
      <c r="E5">
        <v>2494</v>
      </c>
      <c r="F5">
        <v>16309</v>
      </c>
      <c r="G5">
        <v>3830728567</v>
      </c>
      <c r="H5">
        <v>1.1200000000000001</v>
      </c>
      <c r="M5" t="s">
        <v>372</v>
      </c>
    </row>
    <row r="6" spans="1:13">
      <c r="A6" t="s">
        <v>383</v>
      </c>
      <c r="B6">
        <v>218718</v>
      </c>
      <c r="C6">
        <v>2268</v>
      </c>
      <c r="D6">
        <v>345964</v>
      </c>
      <c r="E6">
        <v>3441</v>
      </c>
      <c r="F6">
        <v>14794</v>
      </c>
      <c r="G6">
        <v>5118298089</v>
      </c>
      <c r="H6">
        <v>0.63</v>
      </c>
      <c r="M6" t="s">
        <v>372</v>
      </c>
    </row>
    <row r="7" spans="1:13">
      <c r="A7" t="s">
        <v>384</v>
      </c>
      <c r="B7">
        <v>0</v>
      </c>
      <c r="C7">
        <v>0</v>
      </c>
      <c r="D7">
        <v>31792</v>
      </c>
      <c r="E7">
        <v>375</v>
      </c>
      <c r="F7">
        <v>16807</v>
      </c>
      <c r="G7">
        <v>534324608</v>
      </c>
      <c r="H7">
        <v>0</v>
      </c>
      <c r="M7" t="s">
        <v>372</v>
      </c>
    </row>
    <row r="8" spans="1:13">
      <c r="A8" t="s">
        <v>385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M8" t="s">
        <v>372</v>
      </c>
    </row>
    <row r="9" spans="1:13">
      <c r="A9" t="s">
        <v>386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M9" t="s">
        <v>372</v>
      </c>
    </row>
    <row r="10" spans="1:13">
      <c r="A10" t="s">
        <v>387</v>
      </c>
      <c r="B10">
        <v>494186</v>
      </c>
      <c r="C10">
        <v>4763</v>
      </c>
      <c r="D10">
        <v>620089</v>
      </c>
      <c r="E10">
        <v>6385</v>
      </c>
      <c r="F10">
        <v>15493</v>
      </c>
      <c r="G10">
        <v>9607213852</v>
      </c>
      <c r="H10">
        <v>0.8</v>
      </c>
      <c r="M10" t="s">
        <v>372</v>
      </c>
    </row>
    <row r="11" spans="1:13">
      <c r="M11" t="s">
        <v>388</v>
      </c>
    </row>
    <row r="12" spans="1:13">
      <c r="A12" t="s">
        <v>373</v>
      </c>
      <c r="B12" t="s">
        <v>389</v>
      </c>
      <c r="C12" t="s">
        <v>390</v>
      </c>
      <c r="D12" t="s">
        <v>391</v>
      </c>
      <c r="M12" t="s">
        <v>388</v>
      </c>
    </row>
    <row r="13" spans="1:13">
      <c r="A13" t="s">
        <v>381</v>
      </c>
      <c r="B13">
        <v>1177236</v>
      </c>
      <c r="C13">
        <v>11995</v>
      </c>
      <c r="D13">
        <v>65.7</v>
      </c>
      <c r="M13" t="s">
        <v>388</v>
      </c>
    </row>
    <row r="14" spans="1:13">
      <c r="A14" t="s">
        <v>382</v>
      </c>
      <c r="B14">
        <v>1171297</v>
      </c>
      <c r="C14">
        <v>11923</v>
      </c>
      <c r="D14">
        <v>59.8</v>
      </c>
      <c r="M14" t="s">
        <v>388</v>
      </c>
    </row>
    <row r="15" spans="1:13">
      <c r="A15" t="s">
        <v>383</v>
      </c>
      <c r="B15">
        <v>1141432</v>
      </c>
      <c r="C15">
        <v>12041</v>
      </c>
      <c r="D15">
        <v>39.6</v>
      </c>
      <c r="M15" t="s">
        <v>388</v>
      </c>
    </row>
    <row r="16" spans="1:13">
      <c r="A16" t="s">
        <v>384</v>
      </c>
      <c r="B16">
        <v>1353015</v>
      </c>
      <c r="C16">
        <v>14336</v>
      </c>
      <c r="D16">
        <v>510.7</v>
      </c>
      <c r="M16" t="s">
        <v>388</v>
      </c>
    </row>
    <row r="18" spans="1:13">
      <c r="M18" t="s">
        <v>392</v>
      </c>
    </row>
    <row r="19" spans="1:13">
      <c r="A19" t="s">
        <v>373</v>
      </c>
      <c r="B19" t="s">
        <v>374</v>
      </c>
      <c r="C19" t="s">
        <v>375</v>
      </c>
      <c r="D19" t="s">
        <v>376</v>
      </c>
      <c r="E19" t="s">
        <v>377</v>
      </c>
      <c r="F19" t="s">
        <v>378</v>
      </c>
      <c r="G19" t="s">
        <v>379</v>
      </c>
      <c r="H19" t="s">
        <v>380</v>
      </c>
      <c r="M19" t="s">
        <v>392</v>
      </c>
    </row>
    <row r="20" spans="1:13">
      <c r="A20" t="s">
        <v>382</v>
      </c>
      <c r="B20">
        <v>0</v>
      </c>
      <c r="C20">
        <v>0</v>
      </c>
      <c r="D20">
        <v>2128925</v>
      </c>
      <c r="E20">
        <v>18654</v>
      </c>
      <c r="F20">
        <v>20992</v>
      </c>
      <c r="G20">
        <v>44690402503</v>
      </c>
      <c r="H20">
        <v>0</v>
      </c>
      <c r="M20" t="s">
        <v>392</v>
      </c>
    </row>
    <row r="21" spans="1:13">
      <c r="A21" t="s">
        <v>383</v>
      </c>
      <c r="B21">
        <v>0</v>
      </c>
      <c r="C21">
        <v>0</v>
      </c>
      <c r="D21">
        <v>1321697</v>
      </c>
      <c r="E21">
        <v>11720</v>
      </c>
      <c r="F21">
        <v>27240</v>
      </c>
      <c r="G21">
        <v>36002622595</v>
      </c>
      <c r="H21">
        <v>0</v>
      </c>
      <c r="M21" t="s">
        <v>392</v>
      </c>
    </row>
    <row r="22" spans="1:13">
      <c r="A22" t="s">
        <v>384</v>
      </c>
      <c r="B22">
        <v>0</v>
      </c>
      <c r="C22">
        <v>0</v>
      </c>
      <c r="D22">
        <v>1094572</v>
      </c>
      <c r="E22">
        <v>10202</v>
      </c>
      <c r="F22">
        <v>29547</v>
      </c>
      <c r="G22">
        <v>32340981576</v>
      </c>
      <c r="H22">
        <v>0</v>
      </c>
      <c r="M22" t="s">
        <v>392</v>
      </c>
    </row>
    <row r="23" spans="1:13">
      <c r="A23" t="s">
        <v>385</v>
      </c>
      <c r="B23">
        <v>0</v>
      </c>
      <c r="C23">
        <v>0</v>
      </c>
      <c r="D23">
        <v>527705</v>
      </c>
      <c r="E23">
        <v>4988</v>
      </c>
      <c r="F23">
        <v>28247</v>
      </c>
      <c r="G23">
        <v>14906332741</v>
      </c>
      <c r="H23">
        <v>0</v>
      </c>
      <c r="M23" t="s">
        <v>392</v>
      </c>
    </row>
    <row r="24" spans="1:13">
      <c r="A24" t="s">
        <v>386</v>
      </c>
      <c r="B24">
        <v>0</v>
      </c>
      <c r="C24">
        <v>0</v>
      </c>
      <c r="D24">
        <v>889350</v>
      </c>
      <c r="E24">
        <v>8434</v>
      </c>
      <c r="F24">
        <v>26872</v>
      </c>
      <c r="G24">
        <v>23898179823</v>
      </c>
      <c r="H24">
        <v>0</v>
      </c>
      <c r="M24" t="s">
        <v>392</v>
      </c>
    </row>
    <row r="25" spans="1:13">
      <c r="A25" t="s">
        <v>393</v>
      </c>
      <c r="B25">
        <v>0</v>
      </c>
      <c r="C25">
        <v>0</v>
      </c>
      <c r="D25">
        <v>1132113</v>
      </c>
      <c r="E25">
        <v>11596</v>
      </c>
      <c r="F25">
        <v>28402</v>
      </c>
      <c r="G25">
        <v>32153958532</v>
      </c>
      <c r="H25">
        <v>0</v>
      </c>
      <c r="M25" t="s">
        <v>392</v>
      </c>
    </row>
    <row r="26" spans="1:13">
      <c r="A26" t="s">
        <v>387</v>
      </c>
      <c r="B26">
        <v>0</v>
      </c>
      <c r="C26">
        <v>0</v>
      </c>
      <c r="D26">
        <v>7094361</v>
      </c>
      <c r="E26">
        <v>65594</v>
      </c>
      <c r="F26">
        <v>25935</v>
      </c>
      <c r="G26">
        <v>183992477771</v>
      </c>
      <c r="H26">
        <v>0</v>
      </c>
      <c r="M26" t="s">
        <v>392</v>
      </c>
    </row>
    <row r="28" spans="1:13">
      <c r="M28" t="s">
        <v>394</v>
      </c>
    </row>
    <row r="29" spans="1:13">
      <c r="A29" t="s">
        <v>373</v>
      </c>
      <c r="B29" t="s">
        <v>374</v>
      </c>
      <c r="C29" t="s">
        <v>375</v>
      </c>
      <c r="D29" t="s">
        <v>376</v>
      </c>
      <c r="E29" t="s">
        <v>377</v>
      </c>
      <c r="F29" t="s">
        <v>378</v>
      </c>
      <c r="G29" t="s">
        <v>379</v>
      </c>
      <c r="H29" t="s">
        <v>380</v>
      </c>
      <c r="M29" t="s">
        <v>394</v>
      </c>
    </row>
    <row r="30" spans="1:13">
      <c r="A30" t="s">
        <v>382</v>
      </c>
      <c r="B30">
        <v>9472869</v>
      </c>
      <c r="C30">
        <v>85900</v>
      </c>
      <c r="D30">
        <v>8272987</v>
      </c>
      <c r="E30">
        <v>75015</v>
      </c>
      <c r="F30">
        <v>66494</v>
      </c>
      <c r="G30">
        <v>550105561723</v>
      </c>
      <c r="H30">
        <v>1.1499999999999999</v>
      </c>
      <c r="M30" t="s">
        <v>394</v>
      </c>
    </row>
    <row r="31" spans="1:13">
      <c r="A31" t="s">
        <v>383</v>
      </c>
      <c r="B31">
        <v>10275105</v>
      </c>
      <c r="C31">
        <v>95629</v>
      </c>
      <c r="D31">
        <v>8912467</v>
      </c>
      <c r="E31">
        <v>81511</v>
      </c>
      <c r="F31">
        <v>63623</v>
      </c>
      <c r="G31">
        <v>567033669349</v>
      </c>
      <c r="H31">
        <v>1.1499999999999999</v>
      </c>
      <c r="M31" t="s">
        <v>394</v>
      </c>
    </row>
    <row r="32" spans="1:13">
      <c r="A32" t="s">
        <v>384</v>
      </c>
      <c r="B32">
        <v>7042950</v>
      </c>
      <c r="C32">
        <v>67256</v>
      </c>
      <c r="D32">
        <v>8783542</v>
      </c>
      <c r="E32">
        <v>82642</v>
      </c>
      <c r="F32">
        <v>55386</v>
      </c>
      <c r="G32">
        <v>486482020192</v>
      </c>
      <c r="H32">
        <v>0.8</v>
      </c>
      <c r="M32" t="s">
        <v>394</v>
      </c>
    </row>
    <row r="33" spans="1:13">
      <c r="A33" t="s">
        <v>385</v>
      </c>
      <c r="B33">
        <v>6738974</v>
      </c>
      <c r="C33">
        <v>62818</v>
      </c>
      <c r="D33">
        <v>7364723</v>
      </c>
      <c r="E33">
        <v>67627</v>
      </c>
      <c r="F33">
        <v>56134</v>
      </c>
      <c r="G33">
        <v>413413433424</v>
      </c>
      <c r="H33">
        <v>0.92</v>
      </c>
      <c r="M33" t="s">
        <v>394</v>
      </c>
    </row>
    <row r="34" spans="1:13">
      <c r="A34" t="s">
        <v>386</v>
      </c>
      <c r="B34">
        <v>6280488</v>
      </c>
      <c r="C34">
        <v>58213</v>
      </c>
      <c r="D34">
        <v>5992144</v>
      </c>
      <c r="E34">
        <v>54210</v>
      </c>
      <c r="F34">
        <v>54761</v>
      </c>
      <c r="G34">
        <v>328136667526</v>
      </c>
      <c r="H34">
        <v>1.05</v>
      </c>
      <c r="M34" t="s">
        <v>394</v>
      </c>
    </row>
    <row r="35" spans="1:13">
      <c r="A35" t="s">
        <v>387</v>
      </c>
      <c r="B35">
        <v>39810387</v>
      </c>
      <c r="C35">
        <v>369816</v>
      </c>
      <c r="D35">
        <v>39325863</v>
      </c>
      <c r="E35">
        <v>361005</v>
      </c>
      <c r="F35">
        <v>59634</v>
      </c>
      <c r="G35">
        <v>2345171352215</v>
      </c>
      <c r="H35">
        <v>1.01</v>
      </c>
      <c r="M35" t="s">
        <v>394</v>
      </c>
    </row>
    <row r="37" spans="1:13">
      <c r="M37" t="s">
        <v>395</v>
      </c>
    </row>
    <row r="38" spans="1:13">
      <c r="A38" t="s">
        <v>373</v>
      </c>
      <c r="B38" t="s">
        <v>389</v>
      </c>
      <c r="C38" t="s">
        <v>390</v>
      </c>
      <c r="D38" t="s">
        <v>391</v>
      </c>
      <c r="M38" t="s">
        <v>395</v>
      </c>
    </row>
    <row r="39" spans="1:13">
      <c r="A39" t="s">
        <v>382</v>
      </c>
      <c r="B39">
        <v>23926148</v>
      </c>
      <c r="C39">
        <v>131579</v>
      </c>
      <c r="D39">
        <v>26.4</v>
      </c>
      <c r="M39" t="s">
        <v>395</v>
      </c>
    </row>
    <row r="40" spans="1:13">
      <c r="A40" t="s">
        <v>383</v>
      </c>
      <c r="B40">
        <v>21869214</v>
      </c>
      <c r="C40">
        <v>116870</v>
      </c>
      <c r="D40">
        <v>22.4</v>
      </c>
      <c r="M40" t="s">
        <v>395</v>
      </c>
    </row>
    <row r="41" spans="1:13">
      <c r="A41" t="s">
        <v>384</v>
      </c>
      <c r="B41">
        <v>21104930</v>
      </c>
      <c r="C41">
        <v>107483</v>
      </c>
      <c r="D41">
        <v>20.3</v>
      </c>
      <c r="M41" t="s">
        <v>395</v>
      </c>
    </row>
    <row r="42" spans="1:13">
      <c r="A42" t="s">
        <v>385</v>
      </c>
      <c r="B42">
        <v>23237423</v>
      </c>
      <c r="C42">
        <v>127581</v>
      </c>
      <c r="D42">
        <v>25</v>
      </c>
      <c r="M42" t="s">
        <v>395</v>
      </c>
    </row>
    <row r="43" spans="1:13">
      <c r="A43" t="s">
        <v>386</v>
      </c>
      <c r="B43">
        <v>23229057</v>
      </c>
      <c r="C43">
        <v>133562</v>
      </c>
      <c r="D43">
        <v>29.1</v>
      </c>
      <c r="M43" t="s">
        <v>395</v>
      </c>
    </row>
    <row r="45" spans="1:13">
      <c r="M45" t="s">
        <v>396</v>
      </c>
    </row>
    <row r="46" spans="1:13">
      <c r="A46" t="s">
        <v>373</v>
      </c>
      <c r="B46" t="s">
        <v>374</v>
      </c>
      <c r="C46" t="s">
        <v>375</v>
      </c>
      <c r="D46" t="s">
        <v>376</v>
      </c>
      <c r="E46" t="s">
        <v>377</v>
      </c>
      <c r="F46" t="s">
        <v>378</v>
      </c>
      <c r="G46" t="s">
        <v>379</v>
      </c>
      <c r="H46" t="s">
        <v>380</v>
      </c>
      <c r="M46" t="s">
        <v>396</v>
      </c>
    </row>
    <row r="47" spans="1:13">
      <c r="A47" t="s">
        <v>382</v>
      </c>
      <c r="B47">
        <v>1124939</v>
      </c>
      <c r="C47">
        <v>9104</v>
      </c>
      <c r="D47">
        <v>1003867</v>
      </c>
      <c r="E47">
        <v>8439</v>
      </c>
      <c r="F47">
        <v>7893</v>
      </c>
      <c r="G47">
        <v>7923535408</v>
      </c>
      <c r="H47">
        <v>1.1200000000000001</v>
      </c>
      <c r="M47" t="s">
        <v>396</v>
      </c>
    </row>
    <row r="48" spans="1:13">
      <c r="A48" t="s">
        <v>383</v>
      </c>
      <c r="B48">
        <v>1032546</v>
      </c>
      <c r="C48">
        <v>8749</v>
      </c>
      <c r="D48">
        <v>1101472</v>
      </c>
      <c r="E48">
        <v>9333</v>
      </c>
      <c r="F48">
        <v>7889</v>
      </c>
      <c r="G48">
        <v>8689254980</v>
      </c>
      <c r="H48">
        <v>0.94</v>
      </c>
      <c r="M48" t="s">
        <v>396</v>
      </c>
    </row>
    <row r="49" spans="1:13">
      <c r="A49" t="s">
        <v>384</v>
      </c>
      <c r="B49">
        <v>1652918</v>
      </c>
      <c r="C49">
        <v>14172</v>
      </c>
      <c r="D49">
        <v>1246814</v>
      </c>
      <c r="E49">
        <v>10699</v>
      </c>
      <c r="F49">
        <v>8021</v>
      </c>
      <c r="G49">
        <v>10000357453</v>
      </c>
      <c r="H49">
        <v>1.33</v>
      </c>
      <c r="M49" t="s">
        <v>396</v>
      </c>
    </row>
    <row r="50" spans="1:13">
      <c r="A50" t="s">
        <v>385</v>
      </c>
      <c r="B50">
        <v>1455595</v>
      </c>
      <c r="C50">
        <v>12333</v>
      </c>
      <c r="D50">
        <v>1803798</v>
      </c>
      <c r="E50">
        <v>15208</v>
      </c>
      <c r="F50">
        <v>7493</v>
      </c>
      <c r="G50">
        <v>13515346923</v>
      </c>
      <c r="H50">
        <v>0.81</v>
      </c>
      <c r="M50" t="s">
        <v>396</v>
      </c>
    </row>
    <row r="51" spans="1:13">
      <c r="A51" t="s">
        <v>386</v>
      </c>
      <c r="B51">
        <v>1020431</v>
      </c>
      <c r="C51">
        <v>8630</v>
      </c>
      <c r="D51">
        <v>1284700</v>
      </c>
      <c r="E51">
        <v>10753</v>
      </c>
      <c r="F51">
        <v>7601</v>
      </c>
      <c r="G51">
        <v>9764760848</v>
      </c>
      <c r="H51">
        <v>0.79</v>
      </c>
      <c r="M51" t="s">
        <v>396</v>
      </c>
    </row>
    <row r="52" spans="1:13">
      <c r="A52" t="s">
        <v>387</v>
      </c>
      <c r="B52">
        <v>6286429</v>
      </c>
      <c r="C52">
        <v>52988</v>
      </c>
      <c r="D52">
        <v>6440651</v>
      </c>
      <c r="E52">
        <v>54432</v>
      </c>
      <c r="F52">
        <v>7747</v>
      </c>
      <c r="G52">
        <v>49893255612</v>
      </c>
      <c r="H52">
        <v>0.98</v>
      </c>
      <c r="M52" t="s">
        <v>396</v>
      </c>
    </row>
    <row r="54" spans="1:13">
      <c r="M54" t="s">
        <v>397</v>
      </c>
    </row>
    <row r="55" spans="1:13">
      <c r="A55" t="s">
        <v>373</v>
      </c>
      <c r="B55" t="s">
        <v>389</v>
      </c>
      <c r="C55" t="s">
        <v>390</v>
      </c>
      <c r="D55" t="s">
        <v>391</v>
      </c>
      <c r="M55" t="s">
        <v>397</v>
      </c>
    </row>
    <row r="56" spans="1:13">
      <c r="A56" t="s">
        <v>382</v>
      </c>
      <c r="B56">
        <v>961005</v>
      </c>
      <c r="C56">
        <v>7641</v>
      </c>
      <c r="D56">
        <v>11.5</v>
      </c>
      <c r="M56" t="s">
        <v>397</v>
      </c>
    </row>
    <row r="57" spans="1:13">
      <c r="A57" t="s">
        <v>383</v>
      </c>
      <c r="B57">
        <v>771389</v>
      </c>
      <c r="C57">
        <v>6282</v>
      </c>
      <c r="D57">
        <v>8.4</v>
      </c>
      <c r="M57" t="s">
        <v>397</v>
      </c>
    </row>
    <row r="58" spans="1:13">
      <c r="A58" t="s">
        <v>384</v>
      </c>
      <c r="B58">
        <v>982642</v>
      </c>
      <c r="C58">
        <v>8181</v>
      </c>
      <c r="D58">
        <v>9.5</v>
      </c>
      <c r="M58" t="s">
        <v>397</v>
      </c>
    </row>
    <row r="59" spans="1:13">
      <c r="A59" t="s">
        <v>385</v>
      </c>
      <c r="B59">
        <v>0</v>
      </c>
      <c r="C59">
        <v>0</v>
      </c>
      <c r="D59">
        <v>0</v>
      </c>
      <c r="M59" t="s">
        <v>397</v>
      </c>
    </row>
    <row r="60" spans="1:13">
      <c r="A60" t="s">
        <v>386</v>
      </c>
      <c r="B60">
        <v>740444</v>
      </c>
      <c r="C60">
        <v>5989</v>
      </c>
      <c r="D60">
        <v>6.9</v>
      </c>
      <c r="M60" t="s">
        <v>397</v>
      </c>
    </row>
    <row r="62" spans="1:13">
      <c r="M62" t="s">
        <v>398</v>
      </c>
    </row>
    <row r="63" spans="1:13">
      <c r="A63" t="s">
        <v>373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379</v>
      </c>
      <c r="H63" t="s">
        <v>380</v>
      </c>
      <c r="M63" t="s">
        <v>398</v>
      </c>
    </row>
    <row r="64" spans="1:13">
      <c r="A64" t="s">
        <v>381</v>
      </c>
      <c r="B64">
        <v>0</v>
      </c>
      <c r="C64">
        <v>0</v>
      </c>
      <c r="D64">
        <v>44837</v>
      </c>
      <c r="E64">
        <v>528</v>
      </c>
      <c r="F64">
        <v>8110</v>
      </c>
      <c r="G64">
        <v>363634868</v>
      </c>
      <c r="H64">
        <v>0</v>
      </c>
      <c r="M64" t="s">
        <v>398</v>
      </c>
    </row>
    <row r="65" spans="1:13">
      <c r="A65" t="s">
        <v>382</v>
      </c>
      <c r="B65">
        <v>0</v>
      </c>
      <c r="C65">
        <v>0</v>
      </c>
      <c r="D65">
        <v>92267</v>
      </c>
      <c r="E65">
        <v>1221</v>
      </c>
      <c r="F65">
        <v>12405</v>
      </c>
      <c r="G65">
        <v>1144608667</v>
      </c>
      <c r="H65">
        <v>0</v>
      </c>
      <c r="M65" t="s">
        <v>398</v>
      </c>
    </row>
    <row r="66" spans="1:13">
      <c r="A66" t="s">
        <v>383</v>
      </c>
      <c r="B66">
        <v>0</v>
      </c>
      <c r="C66">
        <v>0</v>
      </c>
      <c r="D66">
        <v>51268</v>
      </c>
      <c r="E66">
        <v>614</v>
      </c>
      <c r="F66">
        <v>12560</v>
      </c>
      <c r="G66">
        <v>643910056</v>
      </c>
      <c r="H66">
        <v>0</v>
      </c>
      <c r="M66" t="s">
        <v>398</v>
      </c>
    </row>
    <row r="67" spans="1:13">
      <c r="A67" t="s">
        <v>384</v>
      </c>
      <c r="B67">
        <v>0</v>
      </c>
      <c r="C67">
        <v>0</v>
      </c>
      <c r="D67">
        <v>5776</v>
      </c>
      <c r="E67">
        <v>67</v>
      </c>
      <c r="F67">
        <v>12971</v>
      </c>
      <c r="G67">
        <v>74921563</v>
      </c>
      <c r="H67">
        <v>0</v>
      </c>
      <c r="M67" t="s">
        <v>398</v>
      </c>
    </row>
    <row r="68" spans="1:13">
      <c r="A68" t="s">
        <v>387</v>
      </c>
      <c r="B68">
        <v>0</v>
      </c>
      <c r="C68">
        <v>0</v>
      </c>
      <c r="D68">
        <v>194147</v>
      </c>
      <c r="E68">
        <v>2430</v>
      </c>
      <c r="F68">
        <v>11471</v>
      </c>
      <c r="G68">
        <v>2227075154</v>
      </c>
      <c r="H68">
        <v>0</v>
      </c>
      <c r="M68" t="s">
        <v>398</v>
      </c>
    </row>
    <row r="70" spans="1:13">
      <c r="M70" t="s">
        <v>399</v>
      </c>
    </row>
    <row r="71" spans="1:13">
      <c r="A71" t="s">
        <v>373</v>
      </c>
      <c r="B71" t="s">
        <v>389</v>
      </c>
      <c r="C71" t="s">
        <v>390</v>
      </c>
      <c r="D71" t="s">
        <v>391</v>
      </c>
      <c r="M71" t="s">
        <v>399</v>
      </c>
    </row>
    <row r="72" spans="1:13">
      <c r="A72" t="s">
        <v>381</v>
      </c>
      <c r="B72">
        <v>585255</v>
      </c>
      <c r="C72">
        <v>7723</v>
      </c>
      <c r="D72">
        <v>54.1</v>
      </c>
      <c r="M72" t="s">
        <v>399</v>
      </c>
    </row>
    <row r="73" spans="1:13">
      <c r="A73" t="s">
        <v>382</v>
      </c>
      <c r="B73">
        <v>474751</v>
      </c>
      <c r="C73">
        <v>6677</v>
      </c>
      <c r="D73">
        <v>61.7</v>
      </c>
      <c r="M73" t="s">
        <v>399</v>
      </c>
    </row>
    <row r="74" spans="1:13">
      <c r="A74" t="s">
        <v>383</v>
      </c>
      <c r="B74">
        <v>296143</v>
      </c>
      <c r="C74">
        <v>4638</v>
      </c>
      <c r="D74">
        <v>69.3</v>
      </c>
      <c r="M74" t="s">
        <v>399</v>
      </c>
    </row>
    <row r="75" spans="1:13">
      <c r="A75" t="s">
        <v>384</v>
      </c>
      <c r="B75">
        <v>318351</v>
      </c>
      <c r="C75">
        <v>4925</v>
      </c>
      <c r="D75">
        <v>661.4</v>
      </c>
      <c r="M75" t="s">
        <v>399</v>
      </c>
    </row>
    <row r="77" spans="1:13">
      <c r="M77" t="s">
        <v>400</v>
      </c>
    </row>
    <row r="78" spans="1:13">
      <c r="A78" t="s">
        <v>373</v>
      </c>
      <c r="B78" t="s">
        <v>374</v>
      </c>
      <c r="C78" t="s">
        <v>375</v>
      </c>
      <c r="D78" t="s">
        <v>376</v>
      </c>
      <c r="E78" t="s">
        <v>377</v>
      </c>
      <c r="F78" t="s">
        <v>378</v>
      </c>
      <c r="G78" t="s">
        <v>379</v>
      </c>
      <c r="H78" t="s">
        <v>380</v>
      </c>
      <c r="M78" t="s">
        <v>400</v>
      </c>
    </row>
    <row r="79" spans="1:13">
      <c r="A79" t="s">
        <v>382</v>
      </c>
      <c r="B79">
        <v>2880697</v>
      </c>
      <c r="C79">
        <v>23625</v>
      </c>
      <c r="D79">
        <v>2272764</v>
      </c>
      <c r="E79">
        <v>19003</v>
      </c>
      <c r="F79">
        <v>36305</v>
      </c>
      <c r="G79">
        <v>82512434318</v>
      </c>
      <c r="H79">
        <v>1.27</v>
      </c>
      <c r="M79" t="s">
        <v>400</v>
      </c>
    </row>
    <row r="80" spans="1:13">
      <c r="A80" t="s">
        <v>383</v>
      </c>
      <c r="B80">
        <v>2958412</v>
      </c>
      <c r="C80">
        <v>26904</v>
      </c>
      <c r="D80">
        <v>2332563</v>
      </c>
      <c r="E80">
        <v>20597</v>
      </c>
      <c r="F80">
        <v>29692</v>
      </c>
      <c r="G80">
        <v>69258212118</v>
      </c>
      <c r="H80">
        <v>1.27</v>
      </c>
      <c r="M80" t="s">
        <v>400</v>
      </c>
    </row>
    <row r="81" spans="1:13">
      <c r="A81" t="s">
        <v>384</v>
      </c>
      <c r="B81">
        <v>5523397</v>
      </c>
      <c r="C81">
        <v>50060</v>
      </c>
      <c r="D81">
        <v>4268996</v>
      </c>
      <c r="E81">
        <v>38848</v>
      </c>
      <c r="F81">
        <v>28399</v>
      </c>
      <c r="G81">
        <v>121235856663</v>
      </c>
      <c r="H81">
        <v>1.29</v>
      </c>
      <c r="M81" t="s">
        <v>400</v>
      </c>
    </row>
    <row r="82" spans="1:13">
      <c r="A82" t="s">
        <v>385</v>
      </c>
      <c r="B82">
        <v>5385449</v>
      </c>
      <c r="C82">
        <v>51096</v>
      </c>
      <c r="D82">
        <v>6226989</v>
      </c>
      <c r="E82">
        <v>58107</v>
      </c>
      <c r="F82">
        <v>24187</v>
      </c>
      <c r="G82">
        <v>150611708672</v>
      </c>
      <c r="H82">
        <v>0.86</v>
      </c>
      <c r="M82" t="s">
        <v>400</v>
      </c>
    </row>
    <row r="83" spans="1:13">
      <c r="A83" t="s">
        <v>386</v>
      </c>
      <c r="B83">
        <v>3645459</v>
      </c>
      <c r="C83">
        <v>33434</v>
      </c>
      <c r="D83">
        <v>4686652</v>
      </c>
      <c r="E83">
        <v>43841</v>
      </c>
      <c r="F83">
        <v>20826</v>
      </c>
      <c r="G83">
        <v>97603153232</v>
      </c>
      <c r="H83">
        <v>0.78</v>
      </c>
      <c r="M83" t="s">
        <v>400</v>
      </c>
    </row>
    <row r="84" spans="1:13">
      <c r="A84" t="s">
        <v>387</v>
      </c>
      <c r="B84">
        <v>20393414</v>
      </c>
      <c r="C84">
        <v>185119</v>
      </c>
      <c r="D84">
        <v>19787963</v>
      </c>
      <c r="E84">
        <v>180396</v>
      </c>
      <c r="F84">
        <v>26340</v>
      </c>
      <c r="G84">
        <v>521221365003</v>
      </c>
      <c r="H84">
        <v>1.03</v>
      </c>
      <c r="M84" t="s">
        <v>400</v>
      </c>
    </row>
    <row r="86" spans="1:13">
      <c r="M86" t="s">
        <v>401</v>
      </c>
    </row>
    <row r="87" spans="1:13">
      <c r="A87" t="s">
        <v>373</v>
      </c>
      <c r="B87" t="s">
        <v>389</v>
      </c>
      <c r="C87" t="s">
        <v>390</v>
      </c>
      <c r="D87" t="s">
        <v>391</v>
      </c>
      <c r="M87" t="s">
        <v>401</v>
      </c>
    </row>
    <row r="88" spans="1:13">
      <c r="A88" t="s">
        <v>382</v>
      </c>
      <c r="B88">
        <v>4845196</v>
      </c>
      <c r="C88">
        <v>44151</v>
      </c>
      <c r="D88">
        <v>25.6</v>
      </c>
      <c r="M88" t="s">
        <v>401</v>
      </c>
    </row>
    <row r="89" spans="1:13">
      <c r="A89" t="s">
        <v>383</v>
      </c>
      <c r="B89">
        <v>4231605</v>
      </c>
      <c r="C89">
        <v>39341</v>
      </c>
      <c r="D89">
        <v>21.8</v>
      </c>
      <c r="M89" t="s">
        <v>401</v>
      </c>
    </row>
    <row r="90" spans="1:13">
      <c r="A90" t="s">
        <v>384</v>
      </c>
      <c r="B90">
        <v>4001377</v>
      </c>
      <c r="C90">
        <v>36797</v>
      </c>
      <c r="D90">
        <v>11.2</v>
      </c>
      <c r="M90" t="s">
        <v>401</v>
      </c>
    </row>
    <row r="91" spans="1:13">
      <c r="A91" t="s">
        <v>385</v>
      </c>
      <c r="B91">
        <v>2927135</v>
      </c>
      <c r="C91">
        <v>27034</v>
      </c>
      <c r="D91">
        <v>5.6</v>
      </c>
      <c r="M91" t="s">
        <v>401</v>
      </c>
    </row>
    <row r="92" spans="1:13">
      <c r="A92" t="s">
        <v>386</v>
      </c>
      <c r="B92">
        <v>3451129</v>
      </c>
      <c r="C92">
        <v>31032</v>
      </c>
      <c r="D92">
        <v>8.8000000000000007</v>
      </c>
      <c r="M92" t="s">
        <v>401</v>
      </c>
    </row>
    <row r="94" spans="1:13">
      <c r="M94" t="s">
        <v>402</v>
      </c>
    </row>
    <row r="95" spans="1:13">
      <c r="A95" t="s">
        <v>373</v>
      </c>
      <c r="B95" t="s">
        <v>374</v>
      </c>
      <c r="C95" t="s">
        <v>375</v>
      </c>
      <c r="D95" t="s">
        <v>376</v>
      </c>
      <c r="E95" t="s">
        <v>377</v>
      </c>
      <c r="F95" t="s">
        <v>378</v>
      </c>
      <c r="G95" t="s">
        <v>379</v>
      </c>
      <c r="H95" t="s">
        <v>380</v>
      </c>
      <c r="M95" t="s">
        <v>402</v>
      </c>
    </row>
    <row r="96" spans="1:13">
      <c r="A96" t="s">
        <v>382</v>
      </c>
      <c r="B96">
        <v>1339611</v>
      </c>
      <c r="C96">
        <v>9745</v>
      </c>
      <c r="D96">
        <v>963151</v>
      </c>
      <c r="E96">
        <v>6744</v>
      </c>
      <c r="F96">
        <v>8079</v>
      </c>
      <c r="G96">
        <v>7781631469</v>
      </c>
      <c r="H96">
        <v>1.39</v>
      </c>
      <c r="M96" t="s">
        <v>402</v>
      </c>
    </row>
    <row r="97" spans="1:13">
      <c r="A97" t="s">
        <v>383</v>
      </c>
      <c r="B97">
        <v>977798</v>
      </c>
      <c r="C97">
        <v>7142</v>
      </c>
      <c r="D97">
        <v>1152393</v>
      </c>
      <c r="E97">
        <v>8428</v>
      </c>
      <c r="F97">
        <v>8096</v>
      </c>
      <c r="G97">
        <v>9329807386</v>
      </c>
      <c r="H97">
        <v>0.85</v>
      </c>
      <c r="M97" t="s">
        <v>402</v>
      </c>
    </row>
    <row r="98" spans="1:13">
      <c r="A98" t="s">
        <v>384</v>
      </c>
      <c r="B98">
        <v>1526598</v>
      </c>
      <c r="C98">
        <v>11671</v>
      </c>
      <c r="D98">
        <v>2216393</v>
      </c>
      <c r="E98">
        <v>15505</v>
      </c>
      <c r="F98">
        <v>7702</v>
      </c>
      <c r="G98">
        <v>17070850869</v>
      </c>
      <c r="H98">
        <v>0.69</v>
      </c>
      <c r="M98" t="s">
        <v>402</v>
      </c>
    </row>
    <row r="99" spans="1:13">
      <c r="A99" t="s">
        <v>385</v>
      </c>
      <c r="B99">
        <v>2515710</v>
      </c>
      <c r="C99">
        <v>18238</v>
      </c>
      <c r="D99">
        <v>2017135</v>
      </c>
      <c r="E99">
        <v>14796</v>
      </c>
      <c r="F99">
        <v>7936</v>
      </c>
      <c r="G99">
        <v>16007154752</v>
      </c>
      <c r="H99">
        <v>1.25</v>
      </c>
      <c r="M99" t="s">
        <v>402</v>
      </c>
    </row>
    <row r="100" spans="1:13">
      <c r="A100" t="s">
        <v>386</v>
      </c>
      <c r="B100">
        <v>1880528</v>
      </c>
      <c r="C100">
        <v>12687</v>
      </c>
      <c r="D100">
        <v>1398216</v>
      </c>
      <c r="E100">
        <v>9730</v>
      </c>
      <c r="F100">
        <v>8383</v>
      </c>
      <c r="G100">
        <v>11721390668</v>
      </c>
      <c r="H100">
        <v>1.34</v>
      </c>
      <c r="M100" t="s">
        <v>402</v>
      </c>
    </row>
    <row r="101" spans="1:13">
      <c r="A101" t="s">
        <v>387</v>
      </c>
      <c r="B101">
        <v>8240244</v>
      </c>
      <c r="C101">
        <v>59483</v>
      </c>
      <c r="D101">
        <v>7747287</v>
      </c>
      <c r="E101">
        <v>55203</v>
      </c>
      <c r="F101">
        <v>7991</v>
      </c>
      <c r="G101">
        <v>61910835143</v>
      </c>
      <c r="H101">
        <v>1.06</v>
      </c>
      <c r="M101" t="s">
        <v>402</v>
      </c>
    </row>
    <row r="103" spans="1:13">
      <c r="M103" t="s">
        <v>403</v>
      </c>
    </row>
    <row r="104" spans="1:13">
      <c r="A104" t="s">
        <v>373</v>
      </c>
      <c r="B104" t="s">
        <v>389</v>
      </c>
      <c r="C104" t="s">
        <v>390</v>
      </c>
      <c r="D104" t="s">
        <v>391</v>
      </c>
      <c r="M104" t="s">
        <v>403</v>
      </c>
    </row>
    <row r="105" spans="1:13">
      <c r="A105" t="s">
        <v>381</v>
      </c>
      <c r="B105">
        <v>4176935</v>
      </c>
      <c r="C105">
        <v>30101</v>
      </c>
      <c r="D105">
        <v>52.6</v>
      </c>
      <c r="M105" t="s">
        <v>403</v>
      </c>
    </row>
    <row r="106" spans="1:13">
      <c r="A106" t="s">
        <v>382</v>
      </c>
      <c r="B106">
        <v>4198368</v>
      </c>
      <c r="C106">
        <v>30245</v>
      </c>
      <c r="D106">
        <v>52.3</v>
      </c>
      <c r="M106" t="s">
        <v>403</v>
      </c>
    </row>
    <row r="107" spans="1:13">
      <c r="A107" t="s">
        <v>383</v>
      </c>
      <c r="B107">
        <v>2116339</v>
      </c>
      <c r="C107">
        <v>15279</v>
      </c>
      <c r="D107">
        <v>22</v>
      </c>
      <c r="M107" t="s">
        <v>403</v>
      </c>
    </row>
    <row r="108" spans="1:13">
      <c r="A108" t="s">
        <v>384</v>
      </c>
      <c r="B108">
        <v>2122456</v>
      </c>
      <c r="C108">
        <v>15312</v>
      </c>
      <c r="D108">
        <v>11.5</v>
      </c>
      <c r="M108" t="s">
        <v>403</v>
      </c>
    </row>
    <row r="110" spans="1:13">
      <c r="M110" t="s">
        <v>404</v>
      </c>
    </row>
    <row r="111" spans="1:13">
      <c r="A111" t="s">
        <v>373</v>
      </c>
      <c r="B111" t="s">
        <v>374</v>
      </c>
      <c r="C111" t="s">
        <v>375</v>
      </c>
      <c r="D111" t="s">
        <v>376</v>
      </c>
      <c r="E111" t="s">
        <v>377</v>
      </c>
      <c r="F111" t="s">
        <v>378</v>
      </c>
      <c r="G111" t="s">
        <v>379</v>
      </c>
      <c r="H111" t="s">
        <v>380</v>
      </c>
      <c r="M111" t="s">
        <v>404</v>
      </c>
    </row>
    <row r="112" spans="1:13">
      <c r="A112" t="s">
        <v>381</v>
      </c>
      <c r="B112">
        <v>16220</v>
      </c>
      <c r="C112">
        <v>126</v>
      </c>
      <c r="D112">
        <v>21737</v>
      </c>
      <c r="E112">
        <v>170</v>
      </c>
      <c r="F112">
        <v>4556</v>
      </c>
      <c r="G112">
        <v>99024867</v>
      </c>
      <c r="H112">
        <v>0.75</v>
      </c>
      <c r="M112" t="s">
        <v>404</v>
      </c>
    </row>
    <row r="113" spans="1:13">
      <c r="A113" t="s">
        <v>382</v>
      </c>
      <c r="B113">
        <v>393527</v>
      </c>
      <c r="C113">
        <v>2945</v>
      </c>
      <c r="D113">
        <v>484575</v>
      </c>
      <c r="E113">
        <v>3745</v>
      </c>
      <c r="F113">
        <v>4898</v>
      </c>
      <c r="G113">
        <v>2373608627</v>
      </c>
      <c r="H113">
        <v>0.81</v>
      </c>
      <c r="M113" t="s">
        <v>404</v>
      </c>
    </row>
    <row r="114" spans="1:13">
      <c r="A114" t="s">
        <v>383</v>
      </c>
      <c r="B114">
        <v>575312</v>
      </c>
      <c r="C114">
        <v>4383</v>
      </c>
      <c r="D114">
        <v>509443</v>
      </c>
      <c r="E114">
        <v>3898</v>
      </c>
      <c r="F114">
        <v>4799</v>
      </c>
      <c r="G114">
        <v>2444858025</v>
      </c>
      <c r="H114">
        <v>1.1299999999999999</v>
      </c>
      <c r="M114" t="s">
        <v>404</v>
      </c>
    </row>
    <row r="115" spans="1:13">
      <c r="A115" t="s">
        <v>384</v>
      </c>
      <c r="B115">
        <v>1268480</v>
      </c>
      <c r="C115">
        <v>9576</v>
      </c>
      <c r="D115">
        <v>686746</v>
      </c>
      <c r="E115">
        <v>5889</v>
      </c>
      <c r="F115">
        <v>4686</v>
      </c>
      <c r="G115">
        <v>3218331102</v>
      </c>
      <c r="H115">
        <v>1.85</v>
      </c>
      <c r="M115" t="s">
        <v>404</v>
      </c>
    </row>
    <row r="116" spans="1:13">
      <c r="A116" t="s">
        <v>385</v>
      </c>
      <c r="B116">
        <v>451850</v>
      </c>
      <c r="C116">
        <v>3435</v>
      </c>
      <c r="D116">
        <v>0</v>
      </c>
      <c r="E116">
        <v>0</v>
      </c>
      <c r="F116">
        <v>0</v>
      </c>
      <c r="G116">
        <v>0</v>
      </c>
      <c r="H116">
        <v>0</v>
      </c>
      <c r="M116" t="s">
        <v>404</v>
      </c>
    </row>
    <row r="117" spans="1:13">
      <c r="A117" t="s">
        <v>386</v>
      </c>
      <c r="B117">
        <v>766504</v>
      </c>
      <c r="C117">
        <v>6012</v>
      </c>
      <c r="D117">
        <v>0</v>
      </c>
      <c r="E117">
        <v>0</v>
      </c>
      <c r="F117">
        <v>0</v>
      </c>
      <c r="G117">
        <v>0</v>
      </c>
      <c r="H117">
        <v>0</v>
      </c>
      <c r="M117" t="s">
        <v>404</v>
      </c>
    </row>
    <row r="118" spans="1:13">
      <c r="A118" t="s">
        <v>387</v>
      </c>
      <c r="B118">
        <v>3471894</v>
      </c>
      <c r="C118">
        <v>26477</v>
      </c>
      <c r="D118">
        <v>1702501</v>
      </c>
      <c r="E118">
        <v>13702</v>
      </c>
      <c r="F118">
        <v>4779</v>
      </c>
      <c r="G118">
        <v>8135822622</v>
      </c>
      <c r="H118">
        <v>2.04</v>
      </c>
      <c r="M118" t="s">
        <v>404</v>
      </c>
    </row>
    <row r="120" spans="1:13">
      <c r="M120" t="s">
        <v>405</v>
      </c>
    </row>
    <row r="121" spans="1:13">
      <c r="A121" t="s">
        <v>373</v>
      </c>
      <c r="B121" t="s">
        <v>389</v>
      </c>
      <c r="C121" t="s">
        <v>390</v>
      </c>
      <c r="D121" t="s">
        <v>391</v>
      </c>
      <c r="E121" t="s">
        <v>406</v>
      </c>
      <c r="M121" t="s">
        <v>405</v>
      </c>
    </row>
    <row r="122" spans="1:13">
      <c r="A122" t="s">
        <v>381</v>
      </c>
      <c r="B122">
        <v>2276686</v>
      </c>
      <c r="C122">
        <v>19250</v>
      </c>
      <c r="D122">
        <v>58.4</v>
      </c>
      <c r="E122">
        <v>57.4</v>
      </c>
      <c r="M122" t="s">
        <v>405</v>
      </c>
    </row>
    <row r="123" spans="1:13">
      <c r="A123" t="s">
        <v>382</v>
      </c>
      <c r="B123">
        <v>2281928</v>
      </c>
      <c r="C123">
        <v>19292</v>
      </c>
      <c r="D123">
        <v>56.5</v>
      </c>
      <c r="E123">
        <v>55.1</v>
      </c>
      <c r="M123" t="s">
        <v>405</v>
      </c>
    </row>
    <row r="124" spans="1:13">
      <c r="A124" t="s">
        <v>383</v>
      </c>
      <c r="B124">
        <v>2321795</v>
      </c>
      <c r="C124">
        <v>19683</v>
      </c>
      <c r="D124">
        <v>54.7</v>
      </c>
      <c r="E124">
        <v>46.6</v>
      </c>
      <c r="M124" t="s">
        <v>405</v>
      </c>
    </row>
    <row r="126" spans="1:13">
      <c r="M126" t="s">
        <v>407</v>
      </c>
    </row>
    <row r="127" spans="1:13">
      <c r="A127" t="s">
        <v>373</v>
      </c>
      <c r="B127" t="s">
        <v>374</v>
      </c>
      <c r="C127" t="s">
        <v>375</v>
      </c>
      <c r="D127" t="s">
        <v>376</v>
      </c>
      <c r="E127" t="s">
        <v>377</v>
      </c>
      <c r="F127" t="s">
        <v>378</v>
      </c>
      <c r="G127" t="s">
        <v>379</v>
      </c>
      <c r="H127" t="s">
        <v>380</v>
      </c>
      <c r="M127" t="s">
        <v>407</v>
      </c>
    </row>
    <row r="128" spans="1:13">
      <c r="A128" t="s">
        <v>381</v>
      </c>
      <c r="B128">
        <v>234701</v>
      </c>
      <c r="C128">
        <v>2250</v>
      </c>
      <c r="D128">
        <v>191251</v>
      </c>
      <c r="E128">
        <v>1785</v>
      </c>
      <c r="F128">
        <v>13647</v>
      </c>
      <c r="G128">
        <v>2609997644</v>
      </c>
      <c r="H128">
        <v>1.23</v>
      </c>
      <c r="M128" t="s">
        <v>407</v>
      </c>
    </row>
    <row r="129" spans="1:13">
      <c r="A129" t="s">
        <v>382</v>
      </c>
      <c r="B129">
        <v>2247199</v>
      </c>
      <c r="C129">
        <v>21162</v>
      </c>
      <c r="D129">
        <v>3237096</v>
      </c>
      <c r="E129">
        <v>30196</v>
      </c>
      <c r="F129">
        <v>13988</v>
      </c>
      <c r="G129">
        <v>45279150282</v>
      </c>
      <c r="H129">
        <v>0.69</v>
      </c>
      <c r="M129" t="s">
        <v>407</v>
      </c>
    </row>
    <row r="130" spans="1:13">
      <c r="A130" t="s">
        <v>383</v>
      </c>
      <c r="B130">
        <v>2991549</v>
      </c>
      <c r="C130">
        <v>27479</v>
      </c>
      <c r="D130">
        <v>3694292</v>
      </c>
      <c r="E130">
        <v>34065</v>
      </c>
      <c r="F130">
        <v>14019</v>
      </c>
      <c r="G130">
        <v>51791593173</v>
      </c>
      <c r="H130">
        <v>0.81</v>
      </c>
      <c r="M130" t="s">
        <v>407</v>
      </c>
    </row>
    <row r="131" spans="1:13">
      <c r="A131" t="s">
        <v>384</v>
      </c>
      <c r="B131">
        <v>5476528</v>
      </c>
      <c r="C131">
        <v>50799</v>
      </c>
      <c r="D131">
        <v>5449535</v>
      </c>
      <c r="E131">
        <v>50790</v>
      </c>
      <c r="F131">
        <v>15015</v>
      </c>
      <c r="G131">
        <v>81825576204</v>
      </c>
      <c r="H131">
        <v>1</v>
      </c>
      <c r="M131" t="s">
        <v>407</v>
      </c>
    </row>
    <row r="132" spans="1:13">
      <c r="A132" t="s">
        <v>385</v>
      </c>
      <c r="B132">
        <v>4492052</v>
      </c>
      <c r="C132">
        <v>43074</v>
      </c>
      <c r="D132">
        <v>5664990</v>
      </c>
      <c r="E132">
        <v>53068</v>
      </c>
      <c r="F132">
        <v>13451</v>
      </c>
      <c r="G132">
        <v>76197969979</v>
      </c>
      <c r="H132">
        <v>0.79</v>
      </c>
      <c r="M132" t="s">
        <v>407</v>
      </c>
    </row>
    <row r="133" spans="1:13">
      <c r="A133" t="s">
        <v>386</v>
      </c>
      <c r="B133">
        <v>5330962</v>
      </c>
      <c r="C133">
        <v>49512</v>
      </c>
      <c r="D133">
        <v>6472306</v>
      </c>
      <c r="E133">
        <v>59579</v>
      </c>
      <c r="F133">
        <v>13279</v>
      </c>
      <c r="G133">
        <v>85948013111</v>
      </c>
      <c r="H133">
        <v>0.82</v>
      </c>
      <c r="M133" t="s">
        <v>407</v>
      </c>
    </row>
    <row r="134" spans="1:13">
      <c r="A134" t="s">
        <v>387</v>
      </c>
      <c r="B134">
        <v>20772991</v>
      </c>
      <c r="C134">
        <v>194276</v>
      </c>
      <c r="D134">
        <v>24709470</v>
      </c>
      <c r="E134">
        <v>229483</v>
      </c>
      <c r="F134">
        <v>13908</v>
      </c>
      <c r="G134">
        <v>343652300392</v>
      </c>
      <c r="H134">
        <v>0.84</v>
      </c>
      <c r="M134" t="s">
        <v>407</v>
      </c>
    </row>
    <row r="136" spans="1:13">
      <c r="M136" t="s">
        <v>408</v>
      </c>
    </row>
    <row r="137" spans="1:13">
      <c r="A137" t="s">
        <v>373</v>
      </c>
      <c r="B137" t="s">
        <v>389</v>
      </c>
      <c r="C137" t="s">
        <v>409</v>
      </c>
      <c r="D137" t="s">
        <v>410</v>
      </c>
      <c r="E137" t="s">
        <v>390</v>
      </c>
      <c r="F137" t="s">
        <v>411</v>
      </c>
      <c r="G137" t="s">
        <v>412</v>
      </c>
      <c r="H137" t="s">
        <v>413</v>
      </c>
      <c r="I137" t="s">
        <v>414</v>
      </c>
      <c r="J137" t="s">
        <v>391</v>
      </c>
      <c r="K137" t="s">
        <v>406</v>
      </c>
      <c r="L137" t="s">
        <v>415</v>
      </c>
      <c r="M137" t="s">
        <v>408</v>
      </c>
    </row>
    <row r="138" spans="1:13">
      <c r="A138" t="s">
        <v>381</v>
      </c>
      <c r="B138">
        <v>5237018</v>
      </c>
      <c r="C138">
        <v>-2.2999999999999998</v>
      </c>
      <c r="D138">
        <v>-2.2999999999999998</v>
      </c>
      <c r="E138">
        <v>46251</v>
      </c>
      <c r="F138">
        <v>-2.29</v>
      </c>
      <c r="G138">
        <v>-2.29</v>
      </c>
      <c r="H138">
        <v>25.7</v>
      </c>
      <c r="I138">
        <v>25.2</v>
      </c>
      <c r="J138">
        <v>19.399999999999999</v>
      </c>
      <c r="K138">
        <v>18.3</v>
      </c>
      <c r="L138">
        <v>16.2</v>
      </c>
      <c r="M138" t="s">
        <v>408</v>
      </c>
    </row>
    <row r="139" spans="1:13">
      <c r="A139" t="s">
        <v>382</v>
      </c>
      <c r="B139">
        <v>5360330</v>
      </c>
      <c r="C139">
        <v>6.33</v>
      </c>
      <c r="D139">
        <v>6.33</v>
      </c>
      <c r="E139">
        <v>47333</v>
      </c>
      <c r="F139">
        <v>2.85</v>
      </c>
      <c r="G139">
        <v>2.85</v>
      </c>
      <c r="H139">
        <v>22.6</v>
      </c>
      <c r="I139">
        <v>23.7</v>
      </c>
      <c r="J139">
        <v>19.899999999999999</v>
      </c>
      <c r="K139">
        <v>18.600000000000001</v>
      </c>
      <c r="L139">
        <v>15.6</v>
      </c>
      <c r="M139" t="s">
        <v>408</v>
      </c>
    </row>
    <row r="140" spans="1:13">
      <c r="A140" t="s">
        <v>383</v>
      </c>
      <c r="B140">
        <v>5041304</v>
      </c>
      <c r="C140">
        <v>-19.21</v>
      </c>
      <c r="D140">
        <v>-19.21</v>
      </c>
      <c r="E140">
        <v>46021</v>
      </c>
      <c r="F140">
        <v>-19.22</v>
      </c>
      <c r="G140">
        <v>-19.22</v>
      </c>
      <c r="H140">
        <v>18.899999999999999</v>
      </c>
      <c r="I140">
        <v>17.100000000000001</v>
      </c>
      <c r="J140">
        <v>16.399999999999999</v>
      </c>
      <c r="K140">
        <v>13.2</v>
      </c>
      <c r="L140">
        <v>12.3</v>
      </c>
      <c r="M140" t="s">
        <v>408</v>
      </c>
    </row>
    <row r="141" spans="1:13">
      <c r="A141" t="s">
        <v>384</v>
      </c>
      <c r="B141">
        <v>6239701</v>
      </c>
      <c r="C141">
        <v>0.57999999999999996</v>
      </c>
      <c r="D141">
        <v>0.57999999999999996</v>
      </c>
      <c r="E141">
        <v>56972</v>
      </c>
      <c r="F141">
        <v>0.76</v>
      </c>
      <c r="G141">
        <v>0.76</v>
      </c>
      <c r="H141">
        <v>18.3</v>
      </c>
      <c r="I141">
        <v>18</v>
      </c>
      <c r="J141">
        <v>13.7</v>
      </c>
      <c r="K141">
        <v>13.5</v>
      </c>
      <c r="L141">
        <v>12.8</v>
      </c>
      <c r="M141" t="s">
        <v>408</v>
      </c>
    </row>
    <row r="142" spans="1:13">
      <c r="A142" t="s">
        <v>385</v>
      </c>
      <c r="B142">
        <v>6204015</v>
      </c>
      <c r="C142">
        <v>0</v>
      </c>
      <c r="D142">
        <v>0</v>
      </c>
      <c r="E142">
        <v>56543</v>
      </c>
      <c r="F142">
        <v>0</v>
      </c>
      <c r="G142">
        <v>0</v>
      </c>
      <c r="H142">
        <v>10.8</v>
      </c>
      <c r="I142">
        <v>11</v>
      </c>
      <c r="J142">
        <v>13.1</v>
      </c>
      <c r="K142">
        <v>12.3</v>
      </c>
      <c r="L142">
        <v>11.8</v>
      </c>
      <c r="M142" t="s">
        <v>408</v>
      </c>
    </row>
    <row r="143" spans="1:13">
      <c r="A143" t="s">
        <v>386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408</v>
      </c>
    </row>
    <row r="145" spans="1:13">
      <c r="M145" t="s">
        <v>416</v>
      </c>
    </row>
    <row r="146" spans="1:13">
      <c r="A146" t="s">
        <v>373</v>
      </c>
      <c r="B146" t="s">
        <v>374</v>
      </c>
      <c r="C146" t="s">
        <v>375</v>
      </c>
      <c r="D146" t="s">
        <v>376</v>
      </c>
      <c r="E146" t="s">
        <v>377</v>
      </c>
      <c r="F146" t="s">
        <v>378</v>
      </c>
      <c r="G146" t="s">
        <v>379</v>
      </c>
      <c r="H146" t="s">
        <v>380</v>
      </c>
      <c r="M146" t="s">
        <v>416</v>
      </c>
    </row>
    <row r="147" spans="1:13">
      <c r="A147" t="s">
        <v>381</v>
      </c>
      <c r="B147">
        <v>0</v>
      </c>
      <c r="C147">
        <v>0</v>
      </c>
      <c r="D147">
        <v>30292</v>
      </c>
      <c r="E147">
        <v>390</v>
      </c>
      <c r="F147">
        <v>10091</v>
      </c>
      <c r="G147">
        <v>305681456</v>
      </c>
      <c r="H147">
        <v>0</v>
      </c>
      <c r="M147" t="s">
        <v>416</v>
      </c>
    </row>
    <row r="148" spans="1:13">
      <c r="A148" t="s">
        <v>382</v>
      </c>
      <c r="B148">
        <v>258288</v>
      </c>
      <c r="C148">
        <v>3206</v>
      </c>
      <c r="D148">
        <v>237707</v>
      </c>
      <c r="E148">
        <v>2895</v>
      </c>
      <c r="F148">
        <v>10601</v>
      </c>
      <c r="G148">
        <v>2519888700</v>
      </c>
      <c r="H148">
        <v>1.0900000000000001</v>
      </c>
      <c r="M148" t="s">
        <v>416</v>
      </c>
    </row>
    <row r="149" spans="1:13">
      <c r="A149" t="s">
        <v>383</v>
      </c>
      <c r="B149">
        <v>190260</v>
      </c>
      <c r="C149">
        <v>2009</v>
      </c>
      <c r="D149">
        <v>172191</v>
      </c>
      <c r="E149">
        <v>2305</v>
      </c>
      <c r="F149">
        <v>10335</v>
      </c>
      <c r="G149">
        <v>1779678648</v>
      </c>
      <c r="H149">
        <v>1.1000000000000001</v>
      </c>
      <c r="M149" t="s">
        <v>416</v>
      </c>
    </row>
    <row r="150" spans="1:13">
      <c r="A150" t="s">
        <v>384</v>
      </c>
      <c r="B150">
        <v>0</v>
      </c>
      <c r="C150">
        <v>0</v>
      </c>
      <c r="D150">
        <v>14674</v>
      </c>
      <c r="E150">
        <v>190</v>
      </c>
      <c r="F150">
        <v>10354</v>
      </c>
      <c r="G150">
        <v>151940543</v>
      </c>
      <c r="H150">
        <v>0</v>
      </c>
      <c r="M150" t="s">
        <v>416</v>
      </c>
    </row>
    <row r="151" spans="1:13">
      <c r="A151" t="s">
        <v>387</v>
      </c>
      <c r="B151">
        <v>448548</v>
      </c>
      <c r="C151">
        <v>5215</v>
      </c>
      <c r="D151">
        <v>454864</v>
      </c>
      <c r="E151">
        <v>5780</v>
      </c>
      <c r="F151">
        <v>10458</v>
      </c>
      <c r="G151">
        <v>4757189348</v>
      </c>
      <c r="H151">
        <v>0.99</v>
      </c>
      <c r="M151" t="s">
        <v>416</v>
      </c>
    </row>
    <row r="153" spans="1:13">
      <c r="M153" t="s">
        <v>417</v>
      </c>
    </row>
    <row r="154" spans="1:13">
      <c r="A154" t="s">
        <v>373</v>
      </c>
      <c r="B154" t="s">
        <v>389</v>
      </c>
      <c r="C154" t="s">
        <v>390</v>
      </c>
      <c r="D154" t="s">
        <v>391</v>
      </c>
      <c r="M154" t="s">
        <v>417</v>
      </c>
    </row>
    <row r="155" spans="1:13">
      <c r="A155" t="s">
        <v>381</v>
      </c>
      <c r="B155">
        <v>1423687</v>
      </c>
      <c r="C155">
        <v>18088</v>
      </c>
      <c r="D155">
        <v>64.7</v>
      </c>
      <c r="M155" t="s">
        <v>417</v>
      </c>
    </row>
    <row r="156" spans="1:13">
      <c r="A156" t="s">
        <v>382</v>
      </c>
      <c r="B156">
        <v>1457749</v>
      </c>
      <c r="C156">
        <v>18518</v>
      </c>
      <c r="D156">
        <v>73.599999999999994</v>
      </c>
      <c r="M156" t="s">
        <v>417</v>
      </c>
    </row>
    <row r="157" spans="1:13">
      <c r="A157" t="s">
        <v>383</v>
      </c>
      <c r="B157">
        <v>1438658</v>
      </c>
      <c r="C157">
        <v>18277</v>
      </c>
      <c r="D157">
        <v>100.3</v>
      </c>
      <c r="M157" t="s">
        <v>417</v>
      </c>
    </row>
    <row r="158" spans="1:13">
      <c r="A158" t="s">
        <v>384</v>
      </c>
      <c r="B158">
        <v>1474045</v>
      </c>
      <c r="C158">
        <v>19286</v>
      </c>
      <c r="D158">
        <v>1205.4000000000001</v>
      </c>
      <c r="M158" t="s">
        <v>417</v>
      </c>
    </row>
    <row r="160" spans="1:13">
      <c r="M160" t="s">
        <v>418</v>
      </c>
    </row>
    <row r="161" spans="1:13">
      <c r="A161" t="s">
        <v>373</v>
      </c>
      <c r="B161" t="s">
        <v>374</v>
      </c>
      <c r="C161" t="s">
        <v>375</v>
      </c>
      <c r="D161" t="s">
        <v>376</v>
      </c>
      <c r="E161" t="s">
        <v>377</v>
      </c>
      <c r="F161" t="s">
        <v>378</v>
      </c>
      <c r="G161" t="s">
        <v>379</v>
      </c>
      <c r="H161" t="s">
        <v>380</v>
      </c>
      <c r="M161" t="s">
        <v>418</v>
      </c>
    </row>
    <row r="162" spans="1:13">
      <c r="A162" t="s">
        <v>382</v>
      </c>
      <c r="B162">
        <v>1520994</v>
      </c>
      <c r="C162">
        <v>14003</v>
      </c>
      <c r="D162">
        <v>953474</v>
      </c>
      <c r="E162">
        <v>8429</v>
      </c>
      <c r="F162">
        <v>12875</v>
      </c>
      <c r="G162">
        <v>12275788593</v>
      </c>
      <c r="H162">
        <v>1.6</v>
      </c>
      <c r="M162" t="s">
        <v>418</v>
      </c>
    </row>
    <row r="163" spans="1:13">
      <c r="A163" t="s">
        <v>383</v>
      </c>
      <c r="B163">
        <v>1555982</v>
      </c>
      <c r="C163">
        <v>14957</v>
      </c>
      <c r="D163">
        <v>1378288</v>
      </c>
      <c r="E163">
        <v>12481</v>
      </c>
      <c r="F163">
        <v>13257</v>
      </c>
      <c r="G163">
        <v>18271846809</v>
      </c>
      <c r="H163">
        <v>1.1299999999999999</v>
      </c>
      <c r="M163" t="s">
        <v>418</v>
      </c>
    </row>
    <row r="164" spans="1:13">
      <c r="A164" t="s">
        <v>384</v>
      </c>
      <c r="B164">
        <v>2872708</v>
      </c>
      <c r="C164">
        <v>26113</v>
      </c>
      <c r="D164">
        <v>2428624</v>
      </c>
      <c r="E164">
        <v>22164</v>
      </c>
      <c r="F164">
        <v>15420</v>
      </c>
      <c r="G164">
        <v>37449741492</v>
      </c>
      <c r="H164">
        <v>1.18</v>
      </c>
      <c r="M164" t="s">
        <v>418</v>
      </c>
    </row>
    <row r="165" spans="1:13">
      <c r="A165" t="s">
        <v>385</v>
      </c>
      <c r="B165">
        <v>3213019</v>
      </c>
      <c r="C165">
        <v>29094</v>
      </c>
      <c r="D165">
        <v>2287263</v>
      </c>
      <c r="E165">
        <v>21007</v>
      </c>
      <c r="F165">
        <v>13294</v>
      </c>
      <c r="G165">
        <v>30406480391</v>
      </c>
      <c r="H165">
        <v>1.4</v>
      </c>
      <c r="M165" t="s">
        <v>418</v>
      </c>
    </row>
    <row r="166" spans="1:13">
      <c r="A166" t="s">
        <v>386</v>
      </c>
      <c r="B166">
        <v>2676577</v>
      </c>
      <c r="C166">
        <v>23354</v>
      </c>
      <c r="D166">
        <v>2059042</v>
      </c>
      <c r="E166">
        <v>18234</v>
      </c>
      <c r="F166">
        <v>12894</v>
      </c>
      <c r="G166">
        <v>26549171674</v>
      </c>
      <c r="H166">
        <v>1.3</v>
      </c>
      <c r="M166" t="s">
        <v>418</v>
      </c>
    </row>
    <row r="167" spans="1:13">
      <c r="A167" t="s">
        <v>387</v>
      </c>
      <c r="B167">
        <v>11839279</v>
      </c>
      <c r="C167">
        <v>107521</v>
      </c>
      <c r="D167">
        <v>9106692</v>
      </c>
      <c r="E167">
        <v>82315</v>
      </c>
      <c r="F167">
        <v>13721</v>
      </c>
      <c r="G167">
        <v>124953028959</v>
      </c>
      <c r="H167">
        <v>1.3</v>
      </c>
      <c r="M167" t="s">
        <v>418</v>
      </c>
    </row>
    <row r="169" spans="1:13">
      <c r="M169" t="s">
        <v>419</v>
      </c>
    </row>
    <row r="170" spans="1:13">
      <c r="A170" t="s">
        <v>373</v>
      </c>
      <c r="B170" t="s">
        <v>389</v>
      </c>
      <c r="C170" t="s">
        <v>390</v>
      </c>
      <c r="D170" t="s">
        <v>391</v>
      </c>
      <c r="M170" t="s">
        <v>419</v>
      </c>
    </row>
    <row r="171" spans="1:13">
      <c r="A171" t="s">
        <v>381</v>
      </c>
      <c r="B171">
        <v>3568012</v>
      </c>
      <c r="C171">
        <v>32900</v>
      </c>
      <c r="D171">
        <v>43.8</v>
      </c>
      <c r="M171" t="s">
        <v>419</v>
      </c>
    </row>
    <row r="172" spans="1:13">
      <c r="A172" t="s">
        <v>382</v>
      </c>
      <c r="B172">
        <v>3470942</v>
      </c>
      <c r="C172">
        <v>32018</v>
      </c>
      <c r="D172">
        <v>43.7</v>
      </c>
      <c r="M172" t="s">
        <v>419</v>
      </c>
    </row>
    <row r="173" spans="1:13">
      <c r="A173" t="s">
        <v>383</v>
      </c>
      <c r="B173">
        <v>3055402</v>
      </c>
      <c r="C173">
        <v>27526</v>
      </c>
      <c r="D173">
        <v>26.6</v>
      </c>
      <c r="M173" t="s">
        <v>419</v>
      </c>
    </row>
    <row r="174" spans="1:13">
      <c r="A174" t="s">
        <v>384</v>
      </c>
      <c r="B174">
        <v>0</v>
      </c>
      <c r="C174">
        <v>0</v>
      </c>
      <c r="D174">
        <v>0</v>
      </c>
      <c r="M174" t="s">
        <v>419</v>
      </c>
    </row>
    <row r="175" spans="1:13">
      <c r="A175" t="s">
        <v>385</v>
      </c>
      <c r="B175">
        <v>2656058</v>
      </c>
      <c r="C175">
        <v>23573</v>
      </c>
      <c r="D175">
        <v>13.9</v>
      </c>
      <c r="M175" t="s">
        <v>419</v>
      </c>
    </row>
    <row r="176" spans="1:13">
      <c r="A176" t="s">
        <v>386</v>
      </c>
      <c r="B176">
        <v>2020822</v>
      </c>
      <c r="C176">
        <v>17570</v>
      </c>
      <c r="D176">
        <v>11.8</v>
      </c>
      <c r="M176" t="s">
        <v>419</v>
      </c>
    </row>
    <row r="178" spans="1:13">
      <c r="M178" t="s">
        <v>420</v>
      </c>
    </row>
    <row r="179" spans="1:13">
      <c r="A179" t="s">
        <v>373</v>
      </c>
      <c r="B179" t="s">
        <v>374</v>
      </c>
      <c r="C179" t="s">
        <v>375</v>
      </c>
      <c r="D179" t="s">
        <v>376</v>
      </c>
      <c r="E179" t="s">
        <v>377</v>
      </c>
      <c r="F179" t="s">
        <v>378</v>
      </c>
      <c r="G179" t="s">
        <v>379</v>
      </c>
      <c r="H179" t="s">
        <v>380</v>
      </c>
      <c r="M179" t="s">
        <v>420</v>
      </c>
    </row>
    <row r="180" spans="1:13">
      <c r="A180" t="s">
        <v>382</v>
      </c>
      <c r="B180">
        <v>775174</v>
      </c>
      <c r="C180">
        <v>6512</v>
      </c>
      <c r="D180">
        <v>727970</v>
      </c>
      <c r="E180">
        <v>6283</v>
      </c>
      <c r="F180">
        <v>30654</v>
      </c>
      <c r="G180">
        <v>22315462810</v>
      </c>
      <c r="H180">
        <v>1.06</v>
      </c>
      <c r="M180" t="s">
        <v>420</v>
      </c>
    </row>
    <row r="181" spans="1:13">
      <c r="A181" t="s">
        <v>383</v>
      </c>
      <c r="B181">
        <v>1044620</v>
      </c>
      <c r="C181">
        <v>10063</v>
      </c>
      <c r="D181">
        <v>870124</v>
      </c>
      <c r="E181">
        <v>7504</v>
      </c>
      <c r="F181">
        <v>29347</v>
      </c>
      <c r="G181">
        <v>25535395887</v>
      </c>
      <c r="H181">
        <v>1.2</v>
      </c>
      <c r="M181" t="s">
        <v>420</v>
      </c>
    </row>
    <row r="182" spans="1:13">
      <c r="A182" t="s">
        <v>384</v>
      </c>
      <c r="B182">
        <v>1916112</v>
      </c>
      <c r="C182">
        <v>17347</v>
      </c>
      <c r="D182">
        <v>2614637</v>
      </c>
      <c r="E182">
        <v>23905</v>
      </c>
      <c r="F182">
        <v>25212</v>
      </c>
      <c r="G182">
        <v>65919849948</v>
      </c>
      <c r="H182">
        <v>0.73</v>
      </c>
      <c r="M182" t="s">
        <v>420</v>
      </c>
    </row>
    <row r="183" spans="1:13">
      <c r="A183" t="s">
        <v>385</v>
      </c>
      <c r="B183">
        <v>2984940</v>
      </c>
      <c r="C183">
        <v>27603</v>
      </c>
      <c r="D183">
        <v>459797</v>
      </c>
      <c r="E183">
        <v>3981</v>
      </c>
      <c r="F183">
        <v>28028</v>
      </c>
      <c r="G183">
        <v>12887377074</v>
      </c>
      <c r="H183">
        <v>6.49</v>
      </c>
      <c r="M183" t="s">
        <v>420</v>
      </c>
    </row>
    <row r="184" spans="1:13">
      <c r="A184" t="s">
        <v>386</v>
      </c>
      <c r="B184">
        <v>1321059</v>
      </c>
      <c r="C184">
        <v>12160</v>
      </c>
      <c r="D184">
        <v>145450</v>
      </c>
      <c r="E184">
        <v>1334</v>
      </c>
      <c r="F184">
        <v>29601</v>
      </c>
      <c r="G184">
        <v>4305447074</v>
      </c>
      <c r="H184">
        <v>9.08</v>
      </c>
      <c r="M184" t="s">
        <v>420</v>
      </c>
    </row>
    <row r="185" spans="1:13">
      <c r="A185" t="s">
        <v>393</v>
      </c>
      <c r="B185">
        <v>28226</v>
      </c>
      <c r="C185">
        <v>219</v>
      </c>
      <c r="D185">
        <v>18622</v>
      </c>
      <c r="E185">
        <v>140</v>
      </c>
      <c r="F185">
        <v>20145</v>
      </c>
      <c r="G185">
        <v>375140020</v>
      </c>
      <c r="H185">
        <v>1.52</v>
      </c>
      <c r="M185" t="s">
        <v>420</v>
      </c>
    </row>
    <row r="186" spans="1:13">
      <c r="A186" t="s">
        <v>387</v>
      </c>
      <c r="B186">
        <v>8070131</v>
      </c>
      <c r="C186">
        <v>73904</v>
      </c>
      <c r="D186">
        <v>4836600</v>
      </c>
      <c r="E186">
        <v>43147</v>
      </c>
      <c r="F186">
        <v>27155</v>
      </c>
      <c r="G186">
        <v>131338672814</v>
      </c>
      <c r="H186">
        <v>1.67</v>
      </c>
      <c r="M186" t="s">
        <v>420</v>
      </c>
    </row>
    <row r="188" spans="1:13">
      <c r="M188" t="s">
        <v>421</v>
      </c>
    </row>
    <row r="189" spans="1:13">
      <c r="A189" t="s">
        <v>373</v>
      </c>
      <c r="B189" t="s">
        <v>389</v>
      </c>
      <c r="C189" t="s">
        <v>390</v>
      </c>
      <c r="D189" t="s">
        <v>391</v>
      </c>
      <c r="M189" t="s">
        <v>421</v>
      </c>
    </row>
    <row r="190" spans="1:13">
      <c r="A190" t="s">
        <v>381</v>
      </c>
      <c r="B190">
        <v>1281555</v>
      </c>
      <c r="C190">
        <v>11374</v>
      </c>
      <c r="D190">
        <v>22.7</v>
      </c>
      <c r="M190" t="s">
        <v>421</v>
      </c>
    </row>
    <row r="191" spans="1:13">
      <c r="A191" t="s">
        <v>382</v>
      </c>
      <c r="B191">
        <v>1281555</v>
      </c>
      <c r="C191">
        <v>11374</v>
      </c>
      <c r="D191">
        <v>21.1</v>
      </c>
      <c r="M191" t="s">
        <v>421</v>
      </c>
    </row>
    <row r="192" spans="1:13">
      <c r="A192" t="s">
        <v>383</v>
      </c>
      <c r="B192">
        <v>1008037</v>
      </c>
      <c r="C192">
        <v>9122</v>
      </c>
      <c r="D192">
        <v>13.9</v>
      </c>
      <c r="M192" t="s">
        <v>421</v>
      </c>
    </row>
    <row r="193" spans="1:13">
      <c r="A193" t="s">
        <v>384</v>
      </c>
      <c r="B193">
        <v>1383216</v>
      </c>
      <c r="C193">
        <v>12527</v>
      </c>
      <c r="D193">
        <v>6.3</v>
      </c>
      <c r="M193" t="s">
        <v>421</v>
      </c>
    </row>
    <row r="194" spans="1:13">
      <c r="A194" t="s">
        <v>385</v>
      </c>
      <c r="B194">
        <v>0</v>
      </c>
      <c r="C194">
        <v>0</v>
      </c>
      <c r="D194">
        <v>0</v>
      </c>
      <c r="M194" t="s">
        <v>421</v>
      </c>
    </row>
    <row r="195" spans="1:13">
      <c r="A195" t="s">
        <v>386</v>
      </c>
      <c r="B195">
        <v>1271012</v>
      </c>
      <c r="C195">
        <v>8532</v>
      </c>
      <c r="D195">
        <v>104.9</v>
      </c>
      <c r="M195" t="s">
        <v>421</v>
      </c>
    </row>
    <row r="197" spans="1:13">
      <c r="M197" t="s">
        <v>422</v>
      </c>
    </row>
    <row r="198" spans="1:13">
      <c r="A198" t="s">
        <v>373</v>
      </c>
      <c r="B198" t="s">
        <v>374</v>
      </c>
      <c r="C198" t="s">
        <v>375</v>
      </c>
      <c r="D198" t="s">
        <v>376</v>
      </c>
      <c r="E198" t="s">
        <v>377</v>
      </c>
      <c r="F198" t="s">
        <v>378</v>
      </c>
      <c r="G198" t="s">
        <v>379</v>
      </c>
      <c r="H198" t="s">
        <v>380</v>
      </c>
      <c r="M198" t="s">
        <v>422</v>
      </c>
    </row>
    <row r="199" spans="1:13">
      <c r="A199" t="s">
        <v>381</v>
      </c>
      <c r="B199">
        <v>61021</v>
      </c>
      <c r="C199">
        <v>499</v>
      </c>
      <c r="D199">
        <v>0</v>
      </c>
      <c r="E199">
        <v>0</v>
      </c>
      <c r="F199">
        <v>0</v>
      </c>
      <c r="G199">
        <v>0</v>
      </c>
      <c r="H199">
        <v>0</v>
      </c>
      <c r="M199" t="s">
        <v>422</v>
      </c>
    </row>
    <row r="200" spans="1:13">
      <c r="A200" t="s">
        <v>382</v>
      </c>
      <c r="B200">
        <v>2565456</v>
      </c>
      <c r="C200">
        <v>22710</v>
      </c>
      <c r="D200">
        <v>0</v>
      </c>
      <c r="E200">
        <v>0</v>
      </c>
      <c r="F200">
        <v>0</v>
      </c>
      <c r="G200">
        <v>0</v>
      </c>
      <c r="H200">
        <v>0</v>
      </c>
      <c r="M200" t="s">
        <v>422</v>
      </c>
    </row>
    <row r="201" spans="1:13">
      <c r="A201" t="s">
        <v>383</v>
      </c>
      <c r="B201">
        <v>1932741</v>
      </c>
      <c r="C201">
        <v>16104</v>
      </c>
      <c r="D201">
        <v>0</v>
      </c>
      <c r="E201">
        <v>0</v>
      </c>
      <c r="F201">
        <v>0</v>
      </c>
      <c r="G201">
        <v>0</v>
      </c>
      <c r="H201">
        <v>0</v>
      </c>
      <c r="M201" t="s">
        <v>422</v>
      </c>
    </row>
    <row r="202" spans="1:13">
      <c r="A202" t="s">
        <v>384</v>
      </c>
      <c r="B202">
        <v>2848230</v>
      </c>
      <c r="C202">
        <v>25261</v>
      </c>
      <c r="D202">
        <v>0</v>
      </c>
      <c r="E202">
        <v>0</v>
      </c>
      <c r="F202">
        <v>0</v>
      </c>
      <c r="G202">
        <v>0</v>
      </c>
      <c r="H202">
        <v>0</v>
      </c>
      <c r="M202" t="s">
        <v>422</v>
      </c>
    </row>
    <row r="203" spans="1:13">
      <c r="A203" t="s">
        <v>385</v>
      </c>
      <c r="B203">
        <v>4692064</v>
      </c>
      <c r="C203">
        <v>40604</v>
      </c>
      <c r="D203">
        <v>0</v>
      </c>
      <c r="E203">
        <v>0</v>
      </c>
      <c r="F203">
        <v>0</v>
      </c>
      <c r="G203">
        <v>0</v>
      </c>
      <c r="H203">
        <v>0</v>
      </c>
      <c r="M203" t="s">
        <v>422</v>
      </c>
    </row>
    <row r="204" spans="1:13">
      <c r="A204" t="s">
        <v>386</v>
      </c>
      <c r="B204">
        <v>4242805</v>
      </c>
      <c r="C204">
        <v>36456</v>
      </c>
      <c r="D204">
        <v>2344648</v>
      </c>
      <c r="E204">
        <v>20521</v>
      </c>
      <c r="F204">
        <v>8652</v>
      </c>
      <c r="G204">
        <v>20285554243</v>
      </c>
      <c r="H204">
        <v>1.81</v>
      </c>
      <c r="M204" t="s">
        <v>422</v>
      </c>
    </row>
    <row r="205" spans="1:13">
      <c r="A205" t="s">
        <v>387</v>
      </c>
      <c r="B205">
        <v>16342317</v>
      </c>
      <c r="C205">
        <v>141634</v>
      </c>
      <c r="D205">
        <v>2344648</v>
      </c>
      <c r="E205">
        <v>20521</v>
      </c>
      <c r="F205">
        <v>8652</v>
      </c>
      <c r="G205">
        <v>20285554243</v>
      </c>
      <c r="H205">
        <v>6.97</v>
      </c>
      <c r="M205" t="s">
        <v>422</v>
      </c>
    </row>
    <row r="207" spans="1:13">
      <c r="M207" t="s">
        <v>423</v>
      </c>
    </row>
    <row r="208" spans="1:13">
      <c r="A208" t="s">
        <v>373</v>
      </c>
      <c r="B208" t="s">
        <v>374</v>
      </c>
      <c r="C208" t="s">
        <v>375</v>
      </c>
      <c r="D208" t="s">
        <v>376</v>
      </c>
      <c r="E208" t="s">
        <v>377</v>
      </c>
      <c r="F208" t="s">
        <v>378</v>
      </c>
      <c r="G208" t="s">
        <v>379</v>
      </c>
      <c r="H208" t="s">
        <v>380</v>
      </c>
      <c r="M208" t="s">
        <v>423</v>
      </c>
    </row>
    <row r="209" spans="1:13">
      <c r="A209" t="s">
        <v>381</v>
      </c>
      <c r="B209">
        <v>0</v>
      </c>
      <c r="C209">
        <v>0</v>
      </c>
      <c r="D209">
        <v>7121</v>
      </c>
      <c r="E209">
        <v>65</v>
      </c>
      <c r="F209">
        <v>9731</v>
      </c>
      <c r="G209">
        <v>69301270</v>
      </c>
      <c r="H209">
        <v>0</v>
      </c>
      <c r="M209" t="s">
        <v>423</v>
      </c>
    </row>
    <row r="210" spans="1:13">
      <c r="A210" t="s">
        <v>382</v>
      </c>
      <c r="B210">
        <v>264175</v>
      </c>
      <c r="C210">
        <v>2488</v>
      </c>
      <c r="D210">
        <v>93999</v>
      </c>
      <c r="E210">
        <v>882</v>
      </c>
      <c r="F210">
        <v>11934</v>
      </c>
      <c r="G210">
        <v>1121736630</v>
      </c>
      <c r="H210">
        <v>2.81</v>
      </c>
      <c r="M210" t="s">
        <v>423</v>
      </c>
    </row>
    <row r="211" spans="1:13">
      <c r="A211" t="s">
        <v>383</v>
      </c>
      <c r="B211">
        <v>149418</v>
      </c>
      <c r="C211">
        <v>1714</v>
      </c>
      <c r="D211">
        <v>28096</v>
      </c>
      <c r="E211">
        <v>286</v>
      </c>
      <c r="F211">
        <v>15140</v>
      </c>
      <c r="G211">
        <v>425360432</v>
      </c>
      <c r="H211">
        <v>5.32</v>
      </c>
      <c r="M211" t="s">
        <v>423</v>
      </c>
    </row>
    <row r="212" spans="1:13">
      <c r="A212" t="s">
        <v>384</v>
      </c>
      <c r="B212">
        <v>0</v>
      </c>
      <c r="C212">
        <v>0</v>
      </c>
      <c r="D212">
        <v>1501</v>
      </c>
      <c r="E212">
        <v>16</v>
      </c>
      <c r="F212">
        <v>16614</v>
      </c>
      <c r="G212">
        <v>24933436</v>
      </c>
      <c r="H212">
        <v>0</v>
      </c>
      <c r="M212" t="s">
        <v>423</v>
      </c>
    </row>
    <row r="213" spans="1:13">
      <c r="A213" t="s">
        <v>387</v>
      </c>
      <c r="B213">
        <v>413593</v>
      </c>
      <c r="C213">
        <v>4202</v>
      </c>
      <c r="D213">
        <v>130717</v>
      </c>
      <c r="E213">
        <v>1249</v>
      </c>
      <c r="F213">
        <v>12556</v>
      </c>
      <c r="G213">
        <v>1641331767</v>
      </c>
      <c r="H213">
        <v>3.16</v>
      </c>
      <c r="M213" t="s">
        <v>423</v>
      </c>
    </row>
    <row r="215" spans="1:13">
      <c r="M215" t="s">
        <v>424</v>
      </c>
    </row>
    <row r="216" spans="1:13">
      <c r="A216" t="s">
        <v>373</v>
      </c>
      <c r="B216" t="s">
        <v>389</v>
      </c>
      <c r="C216" t="s">
        <v>390</v>
      </c>
      <c r="D216" t="s">
        <v>391</v>
      </c>
      <c r="M216" t="s">
        <v>424</v>
      </c>
    </row>
    <row r="217" spans="1:13">
      <c r="A217" t="s">
        <v>381</v>
      </c>
      <c r="B217">
        <v>980544</v>
      </c>
      <c r="C217">
        <v>10630</v>
      </c>
      <c r="D217">
        <v>121.3</v>
      </c>
      <c r="M217" t="s">
        <v>424</v>
      </c>
    </row>
    <row r="218" spans="1:13">
      <c r="A218" t="s">
        <v>382</v>
      </c>
      <c r="B218">
        <v>989764</v>
      </c>
      <c r="C218">
        <v>10753</v>
      </c>
      <c r="D218">
        <v>126.4</v>
      </c>
      <c r="M218" t="s">
        <v>424</v>
      </c>
    </row>
    <row r="219" spans="1:13">
      <c r="A219" t="s">
        <v>383</v>
      </c>
      <c r="B219">
        <v>926718</v>
      </c>
      <c r="C219">
        <v>10257</v>
      </c>
      <c r="D219">
        <v>395.8</v>
      </c>
      <c r="M219" t="s">
        <v>424</v>
      </c>
    </row>
    <row r="220" spans="1:13">
      <c r="A220" t="s">
        <v>384</v>
      </c>
      <c r="B220">
        <v>819081</v>
      </c>
      <c r="C220">
        <v>9125</v>
      </c>
      <c r="D220">
        <v>6549.5</v>
      </c>
      <c r="M220" t="s">
        <v>424</v>
      </c>
    </row>
    <row r="222" spans="1:13">
      <c r="M222" t="s">
        <v>425</v>
      </c>
    </row>
    <row r="223" spans="1:13">
      <c r="A223" t="s">
        <v>373</v>
      </c>
      <c r="B223" t="s">
        <v>374</v>
      </c>
      <c r="C223" t="s">
        <v>375</v>
      </c>
      <c r="D223" t="s">
        <v>376</v>
      </c>
      <c r="E223" t="s">
        <v>377</v>
      </c>
      <c r="F223" t="s">
        <v>378</v>
      </c>
      <c r="G223" t="s">
        <v>379</v>
      </c>
      <c r="H223" t="s">
        <v>380</v>
      </c>
      <c r="M223" t="s">
        <v>425</v>
      </c>
    </row>
    <row r="224" spans="1:13">
      <c r="A224" t="s">
        <v>382</v>
      </c>
      <c r="B224">
        <v>1008691</v>
      </c>
      <c r="C224">
        <v>9681</v>
      </c>
      <c r="D224">
        <v>1912468</v>
      </c>
      <c r="E224">
        <v>19154</v>
      </c>
      <c r="F224">
        <v>6016</v>
      </c>
      <c r="G224">
        <v>11505635310</v>
      </c>
      <c r="H224">
        <v>0.53</v>
      </c>
      <c r="M224" t="s">
        <v>425</v>
      </c>
    </row>
    <row r="225" spans="1:13">
      <c r="A225" t="s">
        <v>383</v>
      </c>
      <c r="B225">
        <v>1236710</v>
      </c>
      <c r="C225">
        <v>12050</v>
      </c>
      <c r="D225">
        <v>2576048</v>
      </c>
      <c r="E225">
        <v>25702</v>
      </c>
      <c r="F225">
        <v>6027</v>
      </c>
      <c r="G225">
        <v>15526345480</v>
      </c>
      <c r="H225">
        <v>0.48</v>
      </c>
      <c r="M225" t="s">
        <v>425</v>
      </c>
    </row>
    <row r="226" spans="1:13">
      <c r="A226" t="s">
        <v>384</v>
      </c>
      <c r="B226">
        <v>1696697</v>
      </c>
      <c r="C226">
        <v>16998</v>
      </c>
      <c r="D226">
        <v>338489</v>
      </c>
      <c r="E226">
        <v>3422</v>
      </c>
      <c r="F226">
        <v>5751</v>
      </c>
      <c r="G226">
        <v>1946774884</v>
      </c>
      <c r="H226">
        <v>5.01</v>
      </c>
      <c r="M226" t="s">
        <v>425</v>
      </c>
    </row>
    <row r="227" spans="1:13">
      <c r="A227" t="s">
        <v>385</v>
      </c>
      <c r="B227">
        <v>1930816</v>
      </c>
      <c r="C227">
        <v>18831</v>
      </c>
      <c r="D227">
        <v>0</v>
      </c>
      <c r="E227">
        <v>0</v>
      </c>
      <c r="F227">
        <v>0</v>
      </c>
      <c r="G227">
        <v>0</v>
      </c>
      <c r="H227">
        <v>0</v>
      </c>
      <c r="M227" t="s">
        <v>425</v>
      </c>
    </row>
    <row r="228" spans="1:13">
      <c r="A228" t="s">
        <v>386</v>
      </c>
      <c r="B228">
        <v>2128390</v>
      </c>
      <c r="C228">
        <v>19525</v>
      </c>
      <c r="D228">
        <v>0</v>
      </c>
      <c r="E228">
        <v>0</v>
      </c>
      <c r="F228">
        <v>0</v>
      </c>
      <c r="G228">
        <v>0</v>
      </c>
      <c r="H228">
        <v>0</v>
      </c>
      <c r="M228" t="s">
        <v>425</v>
      </c>
    </row>
    <row r="229" spans="1:13">
      <c r="A229" t="s">
        <v>387</v>
      </c>
      <c r="B229">
        <v>8001303</v>
      </c>
      <c r="C229">
        <v>77085</v>
      </c>
      <c r="D229">
        <v>4827004</v>
      </c>
      <c r="E229">
        <v>48278</v>
      </c>
      <c r="F229">
        <v>6003</v>
      </c>
      <c r="G229">
        <v>28978755673</v>
      </c>
      <c r="H229">
        <v>1.66</v>
      </c>
      <c r="M229" t="s">
        <v>425</v>
      </c>
    </row>
    <row r="231" spans="1:13">
      <c r="M231" t="s">
        <v>426</v>
      </c>
    </row>
    <row r="232" spans="1:13">
      <c r="A232" t="s">
        <v>373</v>
      </c>
      <c r="B232" t="s">
        <v>389</v>
      </c>
      <c r="C232" t="s">
        <v>390</v>
      </c>
      <c r="D232" t="s">
        <v>391</v>
      </c>
      <c r="E232" t="s">
        <v>406</v>
      </c>
      <c r="M232" t="s">
        <v>426</v>
      </c>
    </row>
    <row r="233" spans="1:13">
      <c r="A233" t="s">
        <v>381</v>
      </c>
      <c r="B233">
        <v>1250600</v>
      </c>
      <c r="C233">
        <v>12149</v>
      </c>
      <c r="D233">
        <v>8.1999999999999993</v>
      </c>
      <c r="E233">
        <v>7</v>
      </c>
      <c r="M233" t="s">
        <v>426</v>
      </c>
    </row>
    <row r="234" spans="1:13">
      <c r="A234" t="s">
        <v>382</v>
      </c>
      <c r="B234">
        <v>1198873</v>
      </c>
      <c r="C234">
        <v>11636</v>
      </c>
      <c r="D234">
        <v>7.5</v>
      </c>
      <c r="E234">
        <v>6.4</v>
      </c>
      <c r="M234" t="s">
        <v>426</v>
      </c>
    </row>
    <row r="235" spans="1:13">
      <c r="A235" t="s">
        <v>383</v>
      </c>
      <c r="B235">
        <v>1087404</v>
      </c>
      <c r="C235">
        <v>10538</v>
      </c>
      <c r="D235">
        <v>5.0999999999999996</v>
      </c>
      <c r="E235">
        <v>9</v>
      </c>
      <c r="M235" t="s">
        <v>426</v>
      </c>
    </row>
    <row r="236" spans="1:13">
      <c r="A236" t="s">
        <v>384</v>
      </c>
      <c r="B236">
        <v>1367331</v>
      </c>
      <c r="C236">
        <v>13161</v>
      </c>
      <c r="D236">
        <v>48.5</v>
      </c>
      <c r="E236">
        <v>96.9</v>
      </c>
      <c r="M236" t="s">
        <v>426</v>
      </c>
    </row>
    <row r="238" spans="1:13">
      <c r="M238" t="s">
        <v>427</v>
      </c>
    </row>
    <row r="239" spans="1:13">
      <c r="A239" t="s">
        <v>373</v>
      </c>
      <c r="B239" t="s">
        <v>374</v>
      </c>
      <c r="C239" t="s">
        <v>375</v>
      </c>
      <c r="D239" t="s">
        <v>376</v>
      </c>
      <c r="E239" t="s">
        <v>377</v>
      </c>
      <c r="F239" t="s">
        <v>378</v>
      </c>
      <c r="G239" t="s">
        <v>379</v>
      </c>
      <c r="H239" t="s">
        <v>380</v>
      </c>
      <c r="M239" t="s">
        <v>427</v>
      </c>
    </row>
    <row r="240" spans="1:13">
      <c r="A240" t="s">
        <v>382</v>
      </c>
      <c r="B240">
        <v>338386</v>
      </c>
      <c r="C240">
        <v>3007</v>
      </c>
      <c r="D240">
        <v>632724</v>
      </c>
      <c r="E240">
        <v>5542</v>
      </c>
      <c r="F240">
        <v>8624</v>
      </c>
      <c r="G240">
        <v>5456887866</v>
      </c>
      <c r="H240">
        <v>0.53</v>
      </c>
      <c r="M240" t="s">
        <v>427</v>
      </c>
    </row>
    <row r="241" spans="1:13">
      <c r="A241" t="s">
        <v>383</v>
      </c>
      <c r="B241">
        <v>455015</v>
      </c>
      <c r="C241">
        <v>3911</v>
      </c>
      <c r="D241">
        <v>511908</v>
      </c>
      <c r="E241">
        <v>4252</v>
      </c>
      <c r="F241">
        <v>8704</v>
      </c>
      <c r="G241">
        <v>4455641931</v>
      </c>
      <c r="H241">
        <v>0.89</v>
      </c>
      <c r="M241" t="s">
        <v>427</v>
      </c>
    </row>
    <row r="242" spans="1:13">
      <c r="A242" t="s">
        <v>384</v>
      </c>
      <c r="B242">
        <v>1549534</v>
      </c>
      <c r="C242">
        <v>13066</v>
      </c>
      <c r="D242">
        <v>1521377</v>
      </c>
      <c r="E242">
        <v>13118</v>
      </c>
      <c r="F242">
        <v>8547</v>
      </c>
      <c r="G242">
        <v>13003688809</v>
      </c>
      <c r="H242">
        <v>1.02</v>
      </c>
      <c r="M242" t="s">
        <v>427</v>
      </c>
    </row>
    <row r="243" spans="1:13">
      <c r="A243" t="s">
        <v>385</v>
      </c>
      <c r="B243">
        <v>1758897</v>
      </c>
      <c r="C243">
        <v>15175</v>
      </c>
      <c r="D243">
        <v>2468537</v>
      </c>
      <c r="E243">
        <v>21072</v>
      </c>
      <c r="F243">
        <v>7948</v>
      </c>
      <c r="G243">
        <v>19619819497</v>
      </c>
      <c r="H243">
        <v>0.71</v>
      </c>
      <c r="M243" t="s">
        <v>427</v>
      </c>
    </row>
    <row r="244" spans="1:13">
      <c r="A244" t="s">
        <v>386</v>
      </c>
      <c r="B244">
        <v>2008945</v>
      </c>
      <c r="C244">
        <v>16975</v>
      </c>
      <c r="D244">
        <v>1569774</v>
      </c>
      <c r="E244">
        <v>13651</v>
      </c>
      <c r="F244">
        <v>7515</v>
      </c>
      <c r="G244">
        <v>11797493993</v>
      </c>
      <c r="H244">
        <v>1.28</v>
      </c>
      <c r="M244" t="s">
        <v>427</v>
      </c>
    </row>
    <row r="245" spans="1:13">
      <c r="A245" t="s">
        <v>393</v>
      </c>
      <c r="B245">
        <v>3213535</v>
      </c>
      <c r="C245">
        <v>27530</v>
      </c>
      <c r="D245">
        <v>215698</v>
      </c>
      <c r="E245">
        <v>1934</v>
      </c>
      <c r="F245">
        <v>6742</v>
      </c>
      <c r="G245">
        <v>1454289886</v>
      </c>
      <c r="H245">
        <v>14.9</v>
      </c>
      <c r="M245" t="s">
        <v>427</v>
      </c>
    </row>
    <row r="246" spans="1:13">
      <c r="A246" t="s">
        <v>387</v>
      </c>
      <c r="B246">
        <v>9324313</v>
      </c>
      <c r="C246">
        <v>79664</v>
      </c>
      <c r="D246">
        <v>6920019</v>
      </c>
      <c r="E246">
        <v>59569</v>
      </c>
      <c r="F246">
        <v>8062</v>
      </c>
      <c r="G246">
        <v>55787821982</v>
      </c>
      <c r="H246">
        <v>1.35</v>
      </c>
      <c r="M246" t="s">
        <v>427</v>
      </c>
    </row>
    <row r="248" spans="1:13">
      <c r="M248" t="s">
        <v>428</v>
      </c>
    </row>
    <row r="249" spans="1:13">
      <c r="A249" t="s">
        <v>373</v>
      </c>
      <c r="B249" t="s">
        <v>389</v>
      </c>
      <c r="C249" t="s">
        <v>390</v>
      </c>
      <c r="D249" t="s">
        <v>391</v>
      </c>
      <c r="E249" t="s">
        <v>406</v>
      </c>
      <c r="M249" t="s">
        <v>428</v>
      </c>
    </row>
    <row r="250" spans="1:13">
      <c r="A250" t="s">
        <v>382</v>
      </c>
      <c r="B250">
        <v>1066858</v>
      </c>
      <c r="C250">
        <v>9410</v>
      </c>
      <c r="D250">
        <v>20.2</v>
      </c>
      <c r="E250">
        <v>22.4</v>
      </c>
      <c r="M250" t="s">
        <v>428</v>
      </c>
    </row>
    <row r="251" spans="1:13">
      <c r="A251" t="s">
        <v>383</v>
      </c>
      <c r="B251">
        <v>1066963</v>
      </c>
      <c r="C251">
        <v>9590</v>
      </c>
      <c r="D251">
        <v>25</v>
      </c>
      <c r="E251">
        <v>12.6</v>
      </c>
      <c r="M251" t="s">
        <v>428</v>
      </c>
    </row>
    <row r="252" spans="1:13">
      <c r="A252" t="s">
        <v>384</v>
      </c>
      <c r="B252">
        <v>419510</v>
      </c>
      <c r="C252">
        <v>4147</v>
      </c>
      <c r="D252">
        <v>3.3</v>
      </c>
      <c r="E252">
        <v>2.5</v>
      </c>
      <c r="M252" t="s">
        <v>428</v>
      </c>
    </row>
    <row r="253" spans="1:13">
      <c r="A253" t="s">
        <v>385</v>
      </c>
      <c r="B253">
        <v>346376</v>
      </c>
      <c r="C253">
        <v>3668</v>
      </c>
      <c r="D253">
        <v>1.7</v>
      </c>
      <c r="E253">
        <v>2.1</v>
      </c>
      <c r="M253" t="s">
        <v>428</v>
      </c>
    </row>
    <row r="254" spans="1:13">
      <c r="A254" t="s">
        <v>386</v>
      </c>
      <c r="B254">
        <v>810027</v>
      </c>
      <c r="C254">
        <v>7358</v>
      </c>
      <c r="D254">
        <v>6.2</v>
      </c>
      <c r="E254">
        <v>10.9</v>
      </c>
      <c r="M254" t="s">
        <v>428</v>
      </c>
    </row>
    <row r="256" spans="1:13">
      <c r="M256" t="s">
        <v>429</v>
      </c>
    </row>
    <row r="257" spans="1:13">
      <c r="A257" t="s">
        <v>373</v>
      </c>
      <c r="B257" t="s">
        <v>374</v>
      </c>
      <c r="C257" t="s">
        <v>375</v>
      </c>
      <c r="D257" t="s">
        <v>376</v>
      </c>
      <c r="E257" t="s">
        <v>377</v>
      </c>
      <c r="F257" t="s">
        <v>378</v>
      </c>
      <c r="G257" t="s">
        <v>379</v>
      </c>
      <c r="H257" t="s">
        <v>380</v>
      </c>
      <c r="M257" t="s">
        <v>429</v>
      </c>
    </row>
    <row r="258" spans="1:13">
      <c r="A258" t="s">
        <v>381</v>
      </c>
      <c r="B258">
        <v>0</v>
      </c>
      <c r="C258">
        <v>0</v>
      </c>
      <c r="D258">
        <v>3188</v>
      </c>
      <c r="E258">
        <v>35</v>
      </c>
      <c r="F258">
        <v>15941</v>
      </c>
      <c r="G258">
        <v>50825268</v>
      </c>
      <c r="H258">
        <v>0</v>
      </c>
      <c r="M258" t="s">
        <v>429</v>
      </c>
    </row>
    <row r="259" spans="1:13">
      <c r="A259" t="s">
        <v>382</v>
      </c>
      <c r="B259">
        <v>51068</v>
      </c>
      <c r="C259">
        <v>505</v>
      </c>
      <c r="D259">
        <v>38810</v>
      </c>
      <c r="E259">
        <v>454</v>
      </c>
      <c r="F259">
        <v>13585</v>
      </c>
      <c r="G259">
        <v>527239876</v>
      </c>
      <c r="H259">
        <v>1.32</v>
      </c>
      <c r="M259" t="s">
        <v>429</v>
      </c>
    </row>
    <row r="260" spans="1:13">
      <c r="A260" t="s">
        <v>383</v>
      </c>
      <c r="B260">
        <v>99600</v>
      </c>
      <c r="C260">
        <v>1384</v>
      </c>
      <c r="D260">
        <v>25671</v>
      </c>
      <c r="E260">
        <v>340</v>
      </c>
      <c r="F260">
        <v>12036</v>
      </c>
      <c r="G260">
        <v>308973100</v>
      </c>
      <c r="H260">
        <v>3.88</v>
      </c>
      <c r="M260" t="s">
        <v>429</v>
      </c>
    </row>
    <row r="261" spans="1:13">
      <c r="A261" t="s">
        <v>384</v>
      </c>
      <c r="B261">
        <v>0</v>
      </c>
      <c r="C261">
        <v>0</v>
      </c>
      <c r="D261">
        <v>6612</v>
      </c>
      <c r="E261">
        <v>80</v>
      </c>
      <c r="F261">
        <v>13199</v>
      </c>
      <c r="G261">
        <v>87270305</v>
      </c>
      <c r="H261">
        <v>0</v>
      </c>
      <c r="M261" t="s">
        <v>429</v>
      </c>
    </row>
    <row r="262" spans="1:13">
      <c r="A262" t="s">
        <v>387</v>
      </c>
      <c r="B262">
        <v>150667</v>
      </c>
      <c r="C262">
        <v>1889</v>
      </c>
      <c r="D262">
        <v>74281</v>
      </c>
      <c r="E262">
        <v>909</v>
      </c>
      <c r="F262">
        <v>13116</v>
      </c>
      <c r="G262">
        <v>974308550</v>
      </c>
      <c r="H262">
        <v>2.0299999999999998</v>
      </c>
      <c r="M262" t="s">
        <v>429</v>
      </c>
    </row>
    <row r="264" spans="1:13">
      <c r="M264" t="s">
        <v>430</v>
      </c>
    </row>
    <row r="265" spans="1:13">
      <c r="A265" t="s">
        <v>373</v>
      </c>
      <c r="B265" t="s">
        <v>389</v>
      </c>
      <c r="C265" t="s">
        <v>390</v>
      </c>
      <c r="D265" t="s">
        <v>391</v>
      </c>
      <c r="M265" t="s">
        <v>430</v>
      </c>
    </row>
    <row r="266" spans="1:13">
      <c r="A266" t="s">
        <v>381</v>
      </c>
      <c r="B266">
        <v>1027353</v>
      </c>
      <c r="C266">
        <v>13560</v>
      </c>
      <c r="D266">
        <v>299.5</v>
      </c>
      <c r="M266" t="s">
        <v>430</v>
      </c>
    </row>
    <row r="267" spans="1:13">
      <c r="A267" t="s">
        <v>382</v>
      </c>
      <c r="B267">
        <v>1030665</v>
      </c>
      <c r="C267">
        <v>13596</v>
      </c>
      <c r="D267">
        <v>318.7</v>
      </c>
      <c r="M267" t="s">
        <v>430</v>
      </c>
    </row>
    <row r="268" spans="1:13">
      <c r="A268" t="s">
        <v>383</v>
      </c>
      <c r="B268">
        <v>1023797</v>
      </c>
      <c r="C268">
        <v>13668</v>
      </c>
      <c r="D268">
        <v>478.6</v>
      </c>
      <c r="M268" t="s">
        <v>430</v>
      </c>
    </row>
    <row r="269" spans="1:13">
      <c r="A269" t="s">
        <v>384</v>
      </c>
      <c r="B269">
        <v>1113661</v>
      </c>
      <c r="C269">
        <v>14925</v>
      </c>
      <c r="D269">
        <v>2021.2</v>
      </c>
      <c r="M269" t="s">
        <v>430</v>
      </c>
    </row>
    <row r="271" spans="1:13">
      <c r="M271" t="s">
        <v>431</v>
      </c>
    </row>
    <row r="272" spans="1:13">
      <c r="A272" t="s">
        <v>373</v>
      </c>
      <c r="B272" t="s">
        <v>374</v>
      </c>
      <c r="C272" t="s">
        <v>375</v>
      </c>
      <c r="D272" t="s">
        <v>376</v>
      </c>
      <c r="E272" t="s">
        <v>377</v>
      </c>
      <c r="F272" t="s">
        <v>378</v>
      </c>
      <c r="G272" t="s">
        <v>379</v>
      </c>
      <c r="H272" t="s">
        <v>380</v>
      </c>
      <c r="M272" t="s">
        <v>431</v>
      </c>
    </row>
    <row r="273" spans="1:13">
      <c r="A273" t="s">
        <v>382</v>
      </c>
      <c r="B273">
        <v>4890770</v>
      </c>
      <c r="C273">
        <v>41789</v>
      </c>
      <c r="D273">
        <v>5995077</v>
      </c>
      <c r="E273">
        <v>53723</v>
      </c>
      <c r="F273">
        <v>18333</v>
      </c>
      <c r="G273">
        <v>109909808680</v>
      </c>
      <c r="H273">
        <v>0.82</v>
      </c>
      <c r="M273" t="s">
        <v>431</v>
      </c>
    </row>
    <row r="274" spans="1:13">
      <c r="A274" t="s">
        <v>383</v>
      </c>
      <c r="B274">
        <v>6054876</v>
      </c>
      <c r="C274">
        <v>54582</v>
      </c>
      <c r="D274">
        <v>7153888</v>
      </c>
      <c r="E274">
        <v>65027</v>
      </c>
      <c r="F274">
        <v>18831</v>
      </c>
      <c r="G274">
        <v>134713707028</v>
      </c>
      <c r="H274">
        <v>0.85</v>
      </c>
      <c r="M274" t="s">
        <v>431</v>
      </c>
    </row>
    <row r="275" spans="1:13">
      <c r="A275" t="s">
        <v>384</v>
      </c>
      <c r="B275">
        <v>11257758</v>
      </c>
      <c r="C275">
        <v>106441</v>
      </c>
      <c r="D275">
        <v>10671228</v>
      </c>
      <c r="E275">
        <v>98732</v>
      </c>
      <c r="F275">
        <v>18291</v>
      </c>
      <c r="G275">
        <v>195190413072</v>
      </c>
      <c r="H275">
        <v>1.05</v>
      </c>
      <c r="M275" t="s">
        <v>431</v>
      </c>
    </row>
    <row r="276" spans="1:13">
      <c r="A276" t="s">
        <v>385</v>
      </c>
      <c r="B276">
        <v>12301634</v>
      </c>
      <c r="C276">
        <v>114257</v>
      </c>
      <c r="D276">
        <v>12523251</v>
      </c>
      <c r="E276">
        <v>114583</v>
      </c>
      <c r="F276">
        <v>16074</v>
      </c>
      <c r="G276">
        <v>201300125825</v>
      </c>
      <c r="H276">
        <v>0.98</v>
      </c>
      <c r="M276" t="s">
        <v>431</v>
      </c>
    </row>
    <row r="277" spans="1:13">
      <c r="A277" t="s">
        <v>386</v>
      </c>
      <c r="B277">
        <v>13840943</v>
      </c>
      <c r="C277">
        <v>125789</v>
      </c>
      <c r="D277">
        <v>11916044</v>
      </c>
      <c r="E277">
        <v>108516</v>
      </c>
      <c r="F277">
        <v>14370</v>
      </c>
      <c r="G277">
        <v>171238659730</v>
      </c>
      <c r="H277">
        <v>1.1599999999999999</v>
      </c>
      <c r="M277" t="s">
        <v>431</v>
      </c>
    </row>
    <row r="278" spans="1:13">
      <c r="A278" t="s">
        <v>387</v>
      </c>
      <c r="B278">
        <v>48345981</v>
      </c>
      <c r="C278">
        <v>442858</v>
      </c>
      <c r="D278">
        <v>48259489</v>
      </c>
      <c r="E278">
        <v>440581</v>
      </c>
      <c r="F278">
        <v>16833</v>
      </c>
      <c r="G278">
        <v>812352714335</v>
      </c>
      <c r="H278">
        <v>1</v>
      </c>
      <c r="M278" t="s">
        <v>431</v>
      </c>
    </row>
    <row r="280" spans="1:13">
      <c r="M280" t="s">
        <v>432</v>
      </c>
    </row>
    <row r="281" spans="1:13">
      <c r="A281" t="s">
        <v>373</v>
      </c>
      <c r="B281" t="s">
        <v>389</v>
      </c>
      <c r="C281" t="s">
        <v>390</v>
      </c>
      <c r="D281" t="s">
        <v>391</v>
      </c>
      <c r="M281" t="s">
        <v>432</v>
      </c>
    </row>
    <row r="282" spans="1:13">
      <c r="A282" t="s">
        <v>381</v>
      </c>
      <c r="B282">
        <v>9847881</v>
      </c>
      <c r="C282">
        <v>89605</v>
      </c>
      <c r="D282">
        <v>19.8</v>
      </c>
      <c r="M282" t="s">
        <v>432</v>
      </c>
    </row>
    <row r="283" spans="1:13">
      <c r="A283" t="s">
        <v>382</v>
      </c>
      <c r="B283">
        <v>9958381</v>
      </c>
      <c r="C283">
        <v>90908</v>
      </c>
      <c r="D283">
        <v>19.899999999999999</v>
      </c>
      <c r="M283" t="s">
        <v>432</v>
      </c>
    </row>
    <row r="284" spans="1:13">
      <c r="A284" t="s">
        <v>383</v>
      </c>
      <c r="B284">
        <v>10199003</v>
      </c>
      <c r="C284">
        <v>94606</v>
      </c>
      <c r="D284">
        <v>17.100000000000001</v>
      </c>
      <c r="M284" t="s">
        <v>432</v>
      </c>
    </row>
    <row r="285" spans="1:13">
      <c r="A285" t="s">
        <v>384</v>
      </c>
      <c r="B285">
        <v>12035105</v>
      </c>
      <c r="C285">
        <v>111089</v>
      </c>
      <c r="D285">
        <v>13.5</v>
      </c>
      <c r="M285" t="s">
        <v>432</v>
      </c>
    </row>
    <row r="286" spans="1:13">
      <c r="A286" t="s">
        <v>385</v>
      </c>
      <c r="B286">
        <v>11640776</v>
      </c>
      <c r="C286">
        <v>105332</v>
      </c>
      <c r="D286">
        <v>11.2</v>
      </c>
      <c r="M286" t="s">
        <v>432</v>
      </c>
    </row>
    <row r="287" spans="1:13">
      <c r="A287" t="s">
        <v>386</v>
      </c>
      <c r="B287">
        <v>11771192</v>
      </c>
      <c r="C287">
        <v>105123</v>
      </c>
      <c r="D287">
        <v>11.9</v>
      </c>
      <c r="M287" t="s">
        <v>432</v>
      </c>
    </row>
    <row r="289" spans="1:13">
      <c r="M289" t="s">
        <v>433</v>
      </c>
    </row>
    <row r="290" spans="1:13">
      <c r="A290" t="s">
        <v>373</v>
      </c>
      <c r="B290" t="s">
        <v>374</v>
      </c>
      <c r="C290" t="s">
        <v>375</v>
      </c>
      <c r="D290" t="s">
        <v>376</v>
      </c>
      <c r="E290" t="s">
        <v>377</v>
      </c>
      <c r="F290" t="s">
        <v>378</v>
      </c>
      <c r="G290" t="s">
        <v>379</v>
      </c>
      <c r="H290" t="s">
        <v>380</v>
      </c>
      <c r="M290" t="s">
        <v>433</v>
      </c>
    </row>
    <row r="291" spans="1:13">
      <c r="A291" t="s">
        <v>381</v>
      </c>
      <c r="B291">
        <v>0</v>
      </c>
      <c r="C291">
        <v>0</v>
      </c>
      <c r="D291">
        <v>4598</v>
      </c>
      <c r="E291">
        <v>71</v>
      </c>
      <c r="F291">
        <v>14584</v>
      </c>
      <c r="G291">
        <v>67057066</v>
      </c>
      <c r="H291">
        <v>0</v>
      </c>
      <c r="M291" t="s">
        <v>433</v>
      </c>
    </row>
    <row r="292" spans="1:13">
      <c r="A292" t="s">
        <v>382</v>
      </c>
      <c r="B292">
        <v>1231</v>
      </c>
      <c r="C292">
        <v>15</v>
      </c>
      <c r="D292">
        <v>50895</v>
      </c>
      <c r="E292">
        <v>712</v>
      </c>
      <c r="F292">
        <v>15028</v>
      </c>
      <c r="G292">
        <v>764853527</v>
      </c>
      <c r="H292">
        <v>0.02</v>
      </c>
      <c r="M292" t="s">
        <v>433</v>
      </c>
    </row>
    <row r="293" spans="1:13">
      <c r="A293" t="s">
        <v>383</v>
      </c>
      <c r="B293">
        <v>48321</v>
      </c>
      <c r="C293">
        <v>508</v>
      </c>
      <c r="D293">
        <v>95099</v>
      </c>
      <c r="E293">
        <v>1367</v>
      </c>
      <c r="F293">
        <v>17016</v>
      </c>
      <c r="G293">
        <v>1618217582</v>
      </c>
      <c r="H293">
        <v>0.51</v>
      </c>
      <c r="M293" t="s">
        <v>433</v>
      </c>
    </row>
    <row r="294" spans="1:13">
      <c r="A294" t="s">
        <v>384</v>
      </c>
      <c r="B294">
        <v>21724</v>
      </c>
      <c r="C294">
        <v>317</v>
      </c>
      <c r="D294">
        <v>11538</v>
      </c>
      <c r="E294">
        <v>167</v>
      </c>
      <c r="F294">
        <v>17344</v>
      </c>
      <c r="G294">
        <v>200104609</v>
      </c>
      <c r="H294">
        <v>1.88</v>
      </c>
      <c r="M294" t="s">
        <v>433</v>
      </c>
    </row>
    <row r="295" spans="1:13">
      <c r="A295" t="s">
        <v>385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M295" t="s">
        <v>433</v>
      </c>
    </row>
    <row r="296" spans="1:13">
      <c r="A296" t="s">
        <v>386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M296" t="s">
        <v>433</v>
      </c>
    </row>
    <row r="297" spans="1:13">
      <c r="A297" t="s">
        <v>387</v>
      </c>
      <c r="B297">
        <v>71276</v>
      </c>
      <c r="C297">
        <v>840</v>
      </c>
      <c r="D297">
        <v>162129</v>
      </c>
      <c r="E297">
        <v>2317</v>
      </c>
      <c r="F297">
        <v>16346</v>
      </c>
      <c r="G297">
        <v>2650232784</v>
      </c>
      <c r="H297">
        <v>0.44</v>
      </c>
      <c r="M297" t="s">
        <v>433</v>
      </c>
    </row>
    <row r="299" spans="1:13">
      <c r="M299" t="s">
        <v>434</v>
      </c>
    </row>
    <row r="300" spans="1:13">
      <c r="A300" t="s">
        <v>373</v>
      </c>
      <c r="B300" t="s">
        <v>374</v>
      </c>
      <c r="C300" t="s">
        <v>375</v>
      </c>
      <c r="D300" t="s">
        <v>376</v>
      </c>
      <c r="E300" t="s">
        <v>377</v>
      </c>
      <c r="F300" t="s">
        <v>378</v>
      </c>
      <c r="G300" t="s">
        <v>379</v>
      </c>
      <c r="H300" t="s">
        <v>380</v>
      </c>
      <c r="M300" t="s">
        <v>434</v>
      </c>
    </row>
    <row r="301" spans="1:13">
      <c r="A301" t="s">
        <v>383</v>
      </c>
      <c r="B301">
        <v>298834</v>
      </c>
      <c r="C301">
        <v>2309</v>
      </c>
      <c r="D301">
        <v>310803</v>
      </c>
      <c r="E301">
        <v>2524</v>
      </c>
      <c r="F301">
        <v>7373</v>
      </c>
      <c r="G301">
        <v>2291474445</v>
      </c>
      <c r="H301">
        <v>0.96</v>
      </c>
      <c r="M301" t="s">
        <v>434</v>
      </c>
    </row>
    <row r="302" spans="1:13">
      <c r="A302" t="s">
        <v>384</v>
      </c>
      <c r="B302">
        <v>2575646</v>
      </c>
      <c r="C302">
        <v>21050</v>
      </c>
      <c r="D302">
        <v>541030</v>
      </c>
      <c r="E302">
        <v>4383</v>
      </c>
      <c r="F302">
        <v>7336</v>
      </c>
      <c r="G302">
        <v>3969153018</v>
      </c>
      <c r="H302">
        <v>4.76</v>
      </c>
      <c r="M302" t="s">
        <v>434</v>
      </c>
    </row>
    <row r="303" spans="1:13">
      <c r="A303" t="s">
        <v>385</v>
      </c>
      <c r="B303">
        <v>2559938</v>
      </c>
      <c r="C303">
        <v>20524</v>
      </c>
      <c r="D303">
        <v>0</v>
      </c>
      <c r="E303">
        <v>0</v>
      </c>
      <c r="F303">
        <v>0</v>
      </c>
      <c r="G303">
        <v>0</v>
      </c>
      <c r="H303">
        <v>0</v>
      </c>
      <c r="M303" t="s">
        <v>434</v>
      </c>
    </row>
    <row r="304" spans="1:13">
      <c r="A304" t="s">
        <v>386</v>
      </c>
      <c r="B304">
        <v>1929322</v>
      </c>
      <c r="C304">
        <v>15481</v>
      </c>
      <c r="D304">
        <v>0</v>
      </c>
      <c r="E304">
        <v>0</v>
      </c>
      <c r="F304">
        <v>0</v>
      </c>
      <c r="G304">
        <v>0</v>
      </c>
      <c r="H304">
        <v>0</v>
      </c>
      <c r="M304" t="s">
        <v>434</v>
      </c>
    </row>
    <row r="305" spans="1:13">
      <c r="A305" t="s">
        <v>393</v>
      </c>
      <c r="B305">
        <v>1418421</v>
      </c>
      <c r="C305">
        <v>11351</v>
      </c>
      <c r="D305">
        <v>0</v>
      </c>
      <c r="E305">
        <v>0</v>
      </c>
      <c r="F305">
        <v>0</v>
      </c>
      <c r="G305">
        <v>0</v>
      </c>
      <c r="H305">
        <v>0</v>
      </c>
      <c r="M305" t="s">
        <v>434</v>
      </c>
    </row>
    <row r="306" spans="1:13">
      <c r="A306" t="s">
        <v>435</v>
      </c>
      <c r="B306">
        <v>863981</v>
      </c>
      <c r="C306">
        <v>7130</v>
      </c>
      <c r="D306">
        <v>0</v>
      </c>
      <c r="E306">
        <v>0</v>
      </c>
      <c r="F306">
        <v>0</v>
      </c>
      <c r="G306">
        <v>0</v>
      </c>
      <c r="H306">
        <v>0</v>
      </c>
      <c r="M306" t="s">
        <v>434</v>
      </c>
    </row>
    <row r="307" spans="1:13">
      <c r="A307" t="s">
        <v>387</v>
      </c>
      <c r="B307">
        <v>9646141</v>
      </c>
      <c r="C307">
        <v>77845</v>
      </c>
      <c r="D307">
        <v>851834</v>
      </c>
      <c r="E307">
        <v>6907</v>
      </c>
      <c r="F307">
        <v>7350</v>
      </c>
      <c r="G307">
        <v>6260627463</v>
      </c>
      <c r="H307">
        <v>11.32</v>
      </c>
      <c r="M307" t="s">
        <v>434</v>
      </c>
    </row>
    <row r="309" spans="1:13">
      <c r="M309" t="s">
        <v>436</v>
      </c>
    </row>
    <row r="310" spans="1:13">
      <c r="A310" t="s">
        <v>373</v>
      </c>
      <c r="B310" t="s">
        <v>389</v>
      </c>
      <c r="C310" t="s">
        <v>390</v>
      </c>
      <c r="D310" t="s">
        <v>391</v>
      </c>
      <c r="E310" t="s">
        <v>406</v>
      </c>
      <c r="M310" t="s">
        <v>436</v>
      </c>
    </row>
    <row r="311" spans="1:13">
      <c r="A311" t="s">
        <v>383</v>
      </c>
      <c r="B311">
        <v>3327761</v>
      </c>
      <c r="C311">
        <v>26001</v>
      </c>
      <c r="D311">
        <v>47</v>
      </c>
      <c r="E311">
        <v>94</v>
      </c>
      <c r="M311" t="s">
        <v>436</v>
      </c>
    </row>
    <row r="312" spans="1:13">
      <c r="A312" t="s">
        <v>384</v>
      </c>
      <c r="B312">
        <v>3501950</v>
      </c>
      <c r="C312">
        <v>27539</v>
      </c>
      <c r="D312">
        <v>77.7</v>
      </c>
      <c r="E312">
        <v>155.30000000000001</v>
      </c>
      <c r="M312" t="s">
        <v>436</v>
      </c>
    </row>
    <row r="314" spans="1:13">
      <c r="M314" t="s">
        <v>437</v>
      </c>
    </row>
    <row r="315" spans="1:13">
      <c r="A315" t="s">
        <v>373</v>
      </c>
      <c r="B315" t="s">
        <v>374</v>
      </c>
      <c r="C315" t="s">
        <v>375</v>
      </c>
      <c r="D315" t="s">
        <v>376</v>
      </c>
      <c r="E315" t="s">
        <v>377</v>
      </c>
      <c r="F315" t="s">
        <v>378</v>
      </c>
      <c r="G315" t="s">
        <v>379</v>
      </c>
      <c r="H315" t="s">
        <v>380</v>
      </c>
      <c r="M315" t="s">
        <v>437</v>
      </c>
    </row>
    <row r="316" spans="1:13">
      <c r="A316" t="s">
        <v>382</v>
      </c>
      <c r="B316">
        <v>496085</v>
      </c>
      <c r="C316">
        <v>4885</v>
      </c>
      <c r="D316">
        <v>489917</v>
      </c>
      <c r="E316">
        <v>5068</v>
      </c>
      <c r="F316">
        <v>10533</v>
      </c>
      <c r="G316">
        <v>5160428862</v>
      </c>
      <c r="H316">
        <v>1.01</v>
      </c>
      <c r="M316" t="s">
        <v>437</v>
      </c>
    </row>
    <row r="317" spans="1:13">
      <c r="A317" t="s">
        <v>383</v>
      </c>
      <c r="B317">
        <v>521206</v>
      </c>
      <c r="C317">
        <v>5043</v>
      </c>
      <c r="D317">
        <v>232217</v>
      </c>
      <c r="E317">
        <v>2339</v>
      </c>
      <c r="F317">
        <v>10546</v>
      </c>
      <c r="G317">
        <v>2448908121</v>
      </c>
      <c r="H317">
        <v>2.2400000000000002</v>
      </c>
      <c r="M317" t="s">
        <v>437</v>
      </c>
    </row>
    <row r="318" spans="1:13">
      <c r="A318" t="s">
        <v>384</v>
      </c>
      <c r="B318">
        <v>90353</v>
      </c>
      <c r="C318">
        <v>901</v>
      </c>
      <c r="D318">
        <v>50885</v>
      </c>
      <c r="E318">
        <v>507</v>
      </c>
      <c r="F318">
        <v>9178</v>
      </c>
      <c r="G318">
        <v>467005349</v>
      </c>
      <c r="H318">
        <v>1.78</v>
      </c>
      <c r="M318" t="s">
        <v>437</v>
      </c>
    </row>
    <row r="319" spans="1:13">
      <c r="A319" t="s">
        <v>387</v>
      </c>
      <c r="B319">
        <v>1107644</v>
      </c>
      <c r="C319">
        <v>10829</v>
      </c>
      <c r="D319">
        <v>773019</v>
      </c>
      <c r="E319">
        <v>7914</v>
      </c>
      <c r="F319">
        <v>10448</v>
      </c>
      <c r="G319">
        <v>8076342332</v>
      </c>
      <c r="H319">
        <v>1.43</v>
      </c>
      <c r="M319" t="s">
        <v>437</v>
      </c>
    </row>
    <row r="321" spans="1:13">
      <c r="M321" t="s">
        <v>438</v>
      </c>
    </row>
    <row r="322" spans="1:13">
      <c r="A322" t="s">
        <v>373</v>
      </c>
      <c r="B322" t="s">
        <v>389</v>
      </c>
      <c r="C322" t="s">
        <v>390</v>
      </c>
      <c r="D322" t="s">
        <v>391</v>
      </c>
      <c r="M322" t="s">
        <v>438</v>
      </c>
    </row>
    <row r="323" spans="1:13">
      <c r="A323" t="s">
        <v>381</v>
      </c>
      <c r="B323">
        <v>3372232</v>
      </c>
      <c r="C323">
        <v>39626</v>
      </c>
      <c r="D323">
        <v>81.099999999999994</v>
      </c>
      <c r="M323" t="s">
        <v>438</v>
      </c>
    </row>
    <row r="324" spans="1:13">
      <c r="A324" t="s">
        <v>382</v>
      </c>
      <c r="B324">
        <v>3370207</v>
      </c>
      <c r="C324">
        <v>39612</v>
      </c>
      <c r="D324">
        <v>82.5</v>
      </c>
      <c r="M324" t="s">
        <v>438</v>
      </c>
    </row>
    <row r="325" spans="1:13">
      <c r="A325" t="s">
        <v>383</v>
      </c>
      <c r="B325">
        <v>3382565</v>
      </c>
      <c r="C325">
        <v>40131</v>
      </c>
      <c r="D325">
        <v>174.8</v>
      </c>
      <c r="M325" t="s">
        <v>438</v>
      </c>
    </row>
    <row r="326" spans="1:13">
      <c r="A326" t="s">
        <v>384</v>
      </c>
      <c r="B326">
        <v>4460302</v>
      </c>
      <c r="C326">
        <v>52258</v>
      </c>
      <c r="D326">
        <v>1051.9000000000001</v>
      </c>
      <c r="M326" t="s">
        <v>438</v>
      </c>
    </row>
    <row r="328" spans="1:13">
      <c r="M328" t="s">
        <v>439</v>
      </c>
    </row>
    <row r="329" spans="1:13">
      <c r="A329" t="s">
        <v>373</v>
      </c>
      <c r="B329" t="s">
        <v>374</v>
      </c>
      <c r="C329" t="s">
        <v>375</v>
      </c>
      <c r="D329" t="s">
        <v>376</v>
      </c>
      <c r="E329" t="s">
        <v>377</v>
      </c>
      <c r="F329" t="s">
        <v>378</v>
      </c>
      <c r="G329" t="s">
        <v>379</v>
      </c>
      <c r="H329" t="s">
        <v>380</v>
      </c>
      <c r="M329" t="s">
        <v>439</v>
      </c>
    </row>
    <row r="330" spans="1:13">
      <c r="A330" t="s">
        <v>382</v>
      </c>
      <c r="B330">
        <v>510247</v>
      </c>
      <c r="C330">
        <v>4037</v>
      </c>
      <c r="D330">
        <v>632669</v>
      </c>
      <c r="E330">
        <v>5209</v>
      </c>
      <c r="F330">
        <v>8031</v>
      </c>
      <c r="G330">
        <v>5081082740</v>
      </c>
      <c r="H330">
        <v>0.81</v>
      </c>
      <c r="M330" t="s">
        <v>439</v>
      </c>
    </row>
    <row r="331" spans="1:13">
      <c r="A331" t="s">
        <v>383</v>
      </c>
      <c r="B331">
        <v>668724</v>
      </c>
      <c r="C331">
        <v>5409</v>
      </c>
      <c r="D331">
        <v>1032521</v>
      </c>
      <c r="E331">
        <v>8642</v>
      </c>
      <c r="F331">
        <v>7654</v>
      </c>
      <c r="G331">
        <v>7902411669</v>
      </c>
      <c r="H331">
        <v>0.65</v>
      </c>
      <c r="M331" t="s">
        <v>439</v>
      </c>
    </row>
    <row r="332" spans="1:13">
      <c r="A332" t="s">
        <v>384</v>
      </c>
      <c r="B332">
        <v>1759428</v>
      </c>
      <c r="C332">
        <v>14582</v>
      </c>
      <c r="D332">
        <v>2026605</v>
      </c>
      <c r="E332">
        <v>17319</v>
      </c>
      <c r="F332">
        <v>8010</v>
      </c>
      <c r="G332">
        <v>16233830269</v>
      </c>
      <c r="H332">
        <v>0.87</v>
      </c>
      <c r="M332" t="s">
        <v>439</v>
      </c>
    </row>
    <row r="333" spans="1:13">
      <c r="A333" t="s">
        <v>385</v>
      </c>
      <c r="B333">
        <v>2975634</v>
      </c>
      <c r="C333">
        <v>25817</v>
      </c>
      <c r="D333">
        <v>2188637</v>
      </c>
      <c r="E333">
        <v>18704</v>
      </c>
      <c r="F333">
        <v>7698</v>
      </c>
      <c r="G333">
        <v>16848917136</v>
      </c>
      <c r="H333">
        <v>1.36</v>
      </c>
      <c r="M333" t="s">
        <v>439</v>
      </c>
    </row>
    <row r="334" spans="1:13">
      <c r="A334" t="s">
        <v>386</v>
      </c>
      <c r="B334">
        <v>2999633</v>
      </c>
      <c r="C334">
        <v>25761</v>
      </c>
      <c r="D334">
        <v>1428427</v>
      </c>
      <c r="E334">
        <v>12162</v>
      </c>
      <c r="F334">
        <v>7588</v>
      </c>
      <c r="G334">
        <v>10838471821</v>
      </c>
      <c r="H334">
        <v>2.1</v>
      </c>
      <c r="M334" t="s">
        <v>439</v>
      </c>
    </row>
    <row r="335" spans="1:13">
      <c r="A335" t="s">
        <v>387</v>
      </c>
      <c r="B335">
        <v>8913666</v>
      </c>
      <c r="C335">
        <v>75606</v>
      </c>
      <c r="D335">
        <v>7308860</v>
      </c>
      <c r="E335">
        <v>62036</v>
      </c>
      <c r="F335">
        <v>7786</v>
      </c>
      <c r="G335">
        <v>56904713636</v>
      </c>
      <c r="H335">
        <v>1.22</v>
      </c>
      <c r="M335" t="s">
        <v>439</v>
      </c>
    </row>
    <row r="337" spans="1:13">
      <c r="M337" t="s">
        <v>440</v>
      </c>
    </row>
    <row r="338" spans="1:13">
      <c r="A338" t="s">
        <v>373</v>
      </c>
      <c r="B338" t="s">
        <v>389</v>
      </c>
      <c r="C338" t="s">
        <v>390</v>
      </c>
      <c r="D338" t="s">
        <v>391</v>
      </c>
      <c r="E338" t="s">
        <v>406</v>
      </c>
      <c r="M338" t="s">
        <v>440</v>
      </c>
    </row>
    <row r="339" spans="1:13">
      <c r="A339" t="s">
        <v>381</v>
      </c>
      <c r="B339">
        <v>1415643</v>
      </c>
      <c r="C339">
        <v>11841</v>
      </c>
      <c r="D339">
        <v>29.2</v>
      </c>
      <c r="E339">
        <v>21</v>
      </c>
      <c r="M339" t="s">
        <v>440</v>
      </c>
    </row>
    <row r="340" spans="1:13">
      <c r="A340" t="s">
        <v>382</v>
      </c>
      <c r="B340">
        <v>1436777</v>
      </c>
      <c r="C340">
        <v>12014</v>
      </c>
      <c r="D340">
        <v>27.3</v>
      </c>
      <c r="E340">
        <v>20.7</v>
      </c>
      <c r="M340" t="s">
        <v>440</v>
      </c>
    </row>
    <row r="341" spans="1:13">
      <c r="A341" t="s">
        <v>383</v>
      </c>
      <c r="B341">
        <v>1898928</v>
      </c>
      <c r="C341">
        <v>18503</v>
      </c>
      <c r="D341">
        <v>22.1</v>
      </c>
      <c r="E341">
        <v>14.9</v>
      </c>
      <c r="M341" t="s">
        <v>440</v>
      </c>
    </row>
    <row r="342" spans="1:13">
      <c r="A342" t="s">
        <v>384</v>
      </c>
      <c r="B342">
        <v>2212232</v>
      </c>
      <c r="C342">
        <v>21566</v>
      </c>
      <c r="D342">
        <v>13.1</v>
      </c>
      <c r="E342">
        <v>12.6</v>
      </c>
      <c r="M342" t="s">
        <v>440</v>
      </c>
    </row>
    <row r="343" spans="1:13">
      <c r="A343" t="s">
        <v>385</v>
      </c>
      <c r="B343">
        <v>2503461</v>
      </c>
      <c r="C343">
        <v>24611</v>
      </c>
      <c r="D343">
        <v>13.7</v>
      </c>
      <c r="E343">
        <v>16.600000000000001</v>
      </c>
      <c r="M343" t="s">
        <v>440</v>
      </c>
    </row>
    <row r="344" spans="1:13">
      <c r="A344" t="s">
        <v>386</v>
      </c>
      <c r="B344">
        <v>2730318</v>
      </c>
      <c r="C344">
        <v>26238</v>
      </c>
      <c r="D344">
        <v>22.9</v>
      </c>
      <c r="E344">
        <v>18.100000000000001</v>
      </c>
      <c r="M344" t="s">
        <v>440</v>
      </c>
    </row>
    <row r="346" spans="1:13">
      <c r="M346" t="s">
        <v>441</v>
      </c>
    </row>
    <row r="347" spans="1:13">
      <c r="A347" t="s">
        <v>373</v>
      </c>
      <c r="B347" t="s">
        <v>374</v>
      </c>
      <c r="C347" t="s">
        <v>375</v>
      </c>
      <c r="D347" t="s">
        <v>376</v>
      </c>
      <c r="E347" t="s">
        <v>377</v>
      </c>
      <c r="F347" t="s">
        <v>378</v>
      </c>
      <c r="G347" t="s">
        <v>379</v>
      </c>
      <c r="H347" t="s">
        <v>380</v>
      </c>
      <c r="M347" t="s">
        <v>441</v>
      </c>
    </row>
    <row r="348" spans="1:13">
      <c r="A348" t="s">
        <v>382</v>
      </c>
      <c r="B348">
        <v>1662229</v>
      </c>
      <c r="C348">
        <v>14207</v>
      </c>
      <c r="D348">
        <v>3287034</v>
      </c>
      <c r="E348">
        <v>28159</v>
      </c>
      <c r="F348">
        <v>10711</v>
      </c>
      <c r="G348">
        <v>35205902027</v>
      </c>
      <c r="H348">
        <v>0.51</v>
      </c>
      <c r="M348" t="s">
        <v>441</v>
      </c>
    </row>
    <row r="349" spans="1:13">
      <c r="A349" t="s">
        <v>383</v>
      </c>
      <c r="B349">
        <v>1849725</v>
      </c>
      <c r="C349">
        <v>15960</v>
      </c>
      <c r="D349">
        <v>2617873</v>
      </c>
      <c r="E349">
        <v>22501</v>
      </c>
      <c r="F349">
        <v>10558</v>
      </c>
      <c r="G349">
        <v>27639985829</v>
      </c>
      <c r="H349">
        <v>0.71</v>
      </c>
      <c r="M349" t="s">
        <v>441</v>
      </c>
    </row>
    <row r="350" spans="1:13">
      <c r="A350" t="s">
        <v>384</v>
      </c>
      <c r="B350">
        <v>8150660</v>
      </c>
      <c r="C350">
        <v>73180</v>
      </c>
      <c r="D350">
        <v>7958910</v>
      </c>
      <c r="E350">
        <v>71603</v>
      </c>
      <c r="F350">
        <v>9033</v>
      </c>
      <c r="G350">
        <v>71895520922</v>
      </c>
      <c r="H350">
        <v>1.02</v>
      </c>
      <c r="M350" t="s">
        <v>441</v>
      </c>
    </row>
    <row r="351" spans="1:13">
      <c r="A351" t="s">
        <v>385</v>
      </c>
      <c r="B351">
        <v>10714960</v>
      </c>
      <c r="C351">
        <v>93923</v>
      </c>
      <c r="D351">
        <v>8183082</v>
      </c>
      <c r="E351">
        <v>72018</v>
      </c>
      <c r="F351">
        <v>8657</v>
      </c>
      <c r="G351">
        <v>70837603058</v>
      </c>
      <c r="H351">
        <v>1.31</v>
      </c>
      <c r="M351" t="s">
        <v>441</v>
      </c>
    </row>
    <row r="352" spans="1:13">
      <c r="A352" t="s">
        <v>386</v>
      </c>
      <c r="B352">
        <v>8788126</v>
      </c>
      <c r="C352">
        <v>77027</v>
      </c>
      <c r="D352">
        <v>7170816</v>
      </c>
      <c r="E352">
        <v>64918</v>
      </c>
      <c r="F352">
        <v>7638</v>
      </c>
      <c r="G352">
        <v>54770997932</v>
      </c>
      <c r="H352">
        <v>1.23</v>
      </c>
      <c r="M352" t="s">
        <v>441</v>
      </c>
    </row>
    <row r="353" spans="1:13">
      <c r="A353" t="s">
        <v>387</v>
      </c>
      <c r="B353">
        <v>31165700</v>
      </c>
      <c r="C353">
        <v>274297</v>
      </c>
      <c r="D353">
        <v>29217715</v>
      </c>
      <c r="E353">
        <v>259199</v>
      </c>
      <c r="F353">
        <v>8911</v>
      </c>
      <c r="G353">
        <v>260350009768</v>
      </c>
      <c r="H353">
        <v>1.07</v>
      </c>
      <c r="M353" t="s">
        <v>441</v>
      </c>
    </row>
    <row r="355" spans="1:13">
      <c r="M355" t="s">
        <v>442</v>
      </c>
    </row>
    <row r="356" spans="1:13">
      <c r="A356" t="s">
        <v>373</v>
      </c>
      <c r="B356" t="s">
        <v>389</v>
      </c>
      <c r="C356" t="s">
        <v>390</v>
      </c>
      <c r="D356" t="s">
        <v>391</v>
      </c>
      <c r="M356" t="s">
        <v>442</v>
      </c>
    </row>
    <row r="357" spans="1:13">
      <c r="A357" t="s">
        <v>382</v>
      </c>
      <c r="B357">
        <v>14268764</v>
      </c>
      <c r="C357">
        <v>128333</v>
      </c>
      <c r="D357">
        <v>52.1</v>
      </c>
      <c r="M357" t="s">
        <v>442</v>
      </c>
    </row>
    <row r="358" spans="1:13">
      <c r="A358" t="s">
        <v>383</v>
      </c>
      <c r="B358">
        <v>9344414</v>
      </c>
      <c r="C358">
        <v>84796</v>
      </c>
      <c r="D358">
        <v>42.8</v>
      </c>
      <c r="M358" t="s">
        <v>442</v>
      </c>
    </row>
    <row r="359" spans="1:13">
      <c r="A359" t="s">
        <v>384</v>
      </c>
      <c r="B359">
        <v>12693231</v>
      </c>
      <c r="C359">
        <v>113853</v>
      </c>
      <c r="D359">
        <v>19.100000000000001</v>
      </c>
      <c r="M359" t="s">
        <v>442</v>
      </c>
    </row>
    <row r="360" spans="1:13">
      <c r="A360" t="s">
        <v>385</v>
      </c>
      <c r="B360">
        <v>11691195</v>
      </c>
      <c r="C360">
        <v>104713</v>
      </c>
      <c r="D360">
        <v>17.100000000000001</v>
      </c>
      <c r="M360" t="s">
        <v>442</v>
      </c>
    </row>
    <row r="361" spans="1:13">
      <c r="A361" t="s">
        <v>386</v>
      </c>
      <c r="B361">
        <v>8088742</v>
      </c>
      <c r="C361">
        <v>72845</v>
      </c>
      <c r="D361">
        <v>13.5</v>
      </c>
      <c r="M361" t="s">
        <v>442</v>
      </c>
    </row>
    <row r="362" spans="1:13">
      <c r="A362" t="s">
        <v>393</v>
      </c>
      <c r="B362">
        <v>5370527</v>
      </c>
      <c r="C362">
        <v>49653</v>
      </c>
      <c r="D362">
        <v>12.2</v>
      </c>
      <c r="M362" t="s">
        <v>442</v>
      </c>
    </row>
    <row r="364" spans="1:13">
      <c r="M364" t="s">
        <v>443</v>
      </c>
    </row>
    <row r="365" spans="1:13">
      <c r="A365" t="s">
        <v>373</v>
      </c>
      <c r="B365" t="s">
        <v>374</v>
      </c>
      <c r="C365" t="s">
        <v>375</v>
      </c>
      <c r="D365" t="s">
        <v>376</v>
      </c>
      <c r="E365" t="s">
        <v>377</v>
      </c>
      <c r="F365" t="s">
        <v>378</v>
      </c>
      <c r="G365" t="s">
        <v>379</v>
      </c>
      <c r="H365" t="s">
        <v>380</v>
      </c>
      <c r="M365" t="s">
        <v>443</v>
      </c>
    </row>
    <row r="366" spans="1:13">
      <c r="A366" t="s">
        <v>382</v>
      </c>
      <c r="B366">
        <v>7490894</v>
      </c>
      <c r="C366">
        <v>101617</v>
      </c>
      <c r="D366">
        <v>11136268</v>
      </c>
      <c r="E366">
        <v>132507</v>
      </c>
      <c r="F366">
        <v>40094</v>
      </c>
      <c r="G366">
        <v>446501123573</v>
      </c>
      <c r="H366">
        <v>0.67</v>
      </c>
      <c r="M366" t="s">
        <v>443</v>
      </c>
    </row>
    <row r="367" spans="1:13">
      <c r="A367" t="s">
        <v>383</v>
      </c>
      <c r="B367">
        <v>10378576</v>
      </c>
      <c r="C367">
        <v>140405</v>
      </c>
      <c r="D367">
        <v>10589619</v>
      </c>
      <c r="E367">
        <v>118643</v>
      </c>
      <c r="F367">
        <v>39943</v>
      </c>
      <c r="G367">
        <v>422984923167</v>
      </c>
      <c r="H367">
        <v>0.98</v>
      </c>
      <c r="M367" t="s">
        <v>443</v>
      </c>
    </row>
    <row r="368" spans="1:13">
      <c r="A368" t="s">
        <v>384</v>
      </c>
      <c r="B368">
        <v>11436739</v>
      </c>
      <c r="C368">
        <v>140168</v>
      </c>
      <c r="D368">
        <v>13803782</v>
      </c>
      <c r="E368">
        <v>157277</v>
      </c>
      <c r="F368">
        <v>38445</v>
      </c>
      <c r="G368">
        <v>530693026418</v>
      </c>
      <c r="H368">
        <v>0.83</v>
      </c>
      <c r="M368" t="s">
        <v>443</v>
      </c>
    </row>
    <row r="369" spans="1:13">
      <c r="A369" t="s">
        <v>385</v>
      </c>
      <c r="B369">
        <v>11874702</v>
      </c>
      <c r="C369">
        <v>144103</v>
      </c>
      <c r="D369">
        <v>11037828</v>
      </c>
      <c r="E369">
        <v>115328</v>
      </c>
      <c r="F369">
        <v>37392</v>
      </c>
      <c r="G369">
        <v>412728483655</v>
      </c>
      <c r="H369">
        <v>1.08</v>
      </c>
      <c r="M369" t="s">
        <v>443</v>
      </c>
    </row>
    <row r="370" spans="1:13">
      <c r="A370" t="s">
        <v>386</v>
      </c>
      <c r="B370">
        <v>10824265</v>
      </c>
      <c r="C370">
        <v>132485</v>
      </c>
      <c r="D370">
        <v>9936389</v>
      </c>
      <c r="E370">
        <v>105061</v>
      </c>
      <c r="F370">
        <v>38570</v>
      </c>
      <c r="G370">
        <v>383244656734</v>
      </c>
      <c r="H370">
        <v>1.0900000000000001</v>
      </c>
      <c r="M370" t="s">
        <v>443</v>
      </c>
    </row>
    <row r="371" spans="1:13">
      <c r="A371" t="s">
        <v>387</v>
      </c>
      <c r="B371">
        <v>52005175</v>
      </c>
      <c r="C371">
        <v>658778</v>
      </c>
      <c r="D371">
        <v>56503885</v>
      </c>
      <c r="E371">
        <v>628816</v>
      </c>
      <c r="F371">
        <v>38867</v>
      </c>
      <c r="G371">
        <v>2196152213548</v>
      </c>
      <c r="H371">
        <v>0.92</v>
      </c>
      <c r="M371" t="s">
        <v>443</v>
      </c>
    </row>
    <row r="373" spans="1:13">
      <c r="M373" t="s">
        <v>444</v>
      </c>
    </row>
    <row r="374" spans="1:13">
      <c r="A374" s="20" t="s">
        <v>373</v>
      </c>
      <c r="B374" s="21" t="s">
        <v>389</v>
      </c>
      <c r="C374" s="21" t="s">
        <v>390</v>
      </c>
      <c r="D374" s="21" t="s">
        <v>391</v>
      </c>
      <c r="E374" s="21" t="s">
        <v>406</v>
      </c>
      <c r="M374" s="16" t="s">
        <v>444</v>
      </c>
    </row>
    <row r="375" spans="1:13">
      <c r="A375" s="19" t="s">
        <v>381</v>
      </c>
      <c r="B375" s="19">
        <v>8737017</v>
      </c>
      <c r="C375" s="19">
        <v>75359</v>
      </c>
      <c r="D375" s="19">
        <v>17.2</v>
      </c>
      <c r="E375" s="19">
        <v>17.899999999999999</v>
      </c>
      <c r="M375" s="16" t="s">
        <v>444</v>
      </c>
    </row>
    <row r="376" spans="1:13">
      <c r="A376" s="19" t="s">
        <v>382</v>
      </c>
      <c r="B376" s="19">
        <v>9143903</v>
      </c>
      <c r="C376" s="19">
        <v>80199</v>
      </c>
      <c r="D376" s="19">
        <v>18.899999999999999</v>
      </c>
      <c r="E376" s="19">
        <v>19</v>
      </c>
      <c r="M376" s="16" t="s">
        <v>444</v>
      </c>
    </row>
    <row r="377" spans="1:13">
      <c r="A377" s="19" t="s">
        <v>383</v>
      </c>
      <c r="B377" s="19">
        <v>9148601</v>
      </c>
      <c r="C377" s="19">
        <v>82017</v>
      </c>
      <c r="D377" s="19">
        <v>19.100000000000001</v>
      </c>
      <c r="E377" s="19">
        <v>16.600000000000001</v>
      </c>
      <c r="M377" s="16" t="s">
        <v>444</v>
      </c>
    </row>
    <row r="378" spans="1:13">
      <c r="A378" s="19" t="s">
        <v>384</v>
      </c>
      <c r="B378" s="19">
        <v>8672533</v>
      </c>
      <c r="C378" s="19">
        <v>78297</v>
      </c>
      <c r="D378" s="19">
        <v>13.9</v>
      </c>
      <c r="E378" s="19">
        <v>15.9</v>
      </c>
      <c r="M378" s="16" t="s">
        <v>444</v>
      </c>
    </row>
    <row r="379" spans="1:13">
      <c r="A379" s="19" t="s">
        <v>385</v>
      </c>
      <c r="B379" s="19">
        <v>8615679</v>
      </c>
      <c r="C379" s="19">
        <v>82403</v>
      </c>
      <c r="D379" s="19">
        <v>18.5</v>
      </c>
      <c r="E379" s="19">
        <v>18.5</v>
      </c>
      <c r="M379" s="16" t="s">
        <v>444</v>
      </c>
    </row>
    <row r="380" spans="1:13">
      <c r="A380" s="19" t="s">
        <v>386</v>
      </c>
      <c r="B380" s="19">
        <v>7426262</v>
      </c>
      <c r="C380" s="19">
        <v>70610</v>
      </c>
      <c r="D380" s="19">
        <v>15.9</v>
      </c>
      <c r="E380" s="19">
        <v>20.399999999999999</v>
      </c>
      <c r="M380" s="16" t="s">
        <v>444</v>
      </c>
    </row>
    <row r="382" spans="1:13">
      <c r="M382" t="s">
        <v>445</v>
      </c>
    </row>
    <row r="383" spans="1:13">
      <c r="A383" t="s">
        <v>373</v>
      </c>
      <c r="B383" t="s">
        <v>376</v>
      </c>
      <c r="C383" t="s">
        <v>377</v>
      </c>
      <c r="M383" t="s">
        <v>445</v>
      </c>
    </row>
    <row r="384" spans="1:13">
      <c r="A384" t="s">
        <v>382</v>
      </c>
      <c r="B384">
        <v>1372500</v>
      </c>
      <c r="C384">
        <v>18082</v>
      </c>
      <c r="M384" t="s">
        <v>445</v>
      </c>
    </row>
    <row r="385" spans="1:13">
      <c r="A385" t="s">
        <v>383</v>
      </c>
      <c r="B385">
        <v>1037000</v>
      </c>
      <c r="C385">
        <v>9545</v>
      </c>
      <c r="M385" t="s">
        <v>445</v>
      </c>
    </row>
    <row r="386" spans="1:13">
      <c r="A386" t="s">
        <v>384</v>
      </c>
      <c r="B386">
        <v>0</v>
      </c>
      <c r="C386">
        <v>0</v>
      </c>
      <c r="M386" t="s">
        <v>445</v>
      </c>
    </row>
    <row r="387" spans="1:13">
      <c r="A387" t="s">
        <v>385</v>
      </c>
      <c r="B387">
        <v>0</v>
      </c>
      <c r="C387">
        <v>0</v>
      </c>
      <c r="M387" t="s">
        <v>445</v>
      </c>
    </row>
    <row r="388" spans="1:13">
      <c r="A388" t="s">
        <v>386</v>
      </c>
      <c r="B388">
        <v>182500</v>
      </c>
      <c r="C388">
        <v>2134</v>
      </c>
      <c r="M388" t="s">
        <v>445</v>
      </c>
    </row>
    <row r="389" spans="1:13">
      <c r="A389" t="s">
        <v>387</v>
      </c>
      <c r="B389">
        <v>2592000</v>
      </c>
      <c r="C389">
        <v>29761</v>
      </c>
      <c r="M389" t="s">
        <v>445</v>
      </c>
    </row>
    <row r="391" spans="1:13">
      <c r="M391" t="s">
        <v>446</v>
      </c>
    </row>
    <row r="392" spans="1:13">
      <c r="A392" t="s">
        <v>373</v>
      </c>
      <c r="B392" t="s">
        <v>447</v>
      </c>
      <c r="C392" t="s">
        <v>738</v>
      </c>
      <c r="M392" t="s">
        <v>446</v>
      </c>
    </row>
    <row r="393" spans="1:13">
      <c r="A393" t="s">
        <v>381</v>
      </c>
      <c r="B393">
        <v>12171040</v>
      </c>
      <c r="C393" s="18">
        <f>B393/B384</f>
        <v>8.8677887067395265</v>
      </c>
      <c r="M393" t="s">
        <v>446</v>
      </c>
    </row>
    <row r="394" spans="1:13">
      <c r="A394" t="s">
        <v>382</v>
      </c>
      <c r="B394">
        <v>11951318</v>
      </c>
      <c r="C394" s="18">
        <f>B394/B385</f>
        <v>11.524896817743491</v>
      </c>
      <c r="M394" t="s">
        <v>446</v>
      </c>
    </row>
    <row r="395" spans="1:13">
      <c r="A395" t="s">
        <v>383</v>
      </c>
      <c r="B395">
        <v>12428136</v>
      </c>
      <c r="M395" t="s">
        <v>446</v>
      </c>
    </row>
    <row r="397" spans="1:13">
      <c r="M397" t="s">
        <v>448</v>
      </c>
    </row>
    <row r="398" spans="1:13">
      <c r="A398" t="s">
        <v>373</v>
      </c>
      <c r="B398" t="s">
        <v>374</v>
      </c>
      <c r="C398" t="s">
        <v>375</v>
      </c>
      <c r="D398" t="s">
        <v>376</v>
      </c>
      <c r="E398" t="s">
        <v>377</v>
      </c>
      <c r="F398" t="s">
        <v>378</v>
      </c>
      <c r="G398" t="s">
        <v>379</v>
      </c>
      <c r="H398" t="s">
        <v>380</v>
      </c>
      <c r="M398" t="s">
        <v>448</v>
      </c>
    </row>
    <row r="399" spans="1:13">
      <c r="A399" t="s">
        <v>382</v>
      </c>
      <c r="B399">
        <v>5195465</v>
      </c>
      <c r="C399">
        <v>42764</v>
      </c>
      <c r="D399">
        <v>5961076</v>
      </c>
      <c r="E399">
        <v>50073</v>
      </c>
      <c r="F399">
        <v>29181</v>
      </c>
      <c r="G399">
        <v>173947493598</v>
      </c>
      <c r="H399">
        <v>0.87</v>
      </c>
      <c r="M399" t="s">
        <v>448</v>
      </c>
    </row>
    <row r="400" spans="1:13">
      <c r="A400" t="s">
        <v>383</v>
      </c>
      <c r="B400">
        <v>6683181</v>
      </c>
      <c r="C400">
        <v>55416</v>
      </c>
      <c r="D400">
        <v>7356049</v>
      </c>
      <c r="E400">
        <v>60194</v>
      </c>
      <c r="F400">
        <v>32102</v>
      </c>
      <c r="G400">
        <v>236144964976</v>
      </c>
      <c r="H400">
        <v>0.91</v>
      </c>
      <c r="M400" t="s">
        <v>448</v>
      </c>
    </row>
    <row r="401" spans="1:13">
      <c r="A401" t="s">
        <v>384</v>
      </c>
      <c r="B401">
        <v>13449440</v>
      </c>
      <c r="C401">
        <v>116034</v>
      </c>
      <c r="D401">
        <v>11540202</v>
      </c>
      <c r="E401">
        <v>101002</v>
      </c>
      <c r="F401">
        <v>29529</v>
      </c>
      <c r="G401">
        <v>340775907037</v>
      </c>
      <c r="H401">
        <v>1.17</v>
      </c>
      <c r="M401" t="s">
        <v>448</v>
      </c>
    </row>
    <row r="402" spans="1:13">
      <c r="A402" t="s">
        <v>385</v>
      </c>
      <c r="B402">
        <v>11536354</v>
      </c>
      <c r="C402">
        <v>101340</v>
      </c>
      <c r="D402">
        <v>9119606</v>
      </c>
      <c r="E402">
        <v>80700</v>
      </c>
      <c r="F402">
        <v>25800</v>
      </c>
      <c r="G402">
        <v>235285885663</v>
      </c>
      <c r="H402">
        <v>1.27</v>
      </c>
      <c r="M402" t="s">
        <v>448</v>
      </c>
    </row>
    <row r="403" spans="1:13">
      <c r="A403" t="s">
        <v>386</v>
      </c>
      <c r="B403">
        <v>9569043</v>
      </c>
      <c r="C403">
        <v>84391</v>
      </c>
      <c r="D403">
        <v>8603958</v>
      </c>
      <c r="E403">
        <v>76608</v>
      </c>
      <c r="F403">
        <v>24502</v>
      </c>
      <c r="G403">
        <v>210811248870</v>
      </c>
      <c r="H403">
        <v>1.1100000000000001</v>
      </c>
      <c r="M403" t="s">
        <v>448</v>
      </c>
    </row>
    <row r="404" spans="1:13">
      <c r="A404" t="s">
        <v>387</v>
      </c>
      <c r="B404">
        <v>46433482</v>
      </c>
      <c r="C404">
        <v>399945</v>
      </c>
      <c r="D404">
        <v>42580891</v>
      </c>
      <c r="E404">
        <v>368577</v>
      </c>
      <c r="F404">
        <v>28110</v>
      </c>
      <c r="G404">
        <v>1196965500144</v>
      </c>
      <c r="H404">
        <v>1.0900000000000001</v>
      </c>
      <c r="M404" t="s">
        <v>448</v>
      </c>
    </row>
    <row r="406" spans="1:13">
      <c r="M406" t="s">
        <v>449</v>
      </c>
    </row>
    <row r="407" spans="1:13">
      <c r="A407" t="s">
        <v>373</v>
      </c>
      <c r="B407" t="s">
        <v>389</v>
      </c>
      <c r="C407" t="s">
        <v>390</v>
      </c>
      <c r="D407" t="s">
        <v>391</v>
      </c>
      <c r="M407" t="s">
        <v>449</v>
      </c>
    </row>
    <row r="408" spans="1:13">
      <c r="A408" t="s">
        <v>382</v>
      </c>
      <c r="B408">
        <v>7412914</v>
      </c>
      <c r="C408">
        <v>62646</v>
      </c>
      <c r="D408">
        <v>14.9</v>
      </c>
      <c r="M408" t="s">
        <v>449</v>
      </c>
    </row>
    <row r="409" spans="1:13">
      <c r="A409" t="s">
        <v>383</v>
      </c>
      <c r="B409">
        <v>7751089</v>
      </c>
      <c r="C409">
        <v>66246</v>
      </c>
      <c r="D409">
        <v>12.6</v>
      </c>
      <c r="M409" t="s">
        <v>449</v>
      </c>
    </row>
    <row r="410" spans="1:13">
      <c r="A410" t="s">
        <v>384</v>
      </c>
      <c r="B410">
        <v>7330428</v>
      </c>
      <c r="C410">
        <v>63048</v>
      </c>
      <c r="D410">
        <v>7.6</v>
      </c>
      <c r="M410" t="s">
        <v>449</v>
      </c>
    </row>
    <row r="411" spans="1:13">
      <c r="A411" t="s">
        <v>385</v>
      </c>
      <c r="B411">
        <v>5625659</v>
      </c>
      <c r="C411">
        <v>48356</v>
      </c>
      <c r="D411">
        <v>7.4</v>
      </c>
      <c r="M411" t="s">
        <v>449</v>
      </c>
    </row>
    <row r="412" spans="1:13">
      <c r="A412" t="s">
        <v>386</v>
      </c>
      <c r="B412">
        <v>4109279</v>
      </c>
      <c r="C412">
        <v>34168</v>
      </c>
      <c r="D412">
        <v>5.7</v>
      </c>
      <c r="M412" t="s">
        <v>449</v>
      </c>
    </row>
    <row r="414" spans="1:13">
      <c r="M414" t="s">
        <v>450</v>
      </c>
    </row>
    <row r="415" spans="1:13">
      <c r="A415" t="s">
        <v>373</v>
      </c>
      <c r="B415" t="s">
        <v>374</v>
      </c>
      <c r="C415" t="s">
        <v>375</v>
      </c>
      <c r="D415" t="s">
        <v>376</v>
      </c>
      <c r="E415" t="s">
        <v>377</v>
      </c>
      <c r="F415" t="s">
        <v>378</v>
      </c>
      <c r="G415" t="s">
        <v>379</v>
      </c>
      <c r="H415" t="s">
        <v>380</v>
      </c>
      <c r="M415" t="s">
        <v>450</v>
      </c>
    </row>
    <row r="416" spans="1:13">
      <c r="A416" t="s">
        <v>382</v>
      </c>
      <c r="B416">
        <v>3318197</v>
      </c>
      <c r="C416">
        <v>29885</v>
      </c>
      <c r="D416">
        <v>3904920</v>
      </c>
      <c r="E416">
        <v>35638</v>
      </c>
      <c r="F416">
        <v>11733</v>
      </c>
      <c r="G416">
        <v>45817379988</v>
      </c>
      <c r="H416">
        <v>0.85</v>
      </c>
      <c r="M416" t="s">
        <v>450</v>
      </c>
    </row>
    <row r="417" spans="1:13">
      <c r="A417" t="s">
        <v>383</v>
      </c>
      <c r="B417">
        <v>2809433</v>
      </c>
      <c r="C417">
        <v>25148</v>
      </c>
      <c r="D417">
        <v>3582813</v>
      </c>
      <c r="E417">
        <v>31799</v>
      </c>
      <c r="F417">
        <v>12091</v>
      </c>
      <c r="G417">
        <v>43318856518</v>
      </c>
      <c r="H417">
        <v>0.78</v>
      </c>
      <c r="M417" t="s">
        <v>450</v>
      </c>
    </row>
    <row r="418" spans="1:13">
      <c r="A418" t="s">
        <v>384</v>
      </c>
      <c r="B418">
        <v>6848591</v>
      </c>
      <c r="C418">
        <v>63984</v>
      </c>
      <c r="D418">
        <v>5715569</v>
      </c>
      <c r="E418">
        <v>52500</v>
      </c>
      <c r="F418">
        <v>12757</v>
      </c>
      <c r="G418">
        <v>72911847600</v>
      </c>
      <c r="H418">
        <v>1.2</v>
      </c>
      <c r="M418" t="s">
        <v>450</v>
      </c>
    </row>
    <row r="419" spans="1:13">
      <c r="A419" t="s">
        <v>385</v>
      </c>
      <c r="B419">
        <v>10636928</v>
      </c>
      <c r="C419">
        <v>95019</v>
      </c>
      <c r="D419">
        <v>9098337</v>
      </c>
      <c r="E419">
        <v>82725</v>
      </c>
      <c r="F419">
        <v>12240</v>
      </c>
      <c r="G419">
        <v>111362849631</v>
      </c>
      <c r="H419">
        <v>1.17</v>
      </c>
      <c r="M419" t="s">
        <v>450</v>
      </c>
    </row>
    <row r="420" spans="1:13">
      <c r="A420" t="s">
        <v>386</v>
      </c>
      <c r="B420">
        <v>12320826</v>
      </c>
      <c r="C420">
        <v>112316</v>
      </c>
      <c r="D420">
        <v>11348852</v>
      </c>
      <c r="E420">
        <v>103519</v>
      </c>
      <c r="F420">
        <v>11402</v>
      </c>
      <c r="G420">
        <v>129398780917</v>
      </c>
      <c r="H420">
        <v>1.0900000000000001</v>
      </c>
      <c r="M420" t="s">
        <v>450</v>
      </c>
    </row>
    <row r="421" spans="1:13">
      <c r="A421" t="s">
        <v>387</v>
      </c>
      <c r="B421">
        <v>35933976</v>
      </c>
      <c r="C421">
        <v>326352</v>
      </c>
      <c r="D421">
        <v>33650491</v>
      </c>
      <c r="E421">
        <v>306181</v>
      </c>
      <c r="F421">
        <v>11970</v>
      </c>
      <c r="G421">
        <v>402809714655</v>
      </c>
      <c r="H421">
        <v>1.07</v>
      </c>
      <c r="M421" t="s">
        <v>450</v>
      </c>
    </row>
    <row r="423" spans="1:13">
      <c r="M423" t="s">
        <v>451</v>
      </c>
    </row>
    <row r="424" spans="1:13">
      <c r="A424" t="s">
        <v>373</v>
      </c>
      <c r="B424" t="s">
        <v>389</v>
      </c>
      <c r="C424" t="s">
        <v>390</v>
      </c>
      <c r="D424" t="s">
        <v>391</v>
      </c>
      <c r="E424" t="s">
        <v>406</v>
      </c>
      <c r="M424" t="s">
        <v>451</v>
      </c>
    </row>
    <row r="425" spans="1:13">
      <c r="A425" t="s">
        <v>382</v>
      </c>
      <c r="B425">
        <v>6404381</v>
      </c>
      <c r="C425">
        <v>56653</v>
      </c>
      <c r="D425">
        <v>19.7</v>
      </c>
      <c r="E425">
        <v>20.5</v>
      </c>
      <c r="M425" t="s">
        <v>451</v>
      </c>
    </row>
    <row r="426" spans="1:13">
      <c r="A426" t="s">
        <v>383</v>
      </c>
      <c r="B426">
        <v>7388289</v>
      </c>
      <c r="C426">
        <v>66025</v>
      </c>
      <c r="D426">
        <v>24.7</v>
      </c>
      <c r="E426">
        <v>19.100000000000001</v>
      </c>
      <c r="M426" t="s">
        <v>451</v>
      </c>
    </row>
    <row r="427" spans="1:13">
      <c r="A427" t="s">
        <v>384</v>
      </c>
      <c r="B427">
        <v>7833152</v>
      </c>
      <c r="C427">
        <v>70029</v>
      </c>
      <c r="D427">
        <v>16.399999999999999</v>
      </c>
      <c r="E427">
        <v>12.7</v>
      </c>
      <c r="M427" t="s">
        <v>451</v>
      </c>
    </row>
    <row r="428" spans="1:13">
      <c r="A428" t="s">
        <v>385</v>
      </c>
      <c r="B428">
        <v>6665362</v>
      </c>
      <c r="C428">
        <v>57940</v>
      </c>
      <c r="D428">
        <v>8.8000000000000007</v>
      </c>
      <c r="E428">
        <v>7.8</v>
      </c>
      <c r="M428" t="s">
        <v>451</v>
      </c>
    </row>
    <row r="429" spans="1:13">
      <c r="A429" t="s">
        <v>386</v>
      </c>
      <c r="B429">
        <v>5166535</v>
      </c>
      <c r="C429">
        <v>46745</v>
      </c>
      <c r="D429">
        <v>5.5</v>
      </c>
      <c r="E429">
        <v>5.9</v>
      </c>
      <c r="M429" t="s">
        <v>451</v>
      </c>
    </row>
    <row r="431" spans="1:13">
      <c r="M431" t="s">
        <v>452</v>
      </c>
    </row>
    <row r="432" spans="1:13">
      <c r="A432" t="s">
        <v>373</v>
      </c>
      <c r="B432" t="s">
        <v>374</v>
      </c>
      <c r="C432" t="s">
        <v>375</v>
      </c>
      <c r="D432" t="s">
        <v>376</v>
      </c>
      <c r="E432" t="s">
        <v>377</v>
      </c>
      <c r="F432" t="s">
        <v>378</v>
      </c>
      <c r="G432" t="s">
        <v>379</v>
      </c>
      <c r="M432" t="s">
        <v>452</v>
      </c>
    </row>
    <row r="433" spans="1:13">
      <c r="A433" t="s">
        <v>382</v>
      </c>
      <c r="B433">
        <v>2192527</v>
      </c>
      <c r="C433">
        <v>19205</v>
      </c>
      <c r="D433">
        <v>2978012</v>
      </c>
      <c r="E433">
        <v>26593</v>
      </c>
      <c r="F433">
        <v>13287</v>
      </c>
      <c r="G433">
        <v>39569740071</v>
      </c>
      <c r="M433" t="s">
        <v>452</v>
      </c>
    </row>
    <row r="434" spans="1:13">
      <c r="A434" t="s">
        <v>383</v>
      </c>
      <c r="B434">
        <v>2942653</v>
      </c>
      <c r="C434">
        <v>25875</v>
      </c>
      <c r="D434">
        <v>3343390</v>
      </c>
      <c r="E434">
        <v>29858</v>
      </c>
      <c r="F434">
        <v>13729</v>
      </c>
      <c r="G434">
        <v>45900363341</v>
      </c>
      <c r="M434" t="s">
        <v>452</v>
      </c>
    </row>
    <row r="435" spans="1:13">
      <c r="A435" t="s">
        <v>384</v>
      </c>
      <c r="B435">
        <v>3846995</v>
      </c>
      <c r="C435">
        <v>34333</v>
      </c>
      <c r="D435">
        <v>4707477</v>
      </c>
      <c r="E435">
        <v>42630</v>
      </c>
      <c r="F435">
        <v>13841</v>
      </c>
      <c r="G435">
        <v>65158289721</v>
      </c>
      <c r="M435" t="s">
        <v>452</v>
      </c>
    </row>
    <row r="436" spans="1:13">
      <c r="A436" t="s">
        <v>385</v>
      </c>
      <c r="B436">
        <v>6805591</v>
      </c>
      <c r="C436">
        <v>65183</v>
      </c>
      <c r="D436">
        <v>4447548</v>
      </c>
      <c r="E436">
        <v>38943</v>
      </c>
      <c r="F436">
        <v>14224</v>
      </c>
      <c r="G436">
        <v>63263947180</v>
      </c>
      <c r="M436" t="s">
        <v>452</v>
      </c>
    </row>
    <row r="437" spans="1:13">
      <c r="A437" t="s">
        <v>386</v>
      </c>
      <c r="B437">
        <v>3794749</v>
      </c>
      <c r="C437">
        <v>32709</v>
      </c>
      <c r="D437">
        <v>3470118</v>
      </c>
      <c r="E437">
        <v>30246</v>
      </c>
      <c r="F437">
        <v>14783</v>
      </c>
      <c r="G437">
        <v>51297131063</v>
      </c>
      <c r="M437" t="s">
        <v>452</v>
      </c>
    </row>
    <row r="438" spans="1:13">
      <c r="A438" t="s">
        <v>387</v>
      </c>
      <c r="B438">
        <v>19582516</v>
      </c>
      <c r="C438">
        <v>177305</v>
      </c>
      <c r="D438">
        <v>18946546</v>
      </c>
      <c r="E438">
        <v>168270</v>
      </c>
      <c r="F438">
        <v>13997</v>
      </c>
      <c r="G438">
        <v>265189471376</v>
      </c>
      <c r="M438" t="s">
        <v>452</v>
      </c>
    </row>
    <row r="440" spans="1:13">
      <c r="M440" t="s">
        <v>453</v>
      </c>
    </row>
    <row r="441" spans="1:13">
      <c r="A441" t="s">
        <v>373</v>
      </c>
      <c r="B441" t="s">
        <v>389</v>
      </c>
      <c r="C441" t="s">
        <v>390</v>
      </c>
      <c r="D441" t="s">
        <v>391</v>
      </c>
      <c r="M441" t="s">
        <v>453</v>
      </c>
    </row>
    <row r="442" spans="1:13">
      <c r="A442" t="s">
        <v>382</v>
      </c>
      <c r="B442">
        <v>1842200</v>
      </c>
      <c r="C442">
        <v>18165</v>
      </c>
      <c r="D442">
        <v>7.4</v>
      </c>
      <c r="M442" t="s">
        <v>453</v>
      </c>
    </row>
    <row r="443" spans="1:13">
      <c r="A443" t="s">
        <v>383</v>
      </c>
      <c r="B443">
        <v>2716771</v>
      </c>
      <c r="C443">
        <v>25543</v>
      </c>
      <c r="D443">
        <v>9.8000000000000007</v>
      </c>
      <c r="M443" t="s">
        <v>453</v>
      </c>
    </row>
    <row r="444" spans="1:13">
      <c r="A444" t="s">
        <v>384</v>
      </c>
      <c r="B444">
        <v>3222141</v>
      </c>
      <c r="C444">
        <v>30056</v>
      </c>
      <c r="D444">
        <v>8.1999999999999993</v>
      </c>
      <c r="M444" t="s">
        <v>453</v>
      </c>
    </row>
    <row r="445" spans="1:13">
      <c r="A445" t="s">
        <v>385</v>
      </c>
      <c r="B445">
        <v>0</v>
      </c>
      <c r="C445">
        <v>0</v>
      </c>
      <c r="D445">
        <v>0</v>
      </c>
      <c r="M445" t="s">
        <v>453</v>
      </c>
    </row>
    <row r="446" spans="1:13">
      <c r="A446" t="s">
        <v>386</v>
      </c>
      <c r="B446">
        <v>3639772</v>
      </c>
      <c r="C446">
        <v>32841</v>
      </c>
      <c r="D446">
        <v>12.6</v>
      </c>
      <c r="M446" t="s">
        <v>453</v>
      </c>
    </row>
    <row r="448" spans="1:13">
      <c r="M448" t="s">
        <v>454</v>
      </c>
    </row>
    <row r="449" spans="1:13">
      <c r="A449" t="s">
        <v>373</v>
      </c>
      <c r="B449" t="s">
        <v>374</v>
      </c>
      <c r="C449" t="s">
        <v>375</v>
      </c>
      <c r="D449" t="s">
        <v>376</v>
      </c>
      <c r="E449" t="s">
        <v>377</v>
      </c>
      <c r="F449" t="s">
        <v>378</v>
      </c>
      <c r="G449" t="s">
        <v>379</v>
      </c>
      <c r="H449" t="s">
        <v>380</v>
      </c>
      <c r="M449" t="s">
        <v>454</v>
      </c>
    </row>
    <row r="450" spans="1:13">
      <c r="A450" t="s">
        <v>382</v>
      </c>
      <c r="B450">
        <v>829651</v>
      </c>
      <c r="C450">
        <v>6989</v>
      </c>
      <c r="D450">
        <v>754620</v>
      </c>
      <c r="E450">
        <v>6263</v>
      </c>
      <c r="F450">
        <v>22233</v>
      </c>
      <c r="G450">
        <v>16777769292</v>
      </c>
      <c r="H450">
        <v>1.1000000000000001</v>
      </c>
      <c r="M450" t="s">
        <v>454</v>
      </c>
    </row>
    <row r="451" spans="1:13">
      <c r="A451" t="s">
        <v>383</v>
      </c>
      <c r="B451">
        <v>867932</v>
      </c>
      <c r="C451">
        <v>6894</v>
      </c>
      <c r="D451">
        <v>771376</v>
      </c>
      <c r="E451">
        <v>6236</v>
      </c>
      <c r="F451">
        <v>21963</v>
      </c>
      <c r="G451">
        <v>16942104586</v>
      </c>
      <c r="H451">
        <v>1.1299999999999999</v>
      </c>
      <c r="M451" t="s">
        <v>454</v>
      </c>
    </row>
    <row r="452" spans="1:13">
      <c r="A452" t="s">
        <v>384</v>
      </c>
      <c r="B452">
        <v>2272107</v>
      </c>
      <c r="C452">
        <v>18509</v>
      </c>
      <c r="D452">
        <v>751882</v>
      </c>
      <c r="E452">
        <v>6171</v>
      </c>
      <c r="F452">
        <v>21044</v>
      </c>
      <c r="G452">
        <v>15822548134</v>
      </c>
      <c r="H452">
        <v>3.02</v>
      </c>
      <c r="M452" t="s">
        <v>454</v>
      </c>
    </row>
    <row r="453" spans="1:13">
      <c r="A453" t="s">
        <v>385</v>
      </c>
      <c r="B453">
        <v>2474171</v>
      </c>
      <c r="C453">
        <v>20032</v>
      </c>
      <c r="D453">
        <v>34502</v>
      </c>
      <c r="E453">
        <v>241</v>
      </c>
      <c r="F453">
        <v>12565</v>
      </c>
      <c r="G453">
        <v>433506200</v>
      </c>
      <c r="H453">
        <v>71.709999999999994</v>
      </c>
      <c r="M453" t="s">
        <v>454</v>
      </c>
    </row>
    <row r="454" spans="1:13">
      <c r="A454" t="s">
        <v>386</v>
      </c>
      <c r="B454">
        <v>2614971</v>
      </c>
      <c r="C454">
        <v>21036</v>
      </c>
      <c r="D454">
        <v>2892780</v>
      </c>
      <c r="E454">
        <v>23386</v>
      </c>
      <c r="F454">
        <v>17965</v>
      </c>
      <c r="G454">
        <v>51969479677</v>
      </c>
      <c r="H454">
        <v>0.9</v>
      </c>
      <c r="M454" t="s">
        <v>454</v>
      </c>
    </row>
    <row r="455" spans="1:13">
      <c r="A455" t="s">
        <v>387</v>
      </c>
      <c r="B455">
        <v>9058832</v>
      </c>
      <c r="C455">
        <v>73460</v>
      </c>
      <c r="D455">
        <v>5205160</v>
      </c>
      <c r="E455">
        <v>42297</v>
      </c>
      <c r="F455">
        <v>19585</v>
      </c>
      <c r="G455">
        <v>101945407890</v>
      </c>
      <c r="H455">
        <v>1.74</v>
      </c>
      <c r="M455" t="s">
        <v>454</v>
      </c>
    </row>
    <row r="457" spans="1:13">
      <c r="M457" t="s">
        <v>455</v>
      </c>
    </row>
    <row r="458" spans="1:13">
      <c r="A458" t="s">
        <v>373</v>
      </c>
      <c r="B458" t="s">
        <v>389</v>
      </c>
      <c r="C458" t="s">
        <v>390</v>
      </c>
      <c r="D458" t="s">
        <v>391</v>
      </c>
      <c r="E458" t="s">
        <v>406</v>
      </c>
      <c r="M458" t="s">
        <v>455</v>
      </c>
    </row>
    <row r="459" spans="1:13">
      <c r="A459" t="s">
        <v>381</v>
      </c>
      <c r="B459">
        <v>0</v>
      </c>
      <c r="C459">
        <v>0</v>
      </c>
      <c r="D459">
        <v>0</v>
      </c>
      <c r="E459">
        <v>0</v>
      </c>
      <c r="M459" t="s">
        <v>455</v>
      </c>
    </row>
    <row r="460" spans="1:13">
      <c r="A460" t="s">
        <v>382</v>
      </c>
      <c r="B460">
        <v>0</v>
      </c>
      <c r="C460">
        <v>0</v>
      </c>
      <c r="D460">
        <v>0</v>
      </c>
      <c r="E460">
        <v>0</v>
      </c>
      <c r="M460" t="s">
        <v>455</v>
      </c>
    </row>
    <row r="461" spans="1:13">
      <c r="A461" t="s">
        <v>383</v>
      </c>
      <c r="B461">
        <v>0</v>
      </c>
      <c r="C461">
        <v>0</v>
      </c>
      <c r="D461">
        <v>0</v>
      </c>
      <c r="E461">
        <v>0</v>
      </c>
      <c r="M461" t="s">
        <v>455</v>
      </c>
    </row>
    <row r="462" spans="1:13">
      <c r="A462" t="s">
        <v>384</v>
      </c>
      <c r="B462">
        <v>0</v>
      </c>
      <c r="C462">
        <v>0</v>
      </c>
      <c r="D462">
        <v>0</v>
      </c>
      <c r="E462">
        <v>0</v>
      </c>
      <c r="M462" t="s">
        <v>455</v>
      </c>
    </row>
    <row r="463" spans="1:13">
      <c r="A463" t="s">
        <v>385</v>
      </c>
      <c r="B463">
        <v>0</v>
      </c>
      <c r="C463">
        <v>0</v>
      </c>
      <c r="D463">
        <v>0</v>
      </c>
      <c r="E463">
        <v>0</v>
      </c>
      <c r="M463" t="s">
        <v>455</v>
      </c>
    </row>
    <row r="464" spans="1:13">
      <c r="A464" t="s">
        <v>386</v>
      </c>
      <c r="B464">
        <v>898886</v>
      </c>
      <c r="C464">
        <v>7172</v>
      </c>
      <c r="D464">
        <v>3.7</v>
      </c>
      <c r="E464">
        <v>3.9</v>
      </c>
      <c r="M464" t="s">
        <v>455</v>
      </c>
    </row>
    <row r="466" spans="1:13">
      <c r="M466" t="s">
        <v>456</v>
      </c>
    </row>
    <row r="467" spans="1:13">
      <c r="A467" t="s">
        <v>373</v>
      </c>
      <c r="B467" t="s">
        <v>374</v>
      </c>
      <c r="C467" t="s">
        <v>375</v>
      </c>
      <c r="D467" t="s">
        <v>376</v>
      </c>
      <c r="E467" t="s">
        <v>377</v>
      </c>
      <c r="F467" t="s">
        <v>378</v>
      </c>
      <c r="G467" t="s">
        <v>379</v>
      </c>
      <c r="H467" t="s">
        <v>380</v>
      </c>
      <c r="M467" t="s">
        <v>456</v>
      </c>
    </row>
    <row r="468" spans="1:13">
      <c r="A468" t="s">
        <v>382</v>
      </c>
      <c r="B468">
        <v>1867715</v>
      </c>
      <c r="C468">
        <v>16742</v>
      </c>
      <c r="D468">
        <v>1921051</v>
      </c>
      <c r="E468">
        <v>17729</v>
      </c>
      <c r="F468">
        <v>43024</v>
      </c>
      <c r="G468">
        <v>82651348150</v>
      </c>
      <c r="H468">
        <v>0.97</v>
      </c>
      <c r="M468" t="s">
        <v>456</v>
      </c>
    </row>
    <row r="469" spans="1:13">
      <c r="A469" t="s">
        <v>383</v>
      </c>
      <c r="B469">
        <v>1754852</v>
      </c>
      <c r="C469">
        <v>16964</v>
      </c>
      <c r="D469">
        <v>1705933</v>
      </c>
      <c r="E469">
        <v>16273</v>
      </c>
      <c r="F469">
        <v>41324</v>
      </c>
      <c r="G469">
        <v>70495726312</v>
      </c>
      <c r="H469">
        <v>1.03</v>
      </c>
      <c r="M469" t="s">
        <v>456</v>
      </c>
    </row>
    <row r="470" spans="1:13">
      <c r="A470" t="s">
        <v>384</v>
      </c>
      <c r="B470">
        <v>2934300</v>
      </c>
      <c r="C470">
        <v>29676</v>
      </c>
      <c r="D470">
        <v>3365625</v>
      </c>
      <c r="E470">
        <v>32945</v>
      </c>
      <c r="F470">
        <v>38208</v>
      </c>
      <c r="G470">
        <v>128594055506</v>
      </c>
      <c r="H470">
        <v>0.87</v>
      </c>
      <c r="M470" t="s">
        <v>456</v>
      </c>
    </row>
    <row r="471" spans="1:13">
      <c r="A471" t="s">
        <v>385</v>
      </c>
      <c r="B471">
        <v>2594173</v>
      </c>
      <c r="C471">
        <v>23621</v>
      </c>
      <c r="D471">
        <v>2229551</v>
      </c>
      <c r="E471">
        <v>20418</v>
      </c>
      <c r="F471">
        <v>40237</v>
      </c>
      <c r="G471">
        <v>89710726190</v>
      </c>
      <c r="H471">
        <v>1.1599999999999999</v>
      </c>
      <c r="M471" t="s">
        <v>456</v>
      </c>
    </row>
    <row r="472" spans="1:13">
      <c r="A472" t="s">
        <v>386</v>
      </c>
      <c r="B472">
        <v>2332768</v>
      </c>
      <c r="C472">
        <v>22914</v>
      </c>
      <c r="D472">
        <v>1286276</v>
      </c>
      <c r="E472">
        <v>11860</v>
      </c>
      <c r="F472">
        <v>37758</v>
      </c>
      <c r="G472">
        <v>48567042983</v>
      </c>
      <c r="H472">
        <v>1.81</v>
      </c>
      <c r="M472" t="s">
        <v>456</v>
      </c>
    </row>
    <row r="473" spans="1:13">
      <c r="A473" t="s">
        <v>387</v>
      </c>
      <c r="B473">
        <v>11483808</v>
      </c>
      <c r="C473">
        <v>109917</v>
      </c>
      <c r="D473">
        <v>10508436</v>
      </c>
      <c r="E473">
        <v>99225</v>
      </c>
      <c r="F473">
        <v>39970</v>
      </c>
      <c r="G473">
        <v>420018899141</v>
      </c>
      <c r="H473">
        <v>1.0900000000000001</v>
      </c>
      <c r="M473" t="s">
        <v>456</v>
      </c>
    </row>
    <row r="475" spans="1:13">
      <c r="M475" t="s">
        <v>457</v>
      </c>
    </row>
    <row r="476" spans="1:13">
      <c r="A476" t="s">
        <v>373</v>
      </c>
      <c r="B476" t="s">
        <v>389</v>
      </c>
      <c r="C476" t="s">
        <v>390</v>
      </c>
      <c r="D476" t="s">
        <v>391</v>
      </c>
      <c r="E476" t="s">
        <v>406</v>
      </c>
      <c r="M476" t="s">
        <v>457</v>
      </c>
    </row>
    <row r="477" spans="1:13">
      <c r="A477" t="s">
        <v>382</v>
      </c>
      <c r="B477">
        <v>2572994</v>
      </c>
      <c r="C477">
        <v>23421</v>
      </c>
      <c r="D477">
        <v>16.100000000000001</v>
      </c>
      <c r="E477">
        <v>17</v>
      </c>
      <c r="M477" t="s">
        <v>457</v>
      </c>
    </row>
    <row r="478" spans="1:13">
      <c r="A478" t="s">
        <v>383</v>
      </c>
      <c r="B478">
        <v>2624674</v>
      </c>
      <c r="C478">
        <v>24410</v>
      </c>
      <c r="D478">
        <v>18.5</v>
      </c>
      <c r="E478">
        <v>12.4</v>
      </c>
      <c r="M478" t="s">
        <v>457</v>
      </c>
    </row>
    <row r="479" spans="1:13">
      <c r="A479" t="s">
        <v>384</v>
      </c>
      <c r="B479">
        <v>2634657</v>
      </c>
      <c r="C479">
        <v>24375</v>
      </c>
      <c r="D479">
        <v>9.4</v>
      </c>
      <c r="E479">
        <v>11.3</v>
      </c>
      <c r="M479" t="s">
        <v>457</v>
      </c>
    </row>
    <row r="480" spans="1:13">
      <c r="A480" t="s">
        <v>385</v>
      </c>
      <c r="B480">
        <v>2966193</v>
      </c>
      <c r="C480">
        <v>26747</v>
      </c>
      <c r="D480">
        <v>16</v>
      </c>
      <c r="E480">
        <v>20.2</v>
      </c>
      <c r="M480" t="s">
        <v>457</v>
      </c>
    </row>
    <row r="481" spans="1:13">
      <c r="A481" t="s">
        <v>386</v>
      </c>
      <c r="B481">
        <v>2591228</v>
      </c>
      <c r="C481">
        <v>23516</v>
      </c>
      <c r="D481">
        <v>24.2</v>
      </c>
      <c r="E481">
        <v>34.299999999999997</v>
      </c>
      <c r="M481" t="s">
        <v>457</v>
      </c>
    </row>
    <row r="483" spans="1:13">
      <c r="M483" t="s">
        <v>458</v>
      </c>
    </row>
    <row r="484" spans="1:13">
      <c r="A484" t="s">
        <v>373</v>
      </c>
      <c r="B484" t="s">
        <v>374</v>
      </c>
      <c r="C484" t="s">
        <v>375</v>
      </c>
      <c r="D484" t="s">
        <v>376</v>
      </c>
      <c r="E484" t="s">
        <v>377</v>
      </c>
      <c r="F484" t="s">
        <v>378</v>
      </c>
      <c r="G484" t="s">
        <v>379</v>
      </c>
      <c r="H484" t="s">
        <v>380</v>
      </c>
      <c r="M484" t="s">
        <v>458</v>
      </c>
    </row>
    <row r="485" spans="1:13">
      <c r="A485" t="s">
        <v>381</v>
      </c>
      <c r="B485">
        <v>245827</v>
      </c>
      <c r="C485">
        <v>1868</v>
      </c>
      <c r="D485">
        <v>0</v>
      </c>
      <c r="E485">
        <v>0</v>
      </c>
      <c r="F485">
        <v>0</v>
      </c>
      <c r="G485">
        <v>0</v>
      </c>
      <c r="H485">
        <v>0</v>
      </c>
      <c r="M485" t="s">
        <v>458</v>
      </c>
    </row>
    <row r="486" spans="1:13">
      <c r="A486" t="s">
        <v>382</v>
      </c>
      <c r="B486">
        <v>3072513</v>
      </c>
      <c r="C486">
        <v>24345</v>
      </c>
      <c r="D486">
        <v>0</v>
      </c>
      <c r="E486">
        <v>0</v>
      </c>
      <c r="F486">
        <v>0</v>
      </c>
      <c r="G486">
        <v>0</v>
      </c>
      <c r="H486">
        <v>0</v>
      </c>
      <c r="M486" t="s">
        <v>458</v>
      </c>
    </row>
    <row r="487" spans="1:13">
      <c r="A487" t="s">
        <v>383</v>
      </c>
      <c r="B487">
        <v>3289798</v>
      </c>
      <c r="C487">
        <v>25252</v>
      </c>
      <c r="D487">
        <v>0</v>
      </c>
      <c r="E487">
        <v>0</v>
      </c>
      <c r="F487">
        <v>0</v>
      </c>
      <c r="G487">
        <v>0</v>
      </c>
      <c r="H487">
        <v>0</v>
      </c>
      <c r="M487" t="s">
        <v>458</v>
      </c>
    </row>
    <row r="488" spans="1:13">
      <c r="A488" t="s">
        <v>384</v>
      </c>
      <c r="B488">
        <v>5355639</v>
      </c>
      <c r="C488">
        <v>43966</v>
      </c>
      <c r="D488">
        <v>0</v>
      </c>
      <c r="E488">
        <v>0</v>
      </c>
      <c r="F488">
        <v>0</v>
      </c>
      <c r="G488">
        <v>0</v>
      </c>
      <c r="H488">
        <v>0</v>
      </c>
      <c r="M488" t="s">
        <v>458</v>
      </c>
    </row>
    <row r="489" spans="1:13">
      <c r="A489" t="s">
        <v>385</v>
      </c>
      <c r="B489">
        <v>7323825</v>
      </c>
      <c r="C489">
        <v>61070</v>
      </c>
      <c r="D489">
        <v>885036</v>
      </c>
      <c r="E489">
        <v>7211</v>
      </c>
      <c r="F489">
        <v>15375</v>
      </c>
      <c r="G489">
        <v>13607444362</v>
      </c>
      <c r="H489">
        <v>8.2799999999999994</v>
      </c>
      <c r="M489" t="s">
        <v>458</v>
      </c>
    </row>
    <row r="490" spans="1:13">
      <c r="A490" t="s">
        <v>386</v>
      </c>
      <c r="B490">
        <v>5019422</v>
      </c>
      <c r="C490">
        <v>41019</v>
      </c>
      <c r="D490">
        <v>2698616</v>
      </c>
      <c r="E490">
        <v>22111</v>
      </c>
      <c r="F490">
        <v>14223</v>
      </c>
      <c r="G490">
        <v>38381125112</v>
      </c>
      <c r="H490">
        <v>1.86</v>
      </c>
      <c r="M490" t="s">
        <v>458</v>
      </c>
    </row>
    <row r="491" spans="1:13">
      <c r="A491" t="s">
        <v>387</v>
      </c>
      <c r="B491">
        <v>24307023</v>
      </c>
      <c r="C491">
        <v>197520</v>
      </c>
      <c r="D491">
        <v>3583652</v>
      </c>
      <c r="E491">
        <v>29322</v>
      </c>
      <c r="F491">
        <v>14507</v>
      </c>
      <c r="G491">
        <v>51988569474</v>
      </c>
      <c r="H491">
        <v>6.78</v>
      </c>
      <c r="M491" t="s">
        <v>458</v>
      </c>
    </row>
    <row r="493" spans="1:13">
      <c r="M493" t="s">
        <v>459</v>
      </c>
    </row>
    <row r="494" spans="1:13">
      <c r="A494" t="s">
        <v>373</v>
      </c>
      <c r="B494" t="s">
        <v>389</v>
      </c>
      <c r="C494" t="s">
        <v>390</v>
      </c>
      <c r="D494" t="s">
        <v>391</v>
      </c>
      <c r="M494" t="s">
        <v>459</v>
      </c>
    </row>
    <row r="495" spans="1:13">
      <c r="A495" t="s">
        <v>385</v>
      </c>
      <c r="B495">
        <v>5585604</v>
      </c>
      <c r="C495">
        <v>44678</v>
      </c>
      <c r="D495">
        <v>21.8</v>
      </c>
      <c r="M495" t="s">
        <v>459</v>
      </c>
    </row>
    <row r="496" spans="1:13">
      <c r="A496" t="s">
        <v>386</v>
      </c>
      <c r="B496">
        <v>4969463</v>
      </c>
      <c r="C496">
        <v>40092</v>
      </c>
      <c r="D496">
        <v>22.1</v>
      </c>
      <c r="M496" t="s">
        <v>459</v>
      </c>
    </row>
    <row r="497" spans="1:13">
      <c r="A497" t="s">
        <v>393</v>
      </c>
      <c r="B497">
        <v>3720758</v>
      </c>
      <c r="C497">
        <v>29674</v>
      </c>
      <c r="D497">
        <v>16.399999999999999</v>
      </c>
      <c r="M497" t="s">
        <v>459</v>
      </c>
    </row>
    <row r="499" spans="1:13">
      <c r="M499" t="s">
        <v>460</v>
      </c>
    </row>
    <row r="500" spans="1:13">
      <c r="A500" t="s">
        <v>373</v>
      </c>
      <c r="B500" t="s">
        <v>374</v>
      </c>
      <c r="C500" t="s">
        <v>375</v>
      </c>
      <c r="D500" t="s">
        <v>376</v>
      </c>
      <c r="E500" t="s">
        <v>377</v>
      </c>
      <c r="F500" t="s">
        <v>378</v>
      </c>
      <c r="G500" t="s">
        <v>379</v>
      </c>
      <c r="H500" t="s">
        <v>380</v>
      </c>
      <c r="M500" t="s">
        <v>460</v>
      </c>
    </row>
    <row r="501" spans="1:13">
      <c r="A501" t="s">
        <v>382</v>
      </c>
      <c r="B501">
        <v>5022525</v>
      </c>
      <c r="C501">
        <v>40442</v>
      </c>
      <c r="D501">
        <v>4916760</v>
      </c>
      <c r="E501">
        <v>39407</v>
      </c>
      <c r="F501">
        <v>21353</v>
      </c>
      <c r="G501">
        <v>104985463671</v>
      </c>
      <c r="H501">
        <v>1.02</v>
      </c>
      <c r="M501" t="s">
        <v>460</v>
      </c>
    </row>
    <row r="502" spans="1:13">
      <c r="A502" t="s">
        <v>383</v>
      </c>
      <c r="B502">
        <v>5843841</v>
      </c>
      <c r="C502">
        <v>50076</v>
      </c>
      <c r="D502">
        <v>5395120</v>
      </c>
      <c r="E502">
        <v>44268</v>
      </c>
      <c r="F502">
        <v>19788</v>
      </c>
      <c r="G502">
        <v>106758047352</v>
      </c>
      <c r="H502">
        <v>1.08</v>
      </c>
      <c r="M502" t="s">
        <v>460</v>
      </c>
    </row>
    <row r="503" spans="1:13">
      <c r="A503" t="s">
        <v>384</v>
      </c>
      <c r="B503">
        <v>6399170</v>
      </c>
      <c r="C503">
        <v>53585</v>
      </c>
      <c r="D503">
        <v>8118144</v>
      </c>
      <c r="E503">
        <v>66655</v>
      </c>
      <c r="F503">
        <v>18157</v>
      </c>
      <c r="G503">
        <v>147397946000</v>
      </c>
      <c r="H503">
        <v>0.79</v>
      </c>
      <c r="M503" t="s">
        <v>460</v>
      </c>
    </row>
    <row r="504" spans="1:13">
      <c r="A504" t="s">
        <v>385</v>
      </c>
      <c r="B504">
        <v>7241576</v>
      </c>
      <c r="C504">
        <v>59813</v>
      </c>
      <c r="D504">
        <v>8034991</v>
      </c>
      <c r="E504">
        <v>67323</v>
      </c>
      <c r="F504">
        <v>19584</v>
      </c>
      <c r="G504">
        <v>157356393939</v>
      </c>
      <c r="H504">
        <v>0.9</v>
      </c>
      <c r="M504" t="s">
        <v>460</v>
      </c>
    </row>
    <row r="505" spans="1:13">
      <c r="A505" t="s">
        <v>386</v>
      </c>
      <c r="B505">
        <v>7300588</v>
      </c>
      <c r="C505">
        <v>61225</v>
      </c>
      <c r="D505">
        <v>6680407</v>
      </c>
      <c r="E505">
        <v>58136</v>
      </c>
      <c r="F505">
        <v>17847</v>
      </c>
      <c r="G505">
        <v>119228483350</v>
      </c>
      <c r="H505">
        <v>1.0900000000000001</v>
      </c>
      <c r="M505" t="s">
        <v>460</v>
      </c>
    </row>
    <row r="506" spans="1:13">
      <c r="A506" t="s">
        <v>387</v>
      </c>
      <c r="B506">
        <v>31807700</v>
      </c>
      <c r="C506">
        <v>265141</v>
      </c>
      <c r="D506">
        <v>33145422</v>
      </c>
      <c r="E506">
        <v>275789</v>
      </c>
      <c r="F506">
        <v>19180</v>
      </c>
      <c r="G506">
        <v>635726334311</v>
      </c>
      <c r="H506">
        <v>0.96</v>
      </c>
      <c r="M506" t="s">
        <v>460</v>
      </c>
    </row>
    <row r="508" spans="1:13">
      <c r="M508" t="s">
        <v>461</v>
      </c>
    </row>
    <row r="509" spans="1:13">
      <c r="A509" t="s">
        <v>373</v>
      </c>
      <c r="B509" t="s">
        <v>389</v>
      </c>
      <c r="C509" t="s">
        <v>390</v>
      </c>
      <c r="D509" t="s">
        <v>391</v>
      </c>
      <c r="M509" t="s">
        <v>461</v>
      </c>
    </row>
    <row r="510" spans="1:13">
      <c r="A510" t="s">
        <v>382</v>
      </c>
      <c r="B510">
        <v>2902917</v>
      </c>
      <c r="C510">
        <v>24116</v>
      </c>
      <c r="D510">
        <v>7.1</v>
      </c>
      <c r="M510" t="s">
        <v>461</v>
      </c>
    </row>
    <row r="511" spans="1:13">
      <c r="A511" t="s">
        <v>383</v>
      </c>
      <c r="B511">
        <v>2663146</v>
      </c>
      <c r="C511">
        <v>21923</v>
      </c>
      <c r="D511">
        <v>5.9</v>
      </c>
      <c r="M511" t="s">
        <v>461</v>
      </c>
    </row>
    <row r="512" spans="1:13">
      <c r="A512" t="s">
        <v>384</v>
      </c>
      <c r="B512">
        <v>2431769</v>
      </c>
      <c r="C512">
        <v>18009</v>
      </c>
      <c r="D512">
        <v>3.6</v>
      </c>
      <c r="M512" t="s">
        <v>461</v>
      </c>
    </row>
    <row r="513" spans="1:13">
      <c r="A513" t="s">
        <v>385</v>
      </c>
      <c r="B513">
        <v>4021462</v>
      </c>
      <c r="C513">
        <v>31007</v>
      </c>
      <c r="D513">
        <v>6</v>
      </c>
      <c r="M513" t="s">
        <v>461</v>
      </c>
    </row>
    <row r="514" spans="1:13">
      <c r="A514" t="s">
        <v>386</v>
      </c>
      <c r="B514">
        <v>5302257</v>
      </c>
      <c r="C514">
        <v>42999</v>
      </c>
      <c r="D514">
        <v>9.5</v>
      </c>
      <c r="M514" t="s">
        <v>461</v>
      </c>
    </row>
    <row r="516" spans="1:13">
      <c r="M516" t="s">
        <v>462</v>
      </c>
    </row>
    <row r="517" spans="1:13">
      <c r="A517" t="s">
        <v>373</v>
      </c>
      <c r="B517" t="s">
        <v>374</v>
      </c>
      <c r="C517" t="s">
        <v>375</v>
      </c>
      <c r="D517" t="s">
        <v>376</v>
      </c>
      <c r="E517" t="s">
        <v>377</v>
      </c>
      <c r="F517" t="s">
        <v>378</v>
      </c>
      <c r="G517" t="s">
        <v>379</v>
      </c>
      <c r="H517" t="s">
        <v>380</v>
      </c>
      <c r="M517" t="s">
        <v>462</v>
      </c>
    </row>
    <row r="518" spans="1:13">
      <c r="A518" t="s">
        <v>382</v>
      </c>
      <c r="B518">
        <v>359280</v>
      </c>
      <c r="C518">
        <v>3263</v>
      </c>
      <c r="D518">
        <v>713308</v>
      </c>
      <c r="E518">
        <v>6973</v>
      </c>
      <c r="F518">
        <v>6593</v>
      </c>
      <c r="G518">
        <v>4702681227</v>
      </c>
      <c r="H518">
        <v>0.5</v>
      </c>
      <c r="M518" t="s">
        <v>462</v>
      </c>
    </row>
    <row r="519" spans="1:13">
      <c r="A519" t="s">
        <v>383</v>
      </c>
      <c r="B519">
        <v>260694</v>
      </c>
      <c r="C519">
        <v>2376</v>
      </c>
      <c r="D519">
        <v>892688</v>
      </c>
      <c r="E519">
        <v>8677</v>
      </c>
      <c r="F519">
        <v>6450</v>
      </c>
      <c r="G519">
        <v>5758144365</v>
      </c>
      <c r="H519">
        <v>0.28999999999999998</v>
      </c>
      <c r="M519" t="s">
        <v>462</v>
      </c>
    </row>
    <row r="520" spans="1:13">
      <c r="A520" t="s">
        <v>384</v>
      </c>
      <c r="B520">
        <v>1634399</v>
      </c>
      <c r="C520">
        <v>15097</v>
      </c>
      <c r="D520">
        <v>1541387</v>
      </c>
      <c r="E520">
        <v>14571</v>
      </c>
      <c r="F520">
        <v>7124</v>
      </c>
      <c r="G520">
        <v>10980532264</v>
      </c>
      <c r="H520">
        <v>1.06</v>
      </c>
      <c r="M520" t="s">
        <v>462</v>
      </c>
    </row>
    <row r="521" spans="1:13">
      <c r="A521" t="s">
        <v>385</v>
      </c>
      <c r="B521">
        <v>3376594</v>
      </c>
      <c r="C521">
        <v>33807</v>
      </c>
      <c r="D521">
        <v>479742</v>
      </c>
      <c r="E521">
        <v>4739</v>
      </c>
      <c r="F521">
        <v>7252</v>
      </c>
      <c r="G521">
        <v>3479018370</v>
      </c>
      <c r="H521">
        <v>7.04</v>
      </c>
      <c r="M521" t="s">
        <v>462</v>
      </c>
    </row>
    <row r="522" spans="1:13">
      <c r="A522" t="s">
        <v>386</v>
      </c>
      <c r="B522">
        <v>3764779</v>
      </c>
      <c r="C522">
        <v>39340</v>
      </c>
      <c r="D522">
        <v>0</v>
      </c>
      <c r="E522">
        <v>0</v>
      </c>
      <c r="F522">
        <v>0</v>
      </c>
      <c r="G522">
        <v>0</v>
      </c>
      <c r="H522">
        <v>0</v>
      </c>
      <c r="M522" t="s">
        <v>462</v>
      </c>
    </row>
    <row r="523" spans="1:13">
      <c r="A523" t="s">
        <v>387</v>
      </c>
      <c r="B523">
        <v>9395744</v>
      </c>
      <c r="C523">
        <v>93883</v>
      </c>
      <c r="D523">
        <v>3627125</v>
      </c>
      <c r="E523">
        <v>34960</v>
      </c>
      <c r="F523">
        <v>6871</v>
      </c>
      <c r="G523">
        <v>24920376226</v>
      </c>
      <c r="H523">
        <v>2.59</v>
      </c>
      <c r="M523" t="s">
        <v>462</v>
      </c>
    </row>
    <row r="525" spans="1:13">
      <c r="M525" t="s">
        <v>463</v>
      </c>
    </row>
    <row r="526" spans="1:13">
      <c r="A526" t="s">
        <v>373</v>
      </c>
      <c r="B526" t="s">
        <v>389</v>
      </c>
      <c r="C526" t="s">
        <v>390</v>
      </c>
      <c r="D526" t="s">
        <v>391</v>
      </c>
      <c r="E526" t="s">
        <v>406</v>
      </c>
      <c r="M526" t="s">
        <v>463</v>
      </c>
    </row>
    <row r="527" spans="1:13">
      <c r="A527" t="s">
        <v>381</v>
      </c>
      <c r="B527">
        <v>2205103</v>
      </c>
      <c r="C527">
        <v>22580</v>
      </c>
      <c r="D527">
        <v>37.6</v>
      </c>
      <c r="E527">
        <v>33.6</v>
      </c>
      <c r="M527" t="s">
        <v>463</v>
      </c>
    </row>
    <row r="528" spans="1:13">
      <c r="A528" t="s">
        <v>382</v>
      </c>
      <c r="B528">
        <v>2239446</v>
      </c>
      <c r="C528">
        <v>22962</v>
      </c>
      <c r="D528">
        <v>37.700000000000003</v>
      </c>
      <c r="E528">
        <v>33.5</v>
      </c>
      <c r="M528" t="s">
        <v>463</v>
      </c>
    </row>
    <row r="529" spans="1:13">
      <c r="A529" t="s">
        <v>383</v>
      </c>
      <c r="B529">
        <v>2503638</v>
      </c>
      <c r="C529">
        <v>25707</v>
      </c>
      <c r="D529">
        <v>33.700000000000003</v>
      </c>
      <c r="E529">
        <v>24.7</v>
      </c>
      <c r="M529" t="s">
        <v>463</v>
      </c>
    </row>
    <row r="530" spans="1:13">
      <c r="A530" t="s">
        <v>384</v>
      </c>
      <c r="B530">
        <v>3123971</v>
      </c>
      <c r="C530">
        <v>31922</v>
      </c>
      <c r="D530">
        <v>24.3</v>
      </c>
      <c r="E530">
        <v>37.1</v>
      </c>
      <c r="M530" t="s">
        <v>463</v>
      </c>
    </row>
    <row r="531" spans="1:13">
      <c r="A531" t="s">
        <v>385</v>
      </c>
      <c r="B531">
        <v>3014151</v>
      </c>
      <c r="C531">
        <v>31216</v>
      </c>
      <c r="D531">
        <v>75.400000000000006</v>
      </c>
      <c r="E531">
        <v>150.80000000000001</v>
      </c>
      <c r="M531" t="s">
        <v>463</v>
      </c>
    </row>
    <row r="533" spans="1:13">
      <c r="M533" t="s">
        <v>464</v>
      </c>
    </row>
    <row r="534" spans="1:13">
      <c r="A534" t="s">
        <v>373</v>
      </c>
      <c r="B534" t="s">
        <v>374</v>
      </c>
      <c r="C534" t="s">
        <v>375</v>
      </c>
      <c r="D534" t="s">
        <v>376</v>
      </c>
      <c r="E534" t="s">
        <v>377</v>
      </c>
      <c r="F534" t="s">
        <v>378</v>
      </c>
      <c r="G534" t="s">
        <v>379</v>
      </c>
      <c r="H534" t="s">
        <v>380</v>
      </c>
      <c r="M534" t="s">
        <v>464</v>
      </c>
    </row>
    <row r="535" spans="1:13">
      <c r="A535" t="s">
        <v>381</v>
      </c>
      <c r="B535">
        <v>122654</v>
      </c>
      <c r="C535">
        <v>677</v>
      </c>
      <c r="D535">
        <v>39673</v>
      </c>
      <c r="E535">
        <v>461</v>
      </c>
      <c r="F535">
        <v>11783</v>
      </c>
      <c r="G535">
        <v>467448180</v>
      </c>
      <c r="H535">
        <v>3.09</v>
      </c>
      <c r="M535" t="s">
        <v>464</v>
      </c>
    </row>
    <row r="536" spans="1:13">
      <c r="A536" t="s">
        <v>382</v>
      </c>
      <c r="B536">
        <v>222098</v>
      </c>
      <c r="C536">
        <v>1654</v>
      </c>
      <c r="D536">
        <v>520796</v>
      </c>
      <c r="E536">
        <v>5338</v>
      </c>
      <c r="F536">
        <v>13606</v>
      </c>
      <c r="G536">
        <v>7085887387</v>
      </c>
      <c r="H536">
        <v>0.43</v>
      </c>
      <c r="M536" t="s">
        <v>464</v>
      </c>
    </row>
    <row r="537" spans="1:13">
      <c r="A537" t="s">
        <v>383</v>
      </c>
      <c r="B537">
        <v>746246</v>
      </c>
      <c r="C537">
        <v>7027</v>
      </c>
      <c r="D537">
        <v>492993</v>
      </c>
      <c r="E537">
        <v>4802</v>
      </c>
      <c r="F537">
        <v>14247</v>
      </c>
      <c r="G537">
        <v>7023627475</v>
      </c>
      <c r="H537">
        <v>1.51</v>
      </c>
      <c r="M537" t="s">
        <v>464</v>
      </c>
    </row>
    <row r="538" spans="1:13">
      <c r="A538" t="s">
        <v>384</v>
      </c>
      <c r="B538">
        <v>1837776</v>
      </c>
      <c r="C538">
        <v>18513</v>
      </c>
      <c r="D538">
        <v>1419764</v>
      </c>
      <c r="E538">
        <v>14495</v>
      </c>
      <c r="F538">
        <v>12310</v>
      </c>
      <c r="G538">
        <v>17476686098</v>
      </c>
      <c r="H538">
        <v>1.29</v>
      </c>
      <c r="M538" t="s">
        <v>464</v>
      </c>
    </row>
    <row r="539" spans="1:13">
      <c r="A539" t="s">
        <v>385</v>
      </c>
      <c r="B539">
        <v>2017655</v>
      </c>
      <c r="C539">
        <v>20823</v>
      </c>
      <c r="D539">
        <v>1715685</v>
      </c>
      <c r="E539">
        <v>17184</v>
      </c>
      <c r="F539">
        <v>12816</v>
      </c>
      <c r="G539">
        <v>21989047275</v>
      </c>
      <c r="H539">
        <v>1.18</v>
      </c>
      <c r="M539" t="s">
        <v>464</v>
      </c>
    </row>
    <row r="540" spans="1:13">
      <c r="A540" t="s">
        <v>386</v>
      </c>
      <c r="B540">
        <v>1855046</v>
      </c>
      <c r="C540">
        <v>17392</v>
      </c>
      <c r="D540">
        <v>1489951</v>
      </c>
      <c r="E540">
        <v>13937</v>
      </c>
      <c r="F540">
        <v>12305</v>
      </c>
      <c r="G540">
        <v>18334502213</v>
      </c>
      <c r="H540">
        <v>1.25</v>
      </c>
      <c r="M540" t="s">
        <v>464</v>
      </c>
    </row>
    <row r="541" spans="1:13">
      <c r="A541" t="s">
        <v>387</v>
      </c>
      <c r="B541">
        <v>6801476</v>
      </c>
      <c r="C541">
        <v>66086</v>
      </c>
      <c r="D541">
        <v>5678861</v>
      </c>
      <c r="E541">
        <v>56217</v>
      </c>
      <c r="F541">
        <v>12745</v>
      </c>
      <c r="G541">
        <v>72377198627</v>
      </c>
      <c r="H541">
        <v>1.2</v>
      </c>
      <c r="M541" t="s">
        <v>464</v>
      </c>
    </row>
    <row r="543" spans="1:13">
      <c r="M543" t="s">
        <v>465</v>
      </c>
    </row>
    <row r="544" spans="1:13">
      <c r="A544" t="s">
        <v>373</v>
      </c>
      <c r="B544" t="s">
        <v>374</v>
      </c>
      <c r="C544" t="s">
        <v>375</v>
      </c>
      <c r="D544" t="s">
        <v>376</v>
      </c>
      <c r="E544" t="s">
        <v>377</v>
      </c>
      <c r="F544" t="s">
        <v>378</v>
      </c>
      <c r="G544" t="s">
        <v>379</v>
      </c>
      <c r="H544" t="s">
        <v>380</v>
      </c>
      <c r="M544" t="s">
        <v>465</v>
      </c>
    </row>
    <row r="545" spans="1:13">
      <c r="A545" t="s">
        <v>381</v>
      </c>
      <c r="B545">
        <v>0</v>
      </c>
      <c r="C545">
        <v>0</v>
      </c>
      <c r="D545">
        <v>158095</v>
      </c>
      <c r="E545">
        <v>1159</v>
      </c>
      <c r="F545">
        <v>5658</v>
      </c>
      <c r="G545">
        <v>894582036</v>
      </c>
      <c r="H545">
        <v>0</v>
      </c>
      <c r="M545" t="s">
        <v>465</v>
      </c>
    </row>
    <row r="546" spans="1:13">
      <c r="A546" t="s">
        <v>382</v>
      </c>
      <c r="B546">
        <v>1935925</v>
      </c>
      <c r="C546">
        <v>14468</v>
      </c>
      <c r="D546">
        <v>1541414</v>
      </c>
      <c r="E546">
        <v>11701</v>
      </c>
      <c r="F546">
        <v>5487</v>
      </c>
      <c r="G546">
        <v>8457702142</v>
      </c>
      <c r="H546">
        <v>1.26</v>
      </c>
      <c r="M546" t="s">
        <v>465</v>
      </c>
    </row>
    <row r="547" spans="1:13">
      <c r="A547" t="s">
        <v>383</v>
      </c>
      <c r="B547">
        <v>1560340</v>
      </c>
      <c r="C547">
        <v>11842</v>
      </c>
      <c r="D547">
        <v>1187728</v>
      </c>
      <c r="E547">
        <v>9136</v>
      </c>
      <c r="F547">
        <v>5397</v>
      </c>
      <c r="G547">
        <v>6410380397</v>
      </c>
      <c r="H547">
        <v>1.31</v>
      </c>
      <c r="M547" t="s">
        <v>465</v>
      </c>
    </row>
    <row r="548" spans="1:13">
      <c r="A548" t="s">
        <v>384</v>
      </c>
      <c r="B548">
        <v>1557321</v>
      </c>
      <c r="C548">
        <v>11814</v>
      </c>
      <c r="D548">
        <v>691672</v>
      </c>
      <c r="E548">
        <v>5334</v>
      </c>
      <c r="F548">
        <v>5577</v>
      </c>
      <c r="G548">
        <v>3857597890</v>
      </c>
      <c r="H548">
        <v>2.25</v>
      </c>
      <c r="M548" t="s">
        <v>465</v>
      </c>
    </row>
    <row r="549" spans="1:13">
      <c r="A549" t="s">
        <v>385</v>
      </c>
      <c r="B549">
        <v>1218523</v>
      </c>
      <c r="C549">
        <v>9306</v>
      </c>
      <c r="D549">
        <v>0</v>
      </c>
      <c r="E549">
        <v>0</v>
      </c>
      <c r="F549">
        <v>0</v>
      </c>
      <c r="G549">
        <v>0</v>
      </c>
      <c r="H549">
        <v>0</v>
      </c>
      <c r="M549" t="s">
        <v>465</v>
      </c>
    </row>
    <row r="550" spans="1:13">
      <c r="A550" t="s">
        <v>386</v>
      </c>
      <c r="B550">
        <v>1295055</v>
      </c>
      <c r="C550">
        <v>9986</v>
      </c>
      <c r="D550">
        <v>0</v>
      </c>
      <c r="E550">
        <v>0</v>
      </c>
      <c r="F550">
        <v>0</v>
      </c>
      <c r="G550">
        <v>0</v>
      </c>
      <c r="H550">
        <v>0</v>
      </c>
      <c r="M550" t="s">
        <v>465</v>
      </c>
    </row>
    <row r="551" spans="1:13">
      <c r="A551" t="s">
        <v>387</v>
      </c>
      <c r="B551">
        <v>7567163</v>
      </c>
      <c r="C551">
        <v>57416</v>
      </c>
      <c r="D551">
        <v>3578909</v>
      </c>
      <c r="E551">
        <v>27330</v>
      </c>
      <c r="F551">
        <v>5482</v>
      </c>
      <c r="G551">
        <v>19620262465</v>
      </c>
      <c r="H551">
        <v>2.11</v>
      </c>
      <c r="M551" t="s">
        <v>465</v>
      </c>
    </row>
    <row r="553" spans="1:13">
      <c r="M553" t="s">
        <v>466</v>
      </c>
    </row>
    <row r="554" spans="1:13">
      <c r="A554" t="s">
        <v>373</v>
      </c>
      <c r="B554" t="s">
        <v>389</v>
      </c>
      <c r="C554" t="s">
        <v>390</v>
      </c>
      <c r="D554" t="s">
        <v>391</v>
      </c>
      <c r="E554" t="s">
        <v>406</v>
      </c>
      <c r="M554" t="s">
        <v>466</v>
      </c>
    </row>
    <row r="555" spans="1:13">
      <c r="A555" t="s">
        <v>382</v>
      </c>
      <c r="B555">
        <v>5936920</v>
      </c>
      <c r="C555">
        <v>50121</v>
      </c>
      <c r="D555">
        <v>46.2</v>
      </c>
      <c r="E555">
        <v>52.2</v>
      </c>
      <c r="M555" t="s">
        <v>466</v>
      </c>
    </row>
    <row r="556" spans="1:13">
      <c r="A556" t="s">
        <v>383</v>
      </c>
      <c r="B556">
        <v>5616739</v>
      </c>
      <c r="C556">
        <v>47935</v>
      </c>
      <c r="D556">
        <v>56.7</v>
      </c>
      <c r="E556">
        <v>71.7</v>
      </c>
      <c r="M556" t="s">
        <v>466</v>
      </c>
    </row>
    <row r="558" spans="1:13">
      <c r="M558" t="s">
        <v>467</v>
      </c>
    </row>
    <row r="559" spans="1:13">
      <c r="A559" t="s">
        <v>373</v>
      </c>
      <c r="B559" t="s">
        <v>374</v>
      </c>
      <c r="C559" t="s">
        <v>375</v>
      </c>
      <c r="D559" t="s">
        <v>376</v>
      </c>
      <c r="E559" t="s">
        <v>377</v>
      </c>
      <c r="F559" t="s">
        <v>378</v>
      </c>
      <c r="G559" t="s">
        <v>379</v>
      </c>
      <c r="M559" t="s">
        <v>467</v>
      </c>
    </row>
    <row r="560" spans="1:13">
      <c r="A560" t="s">
        <v>382</v>
      </c>
      <c r="B560">
        <v>908065</v>
      </c>
      <c r="C560">
        <v>7310</v>
      </c>
      <c r="D560">
        <v>3597775</v>
      </c>
      <c r="E560">
        <v>31948</v>
      </c>
      <c r="F560">
        <v>10230</v>
      </c>
      <c r="G560">
        <v>36804865724</v>
      </c>
      <c r="M560" t="s">
        <v>467</v>
      </c>
    </row>
    <row r="561" spans="1:13">
      <c r="A561" t="s">
        <v>383</v>
      </c>
      <c r="B561">
        <v>1373969</v>
      </c>
      <c r="C561">
        <v>10592</v>
      </c>
      <c r="D561">
        <v>2346523</v>
      </c>
      <c r="E561">
        <v>19602</v>
      </c>
      <c r="F561">
        <v>10502</v>
      </c>
      <c r="G561">
        <v>24643619979</v>
      </c>
      <c r="M561" t="s">
        <v>467</v>
      </c>
    </row>
    <row r="562" spans="1:13">
      <c r="A562" t="s">
        <v>384</v>
      </c>
      <c r="B562">
        <v>3431684</v>
      </c>
      <c r="C562">
        <v>29623</v>
      </c>
      <c r="D562">
        <v>6750666</v>
      </c>
      <c r="E562">
        <v>56980</v>
      </c>
      <c r="F562">
        <v>10387</v>
      </c>
      <c r="G562">
        <v>70117511454</v>
      </c>
      <c r="M562" t="s">
        <v>467</v>
      </c>
    </row>
    <row r="563" spans="1:13">
      <c r="A563" t="s">
        <v>385</v>
      </c>
      <c r="B563">
        <v>5208770</v>
      </c>
      <c r="C563">
        <v>44039</v>
      </c>
      <c r="D563">
        <v>6198556</v>
      </c>
      <c r="E563">
        <v>53268</v>
      </c>
      <c r="F563">
        <v>9643</v>
      </c>
      <c r="G563">
        <v>59771721551</v>
      </c>
      <c r="M563" t="s">
        <v>467</v>
      </c>
    </row>
    <row r="564" spans="1:13">
      <c r="A564" t="s">
        <v>386</v>
      </c>
      <c r="B564">
        <v>3215106</v>
      </c>
      <c r="C564">
        <v>25146</v>
      </c>
      <c r="D564">
        <v>6312841</v>
      </c>
      <c r="E564">
        <v>51428</v>
      </c>
      <c r="F564">
        <v>9014</v>
      </c>
      <c r="G564">
        <v>56906076188</v>
      </c>
      <c r="M564" t="s">
        <v>467</v>
      </c>
    </row>
    <row r="565" spans="1:13">
      <c r="A565" t="s">
        <v>387</v>
      </c>
      <c r="B565">
        <v>14137594</v>
      </c>
      <c r="C565">
        <v>116710</v>
      </c>
      <c r="D565">
        <v>25206361</v>
      </c>
      <c r="E565">
        <v>213226</v>
      </c>
      <c r="F565">
        <v>9848</v>
      </c>
      <c r="G565">
        <v>248243794896</v>
      </c>
      <c r="M565" t="s">
        <v>467</v>
      </c>
    </row>
    <row r="567" spans="1:13">
      <c r="M567" t="s">
        <v>468</v>
      </c>
    </row>
    <row r="568" spans="1:13">
      <c r="A568" t="s">
        <v>373</v>
      </c>
      <c r="B568" t="s">
        <v>389</v>
      </c>
      <c r="C568" t="s">
        <v>390</v>
      </c>
      <c r="D568" t="s">
        <v>391</v>
      </c>
      <c r="M568" t="s">
        <v>468</v>
      </c>
    </row>
    <row r="569" spans="1:13">
      <c r="A569" t="s">
        <v>382</v>
      </c>
      <c r="B569">
        <v>11432442</v>
      </c>
      <c r="C569">
        <v>106156</v>
      </c>
      <c r="D569">
        <v>38.1</v>
      </c>
      <c r="M569" t="s">
        <v>468</v>
      </c>
    </row>
    <row r="570" spans="1:13">
      <c r="A570" t="s">
        <v>383</v>
      </c>
      <c r="B570">
        <v>12053806</v>
      </c>
      <c r="C570">
        <v>112336</v>
      </c>
      <c r="D570">
        <v>61.6</v>
      </c>
      <c r="M570" t="s">
        <v>468</v>
      </c>
    </row>
    <row r="571" spans="1:13">
      <c r="A571" t="s">
        <v>384</v>
      </c>
      <c r="B571">
        <v>10883495</v>
      </c>
      <c r="C571">
        <v>92628</v>
      </c>
      <c r="D571">
        <v>19.3</v>
      </c>
      <c r="M571" t="s">
        <v>468</v>
      </c>
    </row>
    <row r="572" spans="1:13">
      <c r="A572" t="s">
        <v>385</v>
      </c>
      <c r="B572">
        <v>12868607</v>
      </c>
      <c r="C572">
        <v>109123</v>
      </c>
      <c r="D572">
        <v>24.9</v>
      </c>
      <c r="M572" t="s">
        <v>468</v>
      </c>
    </row>
    <row r="573" spans="1:13">
      <c r="A573" t="s">
        <v>386</v>
      </c>
      <c r="B573">
        <v>10077292</v>
      </c>
      <c r="C573">
        <v>86149</v>
      </c>
      <c r="D573">
        <v>19.2</v>
      </c>
      <c r="M573" t="s">
        <v>468</v>
      </c>
    </row>
    <row r="575" spans="1:13">
      <c r="M575" t="s">
        <v>469</v>
      </c>
    </row>
    <row r="576" spans="1:13">
      <c r="A576" t="s">
        <v>373</v>
      </c>
      <c r="B576" t="s">
        <v>374</v>
      </c>
      <c r="C576" t="s">
        <v>375</v>
      </c>
      <c r="D576" t="s">
        <v>376</v>
      </c>
      <c r="E576" t="s">
        <v>377</v>
      </c>
      <c r="F576" t="s">
        <v>378</v>
      </c>
      <c r="G576" t="s">
        <v>379</v>
      </c>
      <c r="H576" t="s">
        <v>380</v>
      </c>
      <c r="M576" t="s">
        <v>469</v>
      </c>
    </row>
    <row r="577" spans="1:13">
      <c r="A577" t="s">
        <v>382</v>
      </c>
      <c r="B577">
        <v>1431902</v>
      </c>
      <c r="C577">
        <v>14645</v>
      </c>
      <c r="D577">
        <v>1411607</v>
      </c>
      <c r="E577">
        <v>14178</v>
      </c>
      <c r="F577">
        <v>12452</v>
      </c>
      <c r="G577">
        <v>17577918957</v>
      </c>
      <c r="H577">
        <v>1.01</v>
      </c>
      <c r="M577" t="s">
        <v>469</v>
      </c>
    </row>
    <row r="578" spans="1:13">
      <c r="A578" t="s">
        <v>383</v>
      </c>
      <c r="B578">
        <v>1941032</v>
      </c>
      <c r="C578">
        <v>18879</v>
      </c>
      <c r="D578">
        <v>1699876</v>
      </c>
      <c r="E578">
        <v>16582</v>
      </c>
      <c r="F578">
        <v>12683</v>
      </c>
      <c r="G578">
        <v>21559729964</v>
      </c>
      <c r="H578">
        <v>1.1399999999999999</v>
      </c>
      <c r="M578" t="s">
        <v>469</v>
      </c>
    </row>
    <row r="579" spans="1:13">
      <c r="A579" t="s">
        <v>384</v>
      </c>
      <c r="B579">
        <v>3175223</v>
      </c>
      <c r="C579">
        <v>31955</v>
      </c>
      <c r="D579">
        <v>3145225</v>
      </c>
      <c r="E579">
        <v>30248</v>
      </c>
      <c r="F579">
        <v>14031</v>
      </c>
      <c r="G579">
        <v>44130061112</v>
      </c>
      <c r="H579">
        <v>1.01</v>
      </c>
      <c r="M579" t="s">
        <v>469</v>
      </c>
    </row>
    <row r="580" spans="1:13">
      <c r="A580" t="s">
        <v>385</v>
      </c>
      <c r="B580">
        <v>8536025</v>
      </c>
      <c r="C580">
        <v>81977</v>
      </c>
      <c r="D580">
        <v>255338</v>
      </c>
      <c r="E580">
        <v>2535</v>
      </c>
      <c r="F580">
        <v>13239</v>
      </c>
      <c r="G580">
        <v>3380309128</v>
      </c>
      <c r="H580">
        <v>33.43</v>
      </c>
      <c r="M580" t="s">
        <v>469</v>
      </c>
    </row>
    <row r="581" spans="1:13">
      <c r="A581" t="s">
        <v>386</v>
      </c>
      <c r="B581">
        <v>7370529</v>
      </c>
      <c r="C581">
        <v>70972</v>
      </c>
      <c r="D581">
        <v>2357015</v>
      </c>
      <c r="E581">
        <v>22702</v>
      </c>
      <c r="F581">
        <v>15355</v>
      </c>
      <c r="G581">
        <v>36191409349</v>
      </c>
      <c r="H581">
        <v>3.13</v>
      </c>
      <c r="M581" t="s">
        <v>469</v>
      </c>
    </row>
    <row r="582" spans="1:13">
      <c r="A582" t="s">
        <v>387</v>
      </c>
      <c r="B582">
        <v>22454712</v>
      </c>
      <c r="C582">
        <v>218428</v>
      </c>
      <c r="D582">
        <v>8869061</v>
      </c>
      <c r="E582">
        <v>86245</v>
      </c>
      <c r="F582">
        <v>13850</v>
      </c>
      <c r="G582">
        <v>122839428510</v>
      </c>
      <c r="H582">
        <v>2.5299999999999998</v>
      </c>
      <c r="M582" t="s">
        <v>469</v>
      </c>
    </row>
    <row r="584" spans="1:13">
      <c r="M584" t="s">
        <v>470</v>
      </c>
    </row>
    <row r="585" spans="1:13">
      <c r="A585" t="s">
        <v>373</v>
      </c>
      <c r="B585" t="s">
        <v>389</v>
      </c>
      <c r="C585" t="s">
        <v>390</v>
      </c>
      <c r="D585" t="s">
        <v>391</v>
      </c>
      <c r="M585" t="s">
        <v>470</v>
      </c>
    </row>
    <row r="586" spans="1:13">
      <c r="A586" t="s">
        <v>382</v>
      </c>
      <c r="B586">
        <v>7029817</v>
      </c>
      <c r="C586">
        <v>67577</v>
      </c>
      <c r="D586">
        <v>59.8</v>
      </c>
      <c r="M586" t="s">
        <v>470</v>
      </c>
    </row>
    <row r="587" spans="1:13">
      <c r="A587" t="s">
        <v>383</v>
      </c>
      <c r="B587">
        <v>7458782</v>
      </c>
      <c r="C587">
        <v>71502</v>
      </c>
      <c r="D587">
        <v>52.7</v>
      </c>
      <c r="M587" t="s">
        <v>470</v>
      </c>
    </row>
    <row r="588" spans="1:13">
      <c r="A588" t="s">
        <v>384</v>
      </c>
      <c r="B588">
        <v>7531864</v>
      </c>
      <c r="C588">
        <v>71259</v>
      </c>
      <c r="D588">
        <v>28.7</v>
      </c>
      <c r="M588" t="s">
        <v>470</v>
      </c>
    </row>
    <row r="589" spans="1:13">
      <c r="A589" t="s">
        <v>385</v>
      </c>
      <c r="B589">
        <v>9160076</v>
      </c>
      <c r="C589">
        <v>86298</v>
      </c>
      <c r="D589">
        <v>430.5</v>
      </c>
      <c r="M589" t="s">
        <v>470</v>
      </c>
    </row>
    <row r="590" spans="1:13">
      <c r="A590" t="s">
        <v>386</v>
      </c>
      <c r="B590">
        <v>0</v>
      </c>
      <c r="C590">
        <v>0</v>
      </c>
      <c r="D590">
        <v>0</v>
      </c>
      <c r="M590" t="s">
        <v>470</v>
      </c>
    </row>
    <row r="592" spans="1:13">
      <c r="M592" t="s">
        <v>471</v>
      </c>
    </row>
    <row r="593" spans="1:13">
      <c r="A593" t="s">
        <v>373</v>
      </c>
      <c r="B593" t="s">
        <v>374</v>
      </c>
      <c r="C593" t="s">
        <v>375</v>
      </c>
      <c r="D593" t="s">
        <v>376</v>
      </c>
      <c r="E593" t="s">
        <v>377</v>
      </c>
      <c r="F593" t="s">
        <v>378</v>
      </c>
      <c r="G593" t="s">
        <v>379</v>
      </c>
      <c r="H593" t="s">
        <v>380</v>
      </c>
      <c r="M593" t="s">
        <v>471</v>
      </c>
    </row>
    <row r="594" spans="1:13">
      <c r="A594" t="s">
        <v>382</v>
      </c>
      <c r="B594">
        <v>21791</v>
      </c>
      <c r="C594">
        <v>190</v>
      </c>
      <c r="D594">
        <v>0</v>
      </c>
      <c r="E594">
        <v>0</v>
      </c>
      <c r="F594">
        <v>0</v>
      </c>
      <c r="G594">
        <v>0</v>
      </c>
      <c r="H594">
        <v>0</v>
      </c>
      <c r="M594" t="s">
        <v>471</v>
      </c>
    </row>
    <row r="595" spans="1:13">
      <c r="A595" t="s">
        <v>383</v>
      </c>
      <c r="B595">
        <v>1541653</v>
      </c>
      <c r="C595">
        <v>11569</v>
      </c>
      <c r="D595">
        <v>1369343</v>
      </c>
      <c r="E595">
        <v>10407</v>
      </c>
      <c r="F595">
        <v>17448</v>
      </c>
      <c r="G595">
        <v>23892778403</v>
      </c>
      <c r="H595">
        <v>1.1299999999999999</v>
      </c>
      <c r="M595" t="s">
        <v>471</v>
      </c>
    </row>
    <row r="596" spans="1:13">
      <c r="A596" t="s">
        <v>384</v>
      </c>
      <c r="B596">
        <v>2110881</v>
      </c>
      <c r="C596">
        <v>16149</v>
      </c>
      <c r="D596">
        <v>2016666</v>
      </c>
      <c r="E596">
        <v>16847</v>
      </c>
      <c r="F596">
        <v>14604</v>
      </c>
      <c r="G596">
        <v>29451034393</v>
      </c>
      <c r="H596">
        <v>1.05</v>
      </c>
      <c r="M596" t="s">
        <v>471</v>
      </c>
    </row>
    <row r="597" spans="1:13">
      <c r="A597" t="s">
        <v>385</v>
      </c>
      <c r="B597">
        <v>2637358</v>
      </c>
      <c r="C597">
        <v>23565</v>
      </c>
      <c r="D597">
        <v>1470764</v>
      </c>
      <c r="E597">
        <v>13024</v>
      </c>
      <c r="F597">
        <v>14280</v>
      </c>
      <c r="G597">
        <v>21001891406</v>
      </c>
      <c r="H597">
        <v>1.79</v>
      </c>
      <c r="M597" t="s">
        <v>471</v>
      </c>
    </row>
    <row r="598" spans="1:13">
      <c r="A598" t="s">
        <v>386</v>
      </c>
      <c r="B598">
        <v>2749592</v>
      </c>
      <c r="C598">
        <v>23215</v>
      </c>
      <c r="D598">
        <v>187924</v>
      </c>
      <c r="E598">
        <v>1652</v>
      </c>
      <c r="F598">
        <v>13519</v>
      </c>
      <c r="G598">
        <v>2540452923</v>
      </c>
      <c r="H598">
        <v>14.63</v>
      </c>
      <c r="M598" t="s">
        <v>471</v>
      </c>
    </row>
    <row r="599" spans="1:13">
      <c r="A599" t="s">
        <v>393</v>
      </c>
      <c r="B599">
        <v>1834450</v>
      </c>
      <c r="C599">
        <v>15854</v>
      </c>
      <c r="D599">
        <v>5319</v>
      </c>
      <c r="E599">
        <v>40</v>
      </c>
      <c r="F599">
        <v>13591</v>
      </c>
      <c r="G599">
        <v>72291214</v>
      </c>
      <c r="H599">
        <v>344.88</v>
      </c>
      <c r="M599" t="s">
        <v>471</v>
      </c>
    </row>
    <row r="600" spans="1:13">
      <c r="A600" t="s">
        <v>387</v>
      </c>
      <c r="B600">
        <v>10895727</v>
      </c>
      <c r="C600">
        <v>90542</v>
      </c>
      <c r="D600">
        <v>5050016</v>
      </c>
      <c r="E600">
        <v>41970</v>
      </c>
      <c r="F600">
        <v>15239</v>
      </c>
      <c r="G600">
        <v>76958448339</v>
      </c>
      <c r="H600">
        <v>2.16</v>
      </c>
      <c r="M600" t="s">
        <v>471</v>
      </c>
    </row>
    <row r="602" spans="1:13">
      <c r="M602" t="s">
        <v>472</v>
      </c>
    </row>
    <row r="603" spans="1:13">
      <c r="A603" t="s">
        <v>373</v>
      </c>
      <c r="B603" t="s">
        <v>389</v>
      </c>
      <c r="C603" t="s">
        <v>390</v>
      </c>
      <c r="D603" t="s">
        <v>391</v>
      </c>
      <c r="M603" t="s">
        <v>472</v>
      </c>
    </row>
    <row r="604" spans="1:13">
      <c r="A604" t="s">
        <v>383</v>
      </c>
      <c r="B604">
        <v>1660982</v>
      </c>
      <c r="C604">
        <v>13195</v>
      </c>
      <c r="D604">
        <v>14.6</v>
      </c>
      <c r="M604" t="s">
        <v>472</v>
      </c>
    </row>
    <row r="605" spans="1:13">
      <c r="A605" t="s">
        <v>384</v>
      </c>
      <c r="B605">
        <v>1576122</v>
      </c>
      <c r="C605">
        <v>13194</v>
      </c>
      <c r="D605">
        <v>9.4</v>
      </c>
      <c r="M605" t="s">
        <v>472</v>
      </c>
    </row>
    <row r="606" spans="1:13">
      <c r="A606" t="s">
        <v>385</v>
      </c>
      <c r="B606">
        <v>1134308</v>
      </c>
      <c r="C606">
        <v>10777</v>
      </c>
      <c r="D606">
        <v>9.3000000000000007</v>
      </c>
      <c r="M606" t="s">
        <v>472</v>
      </c>
    </row>
    <row r="608" spans="1:13">
      <c r="M608" t="s">
        <v>473</v>
      </c>
    </row>
    <row r="609" spans="1:13">
      <c r="A609" t="s">
        <v>373</v>
      </c>
      <c r="B609" t="s">
        <v>374</v>
      </c>
      <c r="C609" t="s">
        <v>375</v>
      </c>
      <c r="D609" t="s">
        <v>376</v>
      </c>
      <c r="E609" t="s">
        <v>377</v>
      </c>
      <c r="F609" t="s">
        <v>378</v>
      </c>
      <c r="G609" t="s">
        <v>379</v>
      </c>
      <c r="H609" t="s">
        <v>380</v>
      </c>
      <c r="M609" t="s">
        <v>473</v>
      </c>
    </row>
    <row r="610" spans="1:13">
      <c r="A610" t="s">
        <v>381</v>
      </c>
      <c r="B610">
        <v>0</v>
      </c>
      <c r="C610">
        <v>0</v>
      </c>
      <c r="D610">
        <v>12093</v>
      </c>
      <c r="E610">
        <v>108</v>
      </c>
      <c r="F610">
        <v>15044</v>
      </c>
      <c r="G610">
        <v>181916637</v>
      </c>
      <c r="H610">
        <v>0</v>
      </c>
      <c r="M610" t="s">
        <v>473</v>
      </c>
    </row>
    <row r="611" spans="1:13">
      <c r="A611" t="s">
        <v>382</v>
      </c>
      <c r="B611">
        <v>184485</v>
      </c>
      <c r="C611">
        <v>1692</v>
      </c>
      <c r="D611">
        <v>359872</v>
      </c>
      <c r="E611">
        <v>3462</v>
      </c>
      <c r="F611">
        <v>19253</v>
      </c>
      <c r="G611">
        <v>6928519578</v>
      </c>
      <c r="H611">
        <v>0.51</v>
      </c>
      <c r="M611" t="s">
        <v>473</v>
      </c>
    </row>
    <row r="612" spans="1:13">
      <c r="A612" t="s">
        <v>383</v>
      </c>
      <c r="B612">
        <v>512722</v>
      </c>
      <c r="C612">
        <v>4644</v>
      </c>
      <c r="D612">
        <v>309643</v>
      </c>
      <c r="E612">
        <v>2974</v>
      </c>
      <c r="F612">
        <v>18815</v>
      </c>
      <c r="G612">
        <v>5826046493</v>
      </c>
      <c r="H612">
        <v>1.66</v>
      </c>
      <c r="M612" t="s">
        <v>473</v>
      </c>
    </row>
    <row r="613" spans="1:13">
      <c r="A613" t="s">
        <v>384</v>
      </c>
      <c r="B613">
        <v>716302</v>
      </c>
      <c r="C613">
        <v>8180</v>
      </c>
      <c r="D613">
        <v>0</v>
      </c>
      <c r="E613">
        <v>0</v>
      </c>
      <c r="F613">
        <v>0</v>
      </c>
      <c r="G613">
        <v>0</v>
      </c>
      <c r="H613">
        <v>0</v>
      </c>
      <c r="M613" t="s">
        <v>473</v>
      </c>
    </row>
    <row r="614" spans="1:13">
      <c r="A614" t="s">
        <v>385</v>
      </c>
      <c r="B614">
        <v>1134322</v>
      </c>
      <c r="C614">
        <v>12524</v>
      </c>
      <c r="D614">
        <v>0</v>
      </c>
      <c r="E614">
        <v>0</v>
      </c>
      <c r="F614">
        <v>0</v>
      </c>
      <c r="G614">
        <v>0</v>
      </c>
      <c r="H614">
        <v>0</v>
      </c>
      <c r="M614" t="s">
        <v>473</v>
      </c>
    </row>
    <row r="615" spans="1:13">
      <c r="A615" t="s">
        <v>386</v>
      </c>
      <c r="B615">
        <v>1096910</v>
      </c>
      <c r="C615">
        <v>12425</v>
      </c>
      <c r="D615">
        <v>0</v>
      </c>
      <c r="E615">
        <v>0</v>
      </c>
      <c r="F615">
        <v>0</v>
      </c>
      <c r="G615">
        <v>0</v>
      </c>
      <c r="H615">
        <v>0</v>
      </c>
      <c r="M615" t="s">
        <v>473</v>
      </c>
    </row>
    <row r="616" spans="1:13">
      <c r="A616" t="s">
        <v>387</v>
      </c>
      <c r="B616">
        <v>3644741</v>
      </c>
      <c r="C616">
        <v>39465</v>
      </c>
      <c r="D616">
        <v>681607</v>
      </c>
      <c r="E616">
        <v>6544</v>
      </c>
      <c r="F616">
        <v>18979</v>
      </c>
      <c r="G616">
        <v>12936482708</v>
      </c>
      <c r="H616">
        <v>5.35</v>
      </c>
      <c r="M616" t="s">
        <v>473</v>
      </c>
    </row>
    <row r="618" spans="1:13">
      <c r="M618" t="s">
        <v>474</v>
      </c>
    </row>
    <row r="619" spans="1:13">
      <c r="A619" t="s">
        <v>373</v>
      </c>
      <c r="B619" t="s">
        <v>389</v>
      </c>
      <c r="C619" t="s">
        <v>390</v>
      </c>
      <c r="D619" t="s">
        <v>391</v>
      </c>
      <c r="M619" t="s">
        <v>474</v>
      </c>
    </row>
    <row r="620" spans="1:13">
      <c r="A620" t="s">
        <v>381</v>
      </c>
      <c r="B620">
        <v>565650</v>
      </c>
      <c r="C620">
        <v>5773</v>
      </c>
      <c r="D620">
        <v>21.2</v>
      </c>
      <c r="M620" t="s">
        <v>474</v>
      </c>
    </row>
    <row r="621" spans="1:13">
      <c r="A621" t="s">
        <v>382</v>
      </c>
      <c r="B621">
        <v>574259</v>
      </c>
      <c r="C621">
        <v>5848</v>
      </c>
      <c r="D621">
        <v>19.100000000000001</v>
      </c>
      <c r="M621" t="s">
        <v>474</v>
      </c>
    </row>
    <row r="622" spans="1:13">
      <c r="A622" t="s">
        <v>383</v>
      </c>
      <c r="B622">
        <v>650508</v>
      </c>
      <c r="C622">
        <v>6623</v>
      </c>
      <c r="D622">
        <v>25.2</v>
      </c>
      <c r="M622" t="s">
        <v>474</v>
      </c>
    </row>
    <row r="623" spans="1:13">
      <c r="A623" t="s">
        <v>384</v>
      </c>
      <c r="B623">
        <v>0</v>
      </c>
      <c r="C623">
        <v>0</v>
      </c>
      <c r="D623">
        <v>0</v>
      </c>
      <c r="M623" t="s">
        <v>474</v>
      </c>
    </row>
    <row r="624" spans="1:13">
      <c r="A624" t="s">
        <v>385</v>
      </c>
      <c r="B624">
        <v>0</v>
      </c>
      <c r="C624">
        <v>0</v>
      </c>
      <c r="D624">
        <v>0</v>
      </c>
      <c r="M624" t="s">
        <v>474</v>
      </c>
    </row>
    <row r="625" spans="1:13">
      <c r="A625" t="s">
        <v>386</v>
      </c>
      <c r="B625">
        <v>0</v>
      </c>
      <c r="C625">
        <v>0</v>
      </c>
      <c r="D625">
        <v>0</v>
      </c>
      <c r="M625" t="s">
        <v>474</v>
      </c>
    </row>
    <row r="627" spans="1:13">
      <c r="M627" t="s">
        <v>475</v>
      </c>
    </row>
    <row r="628" spans="1:13">
      <c r="A628" t="s">
        <v>373</v>
      </c>
      <c r="B628" t="s">
        <v>374</v>
      </c>
      <c r="C628" t="s">
        <v>375</v>
      </c>
      <c r="D628" t="s">
        <v>376</v>
      </c>
      <c r="E628" t="s">
        <v>377</v>
      </c>
      <c r="F628" t="s">
        <v>378</v>
      </c>
      <c r="G628" t="s">
        <v>379</v>
      </c>
      <c r="H628" t="s">
        <v>380</v>
      </c>
      <c r="M628" t="s">
        <v>475</v>
      </c>
    </row>
    <row r="629" spans="1:13">
      <c r="A629" t="s">
        <v>382</v>
      </c>
      <c r="B629">
        <v>311490</v>
      </c>
      <c r="C629">
        <v>2530</v>
      </c>
      <c r="D629">
        <v>327505</v>
      </c>
      <c r="E629">
        <v>2600</v>
      </c>
      <c r="F629">
        <v>4628</v>
      </c>
      <c r="G629">
        <v>1515801989</v>
      </c>
      <c r="H629">
        <v>0.95</v>
      </c>
      <c r="M629" t="s">
        <v>475</v>
      </c>
    </row>
    <row r="630" spans="1:13">
      <c r="A630" t="s">
        <v>383</v>
      </c>
      <c r="B630">
        <v>422180</v>
      </c>
      <c r="C630">
        <v>3632</v>
      </c>
      <c r="D630">
        <v>327741</v>
      </c>
      <c r="E630">
        <v>2627</v>
      </c>
      <c r="F630">
        <v>4591</v>
      </c>
      <c r="G630">
        <v>1504742972</v>
      </c>
      <c r="H630">
        <v>1.29</v>
      </c>
      <c r="M630" t="s">
        <v>475</v>
      </c>
    </row>
    <row r="631" spans="1:13">
      <c r="A631" t="s">
        <v>384</v>
      </c>
      <c r="B631">
        <v>559747</v>
      </c>
      <c r="C631">
        <v>3916</v>
      </c>
      <c r="D631">
        <v>321283</v>
      </c>
      <c r="E631">
        <v>2407</v>
      </c>
      <c r="F631">
        <v>4397</v>
      </c>
      <c r="G631">
        <v>1412543758</v>
      </c>
      <c r="H631">
        <v>1.74</v>
      </c>
      <c r="M631" t="s">
        <v>475</v>
      </c>
    </row>
    <row r="632" spans="1:13">
      <c r="A632" t="s">
        <v>385</v>
      </c>
      <c r="B632">
        <v>259702</v>
      </c>
      <c r="C632">
        <v>1942</v>
      </c>
      <c r="D632">
        <v>413130</v>
      </c>
      <c r="E632">
        <v>3378</v>
      </c>
      <c r="F632">
        <v>4361</v>
      </c>
      <c r="G632">
        <v>1801606354</v>
      </c>
      <c r="H632">
        <v>0.63</v>
      </c>
      <c r="M632" t="s">
        <v>475</v>
      </c>
    </row>
    <row r="633" spans="1:13">
      <c r="A633" t="s">
        <v>386</v>
      </c>
      <c r="B633">
        <v>442948</v>
      </c>
      <c r="C633">
        <v>3360</v>
      </c>
      <c r="D633">
        <v>184251</v>
      </c>
      <c r="E633">
        <v>1508</v>
      </c>
      <c r="F633">
        <v>4369</v>
      </c>
      <c r="G633">
        <v>805056101</v>
      </c>
      <c r="H633">
        <v>2.4</v>
      </c>
      <c r="M633" t="s">
        <v>475</v>
      </c>
    </row>
    <row r="634" spans="1:13">
      <c r="A634" t="s">
        <v>387</v>
      </c>
      <c r="B634">
        <v>1996067</v>
      </c>
      <c r="C634">
        <v>15380</v>
      </c>
      <c r="D634">
        <v>1573911</v>
      </c>
      <c r="E634">
        <v>12520</v>
      </c>
      <c r="F634">
        <v>4473</v>
      </c>
      <c r="G634">
        <v>7039751173</v>
      </c>
      <c r="H634">
        <v>1.27</v>
      </c>
      <c r="M634" t="s">
        <v>475</v>
      </c>
    </row>
    <row r="636" spans="1:13">
      <c r="M636" t="s">
        <v>476</v>
      </c>
    </row>
    <row r="637" spans="1:13">
      <c r="A637" t="s">
        <v>373</v>
      </c>
      <c r="B637" t="s">
        <v>389</v>
      </c>
      <c r="C637" t="s">
        <v>390</v>
      </c>
      <c r="D637" t="s">
        <v>391</v>
      </c>
      <c r="E637" t="s">
        <v>406</v>
      </c>
      <c r="M637" t="s">
        <v>476</v>
      </c>
    </row>
    <row r="638" spans="1:13">
      <c r="A638" t="s">
        <v>381</v>
      </c>
      <c r="B638">
        <v>1854600</v>
      </c>
      <c r="C638">
        <v>16046</v>
      </c>
      <c r="D638">
        <v>69.5</v>
      </c>
      <c r="E638">
        <v>69.5</v>
      </c>
      <c r="M638" t="s">
        <v>476</v>
      </c>
    </row>
    <row r="639" spans="1:13">
      <c r="A639" t="s">
        <v>382</v>
      </c>
      <c r="B639">
        <v>1873147</v>
      </c>
      <c r="C639">
        <v>16194</v>
      </c>
      <c r="D639">
        <v>68.599999999999994</v>
      </c>
      <c r="E639">
        <v>68.599999999999994</v>
      </c>
      <c r="M639" t="s">
        <v>476</v>
      </c>
    </row>
    <row r="640" spans="1:13">
      <c r="A640" t="s">
        <v>383</v>
      </c>
      <c r="B640">
        <v>1883349</v>
      </c>
      <c r="C640">
        <v>16228</v>
      </c>
      <c r="D640">
        <v>69</v>
      </c>
      <c r="E640">
        <v>69.599999999999994</v>
      </c>
      <c r="M640" t="s">
        <v>476</v>
      </c>
    </row>
    <row r="641" spans="1:13">
      <c r="A641" t="s">
        <v>384</v>
      </c>
      <c r="B641">
        <v>1780203</v>
      </c>
      <c r="C641">
        <v>15157</v>
      </c>
      <c r="D641">
        <v>66.5</v>
      </c>
      <c r="E641">
        <v>58.2</v>
      </c>
      <c r="M641" t="s">
        <v>476</v>
      </c>
    </row>
    <row r="642" spans="1:13">
      <c r="A642" t="s">
        <v>385</v>
      </c>
      <c r="B642">
        <v>1464238</v>
      </c>
      <c r="C642">
        <v>13046</v>
      </c>
      <c r="D642">
        <v>42.5</v>
      </c>
      <c r="E642">
        <v>58.8</v>
      </c>
      <c r="M642" t="s">
        <v>476</v>
      </c>
    </row>
    <row r="643" spans="1:13">
      <c r="A643" t="s">
        <v>386</v>
      </c>
      <c r="B643">
        <v>1494555</v>
      </c>
      <c r="C643">
        <v>13382</v>
      </c>
      <c r="D643">
        <v>97.3</v>
      </c>
      <c r="E643">
        <v>194.7</v>
      </c>
      <c r="M643" t="s">
        <v>476</v>
      </c>
    </row>
    <row r="645" spans="1:13">
      <c r="M645" t="s">
        <v>477</v>
      </c>
    </row>
    <row r="646" spans="1:13">
      <c r="A646" t="s">
        <v>373</v>
      </c>
      <c r="B646" t="s">
        <v>374</v>
      </c>
      <c r="C646" t="s">
        <v>375</v>
      </c>
      <c r="D646" t="s">
        <v>376</v>
      </c>
      <c r="E646" t="s">
        <v>377</v>
      </c>
      <c r="F646" t="s">
        <v>378</v>
      </c>
      <c r="G646" t="s">
        <v>379</v>
      </c>
      <c r="H646" t="s">
        <v>380</v>
      </c>
      <c r="M646" t="s">
        <v>477</v>
      </c>
    </row>
    <row r="647" spans="1:13">
      <c r="A647" t="s">
        <v>382</v>
      </c>
      <c r="B647">
        <v>707741</v>
      </c>
      <c r="C647">
        <v>5308</v>
      </c>
      <c r="D647">
        <v>816221</v>
      </c>
      <c r="E647">
        <v>6257</v>
      </c>
      <c r="F647">
        <v>5329</v>
      </c>
      <c r="G647">
        <v>4350050158</v>
      </c>
      <c r="H647">
        <v>0.87</v>
      </c>
      <c r="M647" t="s">
        <v>477</v>
      </c>
    </row>
    <row r="648" spans="1:13">
      <c r="A648" t="s">
        <v>383</v>
      </c>
      <c r="B648">
        <v>729716</v>
      </c>
      <c r="C648">
        <v>5535</v>
      </c>
      <c r="D648">
        <v>660279</v>
      </c>
      <c r="E648">
        <v>5167</v>
      </c>
      <c r="F648">
        <v>5224</v>
      </c>
      <c r="G648">
        <v>3449595535</v>
      </c>
      <c r="H648">
        <v>1.1100000000000001</v>
      </c>
      <c r="M648" t="s">
        <v>477</v>
      </c>
    </row>
    <row r="649" spans="1:13">
      <c r="A649" t="s">
        <v>384</v>
      </c>
      <c r="B649">
        <v>942867</v>
      </c>
      <c r="C649">
        <v>7580</v>
      </c>
      <c r="D649">
        <v>329569</v>
      </c>
      <c r="E649">
        <v>2609</v>
      </c>
      <c r="F649">
        <v>5120</v>
      </c>
      <c r="G649">
        <v>1687395884</v>
      </c>
      <c r="H649">
        <v>2.86</v>
      </c>
      <c r="M649" t="s">
        <v>477</v>
      </c>
    </row>
    <row r="650" spans="1:13">
      <c r="A650" t="s">
        <v>385</v>
      </c>
      <c r="B650">
        <v>685303</v>
      </c>
      <c r="C650">
        <v>5540</v>
      </c>
      <c r="D650">
        <v>0</v>
      </c>
      <c r="E650">
        <v>0</v>
      </c>
      <c r="F650">
        <v>0</v>
      </c>
      <c r="G650">
        <v>0</v>
      </c>
      <c r="H650">
        <v>0</v>
      </c>
      <c r="M650" t="s">
        <v>477</v>
      </c>
    </row>
    <row r="651" spans="1:13">
      <c r="A651" t="s">
        <v>386</v>
      </c>
      <c r="B651">
        <v>941747</v>
      </c>
      <c r="C651">
        <v>7377</v>
      </c>
      <c r="D651">
        <v>0</v>
      </c>
      <c r="E651">
        <v>0</v>
      </c>
      <c r="F651">
        <v>0</v>
      </c>
      <c r="G651">
        <v>0</v>
      </c>
      <c r="H651">
        <v>0</v>
      </c>
      <c r="M651" t="s">
        <v>477</v>
      </c>
    </row>
    <row r="652" spans="1:13">
      <c r="A652" t="s">
        <v>387</v>
      </c>
      <c r="B652">
        <v>4007374</v>
      </c>
      <c r="C652">
        <v>31340</v>
      </c>
      <c r="D652">
        <v>1806070</v>
      </c>
      <c r="E652">
        <v>14033</v>
      </c>
      <c r="F652">
        <v>5253</v>
      </c>
      <c r="G652">
        <v>9487041576</v>
      </c>
      <c r="H652">
        <v>2.2200000000000002</v>
      </c>
      <c r="M652" t="s">
        <v>477</v>
      </c>
    </row>
    <row r="654" spans="1:13">
      <c r="M654" t="s">
        <v>478</v>
      </c>
    </row>
    <row r="655" spans="1:13">
      <c r="A655" t="s">
        <v>373</v>
      </c>
      <c r="B655" t="s">
        <v>374</v>
      </c>
      <c r="C655" t="s">
        <v>375</v>
      </c>
      <c r="D655" t="s">
        <v>376</v>
      </c>
      <c r="E655" t="s">
        <v>377</v>
      </c>
      <c r="F655" t="s">
        <v>378</v>
      </c>
      <c r="G655" t="s">
        <v>379</v>
      </c>
      <c r="H655" t="s">
        <v>380</v>
      </c>
      <c r="M655" t="s">
        <v>478</v>
      </c>
    </row>
    <row r="656" spans="1:13">
      <c r="A656" t="s">
        <v>382</v>
      </c>
      <c r="B656">
        <v>707741</v>
      </c>
      <c r="C656">
        <v>5308</v>
      </c>
      <c r="D656">
        <v>816221</v>
      </c>
      <c r="E656">
        <v>6257</v>
      </c>
      <c r="F656">
        <v>5329</v>
      </c>
      <c r="G656">
        <v>4350050158</v>
      </c>
      <c r="H656">
        <v>0.87</v>
      </c>
      <c r="M656" t="s">
        <v>478</v>
      </c>
    </row>
    <row r="657" spans="1:13">
      <c r="A657" t="s">
        <v>383</v>
      </c>
      <c r="B657">
        <v>729716</v>
      </c>
      <c r="C657">
        <v>5535</v>
      </c>
      <c r="D657">
        <v>660279</v>
      </c>
      <c r="E657">
        <v>5167</v>
      </c>
      <c r="F657">
        <v>5224</v>
      </c>
      <c r="G657">
        <v>3449595535</v>
      </c>
      <c r="H657">
        <v>1.1100000000000001</v>
      </c>
      <c r="M657" t="s">
        <v>478</v>
      </c>
    </row>
    <row r="658" spans="1:13">
      <c r="A658" t="s">
        <v>384</v>
      </c>
      <c r="B658">
        <v>942867</v>
      </c>
      <c r="C658">
        <v>7580</v>
      </c>
      <c r="D658">
        <v>329569</v>
      </c>
      <c r="E658">
        <v>2609</v>
      </c>
      <c r="F658">
        <v>5120</v>
      </c>
      <c r="G658">
        <v>1687395884</v>
      </c>
      <c r="H658">
        <v>2.86</v>
      </c>
      <c r="M658" t="s">
        <v>478</v>
      </c>
    </row>
    <row r="659" spans="1:13">
      <c r="A659" t="s">
        <v>385</v>
      </c>
      <c r="B659">
        <v>685303</v>
      </c>
      <c r="C659">
        <v>5540</v>
      </c>
      <c r="D659">
        <v>0</v>
      </c>
      <c r="E659">
        <v>0</v>
      </c>
      <c r="F659">
        <v>0</v>
      </c>
      <c r="G659">
        <v>0</v>
      </c>
      <c r="H659">
        <v>0</v>
      </c>
      <c r="M659" t="s">
        <v>478</v>
      </c>
    </row>
    <row r="660" spans="1:13">
      <c r="A660" t="s">
        <v>386</v>
      </c>
      <c r="B660">
        <v>941747</v>
      </c>
      <c r="C660">
        <v>7377</v>
      </c>
      <c r="D660">
        <v>0</v>
      </c>
      <c r="E660">
        <v>0</v>
      </c>
      <c r="F660">
        <v>0</v>
      </c>
      <c r="G660">
        <v>0</v>
      </c>
      <c r="H660">
        <v>0</v>
      </c>
      <c r="M660" t="s">
        <v>478</v>
      </c>
    </row>
    <row r="661" spans="1:13">
      <c r="A661" t="s">
        <v>387</v>
      </c>
      <c r="B661">
        <v>4007374</v>
      </c>
      <c r="C661">
        <v>31340</v>
      </c>
      <c r="D661">
        <v>1806070</v>
      </c>
      <c r="E661">
        <v>14033</v>
      </c>
      <c r="F661">
        <v>5253</v>
      </c>
      <c r="G661">
        <v>9487041576</v>
      </c>
      <c r="H661">
        <v>2.2200000000000002</v>
      </c>
      <c r="M661" t="s">
        <v>478</v>
      </c>
    </row>
    <row r="663" spans="1:13">
      <c r="M663" t="s">
        <v>479</v>
      </c>
    </row>
    <row r="664" spans="1:13">
      <c r="A664" t="s">
        <v>373</v>
      </c>
      <c r="B664" t="s">
        <v>389</v>
      </c>
      <c r="C664" t="s">
        <v>390</v>
      </c>
      <c r="D664" t="s">
        <v>391</v>
      </c>
      <c r="M664" t="s">
        <v>479</v>
      </c>
    </row>
    <row r="665" spans="1:13">
      <c r="A665" t="s">
        <v>382</v>
      </c>
      <c r="B665">
        <v>2575965</v>
      </c>
      <c r="C665">
        <v>21818</v>
      </c>
      <c r="D665">
        <v>37.9</v>
      </c>
      <c r="M665" t="s">
        <v>479</v>
      </c>
    </row>
    <row r="666" spans="1:13">
      <c r="A666" t="s">
        <v>383</v>
      </c>
      <c r="B666">
        <v>2723357</v>
      </c>
      <c r="C666">
        <v>23119</v>
      </c>
      <c r="D666">
        <v>49.5</v>
      </c>
      <c r="M666" t="s">
        <v>479</v>
      </c>
    </row>
    <row r="668" spans="1:13">
      <c r="M668" t="s">
        <v>480</v>
      </c>
    </row>
    <row r="669" spans="1:13">
      <c r="A669" t="s">
        <v>373</v>
      </c>
      <c r="B669" t="s">
        <v>374</v>
      </c>
      <c r="C669" t="s">
        <v>375</v>
      </c>
      <c r="D669" t="s">
        <v>376</v>
      </c>
      <c r="E669" t="s">
        <v>377</v>
      </c>
      <c r="F669" t="s">
        <v>378</v>
      </c>
      <c r="G669" t="s">
        <v>379</v>
      </c>
      <c r="H669" t="s">
        <v>380</v>
      </c>
      <c r="M669" t="s">
        <v>480</v>
      </c>
    </row>
    <row r="670" spans="1:13">
      <c r="A670" t="s">
        <v>382</v>
      </c>
      <c r="B670">
        <v>0</v>
      </c>
      <c r="C670">
        <v>0</v>
      </c>
      <c r="D670">
        <v>583909</v>
      </c>
      <c r="E670">
        <v>5684</v>
      </c>
      <c r="F670">
        <v>10886</v>
      </c>
      <c r="G670">
        <v>6356533747</v>
      </c>
      <c r="H670">
        <v>0</v>
      </c>
      <c r="M670" t="s">
        <v>480</v>
      </c>
    </row>
    <row r="671" spans="1:13">
      <c r="A671" t="s">
        <v>383</v>
      </c>
      <c r="B671">
        <v>0</v>
      </c>
      <c r="C671">
        <v>0</v>
      </c>
      <c r="D671">
        <v>445508</v>
      </c>
      <c r="E671">
        <v>4280</v>
      </c>
      <c r="F671">
        <v>11475</v>
      </c>
      <c r="G671">
        <v>5112026298</v>
      </c>
      <c r="H671">
        <v>0</v>
      </c>
      <c r="M671" t="s">
        <v>480</v>
      </c>
    </row>
    <row r="672" spans="1:13">
      <c r="A672" t="s">
        <v>384</v>
      </c>
      <c r="B672">
        <v>0</v>
      </c>
      <c r="C672">
        <v>0</v>
      </c>
      <c r="D672">
        <v>477524</v>
      </c>
      <c r="E672">
        <v>4710</v>
      </c>
      <c r="F672">
        <v>11997</v>
      </c>
      <c r="G672">
        <v>5728652676</v>
      </c>
      <c r="H672">
        <v>0</v>
      </c>
      <c r="M672" t="s">
        <v>480</v>
      </c>
    </row>
    <row r="673" spans="1:13">
      <c r="A673" t="s">
        <v>385</v>
      </c>
      <c r="B673">
        <v>0</v>
      </c>
      <c r="C673">
        <v>0</v>
      </c>
      <c r="D673">
        <v>739992</v>
      </c>
      <c r="E673">
        <v>7384</v>
      </c>
      <c r="F673">
        <v>12790</v>
      </c>
      <c r="G673">
        <v>9464282160</v>
      </c>
      <c r="H673">
        <v>0</v>
      </c>
      <c r="M673" t="s">
        <v>480</v>
      </c>
    </row>
    <row r="674" spans="1:13">
      <c r="A674" t="s">
        <v>386</v>
      </c>
      <c r="B674">
        <v>0</v>
      </c>
      <c r="C674">
        <v>0</v>
      </c>
      <c r="D674">
        <v>906151</v>
      </c>
      <c r="E674">
        <v>9546</v>
      </c>
      <c r="F674">
        <v>13369</v>
      </c>
      <c r="G674">
        <v>12114280645</v>
      </c>
      <c r="H674">
        <v>0</v>
      </c>
      <c r="M674" t="s">
        <v>480</v>
      </c>
    </row>
    <row r="675" spans="1:13">
      <c r="A675" t="s">
        <v>393</v>
      </c>
      <c r="B675">
        <v>0</v>
      </c>
      <c r="C675">
        <v>0</v>
      </c>
      <c r="D675">
        <v>298123</v>
      </c>
      <c r="E675">
        <v>3152</v>
      </c>
      <c r="F675">
        <v>11219</v>
      </c>
      <c r="G675">
        <v>3344694560</v>
      </c>
      <c r="H675">
        <v>0</v>
      </c>
      <c r="M675" t="s">
        <v>480</v>
      </c>
    </row>
    <row r="676" spans="1:13">
      <c r="A676" t="s">
        <v>387</v>
      </c>
      <c r="B676">
        <v>0</v>
      </c>
      <c r="C676">
        <v>0</v>
      </c>
      <c r="D676">
        <v>3451207</v>
      </c>
      <c r="E676">
        <v>34756</v>
      </c>
      <c r="F676">
        <v>12205</v>
      </c>
      <c r="G676">
        <v>42120470087</v>
      </c>
      <c r="H676">
        <v>0</v>
      </c>
      <c r="M676" t="s">
        <v>480</v>
      </c>
    </row>
    <row r="678" spans="1:13">
      <c r="M678" t="s">
        <v>481</v>
      </c>
    </row>
    <row r="679" spans="1:13">
      <c r="A679" t="s">
        <v>373</v>
      </c>
      <c r="B679" t="s">
        <v>374</v>
      </c>
      <c r="C679" t="s">
        <v>375</v>
      </c>
      <c r="D679" t="s">
        <v>376</v>
      </c>
      <c r="E679" t="s">
        <v>377</v>
      </c>
      <c r="F679" t="s">
        <v>378</v>
      </c>
      <c r="G679" t="s">
        <v>379</v>
      </c>
      <c r="H679" t="s">
        <v>380</v>
      </c>
      <c r="M679" t="s">
        <v>481</v>
      </c>
    </row>
    <row r="680" spans="1:13">
      <c r="A680" t="s">
        <v>382</v>
      </c>
      <c r="B680">
        <v>0</v>
      </c>
      <c r="C680">
        <v>0</v>
      </c>
      <c r="D680">
        <v>295280</v>
      </c>
      <c r="E680">
        <v>2894</v>
      </c>
      <c r="F680">
        <v>11871</v>
      </c>
      <c r="G680">
        <v>3505387338</v>
      </c>
      <c r="H680">
        <v>0</v>
      </c>
      <c r="M680" t="s">
        <v>481</v>
      </c>
    </row>
    <row r="681" spans="1:13">
      <c r="A681" t="s">
        <v>383</v>
      </c>
      <c r="B681">
        <v>0</v>
      </c>
      <c r="C681">
        <v>0</v>
      </c>
      <c r="D681">
        <v>1176004</v>
      </c>
      <c r="E681">
        <v>11403</v>
      </c>
      <c r="F681">
        <v>12482</v>
      </c>
      <c r="G681">
        <v>14678756065</v>
      </c>
      <c r="H681">
        <v>0</v>
      </c>
      <c r="M681" t="s">
        <v>481</v>
      </c>
    </row>
    <row r="682" spans="1:13">
      <c r="A682" t="s">
        <v>384</v>
      </c>
      <c r="B682">
        <v>0</v>
      </c>
      <c r="C682">
        <v>0</v>
      </c>
      <c r="D682">
        <v>1125657</v>
      </c>
      <c r="E682">
        <v>11335</v>
      </c>
      <c r="F682">
        <v>13680</v>
      </c>
      <c r="G682">
        <v>15399061640</v>
      </c>
      <c r="H682">
        <v>0</v>
      </c>
      <c r="M682" t="s">
        <v>481</v>
      </c>
    </row>
    <row r="683" spans="1:13">
      <c r="A683" t="s">
        <v>385</v>
      </c>
      <c r="B683">
        <v>0</v>
      </c>
      <c r="C683">
        <v>0</v>
      </c>
      <c r="D683">
        <v>732906</v>
      </c>
      <c r="E683">
        <v>7351</v>
      </c>
      <c r="F683">
        <v>13271</v>
      </c>
      <c r="G683">
        <v>9726321342</v>
      </c>
      <c r="H683">
        <v>0</v>
      </c>
      <c r="M683" t="s">
        <v>481</v>
      </c>
    </row>
    <row r="684" spans="1:13">
      <c r="A684" t="s">
        <v>386</v>
      </c>
      <c r="B684">
        <v>0</v>
      </c>
      <c r="C684">
        <v>0</v>
      </c>
      <c r="D684">
        <v>195081</v>
      </c>
      <c r="E684">
        <v>1872</v>
      </c>
      <c r="F684">
        <v>11948</v>
      </c>
      <c r="G684">
        <v>2330880213</v>
      </c>
      <c r="H684">
        <v>0</v>
      </c>
      <c r="M684" t="s">
        <v>481</v>
      </c>
    </row>
    <row r="685" spans="1:13">
      <c r="A685" t="s">
        <v>393</v>
      </c>
      <c r="B685">
        <v>0</v>
      </c>
      <c r="C685">
        <v>0</v>
      </c>
      <c r="D685">
        <v>97180</v>
      </c>
      <c r="E685">
        <v>861</v>
      </c>
      <c r="F685">
        <v>11400</v>
      </c>
      <c r="G685">
        <v>1107878408</v>
      </c>
      <c r="H685">
        <v>0</v>
      </c>
      <c r="M685" t="s">
        <v>481</v>
      </c>
    </row>
    <row r="686" spans="1:13">
      <c r="A686" t="s">
        <v>387</v>
      </c>
      <c r="B686">
        <v>0</v>
      </c>
      <c r="C686">
        <v>0</v>
      </c>
      <c r="D686">
        <v>3622108</v>
      </c>
      <c r="E686">
        <v>35716</v>
      </c>
      <c r="F686">
        <v>12906</v>
      </c>
      <c r="G686">
        <v>46748285007</v>
      </c>
      <c r="H686">
        <v>0</v>
      </c>
      <c r="M686" t="s">
        <v>481</v>
      </c>
    </row>
    <row r="688" spans="1:13">
      <c r="M688" t="s">
        <v>482</v>
      </c>
    </row>
    <row r="689" spans="1:13">
      <c r="A689" t="s">
        <v>373</v>
      </c>
      <c r="B689" t="s">
        <v>376</v>
      </c>
      <c r="C689" t="s">
        <v>377</v>
      </c>
      <c r="M689" t="s">
        <v>482</v>
      </c>
    </row>
    <row r="690" spans="1:13">
      <c r="A690" t="s">
        <v>382</v>
      </c>
      <c r="B690">
        <v>581370</v>
      </c>
      <c r="C690">
        <v>5563</v>
      </c>
      <c r="M690" t="s">
        <v>482</v>
      </c>
    </row>
    <row r="691" spans="1:13">
      <c r="A691" t="s">
        <v>383</v>
      </c>
      <c r="B691">
        <v>1154319</v>
      </c>
      <c r="C691">
        <v>11766</v>
      </c>
      <c r="M691" t="s">
        <v>482</v>
      </c>
    </row>
    <row r="692" spans="1:13">
      <c r="A692" t="s">
        <v>384</v>
      </c>
      <c r="B692">
        <v>2272824</v>
      </c>
      <c r="C692">
        <v>22687</v>
      </c>
      <c r="M692" t="s">
        <v>482</v>
      </c>
    </row>
    <row r="693" spans="1:13">
      <c r="A693" t="s">
        <v>385</v>
      </c>
      <c r="B693">
        <v>1776731</v>
      </c>
      <c r="C693">
        <v>16703</v>
      </c>
      <c r="M693" t="s">
        <v>482</v>
      </c>
    </row>
    <row r="694" spans="1:13">
      <c r="A694" t="s">
        <v>386</v>
      </c>
      <c r="B694">
        <v>804030</v>
      </c>
      <c r="C694">
        <v>7578</v>
      </c>
      <c r="M694" t="s">
        <v>482</v>
      </c>
    </row>
    <row r="695" spans="1:13">
      <c r="A695" t="s">
        <v>387</v>
      </c>
      <c r="B695">
        <v>6589274</v>
      </c>
      <c r="C695">
        <v>64297</v>
      </c>
      <c r="M695" t="s">
        <v>482</v>
      </c>
    </row>
    <row r="697" spans="1:13">
      <c r="M697" t="s">
        <v>483</v>
      </c>
    </row>
    <row r="698" spans="1:13">
      <c r="A698" t="s">
        <v>373</v>
      </c>
      <c r="B698" t="s">
        <v>374</v>
      </c>
      <c r="C698" t="s">
        <v>375</v>
      </c>
      <c r="D698" t="s">
        <v>376</v>
      </c>
      <c r="E698" t="s">
        <v>377</v>
      </c>
      <c r="F698" t="s">
        <v>378</v>
      </c>
      <c r="G698" t="s">
        <v>379</v>
      </c>
      <c r="H698" t="s">
        <v>380</v>
      </c>
      <c r="M698" t="s">
        <v>483</v>
      </c>
    </row>
    <row r="699" spans="1:13">
      <c r="A699" t="s">
        <v>382</v>
      </c>
      <c r="B699">
        <v>1302121</v>
      </c>
      <c r="C699">
        <v>13379</v>
      </c>
      <c r="D699">
        <v>1796878</v>
      </c>
      <c r="E699">
        <v>18326</v>
      </c>
      <c r="F699">
        <v>13826</v>
      </c>
      <c r="G699">
        <v>24843424900</v>
      </c>
      <c r="H699">
        <v>0.72</v>
      </c>
      <c r="M699" t="s">
        <v>483</v>
      </c>
    </row>
    <row r="700" spans="1:13">
      <c r="A700" t="s">
        <v>383</v>
      </c>
      <c r="B700">
        <v>1781927</v>
      </c>
      <c r="C700">
        <v>17688</v>
      </c>
      <c r="D700">
        <v>2358425</v>
      </c>
      <c r="E700">
        <v>24113</v>
      </c>
      <c r="F700">
        <v>15391</v>
      </c>
      <c r="G700">
        <v>36298696345</v>
      </c>
      <c r="H700">
        <v>0.76</v>
      </c>
      <c r="M700" t="s">
        <v>483</v>
      </c>
    </row>
    <row r="701" spans="1:13">
      <c r="A701" t="s">
        <v>384</v>
      </c>
      <c r="B701">
        <v>3871076</v>
      </c>
      <c r="C701">
        <v>38975</v>
      </c>
      <c r="D701">
        <v>4138862</v>
      </c>
      <c r="E701">
        <v>42794</v>
      </c>
      <c r="F701">
        <v>16449</v>
      </c>
      <c r="G701">
        <v>68081236898</v>
      </c>
      <c r="H701">
        <v>0.94</v>
      </c>
      <c r="M701" t="s">
        <v>483</v>
      </c>
    </row>
    <row r="702" spans="1:13">
      <c r="A702" t="s">
        <v>385</v>
      </c>
      <c r="B702">
        <v>4371259</v>
      </c>
      <c r="C702">
        <v>45360</v>
      </c>
      <c r="D702">
        <v>4076549</v>
      </c>
      <c r="E702">
        <v>40846</v>
      </c>
      <c r="F702">
        <v>15810</v>
      </c>
      <c r="G702">
        <v>64449116162</v>
      </c>
      <c r="H702">
        <v>1.07</v>
      </c>
      <c r="M702" t="s">
        <v>483</v>
      </c>
    </row>
    <row r="703" spans="1:13">
      <c r="A703" t="s">
        <v>386</v>
      </c>
      <c r="B703">
        <v>4034739</v>
      </c>
      <c r="C703">
        <v>41135</v>
      </c>
      <c r="D703">
        <v>4719069</v>
      </c>
      <c r="E703">
        <v>47681</v>
      </c>
      <c r="F703">
        <v>13760</v>
      </c>
      <c r="G703">
        <v>64936470733</v>
      </c>
      <c r="H703">
        <v>0.85</v>
      </c>
      <c r="M703" t="s">
        <v>483</v>
      </c>
    </row>
    <row r="704" spans="1:13">
      <c r="A704" t="s">
        <v>387</v>
      </c>
      <c r="B704">
        <v>15361122</v>
      </c>
      <c r="C704">
        <v>156537</v>
      </c>
      <c r="D704">
        <v>17089783</v>
      </c>
      <c r="E704">
        <v>173760</v>
      </c>
      <c r="F704">
        <v>15132</v>
      </c>
      <c r="G704">
        <v>258608945037</v>
      </c>
      <c r="H704">
        <v>0.9</v>
      </c>
      <c r="M704" t="s">
        <v>483</v>
      </c>
    </row>
    <row r="706" spans="1:13">
      <c r="M706" t="s">
        <v>484</v>
      </c>
    </row>
    <row r="707" spans="1:13">
      <c r="A707" t="s">
        <v>373</v>
      </c>
      <c r="B707" t="s">
        <v>374</v>
      </c>
      <c r="C707" t="s">
        <v>375</v>
      </c>
      <c r="D707" t="s">
        <v>376</v>
      </c>
      <c r="E707" t="s">
        <v>377</v>
      </c>
      <c r="F707" t="s">
        <v>378</v>
      </c>
      <c r="G707" t="s">
        <v>379</v>
      </c>
      <c r="H707" t="s">
        <v>380</v>
      </c>
      <c r="M707" t="s">
        <v>484</v>
      </c>
    </row>
    <row r="708" spans="1:13">
      <c r="A708" t="s">
        <v>382</v>
      </c>
      <c r="B708">
        <v>691508</v>
      </c>
      <c r="C708">
        <v>6407</v>
      </c>
      <c r="D708">
        <v>564623</v>
      </c>
      <c r="E708">
        <v>5164</v>
      </c>
      <c r="F708">
        <v>8149</v>
      </c>
      <c r="G708">
        <v>4601391750</v>
      </c>
      <c r="H708">
        <v>1.22</v>
      </c>
      <c r="M708" t="s">
        <v>484</v>
      </c>
    </row>
    <row r="709" spans="1:13">
      <c r="A709" t="s">
        <v>383</v>
      </c>
      <c r="B709">
        <v>875826</v>
      </c>
      <c r="C709">
        <v>8105</v>
      </c>
      <c r="D709">
        <v>512188</v>
      </c>
      <c r="E709">
        <v>4616</v>
      </c>
      <c r="F709">
        <v>8551</v>
      </c>
      <c r="G709">
        <v>4379691946</v>
      </c>
      <c r="H709">
        <v>1.71</v>
      </c>
      <c r="M709" t="s">
        <v>484</v>
      </c>
    </row>
    <row r="710" spans="1:13">
      <c r="A710" t="s">
        <v>384</v>
      </c>
      <c r="B710">
        <v>1846211</v>
      </c>
      <c r="C710">
        <v>16700</v>
      </c>
      <c r="D710">
        <v>634711</v>
      </c>
      <c r="E710">
        <v>5829</v>
      </c>
      <c r="F710">
        <v>7753</v>
      </c>
      <c r="G710">
        <v>4920676570</v>
      </c>
      <c r="H710">
        <v>2.91</v>
      </c>
      <c r="M710" t="s">
        <v>484</v>
      </c>
    </row>
    <row r="711" spans="1:13">
      <c r="A711" t="s">
        <v>385</v>
      </c>
      <c r="B711">
        <v>2161248</v>
      </c>
      <c r="C711">
        <v>19393</v>
      </c>
      <c r="D711">
        <v>0</v>
      </c>
      <c r="E711">
        <v>0</v>
      </c>
      <c r="F711">
        <v>0</v>
      </c>
      <c r="G711">
        <v>0</v>
      </c>
      <c r="H711">
        <v>0</v>
      </c>
      <c r="M711" t="s">
        <v>484</v>
      </c>
    </row>
    <row r="712" spans="1:13">
      <c r="A712" t="s">
        <v>386</v>
      </c>
      <c r="B712">
        <v>1907108</v>
      </c>
      <c r="C712">
        <v>16540</v>
      </c>
      <c r="D712">
        <v>0</v>
      </c>
      <c r="E712">
        <v>0</v>
      </c>
      <c r="F712">
        <v>0</v>
      </c>
      <c r="G712">
        <v>0</v>
      </c>
      <c r="H712">
        <v>0</v>
      </c>
      <c r="M712" t="s">
        <v>484</v>
      </c>
    </row>
    <row r="713" spans="1:13">
      <c r="A713" t="s">
        <v>387</v>
      </c>
      <c r="B713">
        <v>7481901</v>
      </c>
      <c r="C713">
        <v>67145</v>
      </c>
      <c r="D713">
        <v>1711521</v>
      </c>
      <c r="E713">
        <v>15609</v>
      </c>
      <c r="F713">
        <v>8122</v>
      </c>
      <c r="G713">
        <v>13901760266</v>
      </c>
      <c r="H713">
        <v>4.37</v>
      </c>
      <c r="M713" t="s">
        <v>484</v>
      </c>
    </row>
    <row r="715" spans="1:13">
      <c r="M715" t="s">
        <v>485</v>
      </c>
    </row>
    <row r="716" spans="1:13">
      <c r="A716" t="s">
        <v>373</v>
      </c>
      <c r="B716" t="s">
        <v>389</v>
      </c>
      <c r="C716" t="s">
        <v>390</v>
      </c>
      <c r="D716" t="s">
        <v>391</v>
      </c>
      <c r="E716" t="s">
        <v>406</v>
      </c>
      <c r="M716" t="s">
        <v>485</v>
      </c>
    </row>
    <row r="717" spans="1:13">
      <c r="A717" t="s">
        <v>381</v>
      </c>
      <c r="B717">
        <v>4131536</v>
      </c>
      <c r="C717">
        <v>40004</v>
      </c>
      <c r="D717">
        <v>88.6</v>
      </c>
      <c r="E717">
        <v>94.8</v>
      </c>
      <c r="M717" t="s">
        <v>485</v>
      </c>
    </row>
    <row r="718" spans="1:13">
      <c r="A718" t="s">
        <v>382</v>
      </c>
      <c r="B718">
        <v>4110907</v>
      </c>
      <c r="C718">
        <v>39847</v>
      </c>
      <c r="D718">
        <v>87.4</v>
      </c>
      <c r="E718">
        <v>91.6</v>
      </c>
      <c r="M718" t="s">
        <v>485</v>
      </c>
    </row>
    <row r="719" spans="1:13">
      <c r="A719" t="s">
        <v>383</v>
      </c>
      <c r="B719">
        <v>3844705</v>
      </c>
      <c r="C719">
        <v>37593</v>
      </c>
      <c r="D719">
        <v>90.1</v>
      </c>
      <c r="E719">
        <v>80.5</v>
      </c>
      <c r="M719" t="s">
        <v>485</v>
      </c>
    </row>
    <row r="720" spans="1:13">
      <c r="A720" t="s">
        <v>384</v>
      </c>
      <c r="B720">
        <v>3977480</v>
      </c>
      <c r="C720">
        <v>38092</v>
      </c>
      <c r="D720">
        <v>75.2</v>
      </c>
      <c r="E720">
        <v>150.4</v>
      </c>
      <c r="M720" t="s">
        <v>485</v>
      </c>
    </row>
    <row r="722" spans="1:13">
      <c r="M722" t="s">
        <v>486</v>
      </c>
    </row>
    <row r="723" spans="1:13">
      <c r="A723" t="s">
        <v>373</v>
      </c>
      <c r="B723" t="s">
        <v>374</v>
      </c>
      <c r="C723" t="s">
        <v>375</v>
      </c>
      <c r="D723" t="s">
        <v>376</v>
      </c>
      <c r="E723" t="s">
        <v>377</v>
      </c>
      <c r="F723" t="s">
        <v>378</v>
      </c>
      <c r="G723" t="s">
        <v>379</v>
      </c>
      <c r="H723" t="s">
        <v>380</v>
      </c>
      <c r="M723" t="s">
        <v>486</v>
      </c>
    </row>
    <row r="724" spans="1:13">
      <c r="A724" t="s">
        <v>382</v>
      </c>
      <c r="B724">
        <v>7573081</v>
      </c>
      <c r="C724">
        <v>70296</v>
      </c>
      <c r="D724">
        <v>9199409</v>
      </c>
      <c r="E724">
        <v>86223</v>
      </c>
      <c r="F724">
        <v>17772</v>
      </c>
      <c r="G724">
        <v>163488426510</v>
      </c>
      <c r="H724">
        <v>0.82</v>
      </c>
      <c r="M724" t="s">
        <v>486</v>
      </c>
    </row>
    <row r="725" spans="1:13">
      <c r="A725" t="s">
        <v>383</v>
      </c>
      <c r="B725">
        <v>6157429</v>
      </c>
      <c r="C725">
        <v>58082</v>
      </c>
      <c r="D725">
        <v>7360900</v>
      </c>
      <c r="E725">
        <v>67936</v>
      </c>
      <c r="F725">
        <v>17386</v>
      </c>
      <c r="G725">
        <v>127976037310</v>
      </c>
      <c r="H725">
        <v>0.84</v>
      </c>
      <c r="M725" t="s">
        <v>486</v>
      </c>
    </row>
    <row r="726" spans="1:13">
      <c r="A726" t="s">
        <v>384</v>
      </c>
      <c r="B726">
        <v>10492740</v>
      </c>
      <c r="C726">
        <v>101517</v>
      </c>
      <c r="D726">
        <v>11618939</v>
      </c>
      <c r="E726">
        <v>110588</v>
      </c>
      <c r="F726">
        <v>17054</v>
      </c>
      <c r="G726">
        <v>198153949730</v>
      </c>
      <c r="H726">
        <v>0.9</v>
      </c>
      <c r="M726" t="s">
        <v>486</v>
      </c>
    </row>
    <row r="727" spans="1:13">
      <c r="A727" t="s">
        <v>385</v>
      </c>
      <c r="B727">
        <v>12891821</v>
      </c>
      <c r="C727">
        <v>126831</v>
      </c>
      <c r="D727">
        <v>11527943</v>
      </c>
      <c r="E727">
        <v>108642</v>
      </c>
      <c r="F727">
        <v>16415</v>
      </c>
      <c r="G727">
        <v>189229975810</v>
      </c>
      <c r="H727">
        <v>1.1200000000000001</v>
      </c>
      <c r="M727" t="s">
        <v>486</v>
      </c>
    </row>
    <row r="728" spans="1:13">
      <c r="A728" t="s">
        <v>386</v>
      </c>
      <c r="B728">
        <v>15174482</v>
      </c>
      <c r="C728">
        <v>142081</v>
      </c>
      <c r="D728">
        <v>12505489</v>
      </c>
      <c r="E728">
        <v>117596</v>
      </c>
      <c r="F728">
        <v>15708</v>
      </c>
      <c r="G728">
        <v>196441603310</v>
      </c>
      <c r="H728">
        <v>1.21</v>
      </c>
      <c r="M728" t="s">
        <v>486</v>
      </c>
    </row>
    <row r="729" spans="1:13">
      <c r="A729" t="s">
        <v>387</v>
      </c>
      <c r="B729">
        <v>52289553</v>
      </c>
      <c r="C729">
        <v>498807</v>
      </c>
      <c r="D729">
        <v>52212680</v>
      </c>
      <c r="E729">
        <v>490985</v>
      </c>
      <c r="F729">
        <v>16764</v>
      </c>
      <c r="G729">
        <v>875289992670</v>
      </c>
      <c r="H729">
        <v>1</v>
      </c>
      <c r="M729" t="s">
        <v>486</v>
      </c>
    </row>
    <row r="731" spans="1:13">
      <c r="M731" t="s">
        <v>487</v>
      </c>
    </row>
    <row r="732" spans="1:13">
      <c r="A732" t="s">
        <v>373</v>
      </c>
      <c r="B732" t="s">
        <v>389</v>
      </c>
      <c r="C732" t="s">
        <v>390</v>
      </c>
      <c r="D732" t="s">
        <v>391</v>
      </c>
      <c r="M732" t="s">
        <v>487</v>
      </c>
    </row>
    <row r="733" spans="1:13">
      <c r="A733" t="s">
        <v>382</v>
      </c>
      <c r="B733">
        <v>11204811</v>
      </c>
      <c r="C733">
        <v>108002</v>
      </c>
      <c r="D733">
        <v>14.6</v>
      </c>
      <c r="M733" t="s">
        <v>487</v>
      </c>
    </row>
    <row r="734" spans="1:13">
      <c r="A734" t="s">
        <v>383</v>
      </c>
      <c r="B734">
        <v>12106955</v>
      </c>
      <c r="C734">
        <v>118411</v>
      </c>
      <c r="D734">
        <v>19.7</v>
      </c>
      <c r="M734" t="s">
        <v>487</v>
      </c>
    </row>
    <row r="735" spans="1:13">
      <c r="A735" t="s">
        <v>384</v>
      </c>
      <c r="B735">
        <v>13124902</v>
      </c>
      <c r="C735">
        <v>127541</v>
      </c>
      <c r="D735">
        <v>13.6</v>
      </c>
      <c r="M735" t="s">
        <v>487</v>
      </c>
    </row>
    <row r="737" spans="1:13">
      <c r="M737" t="s">
        <v>488</v>
      </c>
    </row>
    <row r="738" spans="1:13">
      <c r="A738" t="s">
        <v>373</v>
      </c>
      <c r="B738" t="s">
        <v>374</v>
      </c>
      <c r="C738" t="s">
        <v>375</v>
      </c>
      <c r="D738" t="s">
        <v>376</v>
      </c>
      <c r="E738" t="s">
        <v>377</v>
      </c>
      <c r="F738" t="s">
        <v>378</v>
      </c>
      <c r="G738" t="s">
        <v>379</v>
      </c>
      <c r="H738" t="s">
        <v>380</v>
      </c>
      <c r="M738" t="s">
        <v>488</v>
      </c>
    </row>
    <row r="739" spans="1:13">
      <c r="A739" t="s">
        <v>381</v>
      </c>
      <c r="B739">
        <v>54947</v>
      </c>
      <c r="C739">
        <v>342</v>
      </c>
      <c r="D739">
        <v>62337</v>
      </c>
      <c r="E739">
        <v>555</v>
      </c>
      <c r="F739">
        <v>18148</v>
      </c>
      <c r="G739">
        <v>1131310586</v>
      </c>
      <c r="H739">
        <v>0.88</v>
      </c>
      <c r="M739" t="s">
        <v>488</v>
      </c>
    </row>
    <row r="740" spans="1:13">
      <c r="A740" t="s">
        <v>382</v>
      </c>
      <c r="B740">
        <v>664569</v>
      </c>
      <c r="C740">
        <v>5403</v>
      </c>
      <c r="D740">
        <v>763827</v>
      </c>
      <c r="E740">
        <v>6735</v>
      </c>
      <c r="F740">
        <v>18644</v>
      </c>
      <c r="G740">
        <v>14240831618</v>
      </c>
      <c r="H740">
        <v>0.87</v>
      </c>
      <c r="M740" t="s">
        <v>488</v>
      </c>
    </row>
    <row r="741" spans="1:13">
      <c r="A741" t="s">
        <v>383</v>
      </c>
      <c r="B741">
        <v>715591</v>
      </c>
      <c r="C741">
        <v>6184</v>
      </c>
      <c r="D741">
        <v>1835755</v>
      </c>
      <c r="E741">
        <v>17077</v>
      </c>
      <c r="F741">
        <v>17086</v>
      </c>
      <c r="G741">
        <v>31365001289</v>
      </c>
      <c r="H741">
        <v>0.39</v>
      </c>
      <c r="M741" t="s">
        <v>488</v>
      </c>
    </row>
    <row r="742" spans="1:13">
      <c r="A742" t="s">
        <v>384</v>
      </c>
      <c r="B742">
        <v>1757162</v>
      </c>
      <c r="C742">
        <v>15902</v>
      </c>
      <c r="D742">
        <v>2242178</v>
      </c>
      <c r="E742">
        <v>20873</v>
      </c>
      <c r="F742">
        <v>17732</v>
      </c>
      <c r="G742">
        <v>39758243906</v>
      </c>
      <c r="H742">
        <v>0.78</v>
      </c>
      <c r="M742" t="s">
        <v>488</v>
      </c>
    </row>
    <row r="743" spans="1:13">
      <c r="A743" t="s">
        <v>385</v>
      </c>
      <c r="B743">
        <v>1779615</v>
      </c>
      <c r="C743">
        <v>16835</v>
      </c>
      <c r="D743">
        <v>886803</v>
      </c>
      <c r="E743">
        <v>8084</v>
      </c>
      <c r="F743">
        <v>18450</v>
      </c>
      <c r="G743">
        <v>16361955265</v>
      </c>
      <c r="H743">
        <v>2.0099999999999998</v>
      </c>
      <c r="M743" t="s">
        <v>488</v>
      </c>
    </row>
    <row r="744" spans="1:13">
      <c r="A744" t="s">
        <v>386</v>
      </c>
      <c r="B744">
        <v>1921340</v>
      </c>
      <c r="C744">
        <v>17460</v>
      </c>
      <c r="D744">
        <v>1086909</v>
      </c>
      <c r="E744">
        <v>9720</v>
      </c>
      <c r="F744">
        <v>16400</v>
      </c>
      <c r="G744">
        <v>17825174943</v>
      </c>
      <c r="H744">
        <v>1.77</v>
      </c>
      <c r="M744" t="s">
        <v>488</v>
      </c>
    </row>
    <row r="745" spans="1:13">
      <c r="A745" t="s">
        <v>387</v>
      </c>
      <c r="B745">
        <v>6893224</v>
      </c>
      <c r="C745">
        <v>62126</v>
      </c>
      <c r="D745">
        <v>6877809</v>
      </c>
      <c r="E745">
        <v>63044</v>
      </c>
      <c r="F745">
        <v>17547</v>
      </c>
      <c r="G745">
        <v>120682517607</v>
      </c>
      <c r="H745">
        <v>1</v>
      </c>
      <c r="M745" t="s">
        <v>488</v>
      </c>
    </row>
    <row r="747" spans="1:13">
      <c r="M747" t="s">
        <v>489</v>
      </c>
    </row>
    <row r="748" spans="1:13">
      <c r="A748" t="s">
        <v>373</v>
      </c>
      <c r="B748" t="s">
        <v>389</v>
      </c>
      <c r="C748" t="s">
        <v>390</v>
      </c>
      <c r="D748" t="s">
        <v>391</v>
      </c>
      <c r="E748" t="s">
        <v>406</v>
      </c>
      <c r="M748" t="s">
        <v>489</v>
      </c>
    </row>
    <row r="749" spans="1:13">
      <c r="A749" t="s">
        <v>381</v>
      </c>
      <c r="B749">
        <v>1053004</v>
      </c>
      <c r="C749">
        <v>8888</v>
      </c>
      <c r="D749">
        <v>16.100000000000001</v>
      </c>
      <c r="E749">
        <v>10.199999999999999</v>
      </c>
      <c r="M749" t="s">
        <v>489</v>
      </c>
    </row>
    <row r="750" spans="1:13">
      <c r="A750" t="s">
        <v>382</v>
      </c>
      <c r="B750">
        <v>1017592</v>
      </c>
      <c r="C750">
        <v>8858</v>
      </c>
      <c r="D750">
        <v>16</v>
      </c>
      <c r="E750">
        <v>9.4</v>
      </c>
      <c r="M750" t="s">
        <v>489</v>
      </c>
    </row>
    <row r="751" spans="1:13">
      <c r="A751" t="s">
        <v>383</v>
      </c>
      <c r="B751">
        <v>1001020</v>
      </c>
      <c r="C751">
        <v>9097</v>
      </c>
      <c r="D751">
        <v>6.5</v>
      </c>
      <c r="E751">
        <v>5.9</v>
      </c>
      <c r="M751" t="s">
        <v>489</v>
      </c>
    </row>
    <row r="752" spans="1:13">
      <c r="A752" t="s">
        <v>384</v>
      </c>
      <c r="B752">
        <v>1983250</v>
      </c>
      <c r="C752">
        <v>18335</v>
      </c>
      <c r="D752">
        <v>10.6</v>
      </c>
      <c r="E752">
        <v>15.2</v>
      </c>
      <c r="M752" t="s">
        <v>489</v>
      </c>
    </row>
    <row r="753" spans="1:13">
      <c r="A753" t="s">
        <v>385</v>
      </c>
      <c r="B753">
        <v>2878549</v>
      </c>
      <c r="C753">
        <v>26737</v>
      </c>
      <c r="D753">
        <v>39</v>
      </c>
      <c r="E753">
        <v>35</v>
      </c>
      <c r="M753" t="s">
        <v>489</v>
      </c>
    </row>
    <row r="754" spans="1:13">
      <c r="A754" t="s">
        <v>386</v>
      </c>
      <c r="B754">
        <v>1922543</v>
      </c>
      <c r="C754">
        <v>17549</v>
      </c>
      <c r="D754">
        <v>21.2</v>
      </c>
      <c r="E754">
        <v>22</v>
      </c>
      <c r="M754" t="s">
        <v>489</v>
      </c>
    </row>
    <row r="756" spans="1:13">
      <c r="M756" t="s">
        <v>490</v>
      </c>
    </row>
    <row r="757" spans="1:13">
      <c r="A757" t="s">
        <v>373</v>
      </c>
      <c r="B757" t="s">
        <v>374</v>
      </c>
      <c r="C757" t="s">
        <v>375</v>
      </c>
      <c r="D757" t="s">
        <v>376</v>
      </c>
      <c r="E757" t="s">
        <v>377</v>
      </c>
      <c r="F757" t="s">
        <v>378</v>
      </c>
      <c r="G757" t="s">
        <v>380</v>
      </c>
      <c r="M757" t="s">
        <v>490</v>
      </c>
    </row>
    <row r="758" spans="1:13">
      <c r="A758" t="s">
        <v>382</v>
      </c>
      <c r="B758">
        <v>2747277</v>
      </c>
      <c r="C758">
        <v>21878</v>
      </c>
      <c r="D758">
        <v>0</v>
      </c>
      <c r="E758">
        <v>0</v>
      </c>
      <c r="F758">
        <v>0</v>
      </c>
      <c r="G758">
        <v>0</v>
      </c>
      <c r="M758" t="s">
        <v>490</v>
      </c>
    </row>
    <row r="759" spans="1:13">
      <c r="A759" t="s">
        <v>383</v>
      </c>
      <c r="B759">
        <v>2808805</v>
      </c>
      <c r="C759">
        <v>22284</v>
      </c>
      <c r="D759">
        <v>0</v>
      </c>
      <c r="E759">
        <v>0</v>
      </c>
      <c r="F759">
        <v>0</v>
      </c>
      <c r="G759">
        <v>0</v>
      </c>
      <c r="M759" t="s">
        <v>490</v>
      </c>
    </row>
    <row r="760" spans="1:13">
      <c r="A760" t="s">
        <v>384</v>
      </c>
      <c r="B760">
        <v>3836120</v>
      </c>
      <c r="C760">
        <v>32216</v>
      </c>
      <c r="D760">
        <v>7480080</v>
      </c>
      <c r="E760">
        <v>61006</v>
      </c>
      <c r="F760">
        <v>11648</v>
      </c>
      <c r="G760">
        <v>0.51</v>
      </c>
      <c r="M760" t="s">
        <v>490</v>
      </c>
    </row>
    <row r="761" spans="1:13">
      <c r="A761" t="s">
        <v>385</v>
      </c>
      <c r="B761">
        <v>11272889</v>
      </c>
      <c r="C761">
        <v>95653</v>
      </c>
      <c r="D761">
        <v>1271248</v>
      </c>
      <c r="E761">
        <v>10592</v>
      </c>
      <c r="F761">
        <v>12060</v>
      </c>
      <c r="G761">
        <v>8.8699999999999992</v>
      </c>
      <c r="M761" t="s">
        <v>490</v>
      </c>
    </row>
    <row r="762" spans="1:13">
      <c r="A762" t="s">
        <v>386</v>
      </c>
      <c r="B762">
        <v>11374948</v>
      </c>
      <c r="C762">
        <v>93950</v>
      </c>
      <c r="D762">
        <v>5260562</v>
      </c>
      <c r="E762">
        <v>43391</v>
      </c>
      <c r="F762">
        <v>13088</v>
      </c>
      <c r="G762">
        <v>2.16</v>
      </c>
      <c r="M762" t="s">
        <v>490</v>
      </c>
    </row>
    <row r="763" spans="1:13">
      <c r="A763" t="s">
        <v>393</v>
      </c>
      <c r="B763">
        <v>16658034</v>
      </c>
      <c r="C763">
        <v>135740</v>
      </c>
      <c r="D763">
        <v>4999214</v>
      </c>
      <c r="E763">
        <v>40867</v>
      </c>
      <c r="F763">
        <v>9841</v>
      </c>
      <c r="G763">
        <v>3.33</v>
      </c>
      <c r="M763" t="s">
        <v>490</v>
      </c>
    </row>
    <row r="764" spans="1:13">
      <c r="A764" t="s">
        <v>387</v>
      </c>
      <c r="B764">
        <v>48698073</v>
      </c>
      <c r="C764">
        <v>401721</v>
      </c>
      <c r="D764">
        <v>19011103</v>
      </c>
      <c r="E764">
        <v>155856</v>
      </c>
      <c r="F764">
        <v>11599</v>
      </c>
      <c r="G764">
        <v>2.56</v>
      </c>
      <c r="M764" t="s">
        <v>490</v>
      </c>
    </row>
    <row r="766" spans="1:13">
      <c r="M766" t="s">
        <v>491</v>
      </c>
    </row>
    <row r="767" spans="1:13">
      <c r="A767" t="s">
        <v>373</v>
      </c>
      <c r="B767" t="s">
        <v>389</v>
      </c>
      <c r="C767" t="s">
        <v>390</v>
      </c>
      <c r="D767" t="s">
        <v>391</v>
      </c>
      <c r="E767" t="s">
        <v>406</v>
      </c>
      <c r="M767" t="s">
        <v>491</v>
      </c>
    </row>
    <row r="768" spans="1:13">
      <c r="A768" t="s">
        <v>384</v>
      </c>
      <c r="B768">
        <v>10415441</v>
      </c>
      <c r="C768">
        <v>79133</v>
      </c>
      <c r="D768">
        <v>14.3</v>
      </c>
      <c r="E768">
        <v>28.6</v>
      </c>
      <c r="M768" t="s">
        <v>491</v>
      </c>
    </row>
    <row r="770" spans="1:13">
      <c r="M770" t="s">
        <v>492</v>
      </c>
    </row>
    <row r="771" spans="1:13">
      <c r="A771" t="s">
        <v>373</v>
      </c>
      <c r="B771" t="s">
        <v>374</v>
      </c>
      <c r="C771" t="s">
        <v>375</v>
      </c>
      <c r="D771" t="s">
        <v>376</v>
      </c>
      <c r="E771" t="s">
        <v>377</v>
      </c>
      <c r="F771" t="s">
        <v>378</v>
      </c>
      <c r="G771" t="s">
        <v>379</v>
      </c>
      <c r="H771" t="s">
        <v>380</v>
      </c>
      <c r="M771" t="s">
        <v>492</v>
      </c>
    </row>
    <row r="772" spans="1:13">
      <c r="A772" t="s">
        <v>382</v>
      </c>
      <c r="B772">
        <v>685432</v>
      </c>
      <c r="C772">
        <v>5177</v>
      </c>
      <c r="D772">
        <v>770788</v>
      </c>
      <c r="E772">
        <v>5607</v>
      </c>
      <c r="F772">
        <v>35117</v>
      </c>
      <c r="G772">
        <v>27068092632</v>
      </c>
      <c r="H772">
        <v>0.89</v>
      </c>
      <c r="M772" t="s">
        <v>492</v>
      </c>
    </row>
    <row r="773" spans="1:13">
      <c r="A773" t="s">
        <v>383</v>
      </c>
      <c r="B773">
        <v>816716</v>
      </c>
      <c r="C773">
        <v>5828</v>
      </c>
      <c r="D773">
        <v>811697</v>
      </c>
      <c r="E773">
        <v>5774</v>
      </c>
      <c r="F773">
        <v>34053</v>
      </c>
      <c r="G773">
        <v>27640563209</v>
      </c>
      <c r="H773">
        <v>1.01</v>
      </c>
      <c r="M773" t="s">
        <v>492</v>
      </c>
    </row>
    <row r="774" spans="1:13">
      <c r="A774" t="s">
        <v>384</v>
      </c>
      <c r="B774">
        <v>1870523</v>
      </c>
      <c r="C774">
        <v>13418</v>
      </c>
      <c r="D774">
        <v>1650152</v>
      </c>
      <c r="E774">
        <v>11990</v>
      </c>
      <c r="F774">
        <v>34454</v>
      </c>
      <c r="G774">
        <v>56854717364</v>
      </c>
      <c r="H774">
        <v>1.1299999999999999</v>
      </c>
      <c r="M774" t="s">
        <v>492</v>
      </c>
    </row>
    <row r="775" spans="1:13">
      <c r="A775" t="s">
        <v>385</v>
      </c>
      <c r="B775">
        <v>1419070</v>
      </c>
      <c r="C775">
        <v>10355</v>
      </c>
      <c r="D775">
        <v>1341408</v>
      </c>
      <c r="E775">
        <v>9568</v>
      </c>
      <c r="F775">
        <v>34199</v>
      </c>
      <c r="G775">
        <v>45874326179</v>
      </c>
      <c r="H775">
        <v>1.06</v>
      </c>
      <c r="M775" t="s">
        <v>492</v>
      </c>
    </row>
    <row r="776" spans="1:13">
      <c r="A776" t="s">
        <v>386</v>
      </c>
      <c r="B776">
        <v>773080</v>
      </c>
      <c r="C776">
        <v>5414</v>
      </c>
      <c r="D776">
        <v>990374</v>
      </c>
      <c r="E776">
        <v>6865</v>
      </c>
      <c r="F776">
        <v>32260</v>
      </c>
      <c r="G776">
        <v>31949617649</v>
      </c>
      <c r="H776">
        <v>0.78</v>
      </c>
      <c r="M776" t="s">
        <v>492</v>
      </c>
    </row>
    <row r="777" spans="1:13">
      <c r="A777" t="s">
        <v>387</v>
      </c>
      <c r="B777">
        <v>5564821</v>
      </c>
      <c r="C777">
        <v>40192</v>
      </c>
      <c r="D777">
        <v>5564418</v>
      </c>
      <c r="E777">
        <v>39804</v>
      </c>
      <c r="F777">
        <v>34035</v>
      </c>
      <c r="G777">
        <v>189387317033</v>
      </c>
      <c r="H777">
        <v>1</v>
      </c>
      <c r="M777" t="s">
        <v>492</v>
      </c>
    </row>
    <row r="779" spans="1:13">
      <c r="M779" t="s">
        <v>493</v>
      </c>
    </row>
    <row r="780" spans="1:13">
      <c r="A780" t="s">
        <v>373</v>
      </c>
      <c r="B780" t="s">
        <v>389</v>
      </c>
      <c r="C780" t="s">
        <v>390</v>
      </c>
      <c r="D780" t="s">
        <v>391</v>
      </c>
      <c r="M780" t="s">
        <v>493</v>
      </c>
    </row>
    <row r="781" spans="1:13">
      <c r="A781" t="s">
        <v>382</v>
      </c>
      <c r="B781">
        <v>5757171</v>
      </c>
      <c r="C781">
        <v>52303</v>
      </c>
      <c r="D781">
        <v>14.4</v>
      </c>
      <c r="M781" t="s">
        <v>493</v>
      </c>
    </row>
    <row r="782" spans="1:13">
      <c r="A782" t="s">
        <v>383</v>
      </c>
      <c r="B782">
        <v>6290877</v>
      </c>
      <c r="C782">
        <v>56184</v>
      </c>
      <c r="D782">
        <v>13.4</v>
      </c>
      <c r="M782" t="s">
        <v>493</v>
      </c>
    </row>
    <row r="783" spans="1:13">
      <c r="A783" t="s">
        <v>384</v>
      </c>
      <c r="B783">
        <v>5804192</v>
      </c>
      <c r="C783">
        <v>51378</v>
      </c>
      <c r="D783">
        <v>5.9</v>
      </c>
      <c r="M783" t="s">
        <v>493</v>
      </c>
    </row>
    <row r="784" spans="1:13">
      <c r="A784" t="s">
        <v>385</v>
      </c>
      <c r="B784">
        <v>4985881</v>
      </c>
      <c r="C784">
        <v>44470</v>
      </c>
      <c r="D784">
        <v>4.0999999999999996</v>
      </c>
      <c r="M784" t="s">
        <v>493</v>
      </c>
    </row>
    <row r="785" spans="1:13">
      <c r="A785" t="s">
        <v>386</v>
      </c>
      <c r="B785">
        <v>5647645</v>
      </c>
      <c r="C785">
        <v>48446</v>
      </c>
      <c r="D785">
        <v>5.5</v>
      </c>
      <c r="M785" t="s">
        <v>493</v>
      </c>
    </row>
    <row r="787" spans="1:13">
      <c r="M787" t="s">
        <v>494</v>
      </c>
    </row>
    <row r="788" spans="1:13">
      <c r="A788" t="s">
        <v>373</v>
      </c>
      <c r="B788" t="s">
        <v>374</v>
      </c>
      <c r="C788" t="s">
        <v>375</v>
      </c>
      <c r="D788" t="s">
        <v>376</v>
      </c>
      <c r="E788" t="s">
        <v>377</v>
      </c>
      <c r="F788" t="s">
        <v>378</v>
      </c>
      <c r="G788" t="s">
        <v>379</v>
      </c>
      <c r="H788" t="s">
        <v>380</v>
      </c>
      <c r="M788" t="s">
        <v>494</v>
      </c>
    </row>
    <row r="789" spans="1:13">
      <c r="A789" t="s">
        <v>381</v>
      </c>
      <c r="B789">
        <v>34895</v>
      </c>
      <c r="C789">
        <v>252</v>
      </c>
      <c r="D789">
        <v>46380</v>
      </c>
      <c r="E789">
        <v>354</v>
      </c>
      <c r="F789">
        <v>9032</v>
      </c>
      <c r="G789">
        <v>418908173</v>
      </c>
      <c r="H789">
        <v>0.75</v>
      </c>
      <c r="M789" t="s">
        <v>494</v>
      </c>
    </row>
    <row r="790" spans="1:13">
      <c r="A790" t="s">
        <v>382</v>
      </c>
      <c r="B790">
        <v>634940</v>
      </c>
      <c r="C790">
        <v>5280</v>
      </c>
      <c r="D790">
        <v>999377</v>
      </c>
      <c r="E790">
        <v>8310</v>
      </c>
      <c r="F790">
        <v>8639</v>
      </c>
      <c r="G790">
        <v>8633139835</v>
      </c>
      <c r="H790">
        <v>0.64</v>
      </c>
      <c r="M790" t="s">
        <v>494</v>
      </c>
    </row>
    <row r="791" spans="1:13">
      <c r="A791" t="s">
        <v>383</v>
      </c>
      <c r="B791">
        <v>782082</v>
      </c>
      <c r="C791">
        <v>6889</v>
      </c>
      <c r="D791">
        <v>763481</v>
      </c>
      <c r="E791">
        <v>6419</v>
      </c>
      <c r="F791">
        <v>8669</v>
      </c>
      <c r="G791">
        <v>6618815630</v>
      </c>
      <c r="H791">
        <v>1.02</v>
      </c>
      <c r="M791" t="s">
        <v>494</v>
      </c>
    </row>
    <row r="792" spans="1:13">
      <c r="A792" t="s">
        <v>384</v>
      </c>
      <c r="B792">
        <v>1073688</v>
      </c>
      <c r="C792">
        <v>8916</v>
      </c>
      <c r="D792">
        <v>1384553</v>
      </c>
      <c r="E792">
        <v>11546</v>
      </c>
      <c r="F792">
        <v>8932</v>
      </c>
      <c r="G792">
        <v>12366530547</v>
      </c>
      <c r="H792">
        <v>0.78</v>
      </c>
      <c r="M792" t="s">
        <v>494</v>
      </c>
    </row>
    <row r="793" spans="1:13">
      <c r="A793" t="s">
        <v>385</v>
      </c>
      <c r="B793">
        <v>1480310</v>
      </c>
      <c r="C793">
        <v>12448</v>
      </c>
      <c r="D793">
        <v>1214293</v>
      </c>
      <c r="E793">
        <v>10230</v>
      </c>
      <c r="F793">
        <v>8678</v>
      </c>
      <c r="G793">
        <v>10538219207</v>
      </c>
      <c r="H793">
        <v>1.22</v>
      </c>
      <c r="M793" t="s">
        <v>494</v>
      </c>
    </row>
    <row r="794" spans="1:13">
      <c r="A794" t="s">
        <v>386</v>
      </c>
      <c r="B794">
        <v>1748720</v>
      </c>
      <c r="C794">
        <v>14532</v>
      </c>
      <c r="D794">
        <v>1024771</v>
      </c>
      <c r="E794">
        <v>8573</v>
      </c>
      <c r="F794">
        <v>8590</v>
      </c>
      <c r="G794">
        <v>8803224771</v>
      </c>
      <c r="H794">
        <v>1.71</v>
      </c>
      <c r="M794" t="s">
        <v>494</v>
      </c>
    </row>
    <row r="795" spans="1:13">
      <c r="A795" t="s">
        <v>387</v>
      </c>
      <c r="B795">
        <v>5754635</v>
      </c>
      <c r="C795">
        <v>48317</v>
      </c>
      <c r="D795">
        <v>5432856</v>
      </c>
      <c r="E795">
        <v>45432</v>
      </c>
      <c r="F795">
        <v>8721</v>
      </c>
      <c r="G795">
        <v>47378838163</v>
      </c>
      <c r="H795">
        <v>1.06</v>
      </c>
      <c r="M795" t="s">
        <v>494</v>
      </c>
    </row>
    <row r="797" spans="1:13">
      <c r="M797" t="s">
        <v>495</v>
      </c>
    </row>
    <row r="798" spans="1:13">
      <c r="A798" t="s">
        <v>373</v>
      </c>
      <c r="B798" t="s">
        <v>389</v>
      </c>
      <c r="C798" t="s">
        <v>390</v>
      </c>
      <c r="D798" t="s">
        <v>391</v>
      </c>
      <c r="E798" t="s">
        <v>406</v>
      </c>
      <c r="M798" t="s">
        <v>495</v>
      </c>
    </row>
    <row r="799" spans="1:13">
      <c r="A799" t="s">
        <v>381</v>
      </c>
      <c r="B799">
        <v>1129298</v>
      </c>
      <c r="C799">
        <v>9447</v>
      </c>
      <c r="D799">
        <v>13.8</v>
      </c>
      <c r="E799">
        <v>15.6</v>
      </c>
      <c r="M799" t="s">
        <v>495</v>
      </c>
    </row>
    <row r="800" spans="1:13">
      <c r="A800" t="s">
        <v>382</v>
      </c>
      <c r="B800">
        <v>1122905</v>
      </c>
      <c r="C800">
        <v>9409</v>
      </c>
      <c r="D800">
        <v>13.5</v>
      </c>
      <c r="E800">
        <v>15.3</v>
      </c>
      <c r="M800" t="s">
        <v>495</v>
      </c>
    </row>
    <row r="801" spans="1:13">
      <c r="A801" t="s">
        <v>383</v>
      </c>
      <c r="B801">
        <v>1202237</v>
      </c>
      <c r="C801">
        <v>9967</v>
      </c>
      <c r="D801">
        <v>18.899999999999999</v>
      </c>
      <c r="E801">
        <v>13.4</v>
      </c>
      <c r="M801" t="s">
        <v>495</v>
      </c>
    </row>
    <row r="802" spans="1:13">
      <c r="A802" t="s">
        <v>384</v>
      </c>
      <c r="B802">
        <v>1381667</v>
      </c>
      <c r="C802">
        <v>11300</v>
      </c>
      <c r="D802">
        <v>12</v>
      </c>
      <c r="E802">
        <v>12.8</v>
      </c>
      <c r="M802" t="s">
        <v>495</v>
      </c>
    </row>
    <row r="803" spans="1:13">
      <c r="A803" t="s">
        <v>385</v>
      </c>
      <c r="B803">
        <v>1931482</v>
      </c>
      <c r="C803">
        <v>16867</v>
      </c>
      <c r="D803">
        <v>19.100000000000001</v>
      </c>
      <c r="E803">
        <v>20.7</v>
      </c>
      <c r="M803" t="s">
        <v>495</v>
      </c>
    </row>
    <row r="804" spans="1:13">
      <c r="A804" t="s">
        <v>386</v>
      </c>
      <c r="B804">
        <v>1275017</v>
      </c>
      <c r="C804">
        <v>11390</v>
      </c>
      <c r="D804">
        <v>14.9</v>
      </c>
      <c r="E804">
        <v>16.2</v>
      </c>
      <c r="M804" t="s">
        <v>495</v>
      </c>
    </row>
    <row r="806" spans="1:13">
      <c r="M806" t="s">
        <v>496</v>
      </c>
    </row>
    <row r="807" spans="1:13">
      <c r="A807" t="s">
        <v>373</v>
      </c>
      <c r="B807" t="s">
        <v>374</v>
      </c>
      <c r="C807" t="s">
        <v>375</v>
      </c>
      <c r="D807" t="s">
        <v>376</v>
      </c>
      <c r="E807" t="s">
        <v>377</v>
      </c>
      <c r="F807" t="s">
        <v>378</v>
      </c>
      <c r="G807" t="s">
        <v>379</v>
      </c>
      <c r="H807" t="s">
        <v>380</v>
      </c>
      <c r="M807" t="s">
        <v>496</v>
      </c>
    </row>
    <row r="808" spans="1:13">
      <c r="A808" t="s">
        <v>383</v>
      </c>
      <c r="B808">
        <v>694105</v>
      </c>
      <c r="C808">
        <v>6049</v>
      </c>
      <c r="D808">
        <v>507537</v>
      </c>
      <c r="E808">
        <v>4232</v>
      </c>
      <c r="F808">
        <v>4902</v>
      </c>
      <c r="G808">
        <v>2487858387</v>
      </c>
      <c r="H808">
        <v>1.37</v>
      </c>
      <c r="M808" t="s">
        <v>496</v>
      </c>
    </row>
    <row r="809" spans="1:13">
      <c r="A809" t="s">
        <v>384</v>
      </c>
      <c r="B809">
        <v>1458581</v>
      </c>
      <c r="C809">
        <v>13519</v>
      </c>
      <c r="D809">
        <v>787569</v>
      </c>
      <c r="E809">
        <v>6773</v>
      </c>
      <c r="F809">
        <v>4991</v>
      </c>
      <c r="G809">
        <v>3930919440</v>
      </c>
      <c r="H809">
        <v>1.85</v>
      </c>
      <c r="M809" t="s">
        <v>496</v>
      </c>
    </row>
    <row r="810" spans="1:13">
      <c r="A810" t="s">
        <v>385</v>
      </c>
      <c r="B810">
        <v>1308802</v>
      </c>
      <c r="C810">
        <v>11542</v>
      </c>
      <c r="D810">
        <v>300794</v>
      </c>
      <c r="E810">
        <v>2522</v>
      </c>
      <c r="F810">
        <v>5037</v>
      </c>
      <c r="G810">
        <v>1515233916</v>
      </c>
      <c r="H810">
        <v>4.3499999999999996</v>
      </c>
      <c r="M810" t="s">
        <v>496</v>
      </c>
    </row>
    <row r="811" spans="1:13">
      <c r="A811" t="s">
        <v>386</v>
      </c>
      <c r="B811">
        <v>1957645</v>
      </c>
      <c r="C811">
        <v>15812</v>
      </c>
      <c r="D811">
        <v>0</v>
      </c>
      <c r="E811">
        <v>0</v>
      </c>
      <c r="F811">
        <v>0</v>
      </c>
      <c r="G811">
        <v>0</v>
      </c>
      <c r="H811">
        <v>0</v>
      </c>
      <c r="M811" t="s">
        <v>496</v>
      </c>
    </row>
    <row r="812" spans="1:13">
      <c r="A812" t="s">
        <v>393</v>
      </c>
      <c r="B812">
        <v>1421390</v>
      </c>
      <c r="C812">
        <v>12015</v>
      </c>
      <c r="D812">
        <v>0</v>
      </c>
      <c r="E812">
        <v>0</v>
      </c>
      <c r="F812">
        <v>0</v>
      </c>
      <c r="G812">
        <v>0</v>
      </c>
      <c r="H812">
        <v>0</v>
      </c>
      <c r="M812" t="s">
        <v>496</v>
      </c>
    </row>
    <row r="813" spans="1:13">
      <c r="A813" t="s">
        <v>435</v>
      </c>
      <c r="B813">
        <v>418960</v>
      </c>
      <c r="C813">
        <v>3978</v>
      </c>
      <c r="D813">
        <v>0</v>
      </c>
      <c r="E813">
        <v>0</v>
      </c>
      <c r="F813">
        <v>0</v>
      </c>
      <c r="G813">
        <v>0</v>
      </c>
      <c r="H813">
        <v>0</v>
      </c>
      <c r="M813" t="s">
        <v>496</v>
      </c>
    </row>
    <row r="814" spans="1:13">
      <c r="A814" t="s">
        <v>387</v>
      </c>
      <c r="B814">
        <v>7259483</v>
      </c>
      <c r="C814">
        <v>62915</v>
      </c>
      <c r="D814">
        <v>1595901</v>
      </c>
      <c r="E814">
        <v>13527</v>
      </c>
      <c r="F814">
        <v>4971</v>
      </c>
      <c r="G814">
        <v>7934011743</v>
      </c>
      <c r="H814">
        <v>4.55</v>
      </c>
      <c r="M814" t="s">
        <v>496</v>
      </c>
    </row>
    <row r="816" spans="1:13">
      <c r="M816" t="s">
        <v>497</v>
      </c>
    </row>
    <row r="817" spans="1:13">
      <c r="A817" t="s">
        <v>373</v>
      </c>
      <c r="B817" t="s">
        <v>389</v>
      </c>
      <c r="C817" t="s">
        <v>390</v>
      </c>
      <c r="D817" t="s">
        <v>391</v>
      </c>
      <c r="E817" t="s">
        <v>406</v>
      </c>
      <c r="M817" t="s">
        <v>497</v>
      </c>
    </row>
    <row r="818" spans="1:13">
      <c r="A818" t="s">
        <v>383</v>
      </c>
      <c r="B818">
        <v>2640125</v>
      </c>
      <c r="C818">
        <v>23370</v>
      </c>
      <c r="D818">
        <v>54.8</v>
      </c>
      <c r="E818">
        <v>41.2</v>
      </c>
      <c r="M818" t="s">
        <v>497</v>
      </c>
    </row>
    <row r="819" spans="1:13">
      <c r="A819" t="s">
        <v>384</v>
      </c>
      <c r="B819">
        <v>2640144</v>
      </c>
      <c r="C819">
        <v>23283</v>
      </c>
      <c r="D819">
        <v>40.200000000000003</v>
      </c>
      <c r="E819">
        <v>58.2</v>
      </c>
      <c r="M819" t="s">
        <v>497</v>
      </c>
    </row>
    <row r="820" spans="1:13">
      <c r="A820" t="s">
        <v>385</v>
      </c>
      <c r="B820">
        <v>2258604</v>
      </c>
      <c r="C820">
        <v>19272</v>
      </c>
      <c r="D820">
        <v>90.1</v>
      </c>
      <c r="E820">
        <v>180.2</v>
      </c>
      <c r="M820" t="s">
        <v>497</v>
      </c>
    </row>
    <row r="822" spans="1:13">
      <c r="M822" t="s">
        <v>498</v>
      </c>
    </row>
    <row r="823" spans="1:13">
      <c r="A823" t="s">
        <v>373</v>
      </c>
      <c r="B823" t="s">
        <v>374</v>
      </c>
      <c r="C823" t="s">
        <v>375</v>
      </c>
      <c r="D823" t="s">
        <v>376</v>
      </c>
      <c r="E823" t="s">
        <v>377</v>
      </c>
      <c r="F823" t="s">
        <v>378</v>
      </c>
      <c r="G823" t="s">
        <v>379</v>
      </c>
      <c r="H823" t="s">
        <v>380</v>
      </c>
      <c r="M823" t="s">
        <v>498</v>
      </c>
    </row>
    <row r="824" spans="1:13">
      <c r="A824" t="s">
        <v>381</v>
      </c>
      <c r="B824">
        <v>0</v>
      </c>
      <c r="C824">
        <v>0</v>
      </c>
      <c r="D824">
        <v>7419</v>
      </c>
      <c r="E824">
        <v>71</v>
      </c>
      <c r="F824">
        <v>7704</v>
      </c>
      <c r="G824">
        <v>57158457</v>
      </c>
      <c r="H824">
        <v>0</v>
      </c>
      <c r="M824" t="s">
        <v>498</v>
      </c>
    </row>
    <row r="825" spans="1:13">
      <c r="A825" t="s">
        <v>382</v>
      </c>
      <c r="B825">
        <v>102021</v>
      </c>
      <c r="C825">
        <v>918</v>
      </c>
      <c r="D825">
        <v>126608</v>
      </c>
      <c r="E825">
        <v>1352</v>
      </c>
      <c r="F825">
        <v>8030</v>
      </c>
      <c r="G825">
        <v>1016610183</v>
      </c>
      <c r="H825">
        <v>0.81</v>
      </c>
      <c r="M825" t="s">
        <v>498</v>
      </c>
    </row>
    <row r="826" spans="1:13">
      <c r="A826" t="s">
        <v>383</v>
      </c>
      <c r="B826">
        <v>79928</v>
      </c>
      <c r="C826">
        <v>752</v>
      </c>
      <c r="D826">
        <v>138540</v>
      </c>
      <c r="E826">
        <v>1514</v>
      </c>
      <c r="F826">
        <v>8274</v>
      </c>
      <c r="G826">
        <v>1146305043</v>
      </c>
      <c r="H826">
        <v>0.57999999999999996</v>
      </c>
      <c r="M826" t="s">
        <v>498</v>
      </c>
    </row>
    <row r="827" spans="1:13">
      <c r="A827" t="s">
        <v>384</v>
      </c>
      <c r="B827">
        <v>0</v>
      </c>
      <c r="C827">
        <v>0</v>
      </c>
      <c r="D827">
        <v>4649</v>
      </c>
      <c r="E827">
        <v>60</v>
      </c>
      <c r="F827">
        <v>7039</v>
      </c>
      <c r="G827">
        <v>32725971</v>
      </c>
      <c r="H827">
        <v>0</v>
      </c>
      <c r="M827" t="s">
        <v>498</v>
      </c>
    </row>
    <row r="828" spans="1:13">
      <c r="A828" t="s">
        <v>385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M828" t="s">
        <v>498</v>
      </c>
    </row>
    <row r="829" spans="1:13">
      <c r="A829" t="s">
        <v>386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M829" t="s">
        <v>498</v>
      </c>
    </row>
    <row r="830" spans="1:13">
      <c r="A830" t="s">
        <v>387</v>
      </c>
      <c r="B830">
        <v>181949</v>
      </c>
      <c r="C830">
        <v>1670</v>
      </c>
      <c r="D830">
        <v>277217</v>
      </c>
      <c r="E830">
        <v>2997</v>
      </c>
      <c r="F830">
        <v>8126</v>
      </c>
      <c r="G830">
        <v>2252799654</v>
      </c>
      <c r="H830">
        <v>0.66</v>
      </c>
      <c r="M830" t="s">
        <v>498</v>
      </c>
    </row>
    <row r="832" spans="1:13">
      <c r="M832" t="s">
        <v>499</v>
      </c>
    </row>
    <row r="833" spans="1:13">
      <c r="A833" t="s">
        <v>373</v>
      </c>
      <c r="B833" t="s">
        <v>389</v>
      </c>
      <c r="C833" t="s">
        <v>390</v>
      </c>
      <c r="D833" t="s">
        <v>391</v>
      </c>
      <c r="M833" t="s">
        <v>499</v>
      </c>
    </row>
    <row r="834" spans="1:13">
      <c r="A834" t="s">
        <v>381</v>
      </c>
      <c r="B834">
        <v>430609</v>
      </c>
      <c r="C834">
        <v>4710</v>
      </c>
      <c r="D834">
        <v>40</v>
      </c>
      <c r="M834" t="s">
        <v>499</v>
      </c>
    </row>
    <row r="835" spans="1:13">
      <c r="A835" t="s">
        <v>382</v>
      </c>
      <c r="B835">
        <v>437879</v>
      </c>
      <c r="C835">
        <v>4780</v>
      </c>
      <c r="D835">
        <v>41.5</v>
      </c>
      <c r="M835" t="s">
        <v>499</v>
      </c>
    </row>
    <row r="836" spans="1:13">
      <c r="A836" t="s">
        <v>383</v>
      </c>
      <c r="B836">
        <v>455325</v>
      </c>
      <c r="C836">
        <v>5142</v>
      </c>
      <c r="D836">
        <v>39.4</v>
      </c>
      <c r="M836" t="s">
        <v>499</v>
      </c>
    </row>
    <row r="837" spans="1:13">
      <c r="A837" t="s">
        <v>384</v>
      </c>
      <c r="B837">
        <v>507564</v>
      </c>
      <c r="C837">
        <v>5843</v>
      </c>
      <c r="D837">
        <v>1310</v>
      </c>
      <c r="M837" t="s">
        <v>499</v>
      </c>
    </row>
    <row r="839" spans="1:13">
      <c r="M839" t="s">
        <v>500</v>
      </c>
    </row>
    <row r="840" spans="1:13">
      <c r="A840" t="s">
        <v>373</v>
      </c>
      <c r="B840" t="s">
        <v>374</v>
      </c>
      <c r="C840" t="s">
        <v>375</v>
      </c>
      <c r="D840" t="s">
        <v>376</v>
      </c>
      <c r="E840" t="s">
        <v>377</v>
      </c>
      <c r="F840" t="s">
        <v>378</v>
      </c>
      <c r="G840" t="s">
        <v>379</v>
      </c>
      <c r="H840" t="s">
        <v>380</v>
      </c>
      <c r="M840" t="s">
        <v>500</v>
      </c>
    </row>
    <row r="841" spans="1:13">
      <c r="A841" t="s">
        <v>381</v>
      </c>
      <c r="B841">
        <v>0</v>
      </c>
      <c r="C841">
        <v>0</v>
      </c>
      <c r="D841">
        <v>23731</v>
      </c>
      <c r="E841">
        <v>190</v>
      </c>
      <c r="F841">
        <v>16441</v>
      </c>
      <c r="G841">
        <v>390151600</v>
      </c>
      <c r="H841">
        <v>0</v>
      </c>
      <c r="M841" t="s">
        <v>500</v>
      </c>
    </row>
    <row r="842" spans="1:13">
      <c r="A842" t="s">
        <v>382</v>
      </c>
      <c r="B842">
        <v>424486</v>
      </c>
      <c r="C842">
        <v>3625</v>
      </c>
      <c r="D842">
        <v>310203</v>
      </c>
      <c r="E842">
        <v>2632</v>
      </c>
      <c r="F842">
        <v>15313</v>
      </c>
      <c r="G842">
        <v>4750182601</v>
      </c>
      <c r="H842">
        <v>1.37</v>
      </c>
      <c r="M842" t="s">
        <v>500</v>
      </c>
    </row>
    <row r="843" spans="1:13">
      <c r="A843" t="s">
        <v>383</v>
      </c>
      <c r="B843">
        <v>357966</v>
      </c>
      <c r="C843">
        <v>2887</v>
      </c>
      <c r="D843">
        <v>376665</v>
      </c>
      <c r="E843">
        <v>3070</v>
      </c>
      <c r="F843">
        <v>13496</v>
      </c>
      <c r="G843">
        <v>5083630114</v>
      </c>
      <c r="H843">
        <v>0.95</v>
      </c>
      <c r="M843" t="s">
        <v>500</v>
      </c>
    </row>
    <row r="844" spans="1:13">
      <c r="A844" t="s">
        <v>384</v>
      </c>
      <c r="B844">
        <v>1818656</v>
      </c>
      <c r="C844">
        <v>15214</v>
      </c>
      <c r="D844">
        <v>1507494</v>
      </c>
      <c r="E844">
        <v>12085</v>
      </c>
      <c r="F844">
        <v>14783</v>
      </c>
      <c r="G844">
        <v>22285114665</v>
      </c>
      <c r="H844">
        <v>1.21</v>
      </c>
      <c r="M844" t="s">
        <v>500</v>
      </c>
    </row>
    <row r="845" spans="1:13">
      <c r="A845" t="s">
        <v>385</v>
      </c>
      <c r="B845">
        <v>1367139</v>
      </c>
      <c r="C845">
        <v>11238</v>
      </c>
      <c r="D845">
        <v>1459252</v>
      </c>
      <c r="E845">
        <v>11703</v>
      </c>
      <c r="F845">
        <v>11381</v>
      </c>
      <c r="G845">
        <v>16607415548</v>
      </c>
      <c r="H845">
        <v>0.94</v>
      </c>
      <c r="M845" t="s">
        <v>500</v>
      </c>
    </row>
    <row r="846" spans="1:13">
      <c r="A846" t="s">
        <v>386</v>
      </c>
      <c r="B846">
        <v>1789827</v>
      </c>
      <c r="C846">
        <v>14432</v>
      </c>
      <c r="D846">
        <v>1535571</v>
      </c>
      <c r="E846">
        <v>12378</v>
      </c>
      <c r="F846">
        <v>10015</v>
      </c>
      <c r="G846">
        <v>15378193791</v>
      </c>
      <c r="H846">
        <v>1.17</v>
      </c>
      <c r="M846" t="s">
        <v>500</v>
      </c>
    </row>
    <row r="847" spans="1:13">
      <c r="A847" t="s">
        <v>387</v>
      </c>
      <c r="B847">
        <v>5758073</v>
      </c>
      <c r="C847">
        <v>47396</v>
      </c>
      <c r="D847">
        <v>5212916</v>
      </c>
      <c r="E847">
        <v>42058</v>
      </c>
      <c r="F847">
        <v>12372</v>
      </c>
      <c r="G847">
        <v>64494688318</v>
      </c>
      <c r="H847">
        <v>1.1000000000000001</v>
      </c>
      <c r="M847" t="s">
        <v>500</v>
      </c>
    </row>
    <row r="849" spans="1:13">
      <c r="M849" t="s">
        <v>501</v>
      </c>
    </row>
    <row r="850" spans="1:13">
      <c r="A850" t="s">
        <v>373</v>
      </c>
      <c r="B850" t="s">
        <v>389</v>
      </c>
      <c r="C850" t="s">
        <v>390</v>
      </c>
      <c r="D850" t="s">
        <v>391</v>
      </c>
      <c r="M850" t="s">
        <v>501</v>
      </c>
    </row>
    <row r="851" spans="1:13">
      <c r="A851" t="s">
        <v>381</v>
      </c>
      <c r="B851">
        <v>2870302</v>
      </c>
      <c r="C851">
        <v>25238</v>
      </c>
      <c r="D851">
        <v>111.9</v>
      </c>
      <c r="M851" t="s">
        <v>501</v>
      </c>
    </row>
    <row r="852" spans="1:13">
      <c r="A852" t="s">
        <v>382</v>
      </c>
      <c r="B852">
        <v>2886776</v>
      </c>
      <c r="C852">
        <v>25378</v>
      </c>
      <c r="D852">
        <v>111.7</v>
      </c>
      <c r="M852" t="s">
        <v>501</v>
      </c>
    </row>
    <row r="853" spans="1:13">
      <c r="A853" t="s">
        <v>383</v>
      </c>
      <c r="B853">
        <v>3012166</v>
      </c>
      <c r="C853">
        <v>26205</v>
      </c>
      <c r="D853">
        <v>96</v>
      </c>
      <c r="M853" t="s">
        <v>501</v>
      </c>
    </row>
    <row r="854" spans="1:13">
      <c r="A854" t="s">
        <v>384</v>
      </c>
      <c r="B854">
        <v>3116853</v>
      </c>
      <c r="C854">
        <v>27112</v>
      </c>
      <c r="D854">
        <v>24.8</v>
      </c>
      <c r="M854" t="s">
        <v>501</v>
      </c>
    </row>
    <row r="855" spans="1:13">
      <c r="A855" t="s">
        <v>385</v>
      </c>
      <c r="B855">
        <v>3044894</v>
      </c>
      <c r="C855">
        <v>26125</v>
      </c>
      <c r="D855">
        <v>25</v>
      </c>
      <c r="M855" t="s">
        <v>501</v>
      </c>
    </row>
    <row r="856" spans="1:13">
      <c r="A856" t="s">
        <v>386</v>
      </c>
      <c r="B856">
        <v>0</v>
      </c>
      <c r="C856">
        <v>0</v>
      </c>
      <c r="D856">
        <v>0</v>
      </c>
      <c r="M856" t="s">
        <v>501</v>
      </c>
    </row>
    <row r="858" spans="1:13">
      <c r="M858" t="s">
        <v>502</v>
      </c>
    </row>
    <row r="859" spans="1:13">
      <c r="A859" t="s">
        <v>373</v>
      </c>
      <c r="B859" t="s">
        <v>374</v>
      </c>
      <c r="C859" t="s">
        <v>375</v>
      </c>
      <c r="D859" t="s">
        <v>376</v>
      </c>
      <c r="E859" t="s">
        <v>377</v>
      </c>
      <c r="F859" t="s">
        <v>378</v>
      </c>
      <c r="G859" t="s">
        <v>379</v>
      </c>
      <c r="H859" t="s">
        <v>380</v>
      </c>
      <c r="M859" t="s">
        <v>502</v>
      </c>
    </row>
    <row r="860" spans="1:13">
      <c r="A860" t="s">
        <v>382</v>
      </c>
      <c r="B860">
        <v>0</v>
      </c>
      <c r="C860">
        <v>0</v>
      </c>
      <c r="D860">
        <v>1848198</v>
      </c>
      <c r="E860">
        <v>17378</v>
      </c>
      <c r="F860">
        <v>8102</v>
      </c>
      <c r="G860">
        <v>14974608096</v>
      </c>
      <c r="H860">
        <v>0</v>
      </c>
      <c r="M860" t="s">
        <v>502</v>
      </c>
    </row>
    <row r="861" spans="1:13">
      <c r="A861" t="s">
        <v>383</v>
      </c>
      <c r="B861">
        <v>0</v>
      </c>
      <c r="C861">
        <v>0</v>
      </c>
      <c r="D861">
        <v>1896000</v>
      </c>
      <c r="E861">
        <v>18500</v>
      </c>
      <c r="F861">
        <v>7981</v>
      </c>
      <c r="G861">
        <v>15132614004</v>
      </c>
      <c r="H861">
        <v>0</v>
      </c>
      <c r="M861" t="s">
        <v>502</v>
      </c>
    </row>
    <row r="862" spans="1:13">
      <c r="A862" t="s">
        <v>384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M862" t="s">
        <v>502</v>
      </c>
    </row>
    <row r="863" spans="1:13">
      <c r="A863" t="s">
        <v>385</v>
      </c>
      <c r="B863">
        <v>0</v>
      </c>
      <c r="C863">
        <v>0</v>
      </c>
      <c r="D863">
        <v>78560</v>
      </c>
      <c r="E863">
        <v>704</v>
      </c>
      <c r="F863">
        <v>9597</v>
      </c>
      <c r="G863">
        <v>753911933</v>
      </c>
      <c r="H863">
        <v>0</v>
      </c>
      <c r="M863" t="s">
        <v>502</v>
      </c>
    </row>
    <row r="864" spans="1:13">
      <c r="A864" t="s">
        <v>386</v>
      </c>
      <c r="B864">
        <v>143939</v>
      </c>
      <c r="C864">
        <v>1226</v>
      </c>
      <c r="D864">
        <v>205979</v>
      </c>
      <c r="E864">
        <v>1792</v>
      </c>
      <c r="F864">
        <v>9641</v>
      </c>
      <c r="G864">
        <v>1985910841</v>
      </c>
      <c r="H864">
        <v>0.7</v>
      </c>
      <c r="M864" t="s">
        <v>502</v>
      </c>
    </row>
    <row r="865" spans="1:13">
      <c r="A865" t="s">
        <v>393</v>
      </c>
      <c r="B865">
        <v>644184</v>
      </c>
      <c r="C865">
        <v>5789</v>
      </c>
      <c r="D865">
        <v>0</v>
      </c>
      <c r="E865">
        <v>0</v>
      </c>
      <c r="F865">
        <v>0</v>
      </c>
      <c r="G865">
        <v>0</v>
      </c>
      <c r="H865">
        <v>0</v>
      </c>
      <c r="M865" t="s">
        <v>502</v>
      </c>
    </row>
    <row r="866" spans="1:13">
      <c r="A866" t="s">
        <v>387</v>
      </c>
      <c r="B866">
        <v>788123</v>
      </c>
      <c r="C866">
        <v>7015</v>
      </c>
      <c r="D866">
        <v>4028737</v>
      </c>
      <c r="E866">
        <v>38374</v>
      </c>
      <c r="F866">
        <v>8153</v>
      </c>
      <c r="G866">
        <v>32847044874</v>
      </c>
      <c r="H866">
        <v>0.2</v>
      </c>
      <c r="M866" t="s">
        <v>502</v>
      </c>
    </row>
    <row r="868" spans="1:13">
      <c r="M868" t="s">
        <v>503</v>
      </c>
    </row>
    <row r="869" spans="1:13">
      <c r="A869" t="s">
        <v>373</v>
      </c>
      <c r="B869" t="s">
        <v>389</v>
      </c>
      <c r="C869" t="s">
        <v>390</v>
      </c>
      <c r="D869" t="s">
        <v>391</v>
      </c>
      <c r="M869" t="s">
        <v>503</v>
      </c>
    </row>
    <row r="870" spans="1:13">
      <c r="A870" t="s">
        <v>382</v>
      </c>
      <c r="B870">
        <v>1615400</v>
      </c>
      <c r="C870">
        <v>14952</v>
      </c>
      <c r="D870">
        <v>10.5</v>
      </c>
      <c r="M870" t="s">
        <v>503</v>
      </c>
    </row>
    <row r="871" spans="1:13">
      <c r="A871" t="s">
        <v>383</v>
      </c>
      <c r="B871">
        <v>1456600</v>
      </c>
      <c r="C871">
        <v>13034</v>
      </c>
      <c r="D871">
        <v>9.1999999999999993</v>
      </c>
      <c r="M871" t="s">
        <v>503</v>
      </c>
    </row>
    <row r="872" spans="1:13">
      <c r="A872" t="s">
        <v>384</v>
      </c>
      <c r="B872">
        <v>0</v>
      </c>
      <c r="C872">
        <v>0</v>
      </c>
      <c r="D872">
        <v>0</v>
      </c>
      <c r="M872" t="s">
        <v>503</v>
      </c>
    </row>
    <row r="873" spans="1:13">
      <c r="A873" t="s">
        <v>385</v>
      </c>
      <c r="B873">
        <v>0</v>
      </c>
      <c r="C873">
        <v>0</v>
      </c>
      <c r="D873">
        <v>0</v>
      </c>
      <c r="M873" t="s">
        <v>503</v>
      </c>
    </row>
    <row r="874" spans="1:13">
      <c r="A874" t="s">
        <v>386</v>
      </c>
      <c r="B874">
        <v>835165</v>
      </c>
      <c r="C874">
        <v>8008</v>
      </c>
      <c r="D874">
        <v>48.7</v>
      </c>
      <c r="M874" t="s">
        <v>503</v>
      </c>
    </row>
    <row r="876" spans="1:13">
      <c r="M876" t="s">
        <v>504</v>
      </c>
    </row>
    <row r="877" spans="1:13">
      <c r="A877" t="s">
        <v>373</v>
      </c>
      <c r="B877" t="s">
        <v>374</v>
      </c>
      <c r="C877" t="s">
        <v>375</v>
      </c>
      <c r="D877" t="s">
        <v>376</v>
      </c>
      <c r="E877" t="s">
        <v>377</v>
      </c>
      <c r="F877" t="s">
        <v>378</v>
      </c>
      <c r="G877" t="s">
        <v>379</v>
      </c>
      <c r="H877" t="s">
        <v>380</v>
      </c>
      <c r="M877" t="s">
        <v>504</v>
      </c>
    </row>
    <row r="878" spans="1:13">
      <c r="A878" t="s">
        <v>386</v>
      </c>
      <c r="B878">
        <v>299116</v>
      </c>
      <c r="C878">
        <v>2329</v>
      </c>
      <c r="D878">
        <v>0</v>
      </c>
      <c r="E878">
        <v>0</v>
      </c>
      <c r="F878">
        <v>0</v>
      </c>
      <c r="G878">
        <v>0</v>
      </c>
      <c r="H878">
        <v>0</v>
      </c>
      <c r="M878" t="s">
        <v>504</v>
      </c>
    </row>
    <row r="879" spans="1:13">
      <c r="A879" t="s">
        <v>393</v>
      </c>
      <c r="B879">
        <v>2198969</v>
      </c>
      <c r="C879">
        <v>18216</v>
      </c>
      <c r="D879">
        <v>419676</v>
      </c>
      <c r="E879">
        <v>3595</v>
      </c>
      <c r="F879">
        <v>9233</v>
      </c>
      <c r="G879">
        <v>3874762980</v>
      </c>
      <c r="H879">
        <v>5.24</v>
      </c>
      <c r="M879" t="s">
        <v>504</v>
      </c>
    </row>
    <row r="880" spans="1:13">
      <c r="A880" t="s">
        <v>435</v>
      </c>
      <c r="B880">
        <v>2417171</v>
      </c>
      <c r="C880">
        <v>21156</v>
      </c>
      <c r="D880">
        <v>3352940</v>
      </c>
      <c r="E880">
        <v>30734</v>
      </c>
      <c r="F880">
        <v>5848</v>
      </c>
      <c r="G880">
        <v>19609156969</v>
      </c>
      <c r="H880">
        <v>0.72</v>
      </c>
      <c r="M880" t="s">
        <v>504</v>
      </c>
    </row>
    <row r="881" spans="1:13">
      <c r="A881" t="s">
        <v>505</v>
      </c>
      <c r="B881">
        <v>2702587</v>
      </c>
      <c r="C881">
        <v>25607</v>
      </c>
      <c r="D881">
        <v>3034540</v>
      </c>
      <c r="E881">
        <v>27600</v>
      </c>
      <c r="F881">
        <v>5436</v>
      </c>
      <c r="G881">
        <v>16495358601</v>
      </c>
      <c r="H881">
        <v>0.89</v>
      </c>
      <c r="M881" t="s">
        <v>504</v>
      </c>
    </row>
    <row r="882" spans="1:13">
      <c r="A882" t="s">
        <v>506</v>
      </c>
      <c r="B882">
        <v>2223699</v>
      </c>
      <c r="C882">
        <v>19987</v>
      </c>
      <c r="D882">
        <v>2422842</v>
      </c>
      <c r="E882">
        <v>22154</v>
      </c>
      <c r="F882">
        <v>5295</v>
      </c>
      <c r="G882">
        <v>12828313063</v>
      </c>
      <c r="H882">
        <v>0.92</v>
      </c>
      <c r="M882" t="s">
        <v>504</v>
      </c>
    </row>
    <row r="883" spans="1:13">
      <c r="A883" t="s">
        <v>507</v>
      </c>
      <c r="B883">
        <v>2566075</v>
      </c>
      <c r="C883">
        <v>22893</v>
      </c>
      <c r="D883">
        <v>1370078</v>
      </c>
      <c r="E883">
        <v>12438</v>
      </c>
      <c r="F883">
        <v>4874</v>
      </c>
      <c r="G883">
        <v>6677975640</v>
      </c>
      <c r="H883">
        <v>1.87</v>
      </c>
      <c r="M883" t="s">
        <v>504</v>
      </c>
    </row>
    <row r="884" spans="1:13">
      <c r="A884" t="s">
        <v>387</v>
      </c>
      <c r="B884">
        <v>12407617</v>
      </c>
      <c r="C884">
        <v>110188</v>
      </c>
      <c r="D884">
        <v>10600075</v>
      </c>
      <c r="E884">
        <v>96521</v>
      </c>
      <c r="F884">
        <v>5612</v>
      </c>
      <c r="G884">
        <v>59485567254</v>
      </c>
      <c r="H884">
        <v>1.17</v>
      </c>
      <c r="M884" t="s">
        <v>504</v>
      </c>
    </row>
    <row r="886" spans="1:13">
      <c r="M886" t="s">
        <v>508</v>
      </c>
    </row>
    <row r="887" spans="1:13">
      <c r="A887" t="s">
        <v>373</v>
      </c>
      <c r="B887" t="s">
        <v>374</v>
      </c>
      <c r="C887" t="s">
        <v>375</v>
      </c>
      <c r="D887" t="s">
        <v>376</v>
      </c>
      <c r="E887" t="s">
        <v>377</v>
      </c>
      <c r="F887" t="s">
        <v>378</v>
      </c>
      <c r="G887" t="s">
        <v>379</v>
      </c>
      <c r="H887" t="s">
        <v>380</v>
      </c>
      <c r="M887" t="s">
        <v>508</v>
      </c>
    </row>
    <row r="888" spans="1:13">
      <c r="A888" t="s">
        <v>381</v>
      </c>
      <c r="B888">
        <v>0</v>
      </c>
      <c r="C888">
        <v>0</v>
      </c>
      <c r="D888">
        <v>3100</v>
      </c>
      <c r="E888">
        <v>40</v>
      </c>
      <c r="F888">
        <v>10895</v>
      </c>
      <c r="G888">
        <v>33769658</v>
      </c>
      <c r="H888">
        <v>0</v>
      </c>
      <c r="M888" t="s">
        <v>508</v>
      </c>
    </row>
    <row r="889" spans="1:13">
      <c r="A889" t="s">
        <v>382</v>
      </c>
      <c r="B889">
        <v>180587</v>
      </c>
      <c r="C889">
        <v>1419</v>
      </c>
      <c r="D889">
        <v>21865</v>
      </c>
      <c r="E889">
        <v>193</v>
      </c>
      <c r="F889">
        <v>9347</v>
      </c>
      <c r="G889">
        <v>204376034</v>
      </c>
      <c r="H889">
        <v>8.26</v>
      </c>
      <c r="M889" t="s">
        <v>508</v>
      </c>
    </row>
    <row r="890" spans="1:13">
      <c r="A890" t="s">
        <v>383</v>
      </c>
      <c r="B890">
        <v>640757</v>
      </c>
      <c r="C890">
        <v>5469</v>
      </c>
      <c r="D890">
        <v>0</v>
      </c>
      <c r="E890">
        <v>0</v>
      </c>
      <c r="F890">
        <v>0</v>
      </c>
      <c r="G890">
        <v>0</v>
      </c>
      <c r="H890">
        <v>0</v>
      </c>
      <c r="M890" t="s">
        <v>508</v>
      </c>
    </row>
    <row r="891" spans="1:13">
      <c r="A891" t="s">
        <v>384</v>
      </c>
      <c r="B891">
        <v>1492667</v>
      </c>
      <c r="C891">
        <v>11446</v>
      </c>
      <c r="D891">
        <v>0</v>
      </c>
      <c r="E891">
        <v>0</v>
      </c>
      <c r="F891">
        <v>0</v>
      </c>
      <c r="G891">
        <v>0</v>
      </c>
      <c r="H891">
        <v>0</v>
      </c>
      <c r="M891" t="s">
        <v>508</v>
      </c>
    </row>
    <row r="892" spans="1:13">
      <c r="A892" t="s">
        <v>385</v>
      </c>
      <c r="B892">
        <v>934955</v>
      </c>
      <c r="C892">
        <v>8326</v>
      </c>
      <c r="D892">
        <v>28216</v>
      </c>
      <c r="E892">
        <v>342</v>
      </c>
      <c r="F892">
        <v>6194</v>
      </c>
      <c r="G892">
        <v>174762786</v>
      </c>
      <c r="H892">
        <v>33.14</v>
      </c>
      <c r="M892" t="s">
        <v>508</v>
      </c>
    </row>
    <row r="893" spans="1:13">
      <c r="A893" t="s">
        <v>386</v>
      </c>
      <c r="B893">
        <v>1873330</v>
      </c>
      <c r="C893">
        <v>17891</v>
      </c>
      <c r="D893">
        <v>1392537</v>
      </c>
      <c r="E893">
        <v>12931</v>
      </c>
      <c r="F893">
        <v>6622</v>
      </c>
      <c r="G893">
        <v>9221500092</v>
      </c>
      <c r="H893">
        <v>1.35</v>
      </c>
      <c r="M893" t="s">
        <v>508</v>
      </c>
    </row>
    <row r="894" spans="1:13">
      <c r="A894" t="s">
        <v>387</v>
      </c>
      <c r="B894">
        <v>5122296</v>
      </c>
      <c r="C894">
        <v>44551</v>
      </c>
      <c r="D894">
        <v>1445718</v>
      </c>
      <c r="E894">
        <v>13506</v>
      </c>
      <c r="F894">
        <v>6664</v>
      </c>
      <c r="G894">
        <v>9634408569</v>
      </c>
      <c r="H894">
        <v>3.54</v>
      </c>
      <c r="M894" t="s">
        <v>508</v>
      </c>
    </row>
    <row r="896" spans="1:13">
      <c r="M896" t="s">
        <v>509</v>
      </c>
    </row>
    <row r="897" spans="1:13">
      <c r="A897" t="s">
        <v>373</v>
      </c>
      <c r="B897" t="s">
        <v>389</v>
      </c>
      <c r="C897" t="s">
        <v>390</v>
      </c>
      <c r="D897" t="s">
        <v>391</v>
      </c>
      <c r="M897" t="s">
        <v>509</v>
      </c>
    </row>
    <row r="898" spans="1:13">
      <c r="A898" t="s">
        <v>382</v>
      </c>
      <c r="B898">
        <v>926171</v>
      </c>
      <c r="C898">
        <v>8571</v>
      </c>
      <c r="D898">
        <v>508.3</v>
      </c>
      <c r="M898" t="s">
        <v>509</v>
      </c>
    </row>
    <row r="899" spans="1:13">
      <c r="A899" t="s">
        <v>383</v>
      </c>
      <c r="B899">
        <v>0</v>
      </c>
      <c r="C899">
        <v>0</v>
      </c>
      <c r="D899">
        <v>0</v>
      </c>
      <c r="M899" t="s">
        <v>509</v>
      </c>
    </row>
    <row r="900" spans="1:13">
      <c r="A900" t="s">
        <v>384</v>
      </c>
      <c r="B900">
        <v>0</v>
      </c>
      <c r="C900">
        <v>0</v>
      </c>
      <c r="D900">
        <v>0</v>
      </c>
      <c r="M900" t="s">
        <v>509</v>
      </c>
    </row>
    <row r="901" spans="1:13">
      <c r="A901" t="s">
        <v>385</v>
      </c>
      <c r="B901">
        <v>0</v>
      </c>
      <c r="C901">
        <v>0</v>
      </c>
      <c r="D901">
        <v>0</v>
      </c>
      <c r="M901" t="s">
        <v>509</v>
      </c>
    </row>
    <row r="902" spans="1:13">
      <c r="A902" t="s">
        <v>386</v>
      </c>
      <c r="B902">
        <v>3597440</v>
      </c>
      <c r="C902">
        <v>33216</v>
      </c>
      <c r="D902">
        <v>31</v>
      </c>
      <c r="M902" t="s">
        <v>509</v>
      </c>
    </row>
    <row r="904" spans="1:13">
      <c r="M904" t="s">
        <v>510</v>
      </c>
    </row>
    <row r="905" spans="1:13">
      <c r="A905" t="s">
        <v>373</v>
      </c>
      <c r="B905" t="s">
        <v>374</v>
      </c>
      <c r="C905" t="s">
        <v>375</v>
      </c>
      <c r="D905" t="s">
        <v>376</v>
      </c>
      <c r="E905" t="s">
        <v>377</v>
      </c>
      <c r="F905" t="s">
        <v>378</v>
      </c>
      <c r="G905" t="s">
        <v>379</v>
      </c>
      <c r="H905" t="s">
        <v>380</v>
      </c>
      <c r="M905" t="s">
        <v>510</v>
      </c>
    </row>
    <row r="906" spans="1:13">
      <c r="A906" t="s">
        <v>382</v>
      </c>
      <c r="B906">
        <v>5206731</v>
      </c>
      <c r="C906">
        <v>51493</v>
      </c>
      <c r="D906">
        <v>1091024</v>
      </c>
      <c r="E906">
        <v>8656</v>
      </c>
      <c r="F906">
        <v>6367</v>
      </c>
      <c r="G906">
        <v>6946292398</v>
      </c>
      <c r="H906">
        <v>4.7699999999999996</v>
      </c>
      <c r="M906" t="s">
        <v>510</v>
      </c>
    </row>
    <row r="907" spans="1:13">
      <c r="A907" t="s">
        <v>383</v>
      </c>
      <c r="B907">
        <v>2316857</v>
      </c>
      <c r="C907">
        <v>18802</v>
      </c>
      <c r="D907">
        <v>1617888</v>
      </c>
      <c r="E907">
        <v>13151</v>
      </c>
      <c r="F907">
        <v>6226</v>
      </c>
      <c r="G907">
        <v>10073600811</v>
      </c>
      <c r="H907">
        <v>1.43</v>
      </c>
      <c r="M907" t="s">
        <v>510</v>
      </c>
    </row>
    <row r="908" spans="1:13">
      <c r="A908" t="s">
        <v>384</v>
      </c>
      <c r="B908">
        <v>2899164</v>
      </c>
      <c r="C908">
        <v>24492</v>
      </c>
      <c r="D908">
        <v>2843175</v>
      </c>
      <c r="E908">
        <v>23362</v>
      </c>
      <c r="F908">
        <v>6117</v>
      </c>
      <c r="G908">
        <v>17390724129</v>
      </c>
      <c r="H908">
        <v>1.02</v>
      </c>
      <c r="M908" t="s">
        <v>510</v>
      </c>
    </row>
    <row r="909" spans="1:13">
      <c r="A909" t="s">
        <v>385</v>
      </c>
      <c r="B909">
        <v>6258888</v>
      </c>
      <c r="C909">
        <v>52769</v>
      </c>
      <c r="D909">
        <v>3894331</v>
      </c>
      <c r="E909">
        <v>32237</v>
      </c>
      <c r="F909">
        <v>5945</v>
      </c>
      <c r="G909">
        <v>23151344038</v>
      </c>
      <c r="H909">
        <v>1.61</v>
      </c>
      <c r="M909" t="s">
        <v>510</v>
      </c>
    </row>
    <row r="910" spans="1:13">
      <c r="A910" t="s">
        <v>386</v>
      </c>
      <c r="B910">
        <v>7507101</v>
      </c>
      <c r="C910">
        <v>63071</v>
      </c>
      <c r="D910">
        <v>3665023</v>
      </c>
      <c r="E910">
        <v>30728</v>
      </c>
      <c r="F910">
        <v>5952</v>
      </c>
      <c r="G910">
        <v>21813959062</v>
      </c>
      <c r="H910">
        <v>2.0499999999999998</v>
      </c>
      <c r="M910" t="s">
        <v>510</v>
      </c>
    </row>
    <row r="911" spans="1:13">
      <c r="A911" t="s">
        <v>387</v>
      </c>
      <c r="B911">
        <v>24188741</v>
      </c>
      <c r="C911">
        <v>210627</v>
      </c>
      <c r="D911">
        <v>13111442</v>
      </c>
      <c r="E911">
        <v>108134</v>
      </c>
      <c r="F911">
        <v>6054</v>
      </c>
      <c r="G911">
        <v>79375920439</v>
      </c>
      <c r="H911">
        <v>1.84</v>
      </c>
      <c r="M911" t="s">
        <v>510</v>
      </c>
    </row>
    <row r="913" spans="1:13">
      <c r="M913" t="s">
        <v>511</v>
      </c>
    </row>
    <row r="914" spans="1:13">
      <c r="A914" t="s">
        <v>373</v>
      </c>
      <c r="B914" t="s">
        <v>389</v>
      </c>
      <c r="C914" t="s">
        <v>390</v>
      </c>
      <c r="D914" t="s">
        <v>391</v>
      </c>
      <c r="E914" t="s">
        <v>406</v>
      </c>
      <c r="M914" t="s">
        <v>511</v>
      </c>
    </row>
    <row r="915" spans="1:13">
      <c r="A915" t="s">
        <v>381</v>
      </c>
      <c r="B915">
        <v>13402544</v>
      </c>
      <c r="C915">
        <v>122131</v>
      </c>
      <c r="D915">
        <v>153.6</v>
      </c>
      <c r="E915">
        <v>124.1</v>
      </c>
      <c r="M915" t="s">
        <v>511</v>
      </c>
    </row>
    <row r="916" spans="1:13">
      <c r="A916" t="s">
        <v>382</v>
      </c>
      <c r="B916">
        <v>12590064</v>
      </c>
      <c r="C916">
        <v>115119</v>
      </c>
      <c r="D916">
        <v>138.5</v>
      </c>
      <c r="E916">
        <v>111.5</v>
      </c>
      <c r="M916" t="s">
        <v>511</v>
      </c>
    </row>
    <row r="917" spans="1:13">
      <c r="A917" t="s">
        <v>383</v>
      </c>
      <c r="B917">
        <v>8280835</v>
      </c>
      <c r="C917">
        <v>70911</v>
      </c>
      <c r="D917">
        <v>61.4</v>
      </c>
      <c r="E917">
        <v>44.5</v>
      </c>
      <c r="M917" t="s">
        <v>511</v>
      </c>
    </row>
    <row r="918" spans="1:13">
      <c r="A918" t="s">
        <v>384</v>
      </c>
      <c r="B918">
        <v>8104916</v>
      </c>
      <c r="C918">
        <v>68440</v>
      </c>
      <c r="D918">
        <v>34.200000000000003</v>
      </c>
      <c r="E918">
        <v>28.9</v>
      </c>
      <c r="M918" t="s">
        <v>511</v>
      </c>
    </row>
    <row r="919" spans="1:13">
      <c r="A919" t="s">
        <v>385</v>
      </c>
      <c r="B919">
        <v>8178125</v>
      </c>
      <c r="C919">
        <v>69193</v>
      </c>
      <c r="D919">
        <v>25.2</v>
      </c>
      <c r="E919">
        <v>26</v>
      </c>
      <c r="M919" t="s">
        <v>511</v>
      </c>
    </row>
    <row r="920" spans="1:13">
      <c r="A920" t="s">
        <v>386</v>
      </c>
      <c r="B920">
        <v>7851806</v>
      </c>
      <c r="C920">
        <v>66425</v>
      </c>
      <c r="D920">
        <v>25.7</v>
      </c>
      <c r="E920">
        <v>40.4</v>
      </c>
      <c r="M920" t="s">
        <v>511</v>
      </c>
    </row>
    <row r="922" spans="1:13">
      <c r="M922" t="s">
        <v>512</v>
      </c>
    </row>
    <row r="923" spans="1:13">
      <c r="A923" t="s">
        <v>373</v>
      </c>
      <c r="B923" t="s">
        <v>374</v>
      </c>
      <c r="C923" t="s">
        <v>375</v>
      </c>
      <c r="D923" t="s">
        <v>376</v>
      </c>
      <c r="E923" t="s">
        <v>377</v>
      </c>
      <c r="F923" t="s">
        <v>378</v>
      </c>
      <c r="G923" t="s">
        <v>379</v>
      </c>
      <c r="H923" t="s">
        <v>380</v>
      </c>
      <c r="M923" t="s">
        <v>512</v>
      </c>
    </row>
    <row r="924" spans="1:13">
      <c r="A924" t="s">
        <v>385</v>
      </c>
      <c r="B924">
        <v>1009205</v>
      </c>
      <c r="C924">
        <v>8876</v>
      </c>
      <c r="D924">
        <v>942463</v>
      </c>
      <c r="E924">
        <v>8180</v>
      </c>
      <c r="F924">
        <v>7260</v>
      </c>
      <c r="G924">
        <v>6841857652</v>
      </c>
      <c r="H924">
        <v>1.07</v>
      </c>
      <c r="M924" t="s">
        <v>512</v>
      </c>
    </row>
    <row r="925" spans="1:13">
      <c r="A925" t="s">
        <v>386</v>
      </c>
      <c r="B925">
        <v>1502243</v>
      </c>
      <c r="C925">
        <v>13078</v>
      </c>
      <c r="D925">
        <v>2211095</v>
      </c>
      <c r="E925">
        <v>19188</v>
      </c>
      <c r="F925">
        <v>7377</v>
      </c>
      <c r="G925">
        <v>16311472785</v>
      </c>
      <c r="H925">
        <v>0.68</v>
      </c>
      <c r="M925" t="s">
        <v>512</v>
      </c>
    </row>
    <row r="926" spans="1:13">
      <c r="A926" t="s">
        <v>393</v>
      </c>
      <c r="B926">
        <v>1050127</v>
      </c>
      <c r="C926">
        <v>9365</v>
      </c>
      <c r="D926">
        <v>865945</v>
      </c>
      <c r="E926">
        <v>7642</v>
      </c>
      <c r="F926">
        <v>7267</v>
      </c>
      <c r="G926">
        <v>6292437854</v>
      </c>
      <c r="H926">
        <v>1.21</v>
      </c>
      <c r="M926" t="s">
        <v>512</v>
      </c>
    </row>
    <row r="927" spans="1:13">
      <c r="A927" t="s">
        <v>387</v>
      </c>
      <c r="B927">
        <v>3561575</v>
      </c>
      <c r="C927">
        <v>31319</v>
      </c>
      <c r="D927">
        <v>4019502</v>
      </c>
      <c r="E927">
        <v>35010</v>
      </c>
      <c r="F927">
        <v>7326</v>
      </c>
      <c r="G927">
        <v>29445768291</v>
      </c>
      <c r="H927">
        <v>0.89</v>
      </c>
      <c r="M927" t="s">
        <v>512</v>
      </c>
    </row>
    <row r="929" spans="1:13">
      <c r="M929" t="s">
        <v>513</v>
      </c>
    </row>
    <row r="930" spans="1:13">
      <c r="A930" t="s">
        <v>373</v>
      </c>
      <c r="B930" t="s">
        <v>389</v>
      </c>
      <c r="C930" t="s">
        <v>390</v>
      </c>
      <c r="D930" t="s">
        <v>391</v>
      </c>
      <c r="E930" t="s">
        <v>406</v>
      </c>
      <c r="M930" t="s">
        <v>513</v>
      </c>
    </row>
    <row r="931" spans="1:13">
      <c r="A931" t="s">
        <v>385</v>
      </c>
      <c r="B931">
        <v>84873</v>
      </c>
      <c r="C931">
        <v>945</v>
      </c>
      <c r="D931">
        <v>0</v>
      </c>
      <c r="E931">
        <v>0</v>
      </c>
      <c r="M931" t="s">
        <v>513</v>
      </c>
    </row>
    <row r="932" spans="1:13">
      <c r="A932" t="s">
        <v>386</v>
      </c>
      <c r="B932">
        <v>10490</v>
      </c>
      <c r="C932">
        <v>88</v>
      </c>
      <c r="D932">
        <v>0</v>
      </c>
      <c r="E932">
        <v>0</v>
      </c>
      <c r="M932" t="s">
        <v>513</v>
      </c>
    </row>
    <row r="933" spans="1:13">
      <c r="A933" t="s">
        <v>393</v>
      </c>
      <c r="B933">
        <v>3625</v>
      </c>
      <c r="C933">
        <v>30</v>
      </c>
      <c r="D933">
        <v>0</v>
      </c>
      <c r="E933">
        <v>0</v>
      </c>
      <c r="M933" t="s">
        <v>513</v>
      </c>
    </row>
    <row r="935" spans="1:13">
      <c r="M935" t="s">
        <v>514</v>
      </c>
    </row>
    <row r="936" spans="1:13">
      <c r="A936" t="s">
        <v>373</v>
      </c>
      <c r="B936" t="s">
        <v>374</v>
      </c>
      <c r="C936" t="s">
        <v>375</v>
      </c>
      <c r="D936" t="s">
        <v>376</v>
      </c>
      <c r="E936" t="s">
        <v>377</v>
      </c>
      <c r="F936" t="s">
        <v>378</v>
      </c>
      <c r="G936" t="s">
        <v>379</v>
      </c>
      <c r="H936" t="s">
        <v>380</v>
      </c>
      <c r="M936" t="s">
        <v>514</v>
      </c>
    </row>
    <row r="937" spans="1:13">
      <c r="A937" t="s">
        <v>381</v>
      </c>
      <c r="B937">
        <v>30631</v>
      </c>
      <c r="C937">
        <v>278</v>
      </c>
      <c r="D937">
        <v>3243</v>
      </c>
      <c r="E937">
        <v>49</v>
      </c>
      <c r="F937">
        <v>7721</v>
      </c>
      <c r="G937">
        <v>25035849</v>
      </c>
      <c r="H937">
        <v>9.4499999999999993</v>
      </c>
      <c r="M937" t="s">
        <v>514</v>
      </c>
    </row>
    <row r="938" spans="1:13">
      <c r="A938" t="s">
        <v>382</v>
      </c>
      <c r="B938">
        <v>42532</v>
      </c>
      <c r="C938">
        <v>426</v>
      </c>
      <c r="D938">
        <v>43359</v>
      </c>
      <c r="E938">
        <v>507</v>
      </c>
      <c r="F938">
        <v>8395</v>
      </c>
      <c r="G938">
        <v>363982302</v>
      </c>
      <c r="H938">
        <v>0.98</v>
      </c>
      <c r="M938" t="s">
        <v>514</v>
      </c>
    </row>
    <row r="939" spans="1:13">
      <c r="A939" t="s">
        <v>383</v>
      </c>
      <c r="B939">
        <v>32835</v>
      </c>
      <c r="C939">
        <v>331</v>
      </c>
      <c r="D939">
        <v>44002</v>
      </c>
      <c r="E939">
        <v>602</v>
      </c>
      <c r="F939">
        <v>8894</v>
      </c>
      <c r="G939">
        <v>391369119</v>
      </c>
      <c r="H939">
        <v>0.75</v>
      </c>
      <c r="M939" t="s">
        <v>514</v>
      </c>
    </row>
    <row r="940" spans="1:13">
      <c r="A940" t="s">
        <v>384</v>
      </c>
      <c r="B940">
        <v>22378</v>
      </c>
      <c r="C940">
        <v>406</v>
      </c>
      <c r="D940">
        <v>4557</v>
      </c>
      <c r="E940">
        <v>64</v>
      </c>
      <c r="F940">
        <v>8456</v>
      </c>
      <c r="G940">
        <v>38533141</v>
      </c>
      <c r="H940">
        <v>4.91</v>
      </c>
      <c r="M940" t="s">
        <v>514</v>
      </c>
    </row>
    <row r="941" spans="1:13">
      <c r="A941" t="s">
        <v>387</v>
      </c>
      <c r="B941">
        <v>128376</v>
      </c>
      <c r="C941">
        <v>1441</v>
      </c>
      <c r="D941">
        <v>95160</v>
      </c>
      <c r="E941">
        <v>1222</v>
      </c>
      <c r="F941">
        <v>8606</v>
      </c>
      <c r="G941">
        <v>818920411</v>
      </c>
      <c r="H941">
        <v>1.35</v>
      </c>
      <c r="M941" t="s">
        <v>514</v>
      </c>
    </row>
    <row r="943" spans="1:13">
      <c r="M943" t="s">
        <v>515</v>
      </c>
    </row>
    <row r="944" spans="1:13">
      <c r="A944" t="s">
        <v>373</v>
      </c>
      <c r="B944" t="s">
        <v>389</v>
      </c>
      <c r="C944" t="s">
        <v>390</v>
      </c>
      <c r="D944" t="s">
        <v>391</v>
      </c>
      <c r="E944" t="s">
        <v>406</v>
      </c>
      <c r="M944" t="s">
        <v>515</v>
      </c>
    </row>
    <row r="945" spans="1:13">
      <c r="A945" t="s">
        <v>381</v>
      </c>
      <c r="B945">
        <v>300167</v>
      </c>
      <c r="C945">
        <v>3767</v>
      </c>
      <c r="D945">
        <v>79.599999999999994</v>
      </c>
      <c r="E945">
        <v>82.9</v>
      </c>
      <c r="M945" t="s">
        <v>515</v>
      </c>
    </row>
    <row r="946" spans="1:13">
      <c r="A946" t="s">
        <v>382</v>
      </c>
      <c r="B946">
        <v>272991</v>
      </c>
      <c r="C946">
        <v>3541</v>
      </c>
      <c r="D946">
        <v>75.599999999999994</v>
      </c>
      <c r="E946">
        <v>75</v>
      </c>
      <c r="M946" t="s">
        <v>515</v>
      </c>
    </row>
    <row r="947" spans="1:13">
      <c r="A947" t="s">
        <v>383</v>
      </c>
      <c r="B947">
        <v>271539</v>
      </c>
      <c r="C947">
        <v>3586</v>
      </c>
      <c r="D947">
        <v>74.099999999999994</v>
      </c>
      <c r="E947">
        <v>134.19999999999999</v>
      </c>
      <c r="M947" t="s">
        <v>515</v>
      </c>
    </row>
    <row r="948" spans="1:13">
      <c r="A948" t="s">
        <v>384</v>
      </c>
      <c r="B948">
        <v>316928</v>
      </c>
      <c r="C948">
        <v>4458</v>
      </c>
      <c r="D948">
        <v>834.6</v>
      </c>
      <c r="E948">
        <v>1669.3</v>
      </c>
      <c r="M948" t="s">
        <v>515</v>
      </c>
    </row>
    <row r="950" spans="1:13">
      <c r="M950" t="s">
        <v>516</v>
      </c>
    </row>
    <row r="951" spans="1:13">
      <c r="A951" t="s">
        <v>373</v>
      </c>
      <c r="B951" t="s">
        <v>374</v>
      </c>
      <c r="C951" t="s">
        <v>375</v>
      </c>
      <c r="D951" t="s">
        <v>376</v>
      </c>
      <c r="E951" t="s">
        <v>377</v>
      </c>
      <c r="F951" t="s">
        <v>378</v>
      </c>
      <c r="G951" t="s">
        <v>379</v>
      </c>
      <c r="H951" t="s">
        <v>380</v>
      </c>
      <c r="M951" t="s">
        <v>516</v>
      </c>
    </row>
    <row r="952" spans="1:13">
      <c r="A952" t="s">
        <v>381</v>
      </c>
      <c r="B952">
        <v>28759</v>
      </c>
      <c r="C952">
        <v>240</v>
      </c>
      <c r="D952">
        <v>29414</v>
      </c>
      <c r="E952">
        <v>223</v>
      </c>
      <c r="F952">
        <v>7007</v>
      </c>
      <c r="G952">
        <v>206096711</v>
      </c>
      <c r="H952">
        <v>0.98</v>
      </c>
      <c r="M952" t="s">
        <v>516</v>
      </c>
    </row>
    <row r="953" spans="1:13">
      <c r="A953" t="s">
        <v>382</v>
      </c>
      <c r="B953">
        <v>685979</v>
      </c>
      <c r="C953">
        <v>5389</v>
      </c>
      <c r="D953">
        <v>1031293</v>
      </c>
      <c r="E953">
        <v>8446</v>
      </c>
      <c r="F953">
        <v>6854</v>
      </c>
      <c r="G953">
        <v>7067968454</v>
      </c>
      <c r="H953">
        <v>0.67</v>
      </c>
      <c r="M953" t="s">
        <v>516</v>
      </c>
    </row>
    <row r="954" spans="1:13">
      <c r="A954" t="s">
        <v>383</v>
      </c>
      <c r="B954">
        <v>707560</v>
      </c>
      <c r="C954">
        <v>5763</v>
      </c>
      <c r="D954">
        <v>1528205</v>
      </c>
      <c r="E954">
        <v>12677</v>
      </c>
      <c r="F954">
        <v>6803</v>
      </c>
      <c r="G954">
        <v>10396929507</v>
      </c>
      <c r="H954">
        <v>0.46</v>
      </c>
      <c r="M954" t="s">
        <v>516</v>
      </c>
    </row>
    <row r="955" spans="1:13">
      <c r="A955" t="s">
        <v>384</v>
      </c>
      <c r="B955">
        <v>1485934</v>
      </c>
      <c r="C955">
        <v>12344</v>
      </c>
      <c r="D955">
        <v>2244403</v>
      </c>
      <c r="E955">
        <v>18761</v>
      </c>
      <c r="F955">
        <v>6992</v>
      </c>
      <c r="G955">
        <v>15692570415</v>
      </c>
      <c r="H955">
        <v>0.66</v>
      </c>
      <c r="M955" t="s">
        <v>516</v>
      </c>
    </row>
    <row r="956" spans="1:13">
      <c r="A956" t="s">
        <v>385</v>
      </c>
      <c r="B956">
        <v>2466346</v>
      </c>
      <c r="C956">
        <v>20651</v>
      </c>
      <c r="D956">
        <v>2384344</v>
      </c>
      <c r="E956">
        <v>20139</v>
      </c>
      <c r="F956">
        <v>7062</v>
      </c>
      <c r="G956">
        <v>16838840180</v>
      </c>
      <c r="H956">
        <v>1.03</v>
      </c>
      <c r="M956" t="s">
        <v>516</v>
      </c>
    </row>
    <row r="957" spans="1:13">
      <c r="A957" t="s">
        <v>386</v>
      </c>
      <c r="B957">
        <v>3456852</v>
      </c>
      <c r="C957">
        <v>28712</v>
      </c>
      <c r="D957">
        <v>2397801</v>
      </c>
      <c r="E957">
        <v>20121</v>
      </c>
      <c r="F957">
        <v>7216</v>
      </c>
      <c r="G957">
        <v>17302544724</v>
      </c>
      <c r="H957">
        <v>1.44</v>
      </c>
      <c r="M957" t="s">
        <v>516</v>
      </c>
    </row>
    <row r="958" spans="1:13">
      <c r="A958" t="s">
        <v>387</v>
      </c>
      <c r="B958">
        <v>8831429</v>
      </c>
      <c r="C958">
        <v>73099</v>
      </c>
      <c r="D958">
        <v>9615461</v>
      </c>
      <c r="E958">
        <v>80367</v>
      </c>
      <c r="F958">
        <v>7020</v>
      </c>
      <c r="G958">
        <v>67504949992</v>
      </c>
      <c r="H958">
        <v>0.92</v>
      </c>
      <c r="M958" t="s">
        <v>516</v>
      </c>
    </row>
    <row r="960" spans="1:13">
      <c r="M960" t="s">
        <v>517</v>
      </c>
    </row>
    <row r="961" spans="1:13">
      <c r="A961" t="s">
        <v>373</v>
      </c>
      <c r="B961" t="s">
        <v>389</v>
      </c>
      <c r="C961" t="s">
        <v>390</v>
      </c>
      <c r="D961" t="s">
        <v>391</v>
      </c>
      <c r="E961" t="s">
        <v>406</v>
      </c>
      <c r="M961" t="s">
        <v>517</v>
      </c>
    </row>
    <row r="962" spans="1:13">
      <c r="A962" t="s">
        <v>381</v>
      </c>
      <c r="B962">
        <v>1175986</v>
      </c>
      <c r="C962">
        <v>9483</v>
      </c>
      <c r="D962">
        <v>14.4</v>
      </c>
      <c r="E962">
        <v>11.5</v>
      </c>
      <c r="M962" t="s">
        <v>517</v>
      </c>
    </row>
    <row r="963" spans="1:13">
      <c r="A963" t="s">
        <v>382</v>
      </c>
      <c r="B963">
        <v>1179527</v>
      </c>
      <c r="C963">
        <v>9441</v>
      </c>
      <c r="D963">
        <v>13.7</v>
      </c>
      <c r="E963">
        <v>11.1</v>
      </c>
      <c r="M963" t="s">
        <v>517</v>
      </c>
    </row>
    <row r="964" spans="1:13">
      <c r="A964" t="s">
        <v>383</v>
      </c>
      <c r="B964">
        <v>1449567</v>
      </c>
      <c r="C964">
        <v>11902</v>
      </c>
      <c r="D964">
        <v>11.4</v>
      </c>
      <c r="E964">
        <v>9.1999999999999993</v>
      </c>
      <c r="M964" t="s">
        <v>517</v>
      </c>
    </row>
    <row r="965" spans="1:13">
      <c r="A965" t="s">
        <v>384</v>
      </c>
      <c r="B965">
        <v>1937212</v>
      </c>
      <c r="C965">
        <v>16060</v>
      </c>
      <c r="D965">
        <v>10.4</v>
      </c>
      <c r="E965">
        <v>10.3</v>
      </c>
      <c r="M965" t="s">
        <v>517</v>
      </c>
    </row>
    <row r="966" spans="1:13">
      <c r="A966" t="s">
        <v>385</v>
      </c>
      <c r="B966">
        <v>2260320</v>
      </c>
      <c r="C966">
        <v>18884</v>
      </c>
      <c r="D966">
        <v>11.9</v>
      </c>
      <c r="E966">
        <v>12.7</v>
      </c>
      <c r="M966" t="s">
        <v>517</v>
      </c>
    </row>
    <row r="968" spans="1:13">
      <c r="M968" t="s">
        <v>518</v>
      </c>
    </row>
    <row r="969" spans="1:13">
      <c r="A969" t="s">
        <v>373</v>
      </c>
      <c r="B969" t="s">
        <v>374</v>
      </c>
      <c r="C969" t="s">
        <v>375</v>
      </c>
      <c r="D969" t="s">
        <v>376</v>
      </c>
      <c r="E969" t="s">
        <v>377</v>
      </c>
      <c r="F969" t="s">
        <v>378</v>
      </c>
      <c r="G969" t="s">
        <v>379</v>
      </c>
      <c r="H969" t="s">
        <v>380</v>
      </c>
      <c r="M969" t="s">
        <v>518</v>
      </c>
    </row>
    <row r="970" spans="1:13">
      <c r="A970" t="s">
        <v>382</v>
      </c>
      <c r="B970">
        <v>172043</v>
      </c>
      <c r="C970">
        <v>1576</v>
      </c>
      <c r="D970">
        <v>225906</v>
      </c>
      <c r="E970">
        <v>1911</v>
      </c>
      <c r="F970">
        <v>11777</v>
      </c>
      <c r="G970">
        <v>2660482972</v>
      </c>
      <c r="H970">
        <v>0.76</v>
      </c>
      <c r="M970" t="s">
        <v>518</v>
      </c>
    </row>
    <row r="971" spans="1:13">
      <c r="A971" t="s">
        <v>383</v>
      </c>
      <c r="B971">
        <v>300719</v>
      </c>
      <c r="C971">
        <v>2468</v>
      </c>
      <c r="D971">
        <v>173409</v>
      </c>
      <c r="E971">
        <v>1503</v>
      </c>
      <c r="F971">
        <v>11466</v>
      </c>
      <c r="G971">
        <v>1988367871</v>
      </c>
      <c r="H971">
        <v>1.73</v>
      </c>
      <c r="M971" t="s">
        <v>518</v>
      </c>
    </row>
    <row r="972" spans="1:13">
      <c r="A972" t="s">
        <v>384</v>
      </c>
      <c r="B972">
        <v>648611</v>
      </c>
      <c r="C972">
        <v>5882</v>
      </c>
      <c r="D972">
        <v>688911</v>
      </c>
      <c r="E972">
        <v>6010</v>
      </c>
      <c r="F972">
        <v>10609</v>
      </c>
      <c r="G972">
        <v>7308896155</v>
      </c>
      <c r="H972">
        <v>0.94</v>
      </c>
      <c r="M972" t="s">
        <v>518</v>
      </c>
    </row>
    <row r="973" spans="1:13">
      <c r="A973" t="s">
        <v>385</v>
      </c>
      <c r="B973">
        <v>622937</v>
      </c>
      <c r="C973">
        <v>5900</v>
      </c>
      <c r="D973">
        <v>1141325</v>
      </c>
      <c r="E973">
        <v>9918</v>
      </c>
      <c r="F973">
        <v>9249</v>
      </c>
      <c r="G973">
        <v>10556268619</v>
      </c>
      <c r="H973">
        <v>0.55000000000000004</v>
      </c>
      <c r="M973" t="s">
        <v>518</v>
      </c>
    </row>
    <row r="974" spans="1:13">
      <c r="A974" t="s">
        <v>386</v>
      </c>
      <c r="B974">
        <v>767434</v>
      </c>
      <c r="C974">
        <v>6264</v>
      </c>
      <c r="D974">
        <v>1397493</v>
      </c>
      <c r="E974">
        <v>12181</v>
      </c>
      <c r="F974">
        <v>8559</v>
      </c>
      <c r="G974">
        <v>11961121870</v>
      </c>
      <c r="H974">
        <v>0.55000000000000004</v>
      </c>
      <c r="M974" t="s">
        <v>518</v>
      </c>
    </row>
    <row r="975" spans="1:13">
      <c r="A975" t="s">
        <v>393</v>
      </c>
      <c r="B975">
        <v>1251603</v>
      </c>
      <c r="C975">
        <v>10940</v>
      </c>
      <c r="D975">
        <v>1267</v>
      </c>
      <c r="E975">
        <v>10</v>
      </c>
      <c r="F975">
        <v>10407</v>
      </c>
      <c r="G975">
        <v>13188784</v>
      </c>
      <c r="H975">
        <v>987.57</v>
      </c>
      <c r="M975" t="s">
        <v>518</v>
      </c>
    </row>
    <row r="976" spans="1:13">
      <c r="A976" t="s">
        <v>387</v>
      </c>
      <c r="B976">
        <v>3763347</v>
      </c>
      <c r="C976">
        <v>33030</v>
      </c>
      <c r="D976">
        <v>3628312</v>
      </c>
      <c r="E976">
        <v>31533</v>
      </c>
      <c r="F976">
        <v>9505</v>
      </c>
      <c r="G976">
        <v>34488326271</v>
      </c>
      <c r="H976">
        <v>1.04</v>
      </c>
      <c r="M976" t="s">
        <v>518</v>
      </c>
    </row>
    <row r="978" spans="1:13">
      <c r="M978" t="s">
        <v>519</v>
      </c>
    </row>
    <row r="979" spans="1:13">
      <c r="A979" t="s">
        <v>373</v>
      </c>
      <c r="B979" t="s">
        <v>389</v>
      </c>
      <c r="C979" t="s">
        <v>390</v>
      </c>
      <c r="D979" t="s">
        <v>391</v>
      </c>
      <c r="M979" t="s">
        <v>519</v>
      </c>
    </row>
    <row r="980" spans="1:13">
      <c r="A980" t="s">
        <v>382</v>
      </c>
      <c r="B980">
        <v>385977</v>
      </c>
      <c r="C980">
        <v>3347</v>
      </c>
      <c r="D980">
        <v>18</v>
      </c>
      <c r="M980" t="s">
        <v>519</v>
      </c>
    </row>
    <row r="981" spans="1:13">
      <c r="A981" t="s">
        <v>383</v>
      </c>
      <c r="B981">
        <v>368685</v>
      </c>
      <c r="C981">
        <v>3082</v>
      </c>
      <c r="D981">
        <v>25.5</v>
      </c>
      <c r="M981" t="s">
        <v>519</v>
      </c>
    </row>
    <row r="982" spans="1:13">
      <c r="A982" t="s">
        <v>384</v>
      </c>
      <c r="B982">
        <v>339978</v>
      </c>
      <c r="C982">
        <v>3049</v>
      </c>
      <c r="D982">
        <v>5.9</v>
      </c>
      <c r="M982" t="s">
        <v>519</v>
      </c>
    </row>
    <row r="983" spans="1:13">
      <c r="A983" t="s">
        <v>385</v>
      </c>
      <c r="B983">
        <v>369186</v>
      </c>
      <c r="C983">
        <v>3123</v>
      </c>
      <c r="D983">
        <v>3.9</v>
      </c>
      <c r="M983" t="s">
        <v>519</v>
      </c>
    </row>
    <row r="984" spans="1:13">
      <c r="A984" t="s">
        <v>386</v>
      </c>
      <c r="B984">
        <v>0</v>
      </c>
      <c r="C984">
        <v>0</v>
      </c>
      <c r="D984">
        <v>0</v>
      </c>
      <c r="M984" t="s">
        <v>519</v>
      </c>
    </row>
    <row r="985" spans="1:13">
      <c r="A985" t="s">
        <v>393</v>
      </c>
      <c r="B985">
        <v>0</v>
      </c>
      <c r="C985">
        <v>0</v>
      </c>
      <c r="D985">
        <v>0</v>
      </c>
      <c r="M985" t="s">
        <v>519</v>
      </c>
    </row>
    <row r="987" spans="1:13">
      <c r="M987" t="s">
        <v>520</v>
      </c>
    </row>
    <row r="988" spans="1:13">
      <c r="A988" t="s">
        <v>373</v>
      </c>
      <c r="B988" t="s">
        <v>374</v>
      </c>
      <c r="C988" t="s">
        <v>375</v>
      </c>
      <c r="D988" t="s">
        <v>376</v>
      </c>
      <c r="E988" t="s">
        <v>377</v>
      </c>
      <c r="F988" t="s">
        <v>378</v>
      </c>
      <c r="G988" t="s">
        <v>379</v>
      </c>
      <c r="H988" t="s">
        <v>380</v>
      </c>
      <c r="M988" t="s">
        <v>520</v>
      </c>
    </row>
    <row r="989" spans="1:13">
      <c r="A989" t="s">
        <v>382</v>
      </c>
      <c r="B989">
        <v>1421402</v>
      </c>
      <c r="C989">
        <v>11569</v>
      </c>
      <c r="D989">
        <v>2124384</v>
      </c>
      <c r="E989">
        <v>16434</v>
      </c>
      <c r="F989">
        <v>16519</v>
      </c>
      <c r="G989">
        <v>35092795957</v>
      </c>
      <c r="H989">
        <v>0.67</v>
      </c>
      <c r="M989" t="s">
        <v>520</v>
      </c>
    </row>
    <row r="990" spans="1:13">
      <c r="A990" t="s">
        <v>383</v>
      </c>
      <c r="B990">
        <v>3193491</v>
      </c>
      <c r="C990">
        <v>24587</v>
      </c>
      <c r="D990">
        <v>2701949</v>
      </c>
      <c r="E990">
        <v>21300</v>
      </c>
      <c r="F990">
        <v>17057</v>
      </c>
      <c r="G990">
        <v>46086867199</v>
      </c>
      <c r="H990">
        <v>1.18</v>
      </c>
      <c r="M990" t="s">
        <v>520</v>
      </c>
    </row>
    <row r="991" spans="1:13">
      <c r="A991" t="s">
        <v>384</v>
      </c>
      <c r="B991">
        <v>7609642</v>
      </c>
      <c r="C991">
        <v>62125</v>
      </c>
      <c r="D991">
        <v>6401704</v>
      </c>
      <c r="E991">
        <v>52591</v>
      </c>
      <c r="F991">
        <v>16801</v>
      </c>
      <c r="G991">
        <v>107555958825</v>
      </c>
      <c r="H991">
        <v>1.19</v>
      </c>
      <c r="M991" t="s">
        <v>520</v>
      </c>
    </row>
    <row r="992" spans="1:13">
      <c r="A992" t="s">
        <v>385</v>
      </c>
      <c r="B992">
        <v>7013160</v>
      </c>
      <c r="C992">
        <v>57666</v>
      </c>
      <c r="D992">
        <v>6940285</v>
      </c>
      <c r="E992">
        <v>55916</v>
      </c>
      <c r="F992">
        <v>16654</v>
      </c>
      <c r="G992">
        <v>115585802717</v>
      </c>
      <c r="H992">
        <v>1.01</v>
      </c>
      <c r="M992" t="s">
        <v>520</v>
      </c>
    </row>
    <row r="993" spans="1:13">
      <c r="A993" t="s">
        <v>386</v>
      </c>
      <c r="B993">
        <v>6491984</v>
      </c>
      <c r="C993">
        <v>51349</v>
      </c>
      <c r="D993">
        <v>6420577</v>
      </c>
      <c r="E993">
        <v>50895</v>
      </c>
      <c r="F993">
        <v>15084</v>
      </c>
      <c r="G993">
        <v>96847601552</v>
      </c>
      <c r="H993">
        <v>1.01</v>
      </c>
      <c r="M993" t="s">
        <v>520</v>
      </c>
    </row>
    <row r="994" spans="1:13">
      <c r="A994" t="s">
        <v>393</v>
      </c>
      <c r="B994">
        <v>7084387</v>
      </c>
      <c r="C994">
        <v>55738</v>
      </c>
      <c r="D994">
        <v>5911330</v>
      </c>
      <c r="E994">
        <v>47070</v>
      </c>
      <c r="F994">
        <v>13080</v>
      </c>
      <c r="G994">
        <v>77317404040</v>
      </c>
      <c r="H994">
        <v>1.2</v>
      </c>
      <c r="M994" t="s">
        <v>520</v>
      </c>
    </row>
    <row r="995" spans="1:13">
      <c r="A995" t="s">
        <v>387</v>
      </c>
      <c r="B995">
        <v>32814067</v>
      </c>
      <c r="C995">
        <v>263034</v>
      </c>
      <c r="D995">
        <v>30500229</v>
      </c>
      <c r="E995">
        <v>244206</v>
      </c>
      <c r="F995">
        <v>15688</v>
      </c>
      <c r="G995">
        <v>478486430291</v>
      </c>
      <c r="H995">
        <v>1.08</v>
      </c>
      <c r="M995" t="s">
        <v>520</v>
      </c>
    </row>
    <row r="997" spans="1:13">
      <c r="M997" t="s">
        <v>521</v>
      </c>
    </row>
    <row r="998" spans="1:13">
      <c r="A998" t="s">
        <v>373</v>
      </c>
      <c r="B998" t="s">
        <v>389</v>
      </c>
      <c r="C998" t="s">
        <v>390</v>
      </c>
      <c r="D998" t="s">
        <v>391</v>
      </c>
      <c r="E998" t="s">
        <v>406</v>
      </c>
      <c r="M998" t="s">
        <v>521</v>
      </c>
    </row>
    <row r="999" spans="1:13">
      <c r="A999" t="s">
        <v>381</v>
      </c>
      <c r="B999">
        <v>4474723</v>
      </c>
      <c r="C999">
        <v>35681</v>
      </c>
      <c r="D999">
        <v>27.5</v>
      </c>
      <c r="E999">
        <v>23.5</v>
      </c>
      <c r="M999" t="s">
        <v>521</v>
      </c>
    </row>
    <row r="1000" spans="1:13">
      <c r="A1000" t="s">
        <v>382</v>
      </c>
      <c r="B1000">
        <v>4559915</v>
      </c>
      <c r="C1000">
        <v>36292</v>
      </c>
      <c r="D1000">
        <v>25.8</v>
      </c>
      <c r="E1000">
        <v>22.7</v>
      </c>
      <c r="M1000" t="s">
        <v>521</v>
      </c>
    </row>
    <row r="1001" spans="1:13">
      <c r="A1001" t="s">
        <v>383</v>
      </c>
      <c r="B1001">
        <v>5134810</v>
      </c>
      <c r="C1001">
        <v>40251</v>
      </c>
      <c r="D1001">
        <v>22.8</v>
      </c>
      <c r="E1001">
        <v>13.5</v>
      </c>
      <c r="M1001" t="s">
        <v>521</v>
      </c>
    </row>
    <row r="1002" spans="1:13">
      <c r="A1002" t="s">
        <v>384</v>
      </c>
      <c r="B1002">
        <v>4634065</v>
      </c>
      <c r="C1002">
        <v>37067</v>
      </c>
      <c r="D1002">
        <v>8.6999999999999993</v>
      </c>
      <c r="E1002">
        <v>8.3000000000000007</v>
      </c>
      <c r="M1002" t="s">
        <v>521</v>
      </c>
    </row>
    <row r="1003" spans="1:13">
      <c r="A1003" t="s">
        <v>385</v>
      </c>
      <c r="B1003">
        <v>3548919</v>
      </c>
      <c r="C1003">
        <v>28401</v>
      </c>
      <c r="D1003">
        <v>6.1</v>
      </c>
      <c r="E1003">
        <v>6.4</v>
      </c>
      <c r="M1003" t="s">
        <v>521</v>
      </c>
    </row>
    <row r="1004" spans="1:13">
      <c r="A1004" t="s">
        <v>386</v>
      </c>
      <c r="B1004">
        <v>3525243</v>
      </c>
      <c r="C1004">
        <v>27140</v>
      </c>
      <c r="D1004">
        <v>6.6</v>
      </c>
      <c r="E1004">
        <v>6.9</v>
      </c>
      <c r="M1004" t="s">
        <v>521</v>
      </c>
    </row>
    <row r="1006" spans="1:13">
      <c r="M1006" t="s">
        <v>522</v>
      </c>
    </row>
    <row r="1007" spans="1:13">
      <c r="A1007" t="s">
        <v>373</v>
      </c>
      <c r="B1007" t="s">
        <v>376</v>
      </c>
      <c r="C1007" t="s">
        <v>377</v>
      </c>
      <c r="D1007" t="s">
        <v>523</v>
      </c>
      <c r="E1007" t="s">
        <v>379</v>
      </c>
      <c r="M1007" t="s">
        <v>522</v>
      </c>
    </row>
    <row r="1008" spans="1:13">
      <c r="A1008" t="s">
        <v>381</v>
      </c>
      <c r="B1008">
        <v>0</v>
      </c>
      <c r="C1008">
        <v>0</v>
      </c>
      <c r="D1008">
        <v>0</v>
      </c>
      <c r="E1008">
        <v>0</v>
      </c>
      <c r="M1008" t="s">
        <v>522</v>
      </c>
    </row>
    <row r="1009" spans="1:13">
      <c r="A1009" t="s">
        <v>382</v>
      </c>
      <c r="B1009">
        <v>612105</v>
      </c>
      <c r="C1009">
        <v>5735</v>
      </c>
      <c r="D1009">
        <v>6487</v>
      </c>
      <c r="E1009">
        <v>3970626408</v>
      </c>
      <c r="M1009" t="s">
        <v>522</v>
      </c>
    </row>
    <row r="1010" spans="1:13">
      <c r="A1010" t="s">
        <v>383</v>
      </c>
      <c r="B1010">
        <v>1087790</v>
      </c>
      <c r="C1010">
        <v>9922</v>
      </c>
      <c r="D1010">
        <v>6449</v>
      </c>
      <c r="E1010">
        <v>7014669795</v>
      </c>
      <c r="M1010" t="s">
        <v>522</v>
      </c>
    </row>
    <row r="1011" spans="1:13">
      <c r="A1011" t="s">
        <v>384</v>
      </c>
      <c r="B1011">
        <v>2342528</v>
      </c>
      <c r="C1011">
        <v>21542</v>
      </c>
      <c r="D1011">
        <v>6776</v>
      </c>
      <c r="E1011">
        <v>15873005590</v>
      </c>
      <c r="M1011" t="s">
        <v>522</v>
      </c>
    </row>
    <row r="1012" spans="1:13">
      <c r="A1012" t="s">
        <v>385</v>
      </c>
      <c r="B1012">
        <v>2845390</v>
      </c>
      <c r="C1012">
        <v>26375</v>
      </c>
      <c r="D1012">
        <v>7099</v>
      </c>
      <c r="E1012">
        <v>20198776347</v>
      </c>
      <c r="M1012" t="s">
        <v>522</v>
      </c>
    </row>
    <row r="1013" spans="1:13">
      <c r="A1013" t="s">
        <v>386</v>
      </c>
      <c r="B1013">
        <v>3434333</v>
      </c>
      <c r="C1013">
        <v>29208</v>
      </c>
      <c r="D1013">
        <v>6282</v>
      </c>
      <c r="E1013">
        <v>21575910735</v>
      </c>
      <c r="M1013" t="s">
        <v>522</v>
      </c>
    </row>
    <row r="1014" spans="1:13">
      <c r="A1014" t="s">
        <v>387</v>
      </c>
      <c r="B1014">
        <v>10322146</v>
      </c>
      <c r="C1014">
        <v>92782</v>
      </c>
      <c r="D1014">
        <v>6649</v>
      </c>
      <c r="E1014">
        <v>68632988874</v>
      </c>
      <c r="M1014" t="s">
        <v>522</v>
      </c>
    </row>
    <row r="1016" spans="1:13">
      <c r="M1016" t="s">
        <v>524</v>
      </c>
    </row>
    <row r="1017" spans="1:13">
      <c r="A1017" t="s">
        <v>373</v>
      </c>
      <c r="B1017" t="s">
        <v>374</v>
      </c>
      <c r="C1017" t="s">
        <v>375</v>
      </c>
      <c r="D1017" t="s">
        <v>376</v>
      </c>
      <c r="E1017" t="s">
        <v>377</v>
      </c>
      <c r="F1017" t="s">
        <v>378</v>
      </c>
      <c r="G1017" t="s">
        <v>379</v>
      </c>
      <c r="H1017" t="s">
        <v>380</v>
      </c>
      <c r="M1017" t="s">
        <v>524</v>
      </c>
    </row>
    <row r="1018" spans="1:13">
      <c r="A1018" t="s">
        <v>383</v>
      </c>
      <c r="B1018">
        <v>418884</v>
      </c>
      <c r="C1018">
        <v>3633</v>
      </c>
      <c r="D1018">
        <v>876430</v>
      </c>
      <c r="E1018">
        <v>7257</v>
      </c>
      <c r="F1018">
        <v>5912</v>
      </c>
      <c r="G1018">
        <v>5181107837</v>
      </c>
      <c r="H1018">
        <v>0.48</v>
      </c>
      <c r="M1018" t="s">
        <v>524</v>
      </c>
    </row>
    <row r="1019" spans="1:13">
      <c r="A1019" t="s">
        <v>384</v>
      </c>
      <c r="B1019">
        <v>1585465</v>
      </c>
      <c r="C1019">
        <v>13368</v>
      </c>
      <c r="D1019">
        <v>2330889</v>
      </c>
      <c r="E1019">
        <v>19516</v>
      </c>
      <c r="F1019">
        <v>6157</v>
      </c>
      <c r="G1019">
        <v>14350549187</v>
      </c>
      <c r="H1019">
        <v>0.68</v>
      </c>
      <c r="M1019" t="s">
        <v>524</v>
      </c>
    </row>
    <row r="1020" spans="1:13">
      <c r="A1020" t="s">
        <v>385</v>
      </c>
      <c r="B1020">
        <v>3123764</v>
      </c>
      <c r="C1020">
        <v>24227</v>
      </c>
      <c r="D1020">
        <v>2559012</v>
      </c>
      <c r="E1020">
        <v>21797</v>
      </c>
      <c r="F1020">
        <v>6413</v>
      </c>
      <c r="G1020">
        <v>16409675896</v>
      </c>
      <c r="H1020">
        <v>1.22</v>
      </c>
      <c r="M1020" t="s">
        <v>524</v>
      </c>
    </row>
    <row r="1021" spans="1:13">
      <c r="A1021" t="s">
        <v>386</v>
      </c>
      <c r="B1021">
        <v>2723809</v>
      </c>
      <c r="C1021">
        <v>22510</v>
      </c>
      <c r="D1021">
        <v>2712175</v>
      </c>
      <c r="E1021">
        <v>22632</v>
      </c>
      <c r="F1021">
        <v>6165</v>
      </c>
      <c r="G1021">
        <v>16720854542</v>
      </c>
      <c r="H1021">
        <v>1</v>
      </c>
      <c r="M1021" t="s">
        <v>524</v>
      </c>
    </row>
    <row r="1022" spans="1:13">
      <c r="A1022" t="s">
        <v>393</v>
      </c>
      <c r="B1022">
        <v>3062793</v>
      </c>
      <c r="C1022">
        <v>24340</v>
      </c>
      <c r="D1022">
        <v>3163089</v>
      </c>
      <c r="E1022">
        <v>26885</v>
      </c>
      <c r="F1022">
        <v>5686</v>
      </c>
      <c r="G1022">
        <v>17984770452</v>
      </c>
      <c r="H1022">
        <v>0.97</v>
      </c>
      <c r="M1022" t="s">
        <v>524</v>
      </c>
    </row>
    <row r="1023" spans="1:13">
      <c r="A1023" t="s">
        <v>435</v>
      </c>
      <c r="B1023">
        <v>1532673</v>
      </c>
      <c r="C1023">
        <v>13966</v>
      </c>
      <c r="D1023">
        <v>2002951</v>
      </c>
      <c r="E1023">
        <v>17505</v>
      </c>
      <c r="F1023">
        <v>5363</v>
      </c>
      <c r="G1023">
        <v>10741275506</v>
      </c>
      <c r="H1023">
        <v>0.77</v>
      </c>
      <c r="M1023" t="s">
        <v>524</v>
      </c>
    </row>
    <row r="1024" spans="1:13">
      <c r="A1024" t="s">
        <v>387</v>
      </c>
      <c r="B1024">
        <v>12447389</v>
      </c>
      <c r="C1024">
        <v>102044</v>
      </c>
      <c r="D1024">
        <v>13644546</v>
      </c>
      <c r="E1024">
        <v>115592</v>
      </c>
      <c r="F1024">
        <v>5965</v>
      </c>
      <c r="G1024">
        <v>81388233419</v>
      </c>
      <c r="H1024">
        <v>0.91</v>
      </c>
      <c r="M1024" t="s">
        <v>524</v>
      </c>
    </row>
    <row r="1026" spans="1:13">
      <c r="M1026" t="s">
        <v>525</v>
      </c>
    </row>
    <row r="1027" spans="1:13">
      <c r="A1027" t="s">
        <v>373</v>
      </c>
      <c r="B1027" t="s">
        <v>374</v>
      </c>
      <c r="C1027" t="s">
        <v>375</v>
      </c>
      <c r="D1027" t="s">
        <v>376</v>
      </c>
      <c r="E1027" t="s">
        <v>377</v>
      </c>
      <c r="F1027" t="s">
        <v>378</v>
      </c>
      <c r="G1027" t="s">
        <v>379</v>
      </c>
      <c r="H1027" t="s">
        <v>380</v>
      </c>
      <c r="M1027" t="s">
        <v>525</v>
      </c>
    </row>
    <row r="1028" spans="1:13">
      <c r="A1028" t="s">
        <v>381</v>
      </c>
      <c r="B1028">
        <v>65838</v>
      </c>
      <c r="C1028">
        <v>260</v>
      </c>
      <c r="D1028">
        <v>61115</v>
      </c>
      <c r="E1028">
        <v>520</v>
      </c>
      <c r="F1028">
        <v>14245</v>
      </c>
      <c r="G1028">
        <v>870565321</v>
      </c>
      <c r="H1028">
        <v>1.08</v>
      </c>
      <c r="M1028" t="s">
        <v>525</v>
      </c>
    </row>
    <row r="1029" spans="1:13">
      <c r="A1029" t="s">
        <v>382</v>
      </c>
      <c r="B1029">
        <v>340948</v>
      </c>
      <c r="C1029">
        <v>3075</v>
      </c>
      <c r="D1029">
        <v>850381</v>
      </c>
      <c r="E1029">
        <v>7465</v>
      </c>
      <c r="F1029">
        <v>15775</v>
      </c>
      <c r="G1029">
        <v>13415130242</v>
      </c>
      <c r="H1029">
        <v>0.4</v>
      </c>
      <c r="M1029" t="s">
        <v>525</v>
      </c>
    </row>
    <row r="1030" spans="1:13">
      <c r="A1030" t="s">
        <v>383</v>
      </c>
      <c r="B1030">
        <v>835550</v>
      </c>
      <c r="C1030">
        <v>6845</v>
      </c>
      <c r="D1030">
        <v>974230</v>
      </c>
      <c r="E1030">
        <v>8459</v>
      </c>
      <c r="F1030">
        <v>17076</v>
      </c>
      <c r="G1030">
        <v>16636235425</v>
      </c>
      <c r="H1030">
        <v>0.86</v>
      </c>
      <c r="M1030" t="s">
        <v>525</v>
      </c>
    </row>
    <row r="1031" spans="1:13">
      <c r="A1031" t="s">
        <v>384</v>
      </c>
      <c r="B1031">
        <v>2110924</v>
      </c>
      <c r="C1031">
        <v>18875</v>
      </c>
      <c r="D1031">
        <v>1435435</v>
      </c>
      <c r="E1031">
        <v>12304</v>
      </c>
      <c r="F1031">
        <v>18105</v>
      </c>
      <c r="G1031">
        <v>25988821667</v>
      </c>
      <c r="H1031">
        <v>1.47</v>
      </c>
      <c r="M1031" t="s">
        <v>525</v>
      </c>
    </row>
    <row r="1032" spans="1:13">
      <c r="A1032" t="s">
        <v>385</v>
      </c>
      <c r="B1032">
        <v>1425894</v>
      </c>
      <c r="C1032">
        <v>12161</v>
      </c>
      <c r="D1032">
        <v>1194644</v>
      </c>
      <c r="E1032">
        <v>9680</v>
      </c>
      <c r="F1032">
        <v>18297</v>
      </c>
      <c r="G1032">
        <v>21858453390</v>
      </c>
      <c r="H1032">
        <v>1.19</v>
      </c>
      <c r="M1032" t="s">
        <v>525</v>
      </c>
    </row>
    <row r="1033" spans="1:13">
      <c r="A1033" t="s">
        <v>386</v>
      </c>
      <c r="B1033">
        <v>2260853</v>
      </c>
      <c r="C1033">
        <v>18586</v>
      </c>
      <c r="D1033">
        <v>1622612</v>
      </c>
      <c r="E1033">
        <v>13526</v>
      </c>
      <c r="F1033">
        <v>17067</v>
      </c>
      <c r="G1033">
        <v>27692482267</v>
      </c>
      <c r="H1033">
        <v>1.39</v>
      </c>
      <c r="M1033" t="s">
        <v>525</v>
      </c>
    </row>
    <row r="1034" spans="1:13">
      <c r="A1034" t="s">
        <v>387</v>
      </c>
      <c r="B1034">
        <v>7040008</v>
      </c>
      <c r="C1034">
        <v>59802</v>
      </c>
      <c r="D1034">
        <v>6138417</v>
      </c>
      <c r="E1034">
        <v>51954</v>
      </c>
      <c r="F1034">
        <v>17344</v>
      </c>
      <c r="G1034">
        <v>106461688312</v>
      </c>
      <c r="H1034">
        <v>1.1499999999999999</v>
      </c>
      <c r="M1034" t="s">
        <v>525</v>
      </c>
    </row>
    <row r="1036" spans="1:13">
      <c r="M1036" t="s">
        <v>526</v>
      </c>
    </row>
    <row r="1037" spans="1:13">
      <c r="A1037" t="s">
        <v>373</v>
      </c>
      <c r="B1037" t="s">
        <v>389</v>
      </c>
      <c r="C1037" t="s">
        <v>390</v>
      </c>
      <c r="D1037" t="s">
        <v>391</v>
      </c>
      <c r="E1037" t="s">
        <v>406</v>
      </c>
      <c r="M1037" t="s">
        <v>526</v>
      </c>
    </row>
    <row r="1038" spans="1:13">
      <c r="A1038" t="s">
        <v>382</v>
      </c>
      <c r="B1038">
        <v>1901006</v>
      </c>
      <c r="C1038">
        <v>15957</v>
      </c>
      <c r="D1038">
        <v>26.8</v>
      </c>
      <c r="E1038">
        <v>25</v>
      </c>
      <c r="M1038" t="s">
        <v>526</v>
      </c>
    </row>
    <row r="1039" spans="1:13">
      <c r="A1039" t="s">
        <v>383</v>
      </c>
      <c r="B1039">
        <v>2385402</v>
      </c>
      <c r="C1039">
        <v>20019</v>
      </c>
      <c r="D1039">
        <v>29.4</v>
      </c>
      <c r="E1039">
        <v>23.8</v>
      </c>
      <c r="M1039" t="s">
        <v>526</v>
      </c>
    </row>
    <row r="1040" spans="1:13">
      <c r="A1040" t="s">
        <v>384</v>
      </c>
      <c r="B1040">
        <v>2423503</v>
      </c>
      <c r="C1040">
        <v>20683</v>
      </c>
      <c r="D1040">
        <v>20.3</v>
      </c>
      <c r="E1040">
        <v>22.1</v>
      </c>
      <c r="M1040" t="s">
        <v>526</v>
      </c>
    </row>
    <row r="1041" spans="1:13">
      <c r="A1041" t="s">
        <v>385</v>
      </c>
      <c r="B1041">
        <v>2007597</v>
      </c>
      <c r="C1041">
        <v>16491</v>
      </c>
      <c r="D1041">
        <v>20.2</v>
      </c>
      <c r="E1041">
        <v>17.100000000000001</v>
      </c>
      <c r="M1041" t="s">
        <v>526</v>
      </c>
    </row>
    <row r="1042" spans="1:13">
      <c r="A1042" t="s">
        <v>386</v>
      </c>
      <c r="B1042">
        <v>1795423</v>
      </c>
      <c r="C1042">
        <v>14119</v>
      </c>
      <c r="D1042">
        <v>13.3</v>
      </c>
      <c r="E1042">
        <v>17.600000000000001</v>
      </c>
      <c r="M1042" t="s">
        <v>526</v>
      </c>
    </row>
    <row r="1043" spans="1:13">
      <c r="A1043" t="s">
        <v>393</v>
      </c>
      <c r="B1043">
        <v>1046639</v>
      </c>
      <c r="C1043">
        <v>8309</v>
      </c>
      <c r="D1043">
        <v>15.2</v>
      </c>
      <c r="E1043">
        <v>13.8</v>
      </c>
      <c r="M1043" t="s">
        <v>526</v>
      </c>
    </row>
    <row r="1045" spans="1:13">
      <c r="M1045" t="s">
        <v>527</v>
      </c>
    </row>
    <row r="1046" spans="1:13">
      <c r="A1046" t="s">
        <v>373</v>
      </c>
      <c r="B1046" t="s">
        <v>374</v>
      </c>
      <c r="C1046" t="s">
        <v>375</v>
      </c>
      <c r="D1046" t="s">
        <v>376</v>
      </c>
      <c r="E1046" t="s">
        <v>377</v>
      </c>
      <c r="F1046" t="s">
        <v>378</v>
      </c>
      <c r="G1046" t="s">
        <v>379</v>
      </c>
      <c r="H1046" t="s">
        <v>380</v>
      </c>
      <c r="M1046" t="s">
        <v>527</v>
      </c>
    </row>
    <row r="1047" spans="1:13">
      <c r="A1047" t="s">
        <v>382</v>
      </c>
      <c r="B1047">
        <v>661497</v>
      </c>
      <c r="C1047">
        <v>5458</v>
      </c>
      <c r="D1047">
        <v>1697253</v>
      </c>
      <c r="E1047">
        <v>14612</v>
      </c>
      <c r="F1047">
        <v>7122</v>
      </c>
      <c r="G1047">
        <v>12088299831</v>
      </c>
      <c r="H1047">
        <v>0.39</v>
      </c>
      <c r="M1047" t="s">
        <v>527</v>
      </c>
    </row>
    <row r="1048" spans="1:13">
      <c r="A1048" t="s">
        <v>383</v>
      </c>
      <c r="B1048">
        <v>825999</v>
      </c>
      <c r="C1048">
        <v>6788</v>
      </c>
      <c r="D1048">
        <v>1740945</v>
      </c>
      <c r="E1048">
        <v>13848</v>
      </c>
      <c r="F1048">
        <v>7016</v>
      </c>
      <c r="G1048">
        <v>12214433567</v>
      </c>
      <c r="H1048">
        <v>0.47</v>
      </c>
      <c r="M1048" t="s">
        <v>527</v>
      </c>
    </row>
    <row r="1049" spans="1:13">
      <c r="A1049" t="s">
        <v>384</v>
      </c>
      <c r="B1049">
        <v>2091548</v>
      </c>
      <c r="C1049">
        <v>17720</v>
      </c>
      <c r="D1049">
        <v>2805726</v>
      </c>
      <c r="E1049">
        <v>24748</v>
      </c>
      <c r="F1049">
        <v>7272</v>
      </c>
      <c r="G1049">
        <v>20402284500</v>
      </c>
      <c r="H1049">
        <v>0.75</v>
      </c>
      <c r="M1049" t="s">
        <v>527</v>
      </c>
    </row>
    <row r="1050" spans="1:13">
      <c r="A1050" t="s">
        <v>385</v>
      </c>
      <c r="B1050">
        <v>2329986</v>
      </c>
      <c r="C1050">
        <v>19854</v>
      </c>
      <c r="D1050">
        <v>2064934</v>
      </c>
      <c r="E1050">
        <v>17755</v>
      </c>
      <c r="F1050">
        <v>7794</v>
      </c>
      <c r="G1050">
        <v>16093586989</v>
      </c>
      <c r="H1050">
        <v>1.1299999999999999</v>
      </c>
      <c r="M1050" t="s">
        <v>527</v>
      </c>
    </row>
    <row r="1051" spans="1:13">
      <c r="A1051" t="s">
        <v>386</v>
      </c>
      <c r="B1051">
        <v>1976123</v>
      </c>
      <c r="C1051">
        <v>17287</v>
      </c>
      <c r="D1051">
        <v>198031</v>
      </c>
      <c r="E1051">
        <v>1666</v>
      </c>
      <c r="F1051">
        <v>7998</v>
      </c>
      <c r="G1051">
        <v>1583869965</v>
      </c>
      <c r="H1051">
        <v>9.98</v>
      </c>
      <c r="M1051" t="s">
        <v>527</v>
      </c>
    </row>
    <row r="1052" spans="1:13">
      <c r="A1052" t="s">
        <v>387</v>
      </c>
      <c r="B1052">
        <v>7885153</v>
      </c>
      <c r="C1052">
        <v>67107</v>
      </c>
      <c r="D1052">
        <v>8506889</v>
      </c>
      <c r="E1052">
        <v>72629</v>
      </c>
      <c r="F1052">
        <v>7333</v>
      </c>
      <c r="G1052">
        <v>62382474852</v>
      </c>
      <c r="H1052">
        <v>0.93</v>
      </c>
      <c r="M1052" t="s">
        <v>527</v>
      </c>
    </row>
    <row r="1054" spans="1:13">
      <c r="M1054" t="s">
        <v>528</v>
      </c>
    </row>
    <row r="1055" spans="1:13">
      <c r="A1055" t="s">
        <v>373</v>
      </c>
      <c r="B1055" t="s">
        <v>389</v>
      </c>
      <c r="C1055" t="s">
        <v>390</v>
      </c>
      <c r="D1055" t="s">
        <v>391</v>
      </c>
      <c r="M1055" t="s">
        <v>528</v>
      </c>
    </row>
    <row r="1056" spans="1:13">
      <c r="A1056" t="s">
        <v>382</v>
      </c>
      <c r="B1056">
        <v>2954076</v>
      </c>
      <c r="C1056">
        <v>26732</v>
      </c>
      <c r="D1056">
        <v>25</v>
      </c>
      <c r="M1056" t="s">
        <v>528</v>
      </c>
    </row>
    <row r="1057" spans="1:13">
      <c r="A1057" t="s">
        <v>383</v>
      </c>
      <c r="B1057">
        <v>2796647</v>
      </c>
      <c r="C1057">
        <v>25441</v>
      </c>
      <c r="D1057">
        <v>28</v>
      </c>
      <c r="M1057" t="s">
        <v>528</v>
      </c>
    </row>
    <row r="1058" spans="1:13">
      <c r="A1058" t="s">
        <v>384</v>
      </c>
      <c r="B1058">
        <v>2947444</v>
      </c>
      <c r="C1058">
        <v>26724</v>
      </c>
      <c r="D1058">
        <v>15.3</v>
      </c>
      <c r="M1058" t="s">
        <v>528</v>
      </c>
    </row>
    <row r="1059" spans="1:13">
      <c r="A1059" t="s">
        <v>385</v>
      </c>
      <c r="B1059">
        <v>2504014</v>
      </c>
      <c r="C1059">
        <v>22786</v>
      </c>
      <c r="D1059">
        <v>16.3</v>
      </c>
      <c r="M1059" t="s">
        <v>528</v>
      </c>
    </row>
    <row r="1060" spans="1:13">
      <c r="A1060" t="s">
        <v>386</v>
      </c>
      <c r="B1060">
        <v>2037944</v>
      </c>
      <c r="C1060">
        <v>19129</v>
      </c>
      <c r="D1060">
        <v>136.9</v>
      </c>
      <c r="M1060" t="s">
        <v>528</v>
      </c>
    </row>
    <row r="1062" spans="1:13">
      <c r="M1062" t="s">
        <v>529</v>
      </c>
    </row>
    <row r="1063" spans="1:13">
      <c r="A1063" t="s">
        <v>373</v>
      </c>
      <c r="B1063" t="s">
        <v>374</v>
      </c>
      <c r="C1063" t="s">
        <v>375</v>
      </c>
      <c r="D1063" t="s">
        <v>376</v>
      </c>
      <c r="E1063" t="s">
        <v>377</v>
      </c>
      <c r="F1063" t="s">
        <v>378</v>
      </c>
      <c r="G1063" t="s">
        <v>379</v>
      </c>
      <c r="H1063" t="s">
        <v>380</v>
      </c>
      <c r="M1063" t="s">
        <v>529</v>
      </c>
    </row>
    <row r="1064" spans="1:13">
      <c r="A1064" t="s">
        <v>382</v>
      </c>
      <c r="B1064">
        <v>818995</v>
      </c>
      <c r="C1064">
        <v>8287</v>
      </c>
      <c r="D1064">
        <v>965609</v>
      </c>
      <c r="E1064">
        <v>9359</v>
      </c>
      <c r="F1064">
        <v>6184</v>
      </c>
      <c r="G1064">
        <v>5971146425</v>
      </c>
      <c r="H1064">
        <v>0.85</v>
      </c>
      <c r="M1064" t="s">
        <v>529</v>
      </c>
    </row>
    <row r="1065" spans="1:13">
      <c r="A1065" t="s">
        <v>383</v>
      </c>
      <c r="B1065">
        <v>406098</v>
      </c>
      <c r="C1065">
        <v>3807</v>
      </c>
      <c r="D1065">
        <v>865574</v>
      </c>
      <c r="E1065">
        <v>8154</v>
      </c>
      <c r="F1065">
        <v>6381</v>
      </c>
      <c r="G1065">
        <v>5522975737</v>
      </c>
      <c r="H1065">
        <v>0.47</v>
      </c>
      <c r="M1065" t="s">
        <v>529</v>
      </c>
    </row>
    <row r="1066" spans="1:13">
      <c r="A1066" t="s">
        <v>384</v>
      </c>
      <c r="B1066">
        <v>1338082</v>
      </c>
      <c r="C1066">
        <v>13559</v>
      </c>
      <c r="D1066">
        <v>275374</v>
      </c>
      <c r="E1066">
        <v>2574</v>
      </c>
      <c r="F1066">
        <v>6216</v>
      </c>
      <c r="G1066">
        <v>1711637456</v>
      </c>
      <c r="H1066">
        <v>4.8600000000000003</v>
      </c>
      <c r="M1066" t="s">
        <v>529</v>
      </c>
    </row>
    <row r="1067" spans="1:13">
      <c r="A1067" t="s">
        <v>385</v>
      </c>
      <c r="B1067">
        <v>1144915</v>
      </c>
      <c r="C1067">
        <v>11694</v>
      </c>
      <c r="D1067">
        <v>0</v>
      </c>
      <c r="E1067">
        <v>0</v>
      </c>
      <c r="F1067">
        <v>0</v>
      </c>
      <c r="G1067">
        <v>0</v>
      </c>
      <c r="H1067">
        <v>0</v>
      </c>
      <c r="M1067" t="s">
        <v>529</v>
      </c>
    </row>
    <row r="1068" spans="1:13">
      <c r="A1068" t="s">
        <v>386</v>
      </c>
      <c r="B1068">
        <v>2679395</v>
      </c>
      <c r="C1068">
        <v>25131</v>
      </c>
      <c r="D1068">
        <v>0</v>
      </c>
      <c r="E1068">
        <v>0</v>
      </c>
      <c r="F1068">
        <v>0</v>
      </c>
      <c r="G1068">
        <v>0</v>
      </c>
      <c r="H1068">
        <v>0</v>
      </c>
      <c r="M1068" t="s">
        <v>529</v>
      </c>
    </row>
    <row r="1069" spans="1:13">
      <c r="A1069" t="s">
        <v>387</v>
      </c>
      <c r="B1069">
        <v>6387486</v>
      </c>
      <c r="C1069">
        <v>62478</v>
      </c>
      <c r="D1069">
        <v>2106558</v>
      </c>
      <c r="E1069">
        <v>20087</v>
      </c>
      <c r="F1069">
        <v>6269</v>
      </c>
      <c r="G1069">
        <v>13205759618</v>
      </c>
      <c r="H1069">
        <v>3.03</v>
      </c>
      <c r="M1069" t="s">
        <v>529</v>
      </c>
    </row>
    <row r="1071" spans="1:13">
      <c r="M1071" t="s">
        <v>530</v>
      </c>
    </row>
    <row r="1072" spans="1:13">
      <c r="A1072" t="s">
        <v>373</v>
      </c>
      <c r="B1072" t="s">
        <v>389</v>
      </c>
      <c r="C1072" t="s">
        <v>390</v>
      </c>
      <c r="D1072" t="s">
        <v>391</v>
      </c>
      <c r="M1072" t="s">
        <v>530</v>
      </c>
    </row>
    <row r="1073" spans="1:13">
      <c r="A1073" t="s">
        <v>382</v>
      </c>
      <c r="B1073">
        <v>942258</v>
      </c>
      <c r="C1073">
        <v>8998</v>
      </c>
      <c r="D1073">
        <v>11.7</v>
      </c>
      <c r="M1073" t="s">
        <v>530</v>
      </c>
    </row>
    <row r="1074" spans="1:13">
      <c r="A1074" t="s">
        <v>383</v>
      </c>
      <c r="B1074">
        <v>1002827</v>
      </c>
      <c r="C1074">
        <v>9449</v>
      </c>
      <c r="D1074">
        <v>13.9</v>
      </c>
      <c r="M1074" t="s">
        <v>530</v>
      </c>
    </row>
    <row r="1075" spans="1:13">
      <c r="A1075" t="s">
        <v>384</v>
      </c>
      <c r="B1075">
        <v>1410092</v>
      </c>
      <c r="C1075">
        <v>13342</v>
      </c>
      <c r="D1075">
        <v>61.4</v>
      </c>
      <c r="M1075" t="s">
        <v>530</v>
      </c>
    </row>
    <row r="1077" spans="1:13">
      <c r="M1077" t="s">
        <v>531</v>
      </c>
    </row>
    <row r="1078" spans="1:13">
      <c r="A1078" t="s">
        <v>373</v>
      </c>
      <c r="B1078" t="s">
        <v>374</v>
      </c>
      <c r="C1078" t="s">
        <v>375</v>
      </c>
      <c r="D1078" t="s">
        <v>376</v>
      </c>
      <c r="E1078" t="s">
        <v>377</v>
      </c>
      <c r="F1078" t="s">
        <v>378</v>
      </c>
      <c r="G1078" t="s">
        <v>379</v>
      </c>
      <c r="H1078" t="s">
        <v>380</v>
      </c>
      <c r="M1078" t="s">
        <v>531</v>
      </c>
    </row>
    <row r="1079" spans="1:13">
      <c r="A1079" t="s">
        <v>382</v>
      </c>
      <c r="B1079">
        <v>7350139</v>
      </c>
      <c r="C1079">
        <v>66024</v>
      </c>
      <c r="D1079">
        <v>7917104</v>
      </c>
      <c r="E1079">
        <v>73137</v>
      </c>
      <c r="F1079">
        <v>37881</v>
      </c>
      <c r="G1079">
        <v>299907790616</v>
      </c>
      <c r="H1079">
        <v>0.93</v>
      </c>
      <c r="M1079" t="s">
        <v>531</v>
      </c>
    </row>
    <row r="1080" spans="1:13">
      <c r="A1080" t="s">
        <v>383</v>
      </c>
      <c r="B1080">
        <v>9294596</v>
      </c>
      <c r="C1080">
        <v>83977</v>
      </c>
      <c r="D1080">
        <v>7368807</v>
      </c>
      <c r="E1080">
        <v>69138</v>
      </c>
      <c r="F1080">
        <v>37247</v>
      </c>
      <c r="G1080">
        <v>274468620023</v>
      </c>
      <c r="H1080">
        <v>1.26</v>
      </c>
      <c r="M1080" t="s">
        <v>531</v>
      </c>
    </row>
    <row r="1081" spans="1:13">
      <c r="A1081" t="s">
        <v>384</v>
      </c>
      <c r="B1081">
        <v>11925492</v>
      </c>
      <c r="C1081">
        <v>118079</v>
      </c>
      <c r="D1081">
        <v>11118295</v>
      </c>
      <c r="E1081">
        <v>105536</v>
      </c>
      <c r="F1081">
        <v>33845</v>
      </c>
      <c r="G1081">
        <v>376299259086</v>
      </c>
      <c r="H1081">
        <v>1.07</v>
      </c>
      <c r="M1081" t="s">
        <v>531</v>
      </c>
    </row>
    <row r="1082" spans="1:13">
      <c r="A1082" t="s">
        <v>385</v>
      </c>
      <c r="B1082">
        <v>12047198</v>
      </c>
      <c r="C1082">
        <v>115304</v>
      </c>
      <c r="D1082">
        <v>10479308</v>
      </c>
      <c r="E1082">
        <v>98799</v>
      </c>
      <c r="F1082">
        <v>28955</v>
      </c>
      <c r="G1082">
        <v>303431329000</v>
      </c>
      <c r="H1082">
        <v>1.1499999999999999</v>
      </c>
      <c r="M1082" t="s">
        <v>531</v>
      </c>
    </row>
    <row r="1083" spans="1:13">
      <c r="A1083" t="s">
        <v>386</v>
      </c>
      <c r="B1083">
        <v>7955986</v>
      </c>
      <c r="C1083">
        <v>77053</v>
      </c>
      <c r="D1083">
        <v>8080671</v>
      </c>
      <c r="E1083">
        <v>76565</v>
      </c>
      <c r="F1083">
        <v>27963</v>
      </c>
      <c r="G1083">
        <v>225963704000</v>
      </c>
      <c r="H1083">
        <v>0.98</v>
      </c>
      <c r="M1083" t="s">
        <v>531</v>
      </c>
    </row>
    <row r="1084" spans="1:13">
      <c r="A1084" t="s">
        <v>387</v>
      </c>
      <c r="B1084">
        <v>48573411</v>
      </c>
      <c r="C1084">
        <v>460437</v>
      </c>
      <c r="D1084">
        <v>44964185</v>
      </c>
      <c r="E1084">
        <v>423175</v>
      </c>
      <c r="F1084">
        <v>32917</v>
      </c>
      <c r="G1084">
        <v>1480070702725</v>
      </c>
      <c r="H1084">
        <v>1.08</v>
      </c>
      <c r="M1084" t="s">
        <v>531</v>
      </c>
    </row>
    <row r="1086" spans="1:13">
      <c r="M1086" t="s">
        <v>532</v>
      </c>
    </row>
    <row r="1087" spans="1:13">
      <c r="A1087" s="20" t="s">
        <v>373</v>
      </c>
      <c r="B1087" s="21" t="s">
        <v>389</v>
      </c>
      <c r="C1087" s="21" t="s">
        <v>390</v>
      </c>
      <c r="D1087" s="21" t="s">
        <v>391</v>
      </c>
      <c r="E1087" s="21" t="s">
        <v>406</v>
      </c>
      <c r="M1087" t="s">
        <v>532</v>
      </c>
    </row>
    <row r="1088" spans="1:13">
      <c r="A1088" s="19" t="s">
        <v>381</v>
      </c>
      <c r="B1088" s="19">
        <v>11286739</v>
      </c>
      <c r="C1088" s="19">
        <v>103097</v>
      </c>
      <c r="D1088" s="19">
        <v>17.100000000000001</v>
      </c>
      <c r="E1088" s="19">
        <v>18</v>
      </c>
      <c r="M1088" s="16" t="s">
        <v>532</v>
      </c>
    </row>
    <row r="1089" spans="1:13">
      <c r="A1089" s="19" t="s">
        <v>382</v>
      </c>
      <c r="B1089" s="19">
        <v>11602412</v>
      </c>
      <c r="C1089" s="19">
        <v>105597</v>
      </c>
      <c r="D1089" s="19">
        <v>17.600000000000001</v>
      </c>
      <c r="E1089" s="19">
        <v>18.2</v>
      </c>
      <c r="M1089" s="16" t="s">
        <v>532</v>
      </c>
    </row>
    <row r="1090" spans="1:13">
      <c r="A1090" s="19" t="s">
        <v>383</v>
      </c>
      <c r="B1090" s="19">
        <v>12435416</v>
      </c>
      <c r="C1090" s="19">
        <v>113970</v>
      </c>
      <c r="D1090" s="19">
        <v>20.3</v>
      </c>
      <c r="E1090" s="19">
        <v>16.100000000000001</v>
      </c>
      <c r="M1090" s="16" t="s">
        <v>532</v>
      </c>
    </row>
    <row r="1091" spans="1:13">
      <c r="A1091" s="19" t="s">
        <v>384</v>
      </c>
      <c r="B1091" s="19">
        <v>11096302</v>
      </c>
      <c r="C1091" s="19">
        <v>104934</v>
      </c>
      <c r="D1091" s="19">
        <v>12</v>
      </c>
      <c r="E1091" s="19">
        <v>12.3</v>
      </c>
      <c r="M1091" s="16" t="s">
        <v>532</v>
      </c>
    </row>
    <row r="1092" spans="1:13">
      <c r="A1092" s="19" t="s">
        <v>385</v>
      </c>
      <c r="B1092" s="19">
        <v>10150224</v>
      </c>
      <c r="C1092" s="19">
        <v>93556</v>
      </c>
      <c r="D1092" s="19">
        <v>11.6</v>
      </c>
      <c r="E1092" s="19">
        <v>13.1</v>
      </c>
      <c r="M1092" s="16" t="s">
        <v>532</v>
      </c>
    </row>
    <row r="1093" spans="1:13">
      <c r="A1093" s="19" t="s">
        <v>386</v>
      </c>
      <c r="B1093" s="19">
        <v>8522891</v>
      </c>
      <c r="C1093" s="19">
        <v>75954</v>
      </c>
      <c r="D1093" s="19">
        <v>12.7</v>
      </c>
      <c r="E1093" s="19">
        <v>12.3</v>
      </c>
      <c r="M1093" s="16" t="s">
        <v>532</v>
      </c>
    </row>
    <row r="1095" spans="1:13">
      <c r="M1095" t="s">
        <v>533</v>
      </c>
    </row>
    <row r="1096" spans="1:13">
      <c r="A1096" t="s">
        <v>373</v>
      </c>
      <c r="B1096" t="s">
        <v>374</v>
      </c>
      <c r="C1096" t="s">
        <v>375</v>
      </c>
      <c r="D1096" t="s">
        <v>376</v>
      </c>
      <c r="E1096" t="s">
        <v>377</v>
      </c>
      <c r="F1096" t="s">
        <v>378</v>
      </c>
      <c r="G1096" t="s">
        <v>379</v>
      </c>
      <c r="H1096" t="s">
        <v>380</v>
      </c>
      <c r="M1096" t="s">
        <v>533</v>
      </c>
    </row>
    <row r="1097" spans="1:13">
      <c r="A1097" t="s">
        <v>382</v>
      </c>
      <c r="B1097">
        <v>0</v>
      </c>
      <c r="C1097">
        <v>0</v>
      </c>
      <c r="D1097">
        <v>1186714</v>
      </c>
      <c r="E1097">
        <v>11552</v>
      </c>
      <c r="F1097">
        <v>9213</v>
      </c>
      <c r="G1097">
        <v>10932753412</v>
      </c>
      <c r="H1097">
        <v>0</v>
      </c>
      <c r="M1097" t="s">
        <v>533</v>
      </c>
    </row>
    <row r="1098" spans="1:13">
      <c r="A1098" t="s">
        <v>383</v>
      </c>
      <c r="B1098">
        <v>0</v>
      </c>
      <c r="C1098">
        <v>0</v>
      </c>
      <c r="D1098">
        <v>1344955</v>
      </c>
      <c r="E1098">
        <v>12923</v>
      </c>
      <c r="F1098">
        <v>9959</v>
      </c>
      <c r="G1098">
        <v>13394238278</v>
      </c>
      <c r="H1098">
        <v>0</v>
      </c>
      <c r="M1098" t="s">
        <v>533</v>
      </c>
    </row>
    <row r="1099" spans="1:13">
      <c r="A1099" t="s">
        <v>384</v>
      </c>
      <c r="B1099">
        <v>0</v>
      </c>
      <c r="C1099">
        <v>0</v>
      </c>
      <c r="D1099">
        <v>1606240</v>
      </c>
      <c r="E1099">
        <v>15860</v>
      </c>
      <c r="F1099">
        <v>10569</v>
      </c>
      <c r="G1099">
        <v>16976305589</v>
      </c>
      <c r="H1099">
        <v>0</v>
      </c>
      <c r="M1099" t="s">
        <v>533</v>
      </c>
    </row>
    <row r="1100" spans="1:13">
      <c r="A1100" t="s">
        <v>385</v>
      </c>
      <c r="B1100">
        <v>0</v>
      </c>
      <c r="C1100">
        <v>0</v>
      </c>
      <c r="D1100">
        <v>1738696</v>
      </c>
      <c r="E1100">
        <v>17724</v>
      </c>
      <c r="F1100">
        <v>10561</v>
      </c>
      <c r="G1100">
        <v>18362925998</v>
      </c>
      <c r="H1100">
        <v>0</v>
      </c>
      <c r="M1100" t="s">
        <v>533</v>
      </c>
    </row>
    <row r="1101" spans="1:13">
      <c r="A1101" t="s">
        <v>386</v>
      </c>
      <c r="B1101">
        <v>0</v>
      </c>
      <c r="C1101">
        <v>0</v>
      </c>
      <c r="D1101">
        <v>1327491</v>
      </c>
      <c r="E1101">
        <v>13304</v>
      </c>
      <c r="F1101">
        <v>11356</v>
      </c>
      <c r="G1101">
        <v>15074344369</v>
      </c>
      <c r="H1101">
        <v>0</v>
      </c>
      <c r="M1101" t="s">
        <v>533</v>
      </c>
    </row>
    <row r="1102" spans="1:13">
      <c r="A1102" t="s">
        <v>393</v>
      </c>
      <c r="B1102">
        <v>0</v>
      </c>
      <c r="C1102">
        <v>0</v>
      </c>
      <c r="D1102">
        <v>1055995</v>
      </c>
      <c r="E1102">
        <v>10374</v>
      </c>
      <c r="F1102">
        <v>11525</v>
      </c>
      <c r="G1102">
        <v>12170838955</v>
      </c>
      <c r="H1102">
        <v>0</v>
      </c>
      <c r="M1102" t="s">
        <v>533</v>
      </c>
    </row>
    <row r="1103" spans="1:13">
      <c r="A1103" t="s">
        <v>387</v>
      </c>
      <c r="B1103">
        <v>0</v>
      </c>
      <c r="C1103">
        <v>0</v>
      </c>
      <c r="D1103">
        <v>8260090</v>
      </c>
      <c r="E1103">
        <v>81737</v>
      </c>
      <c r="F1103">
        <v>10522</v>
      </c>
      <c r="G1103">
        <v>86911406602</v>
      </c>
      <c r="H1103">
        <v>0</v>
      </c>
      <c r="M1103" t="s">
        <v>533</v>
      </c>
    </row>
    <row r="1105" spans="1:13">
      <c r="M1105" t="s">
        <v>534</v>
      </c>
    </row>
    <row r="1106" spans="1:13">
      <c r="A1106" t="s">
        <v>373</v>
      </c>
      <c r="B1106" t="s">
        <v>374</v>
      </c>
      <c r="C1106" t="s">
        <v>375</v>
      </c>
      <c r="D1106" t="s">
        <v>376</v>
      </c>
      <c r="E1106" t="s">
        <v>377</v>
      </c>
      <c r="F1106" t="s">
        <v>378</v>
      </c>
      <c r="G1106" t="s">
        <v>379</v>
      </c>
      <c r="H1106" t="s">
        <v>380</v>
      </c>
      <c r="M1106" t="s">
        <v>534</v>
      </c>
    </row>
    <row r="1107" spans="1:13">
      <c r="A1107" t="s">
        <v>381</v>
      </c>
      <c r="B1107">
        <v>0</v>
      </c>
      <c r="C1107">
        <v>0</v>
      </c>
      <c r="D1107">
        <v>2113</v>
      </c>
      <c r="E1107">
        <v>19</v>
      </c>
      <c r="F1107">
        <v>17498</v>
      </c>
      <c r="G1107">
        <v>36977621</v>
      </c>
      <c r="H1107">
        <v>0</v>
      </c>
      <c r="M1107" t="s">
        <v>534</v>
      </c>
    </row>
    <row r="1108" spans="1:13">
      <c r="A1108" t="s">
        <v>382</v>
      </c>
      <c r="B1108">
        <v>49195</v>
      </c>
      <c r="C1108">
        <v>472</v>
      </c>
      <c r="D1108">
        <v>66715</v>
      </c>
      <c r="E1108">
        <v>648</v>
      </c>
      <c r="F1108">
        <v>16254</v>
      </c>
      <c r="G1108">
        <v>1084423060</v>
      </c>
      <c r="H1108">
        <v>0.74</v>
      </c>
      <c r="M1108" t="s">
        <v>534</v>
      </c>
    </row>
    <row r="1109" spans="1:13">
      <c r="A1109" t="s">
        <v>383</v>
      </c>
      <c r="B1109">
        <v>86034</v>
      </c>
      <c r="C1109">
        <v>898</v>
      </c>
      <c r="D1109">
        <v>158739</v>
      </c>
      <c r="E1109">
        <v>1707</v>
      </c>
      <c r="F1109">
        <v>15539</v>
      </c>
      <c r="G1109">
        <v>2466627048</v>
      </c>
      <c r="H1109">
        <v>0.54</v>
      </c>
      <c r="M1109" t="s">
        <v>534</v>
      </c>
    </row>
    <row r="1110" spans="1:13">
      <c r="A1110" t="s">
        <v>384</v>
      </c>
      <c r="B1110">
        <v>342123</v>
      </c>
      <c r="C1110">
        <v>3120</v>
      </c>
      <c r="D1110">
        <v>378842</v>
      </c>
      <c r="E1110">
        <v>3628</v>
      </c>
      <c r="F1110">
        <v>16369</v>
      </c>
      <c r="G1110">
        <v>6201186069</v>
      </c>
      <c r="H1110">
        <v>0.9</v>
      </c>
      <c r="M1110" t="s">
        <v>534</v>
      </c>
    </row>
    <row r="1111" spans="1:13">
      <c r="A1111" t="s">
        <v>385</v>
      </c>
      <c r="B1111">
        <v>414029</v>
      </c>
      <c r="C1111">
        <v>3987</v>
      </c>
      <c r="D1111">
        <v>433572</v>
      </c>
      <c r="E1111">
        <v>4067</v>
      </c>
      <c r="F1111">
        <v>17447</v>
      </c>
      <c r="G1111">
        <v>7564537743</v>
      </c>
      <c r="H1111">
        <v>0.95</v>
      </c>
      <c r="M1111" t="s">
        <v>534</v>
      </c>
    </row>
    <row r="1112" spans="1:13">
      <c r="A1112" t="s">
        <v>386</v>
      </c>
      <c r="B1112">
        <v>347192</v>
      </c>
      <c r="C1112">
        <v>3136</v>
      </c>
      <c r="D1112">
        <v>347266</v>
      </c>
      <c r="E1112">
        <v>3198</v>
      </c>
      <c r="F1112">
        <v>14286</v>
      </c>
      <c r="G1112">
        <v>4961123920</v>
      </c>
      <c r="H1112">
        <v>1</v>
      </c>
      <c r="M1112" t="s">
        <v>534</v>
      </c>
    </row>
    <row r="1113" spans="1:13">
      <c r="A1113" t="s">
        <v>387</v>
      </c>
      <c r="B1113">
        <v>1238574</v>
      </c>
      <c r="C1113">
        <v>11613</v>
      </c>
      <c r="D1113">
        <v>1387248</v>
      </c>
      <c r="E1113">
        <v>13267</v>
      </c>
      <c r="F1113">
        <v>16086</v>
      </c>
      <c r="G1113">
        <v>22314875461</v>
      </c>
      <c r="H1113">
        <v>0.89</v>
      </c>
      <c r="M1113" t="s">
        <v>534</v>
      </c>
    </row>
    <row r="1115" spans="1:13">
      <c r="M1115" t="s">
        <v>535</v>
      </c>
    </row>
    <row r="1116" spans="1:13">
      <c r="A1116" t="s">
        <v>373</v>
      </c>
      <c r="B1116" t="s">
        <v>389</v>
      </c>
      <c r="C1116" t="s">
        <v>390</v>
      </c>
      <c r="D1116" t="s">
        <v>391</v>
      </c>
      <c r="E1116" t="s">
        <v>406</v>
      </c>
      <c r="M1116" t="s">
        <v>535</v>
      </c>
    </row>
    <row r="1117" spans="1:13">
      <c r="A1117" t="s">
        <v>381</v>
      </c>
      <c r="B1117">
        <v>151455</v>
      </c>
      <c r="C1117">
        <v>1455</v>
      </c>
      <c r="D1117">
        <v>28.9</v>
      </c>
      <c r="E1117">
        <v>16.7</v>
      </c>
      <c r="M1117" t="s">
        <v>535</v>
      </c>
    </row>
    <row r="1118" spans="1:13">
      <c r="A1118" t="s">
        <v>382</v>
      </c>
      <c r="B1118">
        <v>152762</v>
      </c>
      <c r="C1118">
        <v>1467</v>
      </c>
      <c r="D1118">
        <v>27.5</v>
      </c>
      <c r="E1118">
        <v>16.3</v>
      </c>
      <c r="M1118" t="s">
        <v>535</v>
      </c>
    </row>
    <row r="1119" spans="1:13">
      <c r="A1119" t="s">
        <v>383</v>
      </c>
      <c r="B1119">
        <v>241246</v>
      </c>
      <c r="C1119">
        <v>2269</v>
      </c>
      <c r="D1119">
        <v>18.2</v>
      </c>
      <c r="E1119">
        <v>10.8</v>
      </c>
      <c r="M1119" t="s">
        <v>535</v>
      </c>
    </row>
    <row r="1120" spans="1:13">
      <c r="A1120" t="s">
        <v>384</v>
      </c>
      <c r="B1120">
        <v>255483</v>
      </c>
      <c r="C1120">
        <v>2384</v>
      </c>
      <c r="D1120">
        <v>8.1</v>
      </c>
      <c r="E1120">
        <v>7.5</v>
      </c>
      <c r="M1120" t="s">
        <v>535</v>
      </c>
    </row>
    <row r="1121" spans="1:13">
      <c r="A1121" t="s">
        <v>385</v>
      </c>
      <c r="B1121">
        <v>437891</v>
      </c>
      <c r="C1121">
        <v>4595</v>
      </c>
      <c r="D1121">
        <v>12.1</v>
      </c>
      <c r="E1121">
        <v>13.5</v>
      </c>
      <c r="M1121" t="s">
        <v>535</v>
      </c>
    </row>
    <row r="1122" spans="1:13">
      <c r="A1122" t="s">
        <v>386</v>
      </c>
      <c r="B1122">
        <v>814912</v>
      </c>
      <c r="C1122">
        <v>6681</v>
      </c>
      <c r="D1122">
        <v>28.2</v>
      </c>
      <c r="E1122">
        <v>24.6</v>
      </c>
      <c r="M1122" t="s">
        <v>535</v>
      </c>
    </row>
    <row r="1124" spans="1:13">
      <c r="M1124" t="s">
        <v>536</v>
      </c>
    </row>
    <row r="1125" spans="1:13">
      <c r="A1125" t="s">
        <v>373</v>
      </c>
      <c r="B1125" t="s">
        <v>374</v>
      </c>
      <c r="C1125" t="s">
        <v>375</v>
      </c>
      <c r="D1125" t="s">
        <v>376</v>
      </c>
      <c r="E1125" t="s">
        <v>377</v>
      </c>
      <c r="F1125" t="s">
        <v>378</v>
      </c>
      <c r="G1125" t="s">
        <v>379</v>
      </c>
      <c r="H1125" t="s">
        <v>380</v>
      </c>
      <c r="M1125" t="s">
        <v>536</v>
      </c>
    </row>
    <row r="1126" spans="1:13">
      <c r="A1126" t="s">
        <v>381</v>
      </c>
      <c r="B1126">
        <v>43404</v>
      </c>
      <c r="C1126">
        <v>362</v>
      </c>
      <c r="D1126">
        <v>73992</v>
      </c>
      <c r="E1126">
        <v>679</v>
      </c>
      <c r="F1126">
        <v>14132</v>
      </c>
      <c r="G1126">
        <v>1045668977</v>
      </c>
      <c r="H1126">
        <v>0.59</v>
      </c>
      <c r="M1126" t="s">
        <v>536</v>
      </c>
    </row>
    <row r="1127" spans="1:13">
      <c r="A1127" t="s">
        <v>382</v>
      </c>
      <c r="B1127">
        <v>302542</v>
      </c>
      <c r="C1127">
        <v>2501</v>
      </c>
      <c r="D1127">
        <v>613323</v>
      </c>
      <c r="E1127">
        <v>5216</v>
      </c>
      <c r="F1127">
        <v>15801</v>
      </c>
      <c r="G1127">
        <v>9691076419</v>
      </c>
      <c r="H1127">
        <v>0.49</v>
      </c>
      <c r="M1127" t="s">
        <v>536</v>
      </c>
    </row>
    <row r="1128" spans="1:13">
      <c r="A1128" t="s">
        <v>383</v>
      </c>
      <c r="B1128">
        <v>374149</v>
      </c>
      <c r="C1128">
        <v>3154</v>
      </c>
      <c r="D1128">
        <v>885541</v>
      </c>
      <c r="E1128">
        <v>7708</v>
      </c>
      <c r="F1128">
        <v>15680</v>
      </c>
      <c r="G1128">
        <v>13885568493</v>
      </c>
      <c r="H1128">
        <v>0.42</v>
      </c>
      <c r="M1128" t="s">
        <v>536</v>
      </c>
    </row>
    <row r="1129" spans="1:13">
      <c r="A1129" t="s">
        <v>384</v>
      </c>
      <c r="B1129">
        <v>2256823</v>
      </c>
      <c r="C1129">
        <v>19635</v>
      </c>
      <c r="D1129">
        <v>1488873</v>
      </c>
      <c r="E1129">
        <v>12493</v>
      </c>
      <c r="F1129">
        <v>16465</v>
      </c>
      <c r="G1129">
        <v>24514865436</v>
      </c>
      <c r="H1129">
        <v>1.52</v>
      </c>
      <c r="M1129" t="s">
        <v>536</v>
      </c>
    </row>
    <row r="1130" spans="1:13">
      <c r="A1130" t="s">
        <v>385</v>
      </c>
      <c r="B1130">
        <v>1866863</v>
      </c>
      <c r="C1130">
        <v>15618</v>
      </c>
      <c r="D1130">
        <v>1500428</v>
      </c>
      <c r="E1130">
        <v>12055</v>
      </c>
      <c r="F1130">
        <v>16166</v>
      </c>
      <c r="G1130">
        <v>24255850420</v>
      </c>
      <c r="H1130">
        <v>1.24</v>
      </c>
      <c r="M1130" t="s">
        <v>536</v>
      </c>
    </row>
    <row r="1131" spans="1:13">
      <c r="A1131" t="s">
        <v>386</v>
      </c>
      <c r="B1131">
        <v>1627288</v>
      </c>
      <c r="C1131">
        <v>12673</v>
      </c>
      <c r="D1131">
        <v>1291437</v>
      </c>
      <c r="E1131">
        <v>10186</v>
      </c>
      <c r="F1131">
        <v>14088</v>
      </c>
      <c r="G1131">
        <v>18193287863</v>
      </c>
      <c r="H1131">
        <v>1.26</v>
      </c>
      <c r="M1131" t="s">
        <v>536</v>
      </c>
    </row>
    <row r="1132" spans="1:13">
      <c r="A1132" t="s">
        <v>387</v>
      </c>
      <c r="B1132">
        <v>6471068</v>
      </c>
      <c r="C1132">
        <v>53943</v>
      </c>
      <c r="D1132">
        <v>5853594</v>
      </c>
      <c r="E1132">
        <v>48337</v>
      </c>
      <c r="F1132">
        <v>15646</v>
      </c>
      <c r="G1132">
        <v>91586317609</v>
      </c>
      <c r="H1132">
        <v>1.1100000000000001</v>
      </c>
      <c r="M1132" t="s">
        <v>536</v>
      </c>
    </row>
    <row r="1134" spans="1:13">
      <c r="M1134" t="s">
        <v>537</v>
      </c>
    </row>
    <row r="1135" spans="1:13">
      <c r="A1135" t="s">
        <v>373</v>
      </c>
      <c r="B1135" t="s">
        <v>389</v>
      </c>
      <c r="C1135" t="s">
        <v>390</v>
      </c>
      <c r="D1135" t="s">
        <v>391</v>
      </c>
      <c r="M1135" t="s">
        <v>537</v>
      </c>
    </row>
    <row r="1136" spans="1:13">
      <c r="A1136" t="s">
        <v>381</v>
      </c>
      <c r="B1136">
        <v>1355909</v>
      </c>
      <c r="C1136">
        <v>11344</v>
      </c>
      <c r="D1136">
        <v>25</v>
      </c>
      <c r="M1136" t="s">
        <v>537</v>
      </c>
    </row>
    <row r="1137" spans="1:13">
      <c r="A1137" t="s">
        <v>382</v>
      </c>
      <c r="B1137">
        <v>1381638</v>
      </c>
      <c r="C1137">
        <v>11620</v>
      </c>
      <c r="D1137">
        <v>27</v>
      </c>
      <c r="M1137" t="s">
        <v>537</v>
      </c>
    </row>
    <row r="1138" spans="1:13">
      <c r="A1138" t="s">
        <v>383</v>
      </c>
      <c r="B1138">
        <v>1655951</v>
      </c>
      <c r="C1138">
        <v>14023</v>
      </c>
      <c r="D1138">
        <v>22.4</v>
      </c>
      <c r="M1138" t="s">
        <v>537</v>
      </c>
    </row>
    <row r="1139" spans="1:13">
      <c r="A1139" t="s">
        <v>384</v>
      </c>
      <c r="B1139">
        <v>2079811</v>
      </c>
      <c r="C1139">
        <v>17770</v>
      </c>
      <c r="D1139">
        <v>16.8</v>
      </c>
      <c r="M1139" t="s">
        <v>537</v>
      </c>
    </row>
    <row r="1140" spans="1:13">
      <c r="A1140" t="s">
        <v>385</v>
      </c>
      <c r="B1140">
        <v>1304822</v>
      </c>
      <c r="C1140">
        <v>10598</v>
      </c>
      <c r="D1140">
        <v>10.4</v>
      </c>
      <c r="M1140" t="s">
        <v>537</v>
      </c>
    </row>
    <row r="1141" spans="1:13">
      <c r="A1141" t="s">
        <v>386</v>
      </c>
      <c r="B1141">
        <v>972482</v>
      </c>
      <c r="C1141">
        <v>7332</v>
      </c>
      <c r="D1141">
        <v>9</v>
      </c>
      <c r="M1141" t="s">
        <v>537</v>
      </c>
    </row>
    <row r="1143" spans="1:13">
      <c r="M1143" t="s">
        <v>538</v>
      </c>
    </row>
    <row r="1144" spans="1:13">
      <c r="A1144" t="s">
        <v>373</v>
      </c>
      <c r="B1144" t="s">
        <v>374</v>
      </c>
      <c r="C1144" t="s">
        <v>375</v>
      </c>
      <c r="D1144" t="s">
        <v>376</v>
      </c>
      <c r="E1144" t="s">
        <v>377</v>
      </c>
      <c r="F1144" t="s">
        <v>378</v>
      </c>
      <c r="G1144" t="s">
        <v>379</v>
      </c>
      <c r="H1144" t="s">
        <v>380</v>
      </c>
      <c r="M1144" t="s">
        <v>538</v>
      </c>
    </row>
    <row r="1145" spans="1:13">
      <c r="A1145" t="s">
        <v>384</v>
      </c>
      <c r="B1145">
        <v>89405</v>
      </c>
      <c r="C1145">
        <v>723</v>
      </c>
      <c r="D1145">
        <v>235348</v>
      </c>
      <c r="E1145">
        <v>1962</v>
      </c>
      <c r="F1145">
        <v>3715</v>
      </c>
      <c r="G1145">
        <v>874227991</v>
      </c>
      <c r="H1145">
        <v>0.38</v>
      </c>
      <c r="M1145" t="s">
        <v>538</v>
      </c>
    </row>
    <row r="1146" spans="1:13">
      <c r="A1146" t="s">
        <v>385</v>
      </c>
      <c r="B1146">
        <v>588305</v>
      </c>
      <c r="C1146">
        <v>4694</v>
      </c>
      <c r="D1146">
        <v>567075</v>
      </c>
      <c r="E1146">
        <v>4848</v>
      </c>
      <c r="F1146">
        <v>3628</v>
      </c>
      <c r="G1146">
        <v>2057534903</v>
      </c>
      <c r="H1146">
        <v>1.04</v>
      </c>
      <c r="M1146" t="s">
        <v>538</v>
      </c>
    </row>
    <row r="1147" spans="1:13">
      <c r="A1147" t="s">
        <v>386</v>
      </c>
      <c r="B1147">
        <v>543938</v>
      </c>
      <c r="C1147">
        <v>4750</v>
      </c>
      <c r="D1147">
        <v>234927</v>
      </c>
      <c r="E1147">
        <v>2004</v>
      </c>
      <c r="F1147">
        <v>3928</v>
      </c>
      <c r="G1147">
        <v>922743010</v>
      </c>
      <c r="H1147">
        <v>2.3199999999999998</v>
      </c>
      <c r="M1147" t="s">
        <v>538</v>
      </c>
    </row>
    <row r="1148" spans="1:13">
      <c r="A1148" t="s">
        <v>393</v>
      </c>
      <c r="B1148">
        <v>1078624</v>
      </c>
      <c r="C1148">
        <v>9074</v>
      </c>
      <c r="D1148">
        <v>0</v>
      </c>
      <c r="E1148">
        <v>0</v>
      </c>
      <c r="F1148">
        <v>0</v>
      </c>
      <c r="G1148">
        <v>0</v>
      </c>
      <c r="H1148">
        <v>0</v>
      </c>
      <c r="M1148" t="s">
        <v>538</v>
      </c>
    </row>
    <row r="1149" spans="1:13">
      <c r="A1149" t="s">
        <v>435</v>
      </c>
      <c r="B1149">
        <v>526729</v>
      </c>
      <c r="C1149">
        <v>4618</v>
      </c>
      <c r="D1149">
        <v>0</v>
      </c>
      <c r="E1149">
        <v>0</v>
      </c>
      <c r="F1149">
        <v>0</v>
      </c>
      <c r="G1149">
        <v>0</v>
      </c>
      <c r="H1149">
        <v>0</v>
      </c>
      <c r="M1149" t="s">
        <v>538</v>
      </c>
    </row>
    <row r="1150" spans="1:13">
      <c r="A1150" t="s">
        <v>505</v>
      </c>
      <c r="B1150">
        <v>2040599</v>
      </c>
      <c r="C1150">
        <v>17496</v>
      </c>
      <c r="D1150">
        <v>0</v>
      </c>
      <c r="E1150">
        <v>0</v>
      </c>
      <c r="F1150">
        <v>0</v>
      </c>
      <c r="G1150">
        <v>0</v>
      </c>
      <c r="H1150">
        <v>0</v>
      </c>
      <c r="M1150" t="s">
        <v>538</v>
      </c>
    </row>
    <row r="1151" spans="1:13">
      <c r="A1151" t="s">
        <v>387</v>
      </c>
      <c r="B1151">
        <v>4867600</v>
      </c>
      <c r="C1151">
        <v>41355</v>
      </c>
      <c r="D1151">
        <v>1037351</v>
      </c>
      <c r="E1151">
        <v>8814</v>
      </c>
      <c r="F1151">
        <v>3716</v>
      </c>
      <c r="G1151">
        <v>3854505905</v>
      </c>
      <c r="H1151">
        <v>4.6900000000000004</v>
      </c>
      <c r="M1151" t="s">
        <v>538</v>
      </c>
    </row>
    <row r="1153" spans="1:13">
      <c r="M1153" t="s">
        <v>539</v>
      </c>
    </row>
    <row r="1154" spans="1:13">
      <c r="A1154" t="s">
        <v>373</v>
      </c>
      <c r="B1154" t="s">
        <v>389</v>
      </c>
      <c r="C1154" t="s">
        <v>390</v>
      </c>
      <c r="D1154" t="s">
        <v>391</v>
      </c>
      <c r="M1154" t="s">
        <v>539</v>
      </c>
    </row>
    <row r="1155" spans="1:13">
      <c r="A1155" t="s">
        <v>384</v>
      </c>
      <c r="B1155">
        <v>1370793</v>
      </c>
      <c r="C1155">
        <v>11590</v>
      </c>
      <c r="D1155">
        <v>26.7</v>
      </c>
      <c r="M1155" t="s">
        <v>539</v>
      </c>
    </row>
    <row r="1156" spans="1:13">
      <c r="A1156" t="s">
        <v>385</v>
      </c>
      <c r="B1156">
        <v>1561454</v>
      </c>
      <c r="C1156">
        <v>13268</v>
      </c>
      <c r="D1156">
        <v>33</v>
      </c>
      <c r="M1156" t="s">
        <v>539</v>
      </c>
    </row>
    <row r="1157" spans="1:13">
      <c r="A1157" t="s">
        <v>386</v>
      </c>
      <c r="B1157">
        <v>1713902</v>
      </c>
      <c r="C1157">
        <v>14806</v>
      </c>
      <c r="D1157">
        <v>87.5</v>
      </c>
      <c r="M1157" t="s">
        <v>539</v>
      </c>
    </row>
    <row r="1159" spans="1:13">
      <c r="M1159" t="s">
        <v>540</v>
      </c>
    </row>
    <row r="1160" spans="1:13">
      <c r="A1160" t="s">
        <v>373</v>
      </c>
      <c r="B1160" t="s">
        <v>374</v>
      </c>
      <c r="C1160" t="s">
        <v>375</v>
      </c>
      <c r="D1160" t="s">
        <v>376</v>
      </c>
      <c r="E1160" t="s">
        <v>377</v>
      </c>
      <c r="F1160" t="s">
        <v>378</v>
      </c>
      <c r="G1160" t="s">
        <v>379</v>
      </c>
      <c r="H1160" t="s">
        <v>380</v>
      </c>
      <c r="M1160" t="s">
        <v>540</v>
      </c>
    </row>
    <row r="1161" spans="1:13">
      <c r="A1161" t="s">
        <v>382</v>
      </c>
      <c r="B1161">
        <v>4281696</v>
      </c>
      <c r="C1161">
        <v>33483</v>
      </c>
      <c r="D1161">
        <v>5282659</v>
      </c>
      <c r="E1161">
        <v>41788</v>
      </c>
      <c r="F1161">
        <v>9562</v>
      </c>
      <c r="G1161">
        <v>50514223999</v>
      </c>
      <c r="H1161">
        <v>0.81</v>
      </c>
      <c r="M1161" t="s">
        <v>540</v>
      </c>
    </row>
    <row r="1162" spans="1:13">
      <c r="A1162" t="s">
        <v>383</v>
      </c>
      <c r="B1162">
        <v>5186547</v>
      </c>
      <c r="C1162">
        <v>41463</v>
      </c>
      <c r="D1162">
        <v>5410768</v>
      </c>
      <c r="E1162">
        <v>43537</v>
      </c>
      <c r="F1162">
        <v>9779</v>
      </c>
      <c r="G1162">
        <v>52914525163</v>
      </c>
      <c r="H1162">
        <v>0.96</v>
      </c>
      <c r="M1162" t="s">
        <v>540</v>
      </c>
    </row>
    <row r="1163" spans="1:13">
      <c r="A1163" t="s">
        <v>384</v>
      </c>
      <c r="B1163">
        <v>12951445</v>
      </c>
      <c r="C1163">
        <v>106526</v>
      </c>
      <c r="D1163">
        <v>12279809</v>
      </c>
      <c r="E1163">
        <v>101023</v>
      </c>
      <c r="F1163">
        <v>9802</v>
      </c>
      <c r="G1163">
        <v>120361155941</v>
      </c>
      <c r="H1163">
        <v>1.05</v>
      </c>
      <c r="M1163" t="s">
        <v>540</v>
      </c>
    </row>
    <row r="1164" spans="1:13">
      <c r="A1164" t="s">
        <v>385</v>
      </c>
      <c r="B1164">
        <v>13780407</v>
      </c>
      <c r="C1164">
        <v>114109</v>
      </c>
      <c r="D1164">
        <v>14392677</v>
      </c>
      <c r="E1164">
        <v>119636</v>
      </c>
      <c r="F1164">
        <v>9576</v>
      </c>
      <c r="G1164">
        <v>137822214248</v>
      </c>
      <c r="H1164">
        <v>0.96</v>
      </c>
      <c r="M1164" t="s">
        <v>540</v>
      </c>
    </row>
    <row r="1165" spans="1:13">
      <c r="A1165" t="s">
        <v>386</v>
      </c>
      <c r="B1165">
        <v>13996770</v>
      </c>
      <c r="C1165">
        <v>116934</v>
      </c>
      <c r="D1165">
        <v>12233011</v>
      </c>
      <c r="E1165">
        <v>102836</v>
      </c>
      <c r="F1165">
        <v>8892</v>
      </c>
      <c r="G1165">
        <v>108773203156</v>
      </c>
      <c r="H1165">
        <v>1.1399999999999999</v>
      </c>
      <c r="M1165" t="s">
        <v>540</v>
      </c>
    </row>
    <row r="1166" spans="1:13">
      <c r="A1166" t="s">
        <v>387</v>
      </c>
      <c r="B1166">
        <v>50196865</v>
      </c>
      <c r="C1166">
        <v>412515</v>
      </c>
      <c r="D1166">
        <v>49598924</v>
      </c>
      <c r="E1166">
        <v>408820</v>
      </c>
      <c r="F1166">
        <v>9484</v>
      </c>
      <c r="G1166">
        <v>470385322507</v>
      </c>
      <c r="H1166">
        <v>1.01</v>
      </c>
      <c r="M1166" t="s">
        <v>540</v>
      </c>
    </row>
    <row r="1168" spans="1:13">
      <c r="M1168" t="s">
        <v>541</v>
      </c>
    </row>
    <row r="1169" spans="1:13">
      <c r="A1169" t="s">
        <v>373</v>
      </c>
      <c r="B1169" t="s">
        <v>389</v>
      </c>
      <c r="C1169" t="s">
        <v>390</v>
      </c>
      <c r="D1169" t="s">
        <v>391</v>
      </c>
      <c r="E1169" t="s">
        <v>406</v>
      </c>
      <c r="M1169" t="s">
        <v>541</v>
      </c>
    </row>
    <row r="1170" spans="1:13">
      <c r="A1170" t="s">
        <v>381</v>
      </c>
      <c r="B1170">
        <v>7364756</v>
      </c>
      <c r="C1170">
        <v>59431</v>
      </c>
      <c r="D1170">
        <v>17.7</v>
      </c>
      <c r="E1170">
        <v>16.899999999999999</v>
      </c>
      <c r="M1170" t="s">
        <v>541</v>
      </c>
    </row>
    <row r="1171" spans="1:13">
      <c r="A1171" t="s">
        <v>382</v>
      </c>
      <c r="B1171">
        <v>7352620</v>
      </c>
      <c r="C1171">
        <v>59421</v>
      </c>
      <c r="D1171">
        <v>16.7</v>
      </c>
      <c r="E1171">
        <v>16.5</v>
      </c>
      <c r="M1171" t="s">
        <v>541</v>
      </c>
    </row>
    <row r="1172" spans="1:13">
      <c r="A1172" t="s">
        <v>383</v>
      </c>
      <c r="B1172">
        <v>8550148</v>
      </c>
      <c r="C1172">
        <v>69512</v>
      </c>
      <c r="D1172">
        <v>19</v>
      </c>
      <c r="E1172">
        <v>11.6</v>
      </c>
      <c r="M1172" t="s">
        <v>541</v>
      </c>
    </row>
    <row r="1173" spans="1:13">
      <c r="A1173" t="s">
        <v>384</v>
      </c>
      <c r="B1173">
        <v>8935748</v>
      </c>
      <c r="C1173">
        <v>72721</v>
      </c>
      <c r="D1173">
        <v>8.6999999999999993</v>
      </c>
      <c r="E1173">
        <v>8</v>
      </c>
      <c r="M1173" t="s">
        <v>541</v>
      </c>
    </row>
    <row r="1174" spans="1:13">
      <c r="A1174" t="s">
        <v>385</v>
      </c>
      <c r="B1174">
        <v>8370294</v>
      </c>
      <c r="C1174">
        <v>68277</v>
      </c>
      <c r="D1174">
        <v>7</v>
      </c>
      <c r="E1174">
        <v>7.5</v>
      </c>
      <c r="M1174" t="s">
        <v>541</v>
      </c>
    </row>
    <row r="1175" spans="1:13">
      <c r="A1175" t="s">
        <v>386</v>
      </c>
      <c r="B1175">
        <v>9125911</v>
      </c>
      <c r="C1175">
        <v>76044</v>
      </c>
      <c r="D1175">
        <v>9</v>
      </c>
      <c r="E1175">
        <v>9.1</v>
      </c>
      <c r="M1175" t="s">
        <v>541</v>
      </c>
    </row>
    <row r="1177" spans="1:13">
      <c r="M1177" t="s">
        <v>542</v>
      </c>
    </row>
    <row r="1178" spans="1:13">
      <c r="A1178" t="s">
        <v>373</v>
      </c>
      <c r="B1178" t="s">
        <v>374</v>
      </c>
      <c r="C1178" t="s">
        <v>375</v>
      </c>
      <c r="D1178" t="s">
        <v>376</v>
      </c>
      <c r="E1178" t="s">
        <v>377</v>
      </c>
      <c r="F1178" t="s">
        <v>378</v>
      </c>
      <c r="G1178" t="s">
        <v>379</v>
      </c>
      <c r="H1178" t="s">
        <v>380</v>
      </c>
      <c r="M1178" t="s">
        <v>542</v>
      </c>
    </row>
    <row r="1179" spans="1:13">
      <c r="A1179" t="s">
        <v>381</v>
      </c>
      <c r="B1179">
        <v>6460</v>
      </c>
      <c r="C1179">
        <v>60</v>
      </c>
      <c r="D1179">
        <v>21654</v>
      </c>
      <c r="E1179">
        <v>213</v>
      </c>
      <c r="F1179">
        <v>16069</v>
      </c>
      <c r="G1179">
        <v>347967350</v>
      </c>
      <c r="H1179">
        <v>0.3</v>
      </c>
      <c r="M1179" t="s">
        <v>542</v>
      </c>
    </row>
    <row r="1180" spans="1:13">
      <c r="A1180" t="s">
        <v>382</v>
      </c>
      <c r="B1180">
        <v>410317</v>
      </c>
      <c r="C1180">
        <v>3708</v>
      </c>
      <c r="D1180">
        <v>153739</v>
      </c>
      <c r="E1180">
        <v>1368</v>
      </c>
      <c r="F1180">
        <v>17132</v>
      </c>
      <c r="G1180">
        <v>2633852885</v>
      </c>
      <c r="H1180">
        <v>2.67</v>
      </c>
      <c r="M1180" t="s">
        <v>542</v>
      </c>
    </row>
    <row r="1181" spans="1:13">
      <c r="A1181" t="s">
        <v>383</v>
      </c>
      <c r="B1181">
        <v>393923</v>
      </c>
      <c r="C1181">
        <v>3571</v>
      </c>
      <c r="D1181">
        <v>376426</v>
      </c>
      <c r="E1181">
        <v>3425</v>
      </c>
      <c r="F1181">
        <v>15149</v>
      </c>
      <c r="G1181">
        <v>5702393911</v>
      </c>
      <c r="H1181">
        <v>1.05</v>
      </c>
      <c r="M1181" t="s">
        <v>542</v>
      </c>
    </row>
    <row r="1182" spans="1:13">
      <c r="A1182" t="s">
        <v>384</v>
      </c>
      <c r="B1182">
        <v>546220</v>
      </c>
      <c r="C1182">
        <v>5115</v>
      </c>
      <c r="D1182">
        <v>735399</v>
      </c>
      <c r="E1182">
        <v>6444</v>
      </c>
      <c r="F1182">
        <v>16001</v>
      </c>
      <c r="G1182">
        <v>11767426380</v>
      </c>
      <c r="H1182">
        <v>0.74</v>
      </c>
      <c r="M1182" t="s">
        <v>542</v>
      </c>
    </row>
    <row r="1183" spans="1:13">
      <c r="A1183" t="s">
        <v>385</v>
      </c>
      <c r="B1183">
        <v>858136</v>
      </c>
      <c r="C1183">
        <v>7766</v>
      </c>
      <c r="D1183">
        <v>879206</v>
      </c>
      <c r="E1183">
        <v>7844</v>
      </c>
      <c r="F1183">
        <v>15623</v>
      </c>
      <c r="G1183">
        <v>13735465703</v>
      </c>
      <c r="H1183">
        <v>0.98</v>
      </c>
      <c r="M1183" t="s">
        <v>542</v>
      </c>
    </row>
    <row r="1184" spans="1:13">
      <c r="A1184" t="s">
        <v>386</v>
      </c>
      <c r="B1184">
        <v>1088049</v>
      </c>
      <c r="C1184">
        <v>9632</v>
      </c>
      <c r="D1184">
        <v>901310</v>
      </c>
      <c r="E1184">
        <v>8008</v>
      </c>
      <c r="F1184">
        <v>15067</v>
      </c>
      <c r="G1184">
        <v>13580120763</v>
      </c>
      <c r="H1184">
        <v>1.21</v>
      </c>
      <c r="M1184" t="s">
        <v>542</v>
      </c>
    </row>
    <row r="1185" spans="1:13">
      <c r="A1185" t="s">
        <v>387</v>
      </c>
      <c r="B1185">
        <v>3303104</v>
      </c>
      <c r="C1185">
        <v>29852</v>
      </c>
      <c r="D1185">
        <v>3067735</v>
      </c>
      <c r="E1185">
        <v>27302</v>
      </c>
      <c r="F1185">
        <v>15571</v>
      </c>
      <c r="G1185">
        <v>47767226991</v>
      </c>
      <c r="H1185">
        <v>1.08</v>
      </c>
      <c r="M1185" t="s">
        <v>542</v>
      </c>
    </row>
    <row r="1187" spans="1:13">
      <c r="M1187" t="s">
        <v>543</v>
      </c>
    </row>
    <row r="1188" spans="1:13">
      <c r="A1188" t="s">
        <v>373</v>
      </c>
      <c r="B1188" t="s">
        <v>389</v>
      </c>
      <c r="C1188" t="s">
        <v>390</v>
      </c>
      <c r="D1188" t="s">
        <v>391</v>
      </c>
      <c r="E1188" t="s">
        <v>406</v>
      </c>
      <c r="M1188" t="s">
        <v>543</v>
      </c>
    </row>
    <row r="1189" spans="1:13">
      <c r="A1189" t="s">
        <v>381</v>
      </c>
      <c r="B1189">
        <v>560725</v>
      </c>
      <c r="C1189">
        <v>5123</v>
      </c>
      <c r="D1189">
        <v>42.7</v>
      </c>
      <c r="E1189">
        <v>25.7</v>
      </c>
      <c r="M1189" t="s">
        <v>543</v>
      </c>
    </row>
    <row r="1190" spans="1:13">
      <c r="A1190" t="s">
        <v>382</v>
      </c>
      <c r="B1190">
        <v>564221</v>
      </c>
      <c r="C1190">
        <v>5161</v>
      </c>
      <c r="D1190">
        <v>44</v>
      </c>
      <c r="E1190">
        <v>25.5</v>
      </c>
      <c r="M1190" t="s">
        <v>543</v>
      </c>
    </row>
    <row r="1191" spans="1:13">
      <c r="A1191" t="s">
        <v>383</v>
      </c>
      <c r="B1191">
        <v>275052</v>
      </c>
      <c r="C1191">
        <v>2500</v>
      </c>
      <c r="D1191">
        <v>8.8000000000000007</v>
      </c>
      <c r="E1191">
        <v>5.9</v>
      </c>
      <c r="M1191" t="s">
        <v>543</v>
      </c>
    </row>
    <row r="1192" spans="1:13">
      <c r="A1192" t="s">
        <v>384</v>
      </c>
      <c r="B1192">
        <v>334257</v>
      </c>
      <c r="C1192">
        <v>3128</v>
      </c>
      <c r="D1192">
        <v>5.5</v>
      </c>
      <c r="E1192">
        <v>5</v>
      </c>
      <c r="M1192" t="s">
        <v>543</v>
      </c>
    </row>
    <row r="1193" spans="1:13">
      <c r="A1193" t="s">
        <v>385</v>
      </c>
      <c r="B1193">
        <v>597298</v>
      </c>
      <c r="C1193">
        <v>4973</v>
      </c>
      <c r="D1193">
        <v>8.1999999999999993</v>
      </c>
      <c r="E1193">
        <v>8.1</v>
      </c>
      <c r="M1193" t="s">
        <v>543</v>
      </c>
    </row>
    <row r="1194" spans="1:13">
      <c r="A1194" t="s">
        <v>386</v>
      </c>
      <c r="B1194">
        <v>759852</v>
      </c>
      <c r="C1194">
        <v>6346</v>
      </c>
      <c r="D1194">
        <v>10.1</v>
      </c>
      <c r="E1194">
        <v>13.6</v>
      </c>
      <c r="M1194" t="s">
        <v>543</v>
      </c>
    </row>
    <row r="1196" spans="1:13">
      <c r="M1196" t="s">
        <v>544</v>
      </c>
    </row>
    <row r="1197" spans="1:13">
      <c r="A1197" t="s">
        <v>373</v>
      </c>
      <c r="B1197" t="s">
        <v>374</v>
      </c>
      <c r="C1197" t="s">
        <v>375</v>
      </c>
      <c r="D1197" t="s">
        <v>376</v>
      </c>
      <c r="E1197" t="s">
        <v>377</v>
      </c>
      <c r="F1197" t="s">
        <v>378</v>
      </c>
      <c r="G1197" t="s">
        <v>379</v>
      </c>
      <c r="H1197" t="s">
        <v>380</v>
      </c>
      <c r="M1197" t="s">
        <v>544</v>
      </c>
    </row>
    <row r="1198" spans="1:13">
      <c r="A1198" t="s">
        <v>382</v>
      </c>
      <c r="B1198">
        <v>444557</v>
      </c>
      <c r="C1198">
        <v>3848</v>
      </c>
      <c r="D1198">
        <v>595358</v>
      </c>
      <c r="E1198">
        <v>5414</v>
      </c>
      <c r="F1198">
        <v>9300</v>
      </c>
      <c r="G1198">
        <v>5536717703</v>
      </c>
      <c r="H1198">
        <v>0.75</v>
      </c>
      <c r="M1198" t="s">
        <v>544</v>
      </c>
    </row>
    <row r="1199" spans="1:13">
      <c r="A1199" t="s">
        <v>383</v>
      </c>
      <c r="B1199">
        <v>938389</v>
      </c>
      <c r="C1199">
        <v>9795</v>
      </c>
      <c r="D1199">
        <v>727931</v>
      </c>
      <c r="E1199">
        <v>6436</v>
      </c>
      <c r="F1199">
        <v>9741</v>
      </c>
      <c r="G1199">
        <v>7090528885</v>
      </c>
      <c r="H1199">
        <v>1.29</v>
      </c>
      <c r="M1199" t="s">
        <v>544</v>
      </c>
    </row>
    <row r="1200" spans="1:13">
      <c r="A1200" t="s">
        <v>384</v>
      </c>
      <c r="B1200">
        <v>1031472</v>
      </c>
      <c r="C1200">
        <v>9203</v>
      </c>
      <c r="D1200">
        <v>1026762</v>
      </c>
      <c r="E1200">
        <v>8746</v>
      </c>
      <c r="F1200">
        <v>10298</v>
      </c>
      <c r="G1200">
        <v>10574050005</v>
      </c>
      <c r="H1200">
        <v>1</v>
      </c>
      <c r="M1200" t="s">
        <v>544</v>
      </c>
    </row>
    <row r="1201" spans="1:13">
      <c r="A1201" t="s">
        <v>385</v>
      </c>
      <c r="B1201">
        <v>1374578</v>
      </c>
      <c r="C1201">
        <v>11162</v>
      </c>
      <c r="D1201">
        <v>1875264</v>
      </c>
      <c r="E1201">
        <v>16690</v>
      </c>
      <c r="F1201">
        <v>7314</v>
      </c>
      <c r="G1201">
        <v>13715426203</v>
      </c>
      <c r="H1201">
        <v>0.73</v>
      </c>
      <c r="M1201" t="s">
        <v>544</v>
      </c>
    </row>
    <row r="1202" spans="1:13">
      <c r="A1202" t="s">
        <v>386</v>
      </c>
      <c r="B1202">
        <v>1535123</v>
      </c>
      <c r="C1202">
        <v>12932</v>
      </c>
      <c r="D1202">
        <v>2122479</v>
      </c>
      <c r="E1202">
        <v>19996</v>
      </c>
      <c r="F1202">
        <v>6466</v>
      </c>
      <c r="G1202">
        <v>13723283479</v>
      </c>
      <c r="H1202">
        <v>0.72</v>
      </c>
      <c r="M1202" t="s">
        <v>544</v>
      </c>
    </row>
    <row r="1203" spans="1:13">
      <c r="A1203" t="s">
        <v>387</v>
      </c>
      <c r="B1203">
        <v>5324119</v>
      </c>
      <c r="C1203">
        <v>46940</v>
      </c>
      <c r="D1203">
        <v>6347793</v>
      </c>
      <c r="E1203">
        <v>57282</v>
      </c>
      <c r="F1203">
        <v>7978</v>
      </c>
      <c r="G1203">
        <v>50640006275</v>
      </c>
      <c r="H1203">
        <v>0.84</v>
      </c>
      <c r="M1203" t="s">
        <v>544</v>
      </c>
    </row>
    <row r="1205" spans="1:13">
      <c r="M1205" t="s">
        <v>545</v>
      </c>
    </row>
    <row r="1206" spans="1:13">
      <c r="A1206" t="s">
        <v>373</v>
      </c>
      <c r="B1206" t="s">
        <v>389</v>
      </c>
      <c r="C1206" t="s">
        <v>390</v>
      </c>
      <c r="D1206" t="s">
        <v>391</v>
      </c>
      <c r="M1206" t="s">
        <v>545</v>
      </c>
    </row>
    <row r="1207" spans="1:13">
      <c r="A1207" t="s">
        <v>382</v>
      </c>
      <c r="B1207">
        <v>1869366</v>
      </c>
      <c r="C1207">
        <v>16124</v>
      </c>
      <c r="D1207">
        <v>37.700000000000003</v>
      </c>
      <c r="M1207" t="s">
        <v>545</v>
      </c>
    </row>
    <row r="1208" spans="1:13">
      <c r="A1208" t="s">
        <v>383</v>
      </c>
      <c r="B1208">
        <v>1869108</v>
      </c>
      <c r="C1208">
        <v>16092</v>
      </c>
      <c r="D1208">
        <v>30.8</v>
      </c>
      <c r="M1208" t="s">
        <v>545</v>
      </c>
    </row>
    <row r="1209" spans="1:13">
      <c r="A1209" t="s">
        <v>384</v>
      </c>
      <c r="B1209">
        <v>1820517</v>
      </c>
      <c r="C1209">
        <v>15039</v>
      </c>
      <c r="D1209">
        <v>21.3</v>
      </c>
      <c r="M1209" t="s">
        <v>545</v>
      </c>
    </row>
    <row r="1211" spans="1:13">
      <c r="M1211" t="s">
        <v>546</v>
      </c>
    </row>
    <row r="1212" spans="1:13">
      <c r="A1212" t="s">
        <v>373</v>
      </c>
      <c r="B1212" t="s">
        <v>374</v>
      </c>
      <c r="C1212" t="s">
        <v>375</v>
      </c>
      <c r="D1212" t="s">
        <v>376</v>
      </c>
      <c r="E1212" t="s">
        <v>377</v>
      </c>
      <c r="F1212" t="s">
        <v>378</v>
      </c>
      <c r="G1212" t="s">
        <v>379</v>
      </c>
      <c r="H1212" t="s">
        <v>380</v>
      </c>
      <c r="M1212" t="s">
        <v>546</v>
      </c>
    </row>
    <row r="1213" spans="1:13">
      <c r="A1213" t="s">
        <v>381</v>
      </c>
      <c r="B1213">
        <v>212258</v>
      </c>
      <c r="C1213">
        <v>1985</v>
      </c>
      <c r="D1213">
        <v>329908</v>
      </c>
      <c r="E1213">
        <v>3087</v>
      </c>
      <c r="F1213">
        <v>10836</v>
      </c>
      <c r="G1213">
        <v>3574777854</v>
      </c>
      <c r="H1213">
        <v>0.64</v>
      </c>
      <c r="M1213" t="s">
        <v>546</v>
      </c>
    </row>
    <row r="1214" spans="1:13">
      <c r="A1214" t="s">
        <v>382</v>
      </c>
      <c r="B1214">
        <v>4921505</v>
      </c>
      <c r="C1214">
        <v>45769</v>
      </c>
      <c r="D1214">
        <v>5902847</v>
      </c>
      <c r="E1214">
        <v>55493</v>
      </c>
      <c r="F1214">
        <v>12824</v>
      </c>
      <c r="G1214">
        <v>75696199663</v>
      </c>
      <c r="H1214">
        <v>0.83</v>
      </c>
      <c r="M1214" t="s">
        <v>546</v>
      </c>
    </row>
    <row r="1215" spans="1:13">
      <c r="A1215" t="s">
        <v>383</v>
      </c>
      <c r="B1215">
        <v>5921845</v>
      </c>
      <c r="C1215">
        <v>54837</v>
      </c>
      <c r="D1215">
        <v>4871174</v>
      </c>
      <c r="E1215">
        <v>46126</v>
      </c>
      <c r="F1215">
        <v>12903</v>
      </c>
      <c r="G1215">
        <v>62852299048</v>
      </c>
      <c r="H1215">
        <v>1.22</v>
      </c>
      <c r="M1215" t="s">
        <v>546</v>
      </c>
    </row>
    <row r="1216" spans="1:13">
      <c r="A1216" t="s">
        <v>384</v>
      </c>
      <c r="B1216">
        <v>13687425</v>
      </c>
      <c r="C1216">
        <v>130730</v>
      </c>
      <c r="D1216">
        <v>9605799</v>
      </c>
      <c r="E1216">
        <v>90793</v>
      </c>
      <c r="F1216">
        <v>12920</v>
      </c>
      <c r="G1216">
        <v>124107585433</v>
      </c>
      <c r="H1216">
        <v>1.42</v>
      </c>
      <c r="M1216" t="s">
        <v>546</v>
      </c>
    </row>
    <row r="1217" spans="1:13">
      <c r="A1217" t="s">
        <v>385</v>
      </c>
      <c r="B1217">
        <v>15942791</v>
      </c>
      <c r="C1217">
        <v>153359</v>
      </c>
      <c r="D1217">
        <v>14153030</v>
      </c>
      <c r="E1217">
        <v>135325</v>
      </c>
      <c r="F1217">
        <v>12013</v>
      </c>
      <c r="G1217">
        <v>170018701748</v>
      </c>
      <c r="H1217">
        <v>1.1299999999999999</v>
      </c>
      <c r="M1217" t="s">
        <v>546</v>
      </c>
    </row>
    <row r="1218" spans="1:13">
      <c r="A1218" t="s">
        <v>386</v>
      </c>
      <c r="B1218">
        <v>17668293</v>
      </c>
      <c r="C1218">
        <v>167974</v>
      </c>
      <c r="D1218">
        <v>13946002</v>
      </c>
      <c r="E1218">
        <v>133162</v>
      </c>
      <c r="F1218">
        <v>11114</v>
      </c>
      <c r="G1218">
        <v>154992491210</v>
      </c>
      <c r="H1218">
        <v>1.27</v>
      </c>
      <c r="M1218" t="s">
        <v>546</v>
      </c>
    </row>
    <row r="1219" spans="1:13">
      <c r="A1219" t="s">
        <v>387</v>
      </c>
      <c r="B1219">
        <v>58354116</v>
      </c>
      <c r="C1219">
        <v>554654</v>
      </c>
      <c r="D1219">
        <v>48808759</v>
      </c>
      <c r="E1219">
        <v>463986</v>
      </c>
      <c r="F1219">
        <v>12113</v>
      </c>
      <c r="G1219">
        <v>591242054957</v>
      </c>
      <c r="H1219">
        <v>1.2</v>
      </c>
      <c r="M1219" t="s">
        <v>546</v>
      </c>
    </row>
    <row r="1221" spans="1:13">
      <c r="M1221" t="s">
        <v>547</v>
      </c>
    </row>
    <row r="1222" spans="1:13">
      <c r="A1222" t="s">
        <v>373</v>
      </c>
      <c r="B1222" t="s">
        <v>389</v>
      </c>
      <c r="C1222" t="s">
        <v>390</v>
      </c>
      <c r="D1222" t="s">
        <v>391</v>
      </c>
      <c r="E1222" t="s">
        <v>406</v>
      </c>
      <c r="M1222" t="s">
        <v>547</v>
      </c>
    </row>
    <row r="1223" spans="1:13">
      <c r="A1223" t="s">
        <v>381</v>
      </c>
      <c r="B1223">
        <v>12360149</v>
      </c>
      <c r="C1223">
        <v>121689</v>
      </c>
      <c r="D1223">
        <v>25.2</v>
      </c>
      <c r="E1223">
        <v>27.8</v>
      </c>
      <c r="M1223" t="s">
        <v>547</v>
      </c>
    </row>
    <row r="1224" spans="1:13">
      <c r="A1224" t="s">
        <v>382</v>
      </c>
      <c r="B1224">
        <v>12369206</v>
      </c>
      <c r="C1224">
        <v>121734</v>
      </c>
      <c r="D1224">
        <v>25.1</v>
      </c>
      <c r="E1224">
        <v>27.6</v>
      </c>
      <c r="M1224" t="s">
        <v>547</v>
      </c>
    </row>
    <row r="1225" spans="1:13">
      <c r="A1225" t="s">
        <v>383</v>
      </c>
      <c r="B1225">
        <v>13399188</v>
      </c>
      <c r="C1225">
        <v>131381</v>
      </c>
      <c r="D1225">
        <v>33</v>
      </c>
      <c r="E1225">
        <v>22.2</v>
      </c>
      <c r="M1225" t="s">
        <v>547</v>
      </c>
    </row>
    <row r="1226" spans="1:13">
      <c r="A1226" t="s">
        <v>384</v>
      </c>
      <c r="B1226">
        <v>13194388</v>
      </c>
      <c r="C1226">
        <v>131538</v>
      </c>
      <c r="D1226">
        <v>16.5</v>
      </c>
      <c r="E1226">
        <v>13.3</v>
      </c>
      <c r="M1226" t="s">
        <v>547</v>
      </c>
    </row>
    <row r="1227" spans="1:13">
      <c r="A1227" t="s">
        <v>385</v>
      </c>
      <c r="B1227">
        <v>6175051</v>
      </c>
      <c r="C1227">
        <v>63474</v>
      </c>
      <c r="D1227">
        <v>5.2</v>
      </c>
      <c r="E1227">
        <v>5.3</v>
      </c>
      <c r="M1227" t="s">
        <v>547</v>
      </c>
    </row>
    <row r="1229" spans="1:13">
      <c r="M1229" t="s">
        <v>548</v>
      </c>
    </row>
    <row r="1230" spans="1:13">
      <c r="A1230" t="s">
        <v>373</v>
      </c>
      <c r="B1230" t="s">
        <v>374</v>
      </c>
      <c r="C1230" t="s">
        <v>375</v>
      </c>
      <c r="D1230" t="s">
        <v>376</v>
      </c>
      <c r="E1230" t="s">
        <v>377</v>
      </c>
      <c r="F1230" t="s">
        <v>378</v>
      </c>
      <c r="G1230" t="s">
        <v>379</v>
      </c>
      <c r="H1230" t="s">
        <v>380</v>
      </c>
      <c r="M1230" t="s">
        <v>548</v>
      </c>
    </row>
    <row r="1231" spans="1:13">
      <c r="A1231" t="s">
        <v>382</v>
      </c>
      <c r="B1231">
        <v>16291713</v>
      </c>
      <c r="C1231">
        <v>127411</v>
      </c>
      <c r="D1231">
        <v>17355175</v>
      </c>
      <c r="E1231">
        <v>134714</v>
      </c>
      <c r="F1231">
        <v>19262</v>
      </c>
      <c r="G1231">
        <v>334289293575</v>
      </c>
      <c r="H1231">
        <v>0.94</v>
      </c>
      <c r="M1231" t="s">
        <v>548</v>
      </c>
    </row>
    <row r="1232" spans="1:13">
      <c r="A1232" t="s">
        <v>383</v>
      </c>
      <c r="B1232">
        <v>17245279</v>
      </c>
      <c r="C1232">
        <v>136500</v>
      </c>
      <c r="D1232">
        <v>16773536</v>
      </c>
      <c r="E1232">
        <v>133539</v>
      </c>
      <c r="F1232">
        <v>17167</v>
      </c>
      <c r="G1232">
        <v>287954193201</v>
      </c>
      <c r="H1232">
        <v>1.03</v>
      </c>
      <c r="M1232" t="s">
        <v>548</v>
      </c>
    </row>
    <row r="1233" spans="1:13">
      <c r="A1233" t="s">
        <v>384</v>
      </c>
      <c r="B1233">
        <v>21092042</v>
      </c>
      <c r="C1233">
        <v>171596</v>
      </c>
      <c r="D1233">
        <v>22897886</v>
      </c>
      <c r="E1233">
        <v>188876</v>
      </c>
      <c r="F1233">
        <v>15375</v>
      </c>
      <c r="G1233">
        <v>352046286179</v>
      </c>
      <c r="H1233">
        <v>0.92</v>
      </c>
      <c r="M1233" t="s">
        <v>548</v>
      </c>
    </row>
    <row r="1234" spans="1:13">
      <c r="A1234" t="s">
        <v>385</v>
      </c>
      <c r="B1234">
        <v>26011839</v>
      </c>
      <c r="C1234">
        <v>215957</v>
      </c>
      <c r="D1234">
        <v>20974098</v>
      </c>
      <c r="E1234">
        <v>176099</v>
      </c>
      <c r="F1234">
        <v>13936</v>
      </c>
      <c r="G1234">
        <v>292301015112</v>
      </c>
      <c r="H1234">
        <v>1.24</v>
      </c>
      <c r="M1234" t="s">
        <v>548</v>
      </c>
    </row>
    <row r="1235" spans="1:13">
      <c r="A1235" t="s">
        <v>386</v>
      </c>
      <c r="B1235">
        <v>24323820</v>
      </c>
      <c r="C1235">
        <v>201587</v>
      </c>
      <c r="D1235">
        <v>20677303</v>
      </c>
      <c r="E1235">
        <v>177797</v>
      </c>
      <c r="F1235">
        <v>11331</v>
      </c>
      <c r="G1235">
        <v>234285513307</v>
      </c>
      <c r="H1235">
        <v>1.18</v>
      </c>
      <c r="M1235" t="s">
        <v>548</v>
      </c>
    </row>
    <row r="1236" spans="1:13">
      <c r="A1236" t="s">
        <v>387</v>
      </c>
      <c r="B1236">
        <v>104964694</v>
      </c>
      <c r="C1236">
        <v>853051</v>
      </c>
      <c r="D1236">
        <v>98677998</v>
      </c>
      <c r="E1236">
        <v>811025</v>
      </c>
      <c r="F1236">
        <v>15210</v>
      </c>
      <c r="G1236">
        <v>1500876301374</v>
      </c>
      <c r="H1236">
        <v>1.06</v>
      </c>
      <c r="M1236" t="s">
        <v>548</v>
      </c>
    </row>
    <row r="1238" spans="1:13">
      <c r="M1238" t="s">
        <v>549</v>
      </c>
    </row>
    <row r="1239" spans="1:13">
      <c r="A1239" t="s">
        <v>373</v>
      </c>
      <c r="B1239" t="s">
        <v>389</v>
      </c>
      <c r="C1239" t="s">
        <v>390</v>
      </c>
      <c r="D1239" t="s">
        <v>391</v>
      </c>
      <c r="M1239" t="s">
        <v>549</v>
      </c>
    </row>
    <row r="1240" spans="1:13">
      <c r="A1240" t="s">
        <v>382</v>
      </c>
      <c r="B1240">
        <v>19794593</v>
      </c>
      <c r="C1240">
        <v>161669</v>
      </c>
      <c r="D1240">
        <v>13.7</v>
      </c>
      <c r="M1240" t="s">
        <v>549</v>
      </c>
    </row>
    <row r="1241" spans="1:13">
      <c r="A1241" t="s">
        <v>383</v>
      </c>
      <c r="B1241">
        <v>13886971</v>
      </c>
      <c r="C1241">
        <v>104576</v>
      </c>
      <c r="D1241">
        <v>9.9</v>
      </c>
      <c r="M1241" t="s">
        <v>549</v>
      </c>
    </row>
    <row r="1242" spans="1:13">
      <c r="A1242" t="s">
        <v>384</v>
      </c>
      <c r="B1242">
        <v>12825453</v>
      </c>
      <c r="C1242">
        <v>96820</v>
      </c>
      <c r="D1242">
        <v>6.7</v>
      </c>
      <c r="M1242" t="s">
        <v>549</v>
      </c>
    </row>
    <row r="1243" spans="1:13">
      <c r="A1243" t="s">
        <v>385</v>
      </c>
      <c r="B1243">
        <v>12833347</v>
      </c>
      <c r="C1243">
        <v>100738</v>
      </c>
      <c r="D1243">
        <v>7.3</v>
      </c>
      <c r="M1243" t="s">
        <v>549</v>
      </c>
    </row>
    <row r="1244" spans="1:13">
      <c r="A1244" t="s">
        <v>386</v>
      </c>
      <c r="B1244">
        <v>7966861</v>
      </c>
      <c r="C1244">
        <v>60445</v>
      </c>
      <c r="D1244">
        <v>4.5999999999999996</v>
      </c>
      <c r="M1244" t="s">
        <v>549</v>
      </c>
    </row>
    <row r="1246" spans="1:13">
      <c r="M1246" t="s">
        <v>550</v>
      </c>
    </row>
    <row r="1247" spans="1:13">
      <c r="A1247" t="s">
        <v>373</v>
      </c>
      <c r="B1247" t="s">
        <v>376</v>
      </c>
      <c r="C1247" t="s">
        <v>377</v>
      </c>
      <c r="M1247" t="s">
        <v>550</v>
      </c>
    </row>
    <row r="1248" spans="1:13">
      <c r="A1248" t="s">
        <v>381</v>
      </c>
      <c r="B1248">
        <v>132109</v>
      </c>
      <c r="C1248">
        <v>1006</v>
      </c>
      <c r="M1248" t="s">
        <v>550</v>
      </c>
    </row>
    <row r="1249" spans="1:13">
      <c r="A1249" t="s">
        <v>382</v>
      </c>
      <c r="B1249">
        <v>1231600</v>
      </c>
      <c r="C1249">
        <v>9720</v>
      </c>
      <c r="M1249" t="s">
        <v>550</v>
      </c>
    </row>
    <row r="1250" spans="1:13">
      <c r="A1250" t="s">
        <v>383</v>
      </c>
      <c r="B1250">
        <v>1463731</v>
      </c>
      <c r="C1250">
        <v>11889</v>
      </c>
      <c r="M1250" t="s">
        <v>550</v>
      </c>
    </row>
    <row r="1251" spans="1:13">
      <c r="A1251" t="s">
        <v>384</v>
      </c>
      <c r="B1251">
        <v>2333740</v>
      </c>
      <c r="C1251">
        <v>19411</v>
      </c>
      <c r="M1251" t="s">
        <v>550</v>
      </c>
    </row>
    <row r="1252" spans="1:13">
      <c r="A1252" t="s">
        <v>385</v>
      </c>
      <c r="B1252">
        <v>1633287</v>
      </c>
      <c r="C1252">
        <v>13503</v>
      </c>
      <c r="M1252" t="s">
        <v>550</v>
      </c>
    </row>
    <row r="1253" spans="1:13">
      <c r="A1253" t="s">
        <v>386</v>
      </c>
      <c r="B1253">
        <v>2310805</v>
      </c>
      <c r="C1253">
        <v>18337</v>
      </c>
      <c r="M1253" t="s">
        <v>550</v>
      </c>
    </row>
    <row r="1254" spans="1:13">
      <c r="A1254" t="s">
        <v>387</v>
      </c>
      <c r="B1254">
        <v>9105271</v>
      </c>
      <c r="C1254">
        <v>73866</v>
      </c>
      <c r="M1254" t="s">
        <v>550</v>
      </c>
    </row>
    <row r="1256" spans="1:13">
      <c r="M1256" t="s">
        <v>551</v>
      </c>
    </row>
    <row r="1257" spans="1:13">
      <c r="A1257" t="s">
        <v>373</v>
      </c>
      <c r="B1257" t="s">
        <v>374</v>
      </c>
      <c r="C1257" t="s">
        <v>375</v>
      </c>
      <c r="D1257" t="s">
        <v>376</v>
      </c>
      <c r="E1257" t="s">
        <v>377</v>
      </c>
      <c r="F1257" t="s">
        <v>378</v>
      </c>
      <c r="G1257" t="s">
        <v>379</v>
      </c>
      <c r="H1257" t="s">
        <v>380</v>
      </c>
      <c r="M1257" t="s">
        <v>551</v>
      </c>
    </row>
    <row r="1258" spans="1:13">
      <c r="A1258" t="s">
        <v>384</v>
      </c>
      <c r="B1258">
        <v>0</v>
      </c>
      <c r="C1258">
        <v>0</v>
      </c>
      <c r="D1258">
        <v>5147</v>
      </c>
      <c r="E1258">
        <v>47</v>
      </c>
      <c r="F1258">
        <v>8111</v>
      </c>
      <c r="G1258">
        <v>41747157</v>
      </c>
      <c r="H1258">
        <v>0</v>
      </c>
      <c r="M1258" t="s">
        <v>551</v>
      </c>
    </row>
    <row r="1259" spans="1:13">
      <c r="A1259" t="s">
        <v>385</v>
      </c>
      <c r="B1259">
        <v>489603</v>
      </c>
      <c r="C1259">
        <v>4349</v>
      </c>
      <c r="D1259">
        <v>346954</v>
      </c>
      <c r="E1259">
        <v>3131</v>
      </c>
      <c r="F1259">
        <v>8238</v>
      </c>
      <c r="G1259">
        <v>2858125234</v>
      </c>
      <c r="H1259">
        <v>1.41</v>
      </c>
      <c r="M1259" t="s">
        <v>551</v>
      </c>
    </row>
    <row r="1260" spans="1:13">
      <c r="A1260" t="s">
        <v>386</v>
      </c>
      <c r="B1260">
        <v>674593</v>
      </c>
      <c r="C1260">
        <v>5995</v>
      </c>
      <c r="D1260">
        <v>41585</v>
      </c>
      <c r="E1260">
        <v>374</v>
      </c>
      <c r="F1260">
        <v>7691</v>
      </c>
      <c r="G1260">
        <v>319810226</v>
      </c>
      <c r="H1260">
        <v>16.22</v>
      </c>
      <c r="M1260" t="s">
        <v>551</v>
      </c>
    </row>
    <row r="1261" spans="1:13">
      <c r="A1261" t="s">
        <v>393</v>
      </c>
      <c r="B1261">
        <v>901265</v>
      </c>
      <c r="C1261">
        <v>8362</v>
      </c>
      <c r="D1261">
        <v>0</v>
      </c>
      <c r="E1261">
        <v>0</v>
      </c>
      <c r="F1261">
        <v>0</v>
      </c>
      <c r="G1261">
        <v>0</v>
      </c>
      <c r="H1261">
        <v>0</v>
      </c>
      <c r="M1261" t="s">
        <v>551</v>
      </c>
    </row>
    <row r="1262" spans="1:13">
      <c r="A1262" t="s">
        <v>435</v>
      </c>
      <c r="B1262">
        <v>745776</v>
      </c>
      <c r="C1262">
        <v>6988</v>
      </c>
      <c r="D1262">
        <v>0</v>
      </c>
      <c r="E1262">
        <v>0</v>
      </c>
      <c r="F1262">
        <v>0</v>
      </c>
      <c r="G1262">
        <v>0</v>
      </c>
      <c r="H1262">
        <v>0</v>
      </c>
      <c r="M1262" t="s">
        <v>551</v>
      </c>
    </row>
    <row r="1263" spans="1:13">
      <c r="A1263" t="s">
        <v>505</v>
      </c>
      <c r="B1263">
        <v>1621905</v>
      </c>
      <c r="C1263">
        <v>14486</v>
      </c>
      <c r="D1263">
        <v>0</v>
      </c>
      <c r="E1263">
        <v>0</v>
      </c>
      <c r="F1263">
        <v>0</v>
      </c>
      <c r="G1263">
        <v>0</v>
      </c>
      <c r="H1263">
        <v>0</v>
      </c>
      <c r="M1263" t="s">
        <v>551</v>
      </c>
    </row>
    <row r="1264" spans="1:13">
      <c r="A1264" t="s">
        <v>387</v>
      </c>
      <c r="B1264">
        <v>4433142</v>
      </c>
      <c r="C1264">
        <v>40180</v>
      </c>
      <c r="D1264">
        <v>393685</v>
      </c>
      <c r="E1264">
        <v>3552</v>
      </c>
      <c r="F1264">
        <v>8178</v>
      </c>
      <c r="G1264">
        <v>3219682617</v>
      </c>
      <c r="H1264">
        <v>11.26</v>
      </c>
      <c r="M1264" t="s">
        <v>551</v>
      </c>
    </row>
    <row r="1266" spans="1:13">
      <c r="M1266" t="s">
        <v>552</v>
      </c>
    </row>
    <row r="1267" spans="1:13">
      <c r="A1267" t="s">
        <v>373</v>
      </c>
      <c r="B1267" t="s">
        <v>389</v>
      </c>
      <c r="C1267" t="s">
        <v>390</v>
      </c>
      <c r="D1267" t="s">
        <v>391</v>
      </c>
      <c r="M1267" t="s">
        <v>552</v>
      </c>
    </row>
    <row r="1268" spans="1:13">
      <c r="A1268" t="s">
        <v>385</v>
      </c>
      <c r="B1268">
        <v>228267</v>
      </c>
      <c r="C1268">
        <v>1983</v>
      </c>
      <c r="D1268">
        <v>7.9</v>
      </c>
      <c r="M1268" t="s">
        <v>552</v>
      </c>
    </row>
    <row r="1269" spans="1:13">
      <c r="A1269" t="s">
        <v>386</v>
      </c>
      <c r="B1269">
        <v>195843</v>
      </c>
      <c r="C1269">
        <v>1809</v>
      </c>
      <c r="D1269">
        <v>56.5</v>
      </c>
      <c r="M1269" t="s">
        <v>552</v>
      </c>
    </row>
    <row r="1271" spans="1:13">
      <c r="M1271" t="s">
        <v>553</v>
      </c>
    </row>
    <row r="1272" spans="1:13">
      <c r="A1272" t="s">
        <v>373</v>
      </c>
      <c r="B1272" t="s">
        <v>374</v>
      </c>
      <c r="C1272" t="s">
        <v>375</v>
      </c>
      <c r="D1272" t="s">
        <v>376</v>
      </c>
      <c r="E1272" t="s">
        <v>377</v>
      </c>
      <c r="F1272" t="s">
        <v>378</v>
      </c>
      <c r="G1272" t="s">
        <v>379</v>
      </c>
      <c r="H1272" t="s">
        <v>380</v>
      </c>
      <c r="M1272" t="s">
        <v>553</v>
      </c>
    </row>
    <row r="1273" spans="1:13">
      <c r="A1273" t="s">
        <v>382</v>
      </c>
      <c r="B1273">
        <v>322740</v>
      </c>
      <c r="C1273">
        <v>2710</v>
      </c>
      <c r="D1273">
        <v>399578</v>
      </c>
      <c r="E1273">
        <v>3224</v>
      </c>
      <c r="F1273">
        <v>7137</v>
      </c>
      <c r="G1273">
        <v>2851799804</v>
      </c>
      <c r="H1273">
        <v>0.81</v>
      </c>
      <c r="M1273" t="s">
        <v>553</v>
      </c>
    </row>
    <row r="1274" spans="1:13">
      <c r="A1274" t="s">
        <v>383</v>
      </c>
      <c r="B1274">
        <v>215515</v>
      </c>
      <c r="C1274">
        <v>1814</v>
      </c>
      <c r="D1274">
        <v>610923</v>
      </c>
      <c r="E1274">
        <v>4883</v>
      </c>
      <c r="F1274">
        <v>8443</v>
      </c>
      <c r="G1274">
        <v>5157831505</v>
      </c>
      <c r="H1274">
        <v>0.35</v>
      </c>
      <c r="M1274" t="s">
        <v>553</v>
      </c>
    </row>
    <row r="1275" spans="1:13">
      <c r="A1275" t="s">
        <v>384</v>
      </c>
      <c r="B1275">
        <v>2775192</v>
      </c>
      <c r="C1275">
        <v>24474</v>
      </c>
      <c r="D1275">
        <v>1832921</v>
      </c>
      <c r="E1275">
        <v>14260</v>
      </c>
      <c r="F1275">
        <v>9305</v>
      </c>
      <c r="G1275">
        <v>17055284064</v>
      </c>
      <c r="H1275">
        <v>1.51</v>
      </c>
      <c r="M1275" t="s">
        <v>553</v>
      </c>
    </row>
    <row r="1276" spans="1:13">
      <c r="A1276" t="s">
        <v>385</v>
      </c>
      <c r="B1276">
        <v>1095566</v>
      </c>
      <c r="C1276">
        <v>8725</v>
      </c>
      <c r="D1276">
        <v>1143905</v>
      </c>
      <c r="E1276">
        <v>9065</v>
      </c>
      <c r="F1276">
        <v>8983</v>
      </c>
      <c r="G1276">
        <v>10275758500</v>
      </c>
      <c r="H1276">
        <v>0.96</v>
      </c>
      <c r="M1276" t="s">
        <v>553</v>
      </c>
    </row>
    <row r="1277" spans="1:13">
      <c r="A1277" t="s">
        <v>386</v>
      </c>
      <c r="B1277">
        <v>2095404</v>
      </c>
      <c r="C1277">
        <v>15948</v>
      </c>
      <c r="D1277">
        <v>645124</v>
      </c>
      <c r="E1277">
        <v>5253</v>
      </c>
      <c r="F1277">
        <v>7068</v>
      </c>
      <c r="G1277">
        <v>4559994267</v>
      </c>
      <c r="H1277">
        <v>3.25</v>
      </c>
      <c r="M1277" t="s">
        <v>553</v>
      </c>
    </row>
    <row r="1278" spans="1:13">
      <c r="A1278" t="s">
        <v>393</v>
      </c>
      <c r="B1278">
        <v>1250018</v>
      </c>
      <c r="C1278">
        <v>11281</v>
      </c>
      <c r="D1278">
        <v>0</v>
      </c>
      <c r="E1278">
        <v>0</v>
      </c>
      <c r="F1278">
        <v>0</v>
      </c>
      <c r="G1278">
        <v>0</v>
      </c>
      <c r="H1278">
        <v>0</v>
      </c>
      <c r="M1278" t="s">
        <v>553</v>
      </c>
    </row>
    <row r="1279" spans="1:13">
      <c r="A1279" t="s">
        <v>387</v>
      </c>
      <c r="B1279">
        <v>7754435</v>
      </c>
      <c r="C1279">
        <v>64952</v>
      </c>
      <c r="D1279">
        <v>4632450</v>
      </c>
      <c r="E1279">
        <v>36685</v>
      </c>
      <c r="F1279">
        <v>8613</v>
      </c>
      <c r="G1279">
        <v>39900668139</v>
      </c>
      <c r="H1279">
        <v>1.67</v>
      </c>
      <c r="M1279" t="s">
        <v>553</v>
      </c>
    </row>
    <row r="1281" spans="1:13">
      <c r="M1281" t="s">
        <v>554</v>
      </c>
    </row>
    <row r="1282" spans="1:13">
      <c r="A1282" t="s">
        <v>373</v>
      </c>
      <c r="B1282" t="s">
        <v>389</v>
      </c>
      <c r="C1282" t="s">
        <v>390</v>
      </c>
      <c r="D1282" t="s">
        <v>391</v>
      </c>
      <c r="E1282" t="s">
        <v>406</v>
      </c>
      <c r="M1282" t="s">
        <v>554</v>
      </c>
    </row>
    <row r="1283" spans="1:13">
      <c r="A1283" t="s">
        <v>382</v>
      </c>
      <c r="B1283">
        <v>2093545</v>
      </c>
      <c r="C1283">
        <v>19587</v>
      </c>
      <c r="D1283">
        <v>32.299999999999997</v>
      </c>
      <c r="E1283">
        <v>20.8</v>
      </c>
      <c r="M1283" t="s">
        <v>554</v>
      </c>
    </row>
    <row r="1284" spans="1:13">
      <c r="A1284" t="s">
        <v>383</v>
      </c>
      <c r="B1284">
        <v>2114150</v>
      </c>
      <c r="C1284">
        <v>19636</v>
      </c>
      <c r="D1284">
        <v>41.5</v>
      </c>
      <c r="E1284">
        <v>20.8</v>
      </c>
      <c r="M1284" t="s">
        <v>554</v>
      </c>
    </row>
    <row r="1285" spans="1:13">
      <c r="A1285" t="s">
        <v>384</v>
      </c>
      <c r="B1285">
        <v>2467434</v>
      </c>
      <c r="C1285">
        <v>22327</v>
      </c>
      <c r="D1285">
        <v>16.2</v>
      </c>
      <c r="E1285">
        <v>19.899999999999999</v>
      </c>
      <c r="M1285" t="s">
        <v>554</v>
      </c>
    </row>
    <row r="1286" spans="1:13">
      <c r="A1286" t="s">
        <v>385</v>
      </c>
      <c r="B1286">
        <v>1430483</v>
      </c>
      <c r="C1286">
        <v>11383</v>
      </c>
      <c r="D1286">
        <v>15</v>
      </c>
      <c r="E1286">
        <v>19.2</v>
      </c>
      <c r="M1286" t="s">
        <v>554</v>
      </c>
    </row>
    <row r="1287" spans="1:13">
      <c r="A1287" t="s">
        <v>386</v>
      </c>
      <c r="B1287">
        <v>1614799</v>
      </c>
      <c r="C1287">
        <v>12396</v>
      </c>
      <c r="D1287">
        <v>30</v>
      </c>
      <c r="E1287">
        <v>60.1</v>
      </c>
      <c r="M1287" t="s">
        <v>554</v>
      </c>
    </row>
    <row r="1289" spans="1:13">
      <c r="M1289" t="s">
        <v>555</v>
      </c>
    </row>
    <row r="1290" spans="1:13">
      <c r="A1290" t="s">
        <v>373</v>
      </c>
      <c r="B1290" t="s">
        <v>374</v>
      </c>
      <c r="C1290" t="s">
        <v>375</v>
      </c>
      <c r="D1290" t="s">
        <v>376</v>
      </c>
      <c r="E1290" t="s">
        <v>377</v>
      </c>
      <c r="F1290" t="s">
        <v>378</v>
      </c>
      <c r="G1290" t="s">
        <v>379</v>
      </c>
      <c r="H1290" t="s">
        <v>380</v>
      </c>
      <c r="M1290" t="s">
        <v>555</v>
      </c>
    </row>
    <row r="1291" spans="1:13">
      <c r="A1291" t="s">
        <v>381</v>
      </c>
      <c r="B1291">
        <v>44803</v>
      </c>
      <c r="C1291">
        <v>616</v>
      </c>
      <c r="D1291">
        <v>7547</v>
      </c>
      <c r="E1291">
        <v>90</v>
      </c>
      <c r="F1291">
        <v>13285</v>
      </c>
      <c r="G1291">
        <v>100265465</v>
      </c>
      <c r="H1291">
        <v>5.94</v>
      </c>
      <c r="M1291" t="s">
        <v>555</v>
      </c>
    </row>
    <row r="1292" spans="1:13">
      <c r="A1292" t="s">
        <v>382</v>
      </c>
      <c r="B1292">
        <v>32657</v>
      </c>
      <c r="C1292">
        <v>290</v>
      </c>
      <c r="D1292">
        <v>130297</v>
      </c>
      <c r="E1292">
        <v>1430</v>
      </c>
      <c r="F1292">
        <v>12355</v>
      </c>
      <c r="G1292">
        <v>1609818878</v>
      </c>
      <c r="H1292">
        <v>0.25</v>
      </c>
      <c r="M1292" t="s">
        <v>555</v>
      </c>
    </row>
    <row r="1293" spans="1:13">
      <c r="A1293" t="s">
        <v>383</v>
      </c>
      <c r="B1293">
        <v>93509</v>
      </c>
      <c r="C1293">
        <v>928</v>
      </c>
      <c r="D1293">
        <v>85919</v>
      </c>
      <c r="E1293">
        <v>994</v>
      </c>
      <c r="F1293">
        <v>12614</v>
      </c>
      <c r="G1293">
        <v>1083752416</v>
      </c>
      <c r="H1293">
        <v>1.0900000000000001</v>
      </c>
      <c r="M1293" t="s">
        <v>555</v>
      </c>
    </row>
    <row r="1294" spans="1:13">
      <c r="A1294" t="s">
        <v>384</v>
      </c>
      <c r="B1294">
        <v>0</v>
      </c>
      <c r="C1294">
        <v>0</v>
      </c>
      <c r="D1294">
        <v>10062</v>
      </c>
      <c r="E1294">
        <v>125</v>
      </c>
      <c r="F1294">
        <v>11464</v>
      </c>
      <c r="G1294">
        <v>115356276</v>
      </c>
      <c r="H1294">
        <v>0</v>
      </c>
      <c r="M1294" t="s">
        <v>555</v>
      </c>
    </row>
    <row r="1295" spans="1:13">
      <c r="A1295" t="s">
        <v>385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M1295" t="s">
        <v>555</v>
      </c>
    </row>
    <row r="1296" spans="1:13">
      <c r="A1296" t="s">
        <v>386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M1296" t="s">
        <v>555</v>
      </c>
    </row>
    <row r="1297" spans="1:13">
      <c r="A1297" t="s">
        <v>387</v>
      </c>
      <c r="B1297">
        <v>170968</v>
      </c>
      <c r="C1297">
        <v>1834</v>
      </c>
      <c r="D1297">
        <v>233826</v>
      </c>
      <c r="E1297">
        <v>2639</v>
      </c>
      <c r="F1297">
        <v>12442</v>
      </c>
      <c r="G1297">
        <v>2909193034</v>
      </c>
      <c r="H1297">
        <v>0.73</v>
      </c>
      <c r="M1297" t="s">
        <v>555</v>
      </c>
    </row>
    <row r="1299" spans="1:13">
      <c r="M1299" t="s">
        <v>556</v>
      </c>
    </row>
    <row r="1300" spans="1:13">
      <c r="A1300" t="s">
        <v>373</v>
      </c>
      <c r="B1300" t="s">
        <v>389</v>
      </c>
      <c r="C1300" t="s">
        <v>390</v>
      </c>
      <c r="D1300" t="s">
        <v>391</v>
      </c>
      <c r="E1300" t="s">
        <v>406</v>
      </c>
      <c r="M1300" t="s">
        <v>556</v>
      </c>
    </row>
    <row r="1301" spans="1:13">
      <c r="A1301" t="s">
        <v>381</v>
      </c>
      <c r="B1301">
        <v>1215681</v>
      </c>
      <c r="C1301">
        <v>14121</v>
      </c>
      <c r="D1301">
        <v>111.5</v>
      </c>
      <c r="E1301">
        <v>134.30000000000001</v>
      </c>
      <c r="M1301" t="s">
        <v>556</v>
      </c>
    </row>
    <row r="1302" spans="1:13">
      <c r="A1302" t="s">
        <v>382</v>
      </c>
      <c r="B1302">
        <v>1207037</v>
      </c>
      <c r="C1302">
        <v>13980</v>
      </c>
      <c r="D1302">
        <v>111.2</v>
      </c>
      <c r="E1302">
        <v>134</v>
      </c>
      <c r="M1302" t="s">
        <v>556</v>
      </c>
    </row>
    <row r="1303" spans="1:13">
      <c r="A1303" t="s">
        <v>383</v>
      </c>
      <c r="B1303">
        <v>1337515</v>
      </c>
      <c r="C1303">
        <v>15653</v>
      </c>
      <c r="D1303">
        <v>186.8</v>
      </c>
      <c r="E1303">
        <v>334.4</v>
      </c>
      <c r="M1303" t="s">
        <v>556</v>
      </c>
    </row>
    <row r="1304" spans="1:13">
      <c r="A1304" t="s">
        <v>384</v>
      </c>
      <c r="B1304">
        <v>1371767</v>
      </c>
      <c r="C1304">
        <v>16323</v>
      </c>
      <c r="D1304">
        <v>1635.9</v>
      </c>
      <c r="E1304">
        <v>3271.8</v>
      </c>
      <c r="M1304" t="s">
        <v>556</v>
      </c>
    </row>
    <row r="1306" spans="1:13">
      <c r="M1306" t="s">
        <v>557</v>
      </c>
    </row>
    <row r="1307" spans="1:13">
      <c r="A1307" t="s">
        <v>373</v>
      </c>
      <c r="B1307" t="s">
        <v>374</v>
      </c>
      <c r="C1307" t="s">
        <v>375</v>
      </c>
      <c r="D1307" t="s">
        <v>376</v>
      </c>
      <c r="E1307" t="s">
        <v>377</v>
      </c>
      <c r="F1307" t="s">
        <v>378</v>
      </c>
      <c r="G1307" t="s">
        <v>379</v>
      </c>
      <c r="H1307" t="s">
        <v>380</v>
      </c>
      <c r="M1307" t="s">
        <v>557</v>
      </c>
    </row>
    <row r="1308" spans="1:13">
      <c r="A1308" t="s">
        <v>381</v>
      </c>
      <c r="B1308">
        <v>161317</v>
      </c>
      <c r="C1308">
        <v>1205</v>
      </c>
      <c r="D1308">
        <v>159915</v>
      </c>
      <c r="E1308">
        <v>1278</v>
      </c>
      <c r="F1308">
        <v>23614</v>
      </c>
      <c r="G1308">
        <v>3776307389</v>
      </c>
      <c r="H1308">
        <v>1.01</v>
      </c>
      <c r="M1308" t="s">
        <v>557</v>
      </c>
    </row>
    <row r="1309" spans="1:13">
      <c r="A1309" t="s">
        <v>382</v>
      </c>
      <c r="B1309">
        <v>1926383</v>
      </c>
      <c r="C1309">
        <v>15750</v>
      </c>
      <c r="D1309">
        <v>2324822</v>
      </c>
      <c r="E1309">
        <v>19603</v>
      </c>
      <c r="F1309">
        <v>22520</v>
      </c>
      <c r="G1309">
        <v>52354064672</v>
      </c>
      <c r="H1309">
        <v>0.83</v>
      </c>
      <c r="M1309" t="s">
        <v>557</v>
      </c>
    </row>
    <row r="1310" spans="1:13">
      <c r="A1310" t="s">
        <v>383</v>
      </c>
      <c r="B1310">
        <v>2784878</v>
      </c>
      <c r="C1310">
        <v>23305</v>
      </c>
      <c r="D1310">
        <v>2673397</v>
      </c>
      <c r="E1310">
        <v>22362</v>
      </c>
      <c r="F1310">
        <v>22719</v>
      </c>
      <c r="G1310">
        <v>60737152882</v>
      </c>
      <c r="H1310">
        <v>1.04</v>
      </c>
      <c r="M1310" t="s">
        <v>557</v>
      </c>
    </row>
    <row r="1311" spans="1:13">
      <c r="A1311" t="s">
        <v>384</v>
      </c>
      <c r="B1311">
        <v>6070253</v>
      </c>
      <c r="C1311">
        <v>53231</v>
      </c>
      <c r="D1311">
        <v>5783119</v>
      </c>
      <c r="E1311">
        <v>50997</v>
      </c>
      <c r="F1311">
        <v>21252</v>
      </c>
      <c r="G1311">
        <v>122904923100</v>
      </c>
      <c r="H1311">
        <v>1.05</v>
      </c>
      <c r="M1311" t="s">
        <v>557</v>
      </c>
    </row>
    <row r="1312" spans="1:13">
      <c r="A1312" t="s">
        <v>385</v>
      </c>
      <c r="B1312">
        <v>5143246</v>
      </c>
      <c r="C1312">
        <v>44784</v>
      </c>
      <c r="D1312">
        <v>5311038</v>
      </c>
      <c r="E1312">
        <v>45591</v>
      </c>
      <c r="F1312">
        <v>19584</v>
      </c>
      <c r="G1312">
        <v>104012467430</v>
      </c>
      <c r="H1312">
        <v>0.97</v>
      </c>
      <c r="M1312" t="s">
        <v>557</v>
      </c>
    </row>
    <row r="1313" spans="1:13">
      <c r="A1313" t="s">
        <v>386</v>
      </c>
      <c r="B1313">
        <v>6253409</v>
      </c>
      <c r="C1313">
        <v>53513</v>
      </c>
      <c r="D1313">
        <v>6207774</v>
      </c>
      <c r="E1313">
        <v>52912</v>
      </c>
      <c r="F1313">
        <v>17468</v>
      </c>
      <c r="G1313">
        <v>108439617198</v>
      </c>
      <c r="H1313">
        <v>1.01</v>
      </c>
      <c r="M1313" t="s">
        <v>557</v>
      </c>
    </row>
    <row r="1314" spans="1:13">
      <c r="A1314" t="s">
        <v>387</v>
      </c>
      <c r="B1314">
        <v>22339487</v>
      </c>
      <c r="C1314">
        <v>191788</v>
      </c>
      <c r="D1314">
        <v>22460064</v>
      </c>
      <c r="E1314">
        <v>192743</v>
      </c>
      <c r="F1314">
        <v>20135</v>
      </c>
      <c r="G1314">
        <v>452224532670</v>
      </c>
      <c r="H1314">
        <v>0.99</v>
      </c>
      <c r="M1314" t="s">
        <v>557</v>
      </c>
    </row>
    <row r="1316" spans="1:13">
      <c r="M1316" t="s">
        <v>558</v>
      </c>
    </row>
    <row r="1317" spans="1:13">
      <c r="A1317" t="s">
        <v>373</v>
      </c>
      <c r="B1317" t="s">
        <v>389</v>
      </c>
      <c r="C1317" t="s">
        <v>390</v>
      </c>
      <c r="D1317" t="s">
        <v>391</v>
      </c>
      <c r="M1317" t="s">
        <v>558</v>
      </c>
    </row>
    <row r="1318" spans="1:13">
      <c r="A1318" t="s">
        <v>381</v>
      </c>
      <c r="B1318">
        <v>4334871</v>
      </c>
      <c r="C1318">
        <v>34789</v>
      </c>
      <c r="D1318">
        <v>22</v>
      </c>
      <c r="M1318" t="s">
        <v>558</v>
      </c>
    </row>
    <row r="1319" spans="1:13">
      <c r="A1319" t="s">
        <v>382</v>
      </c>
      <c r="B1319">
        <v>4364750</v>
      </c>
      <c r="C1319">
        <v>35072</v>
      </c>
      <c r="D1319">
        <v>22.5</v>
      </c>
      <c r="M1319" t="s">
        <v>558</v>
      </c>
    </row>
    <row r="1320" spans="1:13">
      <c r="A1320" t="s">
        <v>383</v>
      </c>
      <c r="B1320">
        <v>4782836</v>
      </c>
      <c r="C1320">
        <v>38876</v>
      </c>
      <c r="D1320">
        <v>21.5</v>
      </c>
      <c r="M1320" t="s">
        <v>558</v>
      </c>
    </row>
    <row r="1321" spans="1:13">
      <c r="A1321" t="s">
        <v>384</v>
      </c>
      <c r="B1321">
        <v>4460986</v>
      </c>
      <c r="C1321">
        <v>36542</v>
      </c>
      <c r="D1321">
        <v>9.3000000000000007</v>
      </c>
      <c r="M1321" t="s">
        <v>558</v>
      </c>
    </row>
    <row r="1322" spans="1:13">
      <c r="A1322" t="s">
        <v>385</v>
      </c>
      <c r="B1322">
        <v>4280241</v>
      </c>
      <c r="C1322">
        <v>35039</v>
      </c>
      <c r="D1322">
        <v>9.6999999999999993</v>
      </c>
      <c r="M1322" t="s">
        <v>558</v>
      </c>
    </row>
    <row r="1323" spans="1:13">
      <c r="A1323" t="s">
        <v>386</v>
      </c>
      <c r="B1323">
        <v>4662000</v>
      </c>
      <c r="C1323">
        <v>37198</v>
      </c>
      <c r="D1323">
        <v>9</v>
      </c>
      <c r="M1323" t="s">
        <v>558</v>
      </c>
    </row>
    <row r="1325" spans="1:13">
      <c r="M1325" t="s">
        <v>559</v>
      </c>
    </row>
    <row r="1326" spans="1:13">
      <c r="A1326" t="s">
        <v>373</v>
      </c>
      <c r="B1326" t="s">
        <v>374</v>
      </c>
      <c r="C1326" t="s">
        <v>375</v>
      </c>
      <c r="D1326" t="s">
        <v>376</v>
      </c>
      <c r="E1326" t="s">
        <v>377</v>
      </c>
      <c r="F1326" t="s">
        <v>378</v>
      </c>
      <c r="G1326" t="s">
        <v>379</v>
      </c>
      <c r="H1326" t="s">
        <v>380</v>
      </c>
      <c r="M1326" t="s">
        <v>559</v>
      </c>
    </row>
    <row r="1327" spans="1:13">
      <c r="A1327" t="s">
        <v>382</v>
      </c>
      <c r="B1327">
        <v>503095</v>
      </c>
      <c r="C1327">
        <v>3965</v>
      </c>
      <c r="D1327">
        <v>458915</v>
      </c>
      <c r="E1327">
        <v>3736</v>
      </c>
      <c r="F1327">
        <v>9769</v>
      </c>
      <c r="G1327">
        <v>4483141810</v>
      </c>
      <c r="H1327">
        <v>1.1000000000000001</v>
      </c>
      <c r="M1327" t="s">
        <v>559</v>
      </c>
    </row>
    <row r="1328" spans="1:13">
      <c r="A1328" t="s">
        <v>383</v>
      </c>
      <c r="B1328">
        <v>1252989</v>
      </c>
      <c r="C1328">
        <v>10395</v>
      </c>
      <c r="D1328">
        <v>926923</v>
      </c>
      <c r="E1328">
        <v>7427</v>
      </c>
      <c r="F1328">
        <v>9529</v>
      </c>
      <c r="G1328">
        <v>8832184439</v>
      </c>
      <c r="H1328">
        <v>1.35</v>
      </c>
      <c r="M1328" t="s">
        <v>559</v>
      </c>
    </row>
    <row r="1329" spans="1:13">
      <c r="A1329" t="s">
        <v>384</v>
      </c>
      <c r="B1329">
        <v>2341800</v>
      </c>
      <c r="C1329">
        <v>19068</v>
      </c>
      <c r="D1329">
        <v>1843411</v>
      </c>
      <c r="E1329">
        <v>15092</v>
      </c>
      <c r="F1329">
        <v>10103</v>
      </c>
      <c r="G1329">
        <v>18624097413</v>
      </c>
      <c r="H1329">
        <v>1.27</v>
      </c>
      <c r="M1329" t="s">
        <v>559</v>
      </c>
    </row>
    <row r="1330" spans="1:13">
      <c r="A1330" t="s">
        <v>385</v>
      </c>
      <c r="B1330">
        <v>2601077</v>
      </c>
      <c r="C1330">
        <v>20307</v>
      </c>
      <c r="D1330">
        <v>1009903</v>
      </c>
      <c r="E1330">
        <v>8266</v>
      </c>
      <c r="F1330">
        <v>9070</v>
      </c>
      <c r="G1330">
        <v>9160234995</v>
      </c>
      <c r="H1330">
        <v>2.58</v>
      </c>
      <c r="M1330" t="s">
        <v>559</v>
      </c>
    </row>
    <row r="1331" spans="1:13">
      <c r="A1331" t="s">
        <v>386</v>
      </c>
      <c r="B1331">
        <v>2259980</v>
      </c>
      <c r="C1331">
        <v>18530</v>
      </c>
      <c r="D1331">
        <v>1181556</v>
      </c>
      <c r="E1331">
        <v>10170</v>
      </c>
      <c r="F1331">
        <v>9182</v>
      </c>
      <c r="G1331">
        <v>10848926009</v>
      </c>
      <c r="H1331">
        <v>1.91</v>
      </c>
      <c r="M1331" t="s">
        <v>559</v>
      </c>
    </row>
    <row r="1332" spans="1:13">
      <c r="A1332" t="s">
        <v>393</v>
      </c>
      <c r="B1332">
        <v>4092</v>
      </c>
      <c r="C1332">
        <v>36</v>
      </c>
      <c r="D1332">
        <v>0</v>
      </c>
      <c r="E1332">
        <v>0</v>
      </c>
      <c r="F1332">
        <v>0</v>
      </c>
      <c r="G1332">
        <v>0</v>
      </c>
      <c r="H1332">
        <v>0</v>
      </c>
      <c r="M1332" t="s">
        <v>559</v>
      </c>
    </row>
    <row r="1333" spans="1:13">
      <c r="A1333" t="s">
        <v>387</v>
      </c>
      <c r="B1333">
        <v>8963034</v>
      </c>
      <c r="C1333">
        <v>72301</v>
      </c>
      <c r="D1333">
        <v>5420708</v>
      </c>
      <c r="E1333">
        <v>44691</v>
      </c>
      <c r="F1333">
        <v>9583</v>
      </c>
      <c r="G1333">
        <v>51948584665</v>
      </c>
      <c r="H1333">
        <v>1.65</v>
      </c>
      <c r="M1333" t="s">
        <v>559</v>
      </c>
    </row>
    <row r="1335" spans="1:13">
      <c r="M1335" t="s">
        <v>560</v>
      </c>
    </row>
    <row r="1336" spans="1:13">
      <c r="A1336" t="s">
        <v>373</v>
      </c>
      <c r="B1336" t="s">
        <v>389</v>
      </c>
      <c r="C1336" t="s">
        <v>390</v>
      </c>
      <c r="D1336" t="s">
        <v>391</v>
      </c>
      <c r="M1336" t="s">
        <v>560</v>
      </c>
    </row>
    <row r="1337" spans="1:13">
      <c r="A1337" t="s">
        <v>382</v>
      </c>
      <c r="B1337">
        <v>4899370</v>
      </c>
      <c r="C1337">
        <v>40658</v>
      </c>
      <c r="D1337">
        <v>76</v>
      </c>
      <c r="M1337" t="s">
        <v>560</v>
      </c>
    </row>
    <row r="1338" spans="1:13">
      <c r="A1338" t="s">
        <v>383</v>
      </c>
      <c r="B1338">
        <v>4646237</v>
      </c>
      <c r="C1338">
        <v>38579</v>
      </c>
      <c r="D1338">
        <v>60.2</v>
      </c>
      <c r="M1338" t="s">
        <v>560</v>
      </c>
    </row>
    <row r="1339" spans="1:13">
      <c r="A1339" t="s">
        <v>384</v>
      </c>
      <c r="B1339">
        <v>4219475</v>
      </c>
      <c r="C1339">
        <v>34473</v>
      </c>
      <c r="D1339">
        <v>27.5</v>
      </c>
      <c r="M1339" t="s">
        <v>560</v>
      </c>
    </row>
    <row r="1340" spans="1:13">
      <c r="A1340" t="s">
        <v>385</v>
      </c>
      <c r="B1340">
        <v>3832043</v>
      </c>
      <c r="C1340">
        <v>30859</v>
      </c>
      <c r="D1340">
        <v>45.5</v>
      </c>
      <c r="M1340" t="s">
        <v>560</v>
      </c>
    </row>
    <row r="1341" spans="1:13">
      <c r="A1341" t="s">
        <v>386</v>
      </c>
      <c r="B1341">
        <v>2368228</v>
      </c>
      <c r="C1341">
        <v>19831</v>
      </c>
      <c r="D1341">
        <v>24.1</v>
      </c>
      <c r="M1341" t="s">
        <v>560</v>
      </c>
    </row>
    <row r="1343" spans="1:13">
      <c r="M1343" t="s">
        <v>561</v>
      </c>
    </row>
    <row r="1344" spans="1:13">
      <c r="A1344" t="s">
        <v>373</v>
      </c>
      <c r="B1344" t="s">
        <v>374</v>
      </c>
      <c r="C1344" t="s">
        <v>375</v>
      </c>
      <c r="D1344" t="s">
        <v>376</v>
      </c>
      <c r="E1344" t="s">
        <v>377</v>
      </c>
      <c r="F1344" t="s">
        <v>378</v>
      </c>
      <c r="G1344" t="s">
        <v>379</v>
      </c>
      <c r="H1344" t="s">
        <v>380</v>
      </c>
      <c r="M1344" t="s">
        <v>561</v>
      </c>
    </row>
    <row r="1345" spans="1:13">
      <c r="A1345" t="s">
        <v>381</v>
      </c>
      <c r="B1345">
        <v>18554</v>
      </c>
      <c r="C1345">
        <v>130</v>
      </c>
      <c r="D1345">
        <v>68343</v>
      </c>
      <c r="E1345">
        <v>536</v>
      </c>
      <c r="F1345">
        <v>21876</v>
      </c>
      <c r="G1345">
        <v>1495028279</v>
      </c>
      <c r="H1345">
        <v>0.27</v>
      </c>
      <c r="M1345" t="s">
        <v>561</v>
      </c>
    </row>
    <row r="1346" spans="1:13">
      <c r="A1346" t="s">
        <v>382</v>
      </c>
      <c r="B1346">
        <v>1524746</v>
      </c>
      <c r="C1346">
        <v>10480</v>
      </c>
      <c r="D1346">
        <v>1506932</v>
      </c>
      <c r="E1346">
        <v>12228</v>
      </c>
      <c r="F1346">
        <v>23023</v>
      </c>
      <c r="G1346">
        <v>34693561190</v>
      </c>
      <c r="H1346">
        <v>1.01</v>
      </c>
      <c r="M1346" t="s">
        <v>561</v>
      </c>
    </row>
    <row r="1347" spans="1:13">
      <c r="A1347" t="s">
        <v>383</v>
      </c>
      <c r="B1347">
        <v>2355401</v>
      </c>
      <c r="C1347">
        <v>19696</v>
      </c>
      <c r="D1347">
        <v>2750497</v>
      </c>
      <c r="E1347">
        <v>24096</v>
      </c>
      <c r="F1347">
        <v>21274</v>
      </c>
      <c r="G1347">
        <v>58514847678</v>
      </c>
      <c r="H1347">
        <v>0.86</v>
      </c>
      <c r="M1347" t="s">
        <v>561</v>
      </c>
    </row>
    <row r="1348" spans="1:13">
      <c r="A1348" t="s">
        <v>384</v>
      </c>
      <c r="B1348">
        <v>2858643</v>
      </c>
      <c r="C1348">
        <v>26171</v>
      </c>
      <c r="D1348">
        <v>2970502</v>
      </c>
      <c r="E1348">
        <v>28128</v>
      </c>
      <c r="F1348">
        <v>19536</v>
      </c>
      <c r="G1348">
        <v>58031722754</v>
      </c>
      <c r="H1348">
        <v>0.96</v>
      </c>
      <c r="M1348" t="s">
        <v>561</v>
      </c>
    </row>
    <row r="1349" spans="1:13">
      <c r="A1349" t="s">
        <v>385</v>
      </c>
      <c r="B1349">
        <v>2136721</v>
      </c>
      <c r="C1349">
        <v>19293</v>
      </c>
      <c r="D1349">
        <v>1739538</v>
      </c>
      <c r="E1349">
        <v>16547</v>
      </c>
      <c r="F1349">
        <v>18342</v>
      </c>
      <c r="G1349">
        <v>31906981001</v>
      </c>
      <c r="H1349">
        <v>1.23</v>
      </c>
      <c r="M1349" t="s">
        <v>561</v>
      </c>
    </row>
    <row r="1350" spans="1:13">
      <c r="A1350" t="s">
        <v>386</v>
      </c>
      <c r="B1350">
        <v>2884937</v>
      </c>
      <c r="C1350">
        <v>27353</v>
      </c>
      <c r="D1350">
        <v>2882038</v>
      </c>
      <c r="E1350">
        <v>27449</v>
      </c>
      <c r="F1350">
        <v>17855</v>
      </c>
      <c r="G1350">
        <v>51458383054</v>
      </c>
      <c r="H1350">
        <v>1</v>
      </c>
      <c r="M1350" t="s">
        <v>561</v>
      </c>
    </row>
    <row r="1351" spans="1:13">
      <c r="A1351" t="s">
        <v>387</v>
      </c>
      <c r="B1351">
        <v>11779001</v>
      </c>
      <c r="C1351">
        <v>103123</v>
      </c>
      <c r="D1351">
        <v>11917850</v>
      </c>
      <c r="E1351">
        <v>108984</v>
      </c>
      <c r="F1351">
        <v>19811</v>
      </c>
      <c r="G1351">
        <v>236100523956</v>
      </c>
      <c r="H1351">
        <v>0.99</v>
      </c>
      <c r="M1351" t="s">
        <v>561</v>
      </c>
    </row>
    <row r="1353" spans="1:13">
      <c r="M1353" t="s">
        <v>562</v>
      </c>
    </row>
    <row r="1354" spans="1:13">
      <c r="A1354" t="s">
        <v>373</v>
      </c>
      <c r="B1354" t="s">
        <v>389</v>
      </c>
      <c r="C1354" t="s">
        <v>390</v>
      </c>
      <c r="D1354" t="s">
        <v>391</v>
      </c>
      <c r="M1354" t="s">
        <v>562</v>
      </c>
    </row>
    <row r="1355" spans="1:13">
      <c r="A1355" t="s">
        <v>381</v>
      </c>
      <c r="B1355">
        <v>2246551</v>
      </c>
      <c r="C1355">
        <v>18340</v>
      </c>
      <c r="D1355">
        <v>19.2</v>
      </c>
      <c r="M1355" t="s">
        <v>562</v>
      </c>
    </row>
    <row r="1356" spans="1:13">
      <c r="A1356" t="s">
        <v>382</v>
      </c>
      <c r="B1356">
        <v>2284799</v>
      </c>
      <c r="C1356">
        <v>18649</v>
      </c>
      <c r="D1356">
        <v>18.2</v>
      </c>
      <c r="M1356" t="s">
        <v>562</v>
      </c>
    </row>
    <row r="1357" spans="1:13">
      <c r="A1357" t="s">
        <v>383</v>
      </c>
      <c r="B1357">
        <v>2239272</v>
      </c>
      <c r="C1357">
        <v>20080</v>
      </c>
      <c r="D1357">
        <v>9.8000000000000007</v>
      </c>
      <c r="M1357" t="s">
        <v>562</v>
      </c>
    </row>
    <row r="1358" spans="1:13">
      <c r="A1358" t="s">
        <v>384</v>
      </c>
      <c r="B1358">
        <v>2610820</v>
      </c>
      <c r="C1358">
        <v>24281</v>
      </c>
      <c r="D1358">
        <v>10.5</v>
      </c>
      <c r="M1358" t="s">
        <v>562</v>
      </c>
    </row>
    <row r="1359" spans="1:13">
      <c r="A1359" t="s">
        <v>385</v>
      </c>
      <c r="B1359">
        <v>2523910</v>
      </c>
      <c r="C1359">
        <v>24740</v>
      </c>
      <c r="D1359">
        <v>17.399999999999999</v>
      </c>
      <c r="M1359" t="s">
        <v>562</v>
      </c>
    </row>
    <row r="1360" spans="1:13">
      <c r="A1360" t="s">
        <v>386</v>
      </c>
      <c r="B1360">
        <v>2097888</v>
      </c>
      <c r="C1360">
        <v>21288</v>
      </c>
      <c r="D1360">
        <v>8.6999999999999993</v>
      </c>
      <c r="M1360" t="s">
        <v>562</v>
      </c>
    </row>
    <row r="1362" spans="1:13">
      <c r="M1362" t="s">
        <v>563</v>
      </c>
    </row>
    <row r="1363" spans="1:13">
      <c r="A1363" t="s">
        <v>373</v>
      </c>
      <c r="B1363" t="s">
        <v>374</v>
      </c>
      <c r="C1363" t="s">
        <v>375</v>
      </c>
      <c r="D1363" t="s">
        <v>376</v>
      </c>
      <c r="E1363" t="s">
        <v>377</v>
      </c>
      <c r="F1363" t="s">
        <v>378</v>
      </c>
      <c r="G1363" t="s">
        <v>379</v>
      </c>
      <c r="H1363" t="s">
        <v>380</v>
      </c>
      <c r="M1363" t="s">
        <v>563</v>
      </c>
    </row>
    <row r="1364" spans="1:13">
      <c r="A1364" t="s">
        <v>382</v>
      </c>
      <c r="B1364">
        <v>2213676</v>
      </c>
      <c r="C1364">
        <v>19220</v>
      </c>
      <c r="D1364">
        <v>3520166</v>
      </c>
      <c r="E1364">
        <v>29028</v>
      </c>
      <c r="F1364">
        <v>13533</v>
      </c>
      <c r="G1364">
        <v>47638506423</v>
      </c>
      <c r="H1364">
        <v>0.63</v>
      </c>
      <c r="M1364" t="s">
        <v>563</v>
      </c>
    </row>
    <row r="1365" spans="1:13">
      <c r="A1365" t="s">
        <v>383</v>
      </c>
      <c r="B1365">
        <v>3209153</v>
      </c>
      <c r="C1365">
        <v>26701</v>
      </c>
      <c r="D1365">
        <v>4192290</v>
      </c>
      <c r="E1365">
        <v>35155</v>
      </c>
      <c r="F1365">
        <v>13563</v>
      </c>
      <c r="G1365">
        <v>56861951357</v>
      </c>
      <c r="H1365">
        <v>0.77</v>
      </c>
      <c r="M1365" t="s">
        <v>563</v>
      </c>
    </row>
    <row r="1366" spans="1:13">
      <c r="A1366" t="s">
        <v>384</v>
      </c>
      <c r="B1366">
        <v>7305065</v>
      </c>
      <c r="C1366">
        <v>61518</v>
      </c>
      <c r="D1366">
        <v>6375416</v>
      </c>
      <c r="E1366">
        <v>53514</v>
      </c>
      <c r="F1366">
        <v>14697</v>
      </c>
      <c r="G1366">
        <v>93699534655</v>
      </c>
      <c r="H1366">
        <v>1.1499999999999999</v>
      </c>
      <c r="M1366" t="s">
        <v>563</v>
      </c>
    </row>
    <row r="1367" spans="1:13">
      <c r="A1367" t="s">
        <v>385</v>
      </c>
      <c r="B1367">
        <v>10519191</v>
      </c>
      <c r="C1367">
        <v>88908</v>
      </c>
      <c r="D1367">
        <v>8830881</v>
      </c>
      <c r="E1367">
        <v>76147</v>
      </c>
      <c r="F1367">
        <v>14614</v>
      </c>
      <c r="G1367">
        <v>129053840346</v>
      </c>
      <c r="H1367">
        <v>1.19</v>
      </c>
      <c r="M1367" t="s">
        <v>563</v>
      </c>
    </row>
    <row r="1368" spans="1:13">
      <c r="A1368" t="s">
        <v>386</v>
      </c>
      <c r="B1368">
        <v>10864909</v>
      </c>
      <c r="C1368">
        <v>91173</v>
      </c>
      <c r="D1368">
        <v>10336838</v>
      </c>
      <c r="E1368">
        <v>86270</v>
      </c>
      <c r="F1368">
        <v>13671</v>
      </c>
      <c r="G1368">
        <v>141316971895</v>
      </c>
      <c r="H1368">
        <v>1.05</v>
      </c>
      <c r="M1368" t="s">
        <v>563</v>
      </c>
    </row>
    <row r="1369" spans="1:13">
      <c r="A1369" t="s">
        <v>387</v>
      </c>
      <c r="B1369">
        <v>34111994</v>
      </c>
      <c r="C1369">
        <v>287520</v>
      </c>
      <c r="D1369">
        <v>33255591</v>
      </c>
      <c r="E1369">
        <v>280114</v>
      </c>
      <c r="F1369">
        <v>14090</v>
      </c>
      <c r="G1369">
        <v>468570804676</v>
      </c>
      <c r="H1369">
        <v>1.03</v>
      </c>
      <c r="M1369" t="s">
        <v>563</v>
      </c>
    </row>
    <row r="1371" spans="1:13">
      <c r="M1371" t="s">
        <v>564</v>
      </c>
    </row>
    <row r="1372" spans="1:13">
      <c r="A1372" t="s">
        <v>373</v>
      </c>
      <c r="B1372" t="s">
        <v>389</v>
      </c>
      <c r="C1372" t="s">
        <v>390</v>
      </c>
      <c r="D1372" t="s">
        <v>391</v>
      </c>
      <c r="M1372" t="s">
        <v>564</v>
      </c>
    </row>
    <row r="1373" spans="1:13">
      <c r="A1373" t="s">
        <v>382</v>
      </c>
      <c r="B1373">
        <v>5667595</v>
      </c>
      <c r="C1373">
        <v>45650</v>
      </c>
      <c r="D1373">
        <v>19.3</v>
      </c>
      <c r="M1373" t="s">
        <v>564</v>
      </c>
    </row>
    <row r="1374" spans="1:13">
      <c r="A1374" t="s">
        <v>383</v>
      </c>
      <c r="B1374">
        <v>7236445</v>
      </c>
      <c r="C1374">
        <v>58036</v>
      </c>
      <c r="D1374">
        <v>20.7</v>
      </c>
      <c r="M1374" t="s">
        <v>564</v>
      </c>
    </row>
    <row r="1375" spans="1:13">
      <c r="A1375" t="s">
        <v>384</v>
      </c>
      <c r="B1375">
        <v>7548939</v>
      </c>
      <c r="C1375">
        <v>60741</v>
      </c>
      <c r="D1375">
        <v>14.2</v>
      </c>
      <c r="M1375" t="s">
        <v>564</v>
      </c>
    </row>
    <row r="1376" spans="1:13">
      <c r="A1376" t="s">
        <v>385</v>
      </c>
      <c r="B1376">
        <v>6717823</v>
      </c>
      <c r="C1376">
        <v>53176</v>
      </c>
      <c r="D1376">
        <v>9.1</v>
      </c>
      <c r="M1376" t="s">
        <v>564</v>
      </c>
    </row>
    <row r="1377" spans="1:13">
      <c r="A1377" t="s">
        <v>386</v>
      </c>
      <c r="B1377">
        <v>5674075</v>
      </c>
      <c r="C1377">
        <v>53512</v>
      </c>
      <c r="D1377">
        <v>6.6</v>
      </c>
      <c r="M1377" t="s">
        <v>564</v>
      </c>
    </row>
    <row r="1379" spans="1:13">
      <c r="M1379" t="s">
        <v>565</v>
      </c>
    </row>
    <row r="1380" spans="1:13">
      <c r="A1380" t="s">
        <v>373</v>
      </c>
      <c r="B1380" t="s">
        <v>374</v>
      </c>
      <c r="C1380" t="s">
        <v>375</v>
      </c>
      <c r="D1380" t="s">
        <v>376</v>
      </c>
      <c r="E1380" t="s">
        <v>377</v>
      </c>
      <c r="F1380" t="s">
        <v>378</v>
      </c>
      <c r="G1380" t="s">
        <v>379</v>
      </c>
      <c r="H1380" t="s">
        <v>380</v>
      </c>
      <c r="M1380" t="s">
        <v>565</v>
      </c>
    </row>
    <row r="1381" spans="1:13">
      <c r="A1381" t="s">
        <v>381</v>
      </c>
      <c r="B1381">
        <v>0</v>
      </c>
      <c r="C1381">
        <v>0</v>
      </c>
      <c r="D1381">
        <v>17362</v>
      </c>
      <c r="E1381">
        <v>147</v>
      </c>
      <c r="F1381">
        <v>7192</v>
      </c>
      <c r="G1381">
        <v>124873960</v>
      </c>
      <c r="H1381">
        <v>0</v>
      </c>
      <c r="M1381" t="s">
        <v>565</v>
      </c>
    </row>
    <row r="1382" spans="1:13">
      <c r="A1382" t="s">
        <v>382</v>
      </c>
      <c r="B1382">
        <v>292473</v>
      </c>
      <c r="C1382">
        <v>2375</v>
      </c>
      <c r="D1382">
        <v>195694</v>
      </c>
      <c r="E1382">
        <v>1640</v>
      </c>
      <c r="F1382">
        <v>6880</v>
      </c>
      <c r="G1382">
        <v>1346319284</v>
      </c>
      <c r="H1382">
        <v>1.49</v>
      </c>
      <c r="M1382" t="s">
        <v>565</v>
      </c>
    </row>
    <row r="1383" spans="1:13">
      <c r="A1383" t="s">
        <v>383</v>
      </c>
      <c r="B1383">
        <v>84908</v>
      </c>
      <c r="C1383">
        <v>737</v>
      </c>
      <c r="D1383">
        <v>59477</v>
      </c>
      <c r="E1383">
        <v>532</v>
      </c>
      <c r="F1383">
        <v>8009</v>
      </c>
      <c r="G1383">
        <v>476381998</v>
      </c>
      <c r="H1383">
        <v>1.43</v>
      </c>
      <c r="M1383" t="s">
        <v>565</v>
      </c>
    </row>
    <row r="1384" spans="1:13">
      <c r="A1384" t="s">
        <v>384</v>
      </c>
      <c r="B1384">
        <v>23854</v>
      </c>
      <c r="C1384">
        <v>223</v>
      </c>
      <c r="D1384">
        <v>4832</v>
      </c>
      <c r="E1384">
        <v>49</v>
      </c>
      <c r="F1384">
        <v>8266</v>
      </c>
      <c r="G1384">
        <v>39937360</v>
      </c>
      <c r="H1384">
        <v>4.9400000000000004</v>
      </c>
      <c r="M1384" t="s">
        <v>565</v>
      </c>
    </row>
    <row r="1385" spans="1:13">
      <c r="A1385" t="s">
        <v>387</v>
      </c>
      <c r="B1385">
        <v>401235</v>
      </c>
      <c r="C1385">
        <v>3335</v>
      </c>
      <c r="D1385">
        <v>277365</v>
      </c>
      <c r="E1385">
        <v>2368</v>
      </c>
      <c r="F1385">
        <v>7166</v>
      </c>
      <c r="G1385">
        <v>1987512602</v>
      </c>
      <c r="H1385">
        <v>1.45</v>
      </c>
      <c r="M1385" t="s">
        <v>565</v>
      </c>
    </row>
    <row r="1387" spans="1:13">
      <c r="M1387" t="s">
        <v>566</v>
      </c>
    </row>
    <row r="1388" spans="1:13">
      <c r="A1388" t="s">
        <v>373</v>
      </c>
      <c r="B1388" t="s">
        <v>389</v>
      </c>
      <c r="C1388" t="s">
        <v>390</v>
      </c>
      <c r="D1388" t="s">
        <v>391</v>
      </c>
      <c r="M1388" t="s">
        <v>566</v>
      </c>
    </row>
    <row r="1389" spans="1:13">
      <c r="A1389" t="s">
        <v>381</v>
      </c>
      <c r="B1389">
        <v>277492</v>
      </c>
      <c r="C1389">
        <v>2766</v>
      </c>
      <c r="D1389">
        <v>16.399999999999999</v>
      </c>
      <c r="M1389" t="s">
        <v>566</v>
      </c>
    </row>
    <row r="1390" spans="1:13">
      <c r="A1390" t="s">
        <v>382</v>
      </c>
      <c r="B1390">
        <v>294662</v>
      </c>
      <c r="C1390">
        <v>2910</v>
      </c>
      <c r="D1390">
        <v>18.100000000000001</v>
      </c>
      <c r="M1390" t="s">
        <v>566</v>
      </c>
    </row>
    <row r="1391" spans="1:13">
      <c r="A1391" t="s">
        <v>383</v>
      </c>
      <c r="B1391">
        <v>195102</v>
      </c>
      <c r="C1391">
        <v>2150</v>
      </c>
      <c r="D1391">
        <v>39.4</v>
      </c>
      <c r="M1391" t="s">
        <v>566</v>
      </c>
    </row>
    <row r="1392" spans="1:13">
      <c r="A1392" t="s">
        <v>384</v>
      </c>
      <c r="B1392">
        <v>185735</v>
      </c>
      <c r="C1392">
        <v>2088</v>
      </c>
      <c r="D1392">
        <v>461.3</v>
      </c>
      <c r="M1392" t="s">
        <v>566</v>
      </c>
    </row>
    <row r="1394" spans="1:13">
      <c r="M1394" t="s">
        <v>567</v>
      </c>
    </row>
    <row r="1395" spans="1:13">
      <c r="A1395" t="s">
        <v>373</v>
      </c>
      <c r="B1395" t="s">
        <v>374</v>
      </c>
      <c r="C1395" t="s">
        <v>375</v>
      </c>
      <c r="D1395" t="s">
        <v>376</v>
      </c>
      <c r="E1395" t="s">
        <v>377</v>
      </c>
      <c r="F1395" t="s">
        <v>378</v>
      </c>
      <c r="G1395" t="s">
        <v>379</v>
      </c>
      <c r="H1395" t="s">
        <v>380</v>
      </c>
      <c r="M1395" t="s">
        <v>567</v>
      </c>
    </row>
    <row r="1396" spans="1:13">
      <c r="A1396" t="s">
        <v>386</v>
      </c>
      <c r="B1396">
        <v>524470</v>
      </c>
      <c r="C1396">
        <v>4899</v>
      </c>
      <c r="D1396">
        <v>371311</v>
      </c>
      <c r="E1396">
        <v>3046</v>
      </c>
      <c r="F1396">
        <v>6665</v>
      </c>
      <c r="G1396">
        <v>2474757666</v>
      </c>
      <c r="H1396">
        <v>1.41</v>
      </c>
      <c r="M1396" t="s">
        <v>567</v>
      </c>
    </row>
    <row r="1397" spans="1:13">
      <c r="A1397" t="s">
        <v>393</v>
      </c>
      <c r="B1397">
        <v>467206</v>
      </c>
      <c r="C1397">
        <v>3879</v>
      </c>
      <c r="D1397">
        <v>0</v>
      </c>
      <c r="E1397">
        <v>0</v>
      </c>
      <c r="F1397">
        <v>0</v>
      </c>
      <c r="G1397">
        <v>0</v>
      </c>
      <c r="H1397">
        <v>0</v>
      </c>
      <c r="M1397" t="s">
        <v>567</v>
      </c>
    </row>
    <row r="1398" spans="1:13">
      <c r="A1398" t="s">
        <v>435</v>
      </c>
      <c r="B1398">
        <v>880538</v>
      </c>
      <c r="C1398">
        <v>7803</v>
      </c>
      <c r="D1398">
        <v>0</v>
      </c>
      <c r="E1398">
        <v>0</v>
      </c>
      <c r="F1398">
        <v>0</v>
      </c>
      <c r="G1398">
        <v>0</v>
      </c>
      <c r="H1398">
        <v>0</v>
      </c>
      <c r="M1398" t="s">
        <v>567</v>
      </c>
    </row>
    <row r="1399" spans="1:13">
      <c r="A1399" t="s">
        <v>505</v>
      </c>
      <c r="B1399">
        <v>662930</v>
      </c>
      <c r="C1399">
        <v>5583</v>
      </c>
      <c r="D1399">
        <v>0</v>
      </c>
      <c r="E1399">
        <v>0</v>
      </c>
      <c r="F1399">
        <v>0</v>
      </c>
      <c r="G1399">
        <v>0</v>
      </c>
      <c r="H1399">
        <v>0</v>
      </c>
      <c r="M1399" t="s">
        <v>567</v>
      </c>
    </row>
    <row r="1400" spans="1:13">
      <c r="A1400" t="s">
        <v>506</v>
      </c>
      <c r="B1400">
        <v>1805098</v>
      </c>
      <c r="C1400">
        <v>15193</v>
      </c>
      <c r="D1400">
        <v>0</v>
      </c>
      <c r="E1400">
        <v>0</v>
      </c>
      <c r="F1400">
        <v>0</v>
      </c>
      <c r="G1400">
        <v>0</v>
      </c>
      <c r="H1400">
        <v>0</v>
      </c>
      <c r="M1400" t="s">
        <v>567</v>
      </c>
    </row>
    <row r="1401" spans="1:13">
      <c r="A1401" t="s">
        <v>507</v>
      </c>
      <c r="B1401">
        <v>1543832</v>
      </c>
      <c r="C1401">
        <v>11787</v>
      </c>
      <c r="D1401">
        <v>0</v>
      </c>
      <c r="E1401">
        <v>0</v>
      </c>
      <c r="F1401">
        <v>0</v>
      </c>
      <c r="G1401">
        <v>0</v>
      </c>
      <c r="H1401">
        <v>0</v>
      </c>
      <c r="M1401" t="s">
        <v>567</v>
      </c>
    </row>
    <row r="1402" spans="1:13">
      <c r="A1402" t="s">
        <v>387</v>
      </c>
      <c r="B1402">
        <v>5884074</v>
      </c>
      <c r="C1402">
        <v>49144</v>
      </c>
      <c r="D1402">
        <v>371311</v>
      </c>
      <c r="E1402">
        <v>3046</v>
      </c>
      <c r="F1402">
        <v>6665</v>
      </c>
      <c r="G1402">
        <v>2474757666</v>
      </c>
      <c r="H1402">
        <v>15.85</v>
      </c>
      <c r="M1402" t="s">
        <v>567</v>
      </c>
    </row>
    <row r="1404" spans="1:13">
      <c r="M1404" t="s">
        <v>568</v>
      </c>
    </row>
    <row r="1405" spans="1:13">
      <c r="A1405" t="s">
        <v>373</v>
      </c>
      <c r="B1405" t="s">
        <v>389</v>
      </c>
      <c r="C1405" t="s">
        <v>390</v>
      </c>
      <c r="D1405" t="s">
        <v>391</v>
      </c>
      <c r="M1405" t="s">
        <v>568</v>
      </c>
    </row>
    <row r="1406" spans="1:13">
      <c r="A1406" t="s">
        <v>386</v>
      </c>
      <c r="B1406">
        <v>783620</v>
      </c>
      <c r="C1406">
        <v>5819</v>
      </c>
      <c r="D1406">
        <v>28.4</v>
      </c>
      <c r="M1406" t="s">
        <v>568</v>
      </c>
    </row>
    <row r="1408" spans="1:13">
      <c r="M1408" t="s">
        <v>569</v>
      </c>
    </row>
    <row r="1409" spans="1:13">
      <c r="A1409" t="s">
        <v>373</v>
      </c>
      <c r="B1409" t="s">
        <v>374</v>
      </c>
      <c r="C1409" t="s">
        <v>375</v>
      </c>
      <c r="D1409" t="s">
        <v>376</v>
      </c>
      <c r="E1409" t="s">
        <v>377</v>
      </c>
      <c r="F1409" t="s">
        <v>378</v>
      </c>
      <c r="G1409" t="s">
        <v>379</v>
      </c>
      <c r="H1409" t="s">
        <v>380</v>
      </c>
      <c r="M1409" t="s">
        <v>569</v>
      </c>
    </row>
    <row r="1410" spans="1:13">
      <c r="A1410" t="s">
        <v>381</v>
      </c>
      <c r="B1410">
        <v>65330</v>
      </c>
      <c r="C1410">
        <v>483</v>
      </c>
      <c r="D1410">
        <v>36148</v>
      </c>
      <c r="E1410">
        <v>260</v>
      </c>
      <c r="F1410">
        <v>12497</v>
      </c>
      <c r="G1410">
        <v>451761728</v>
      </c>
      <c r="H1410">
        <v>1.81</v>
      </c>
      <c r="M1410" t="s">
        <v>569</v>
      </c>
    </row>
    <row r="1411" spans="1:13">
      <c r="A1411" t="s">
        <v>382</v>
      </c>
      <c r="B1411">
        <v>675072</v>
      </c>
      <c r="C1411">
        <v>4766</v>
      </c>
      <c r="D1411">
        <v>542165</v>
      </c>
      <c r="E1411">
        <v>4046</v>
      </c>
      <c r="F1411">
        <v>12985</v>
      </c>
      <c r="G1411">
        <v>7039953745</v>
      </c>
      <c r="H1411">
        <v>1.25</v>
      </c>
      <c r="M1411" t="s">
        <v>569</v>
      </c>
    </row>
    <row r="1412" spans="1:13">
      <c r="A1412" t="s">
        <v>383</v>
      </c>
      <c r="B1412">
        <v>719174</v>
      </c>
      <c r="C1412">
        <v>6083</v>
      </c>
      <c r="D1412">
        <v>543109</v>
      </c>
      <c r="E1412">
        <v>4534</v>
      </c>
      <c r="F1412">
        <v>10690</v>
      </c>
      <c r="G1412">
        <v>5805658447</v>
      </c>
      <c r="H1412">
        <v>1.32</v>
      </c>
      <c r="M1412" t="s">
        <v>569</v>
      </c>
    </row>
    <row r="1413" spans="1:13">
      <c r="A1413" t="s">
        <v>384</v>
      </c>
      <c r="B1413">
        <v>1424043</v>
      </c>
      <c r="C1413">
        <v>12301</v>
      </c>
      <c r="D1413">
        <v>2151802</v>
      </c>
      <c r="E1413">
        <v>18081</v>
      </c>
      <c r="F1413">
        <v>10256</v>
      </c>
      <c r="G1413">
        <v>22069491083</v>
      </c>
      <c r="H1413">
        <v>0.66</v>
      </c>
      <c r="M1413" t="s">
        <v>569</v>
      </c>
    </row>
    <row r="1414" spans="1:13">
      <c r="A1414" t="s">
        <v>385</v>
      </c>
      <c r="B1414">
        <v>2382110</v>
      </c>
      <c r="C1414">
        <v>19991</v>
      </c>
      <c r="D1414">
        <v>2410598</v>
      </c>
      <c r="E1414">
        <v>20413</v>
      </c>
      <c r="F1414">
        <v>9730</v>
      </c>
      <c r="G1414">
        <v>23454909863</v>
      </c>
      <c r="H1414">
        <v>0.99</v>
      </c>
      <c r="M1414" t="s">
        <v>569</v>
      </c>
    </row>
    <row r="1415" spans="1:13">
      <c r="A1415" t="s">
        <v>386</v>
      </c>
      <c r="B1415">
        <v>2066029</v>
      </c>
      <c r="C1415">
        <v>17832</v>
      </c>
      <c r="D1415">
        <v>1977242</v>
      </c>
      <c r="E1415">
        <v>16928</v>
      </c>
      <c r="F1415">
        <v>9362</v>
      </c>
      <c r="G1415">
        <v>18510010625</v>
      </c>
      <c r="H1415">
        <v>1.04</v>
      </c>
      <c r="M1415" t="s">
        <v>569</v>
      </c>
    </row>
    <row r="1416" spans="1:13">
      <c r="A1416" t="s">
        <v>387</v>
      </c>
      <c r="B1416">
        <v>7331759</v>
      </c>
      <c r="C1416">
        <v>61456</v>
      </c>
      <c r="D1416">
        <v>7661064</v>
      </c>
      <c r="E1416">
        <v>64262</v>
      </c>
      <c r="F1416">
        <v>10094</v>
      </c>
      <c r="G1416">
        <v>77331785491</v>
      </c>
      <c r="H1416">
        <v>0.96</v>
      </c>
      <c r="M1416" t="s">
        <v>569</v>
      </c>
    </row>
    <row r="1418" spans="1:13">
      <c r="M1418" t="s">
        <v>570</v>
      </c>
    </row>
    <row r="1419" spans="1:13">
      <c r="A1419" t="s">
        <v>373</v>
      </c>
      <c r="B1419" t="s">
        <v>389</v>
      </c>
      <c r="C1419" t="s">
        <v>390</v>
      </c>
      <c r="D1419" t="s">
        <v>391</v>
      </c>
      <c r="E1419" t="s">
        <v>406</v>
      </c>
      <c r="M1419" t="s">
        <v>570</v>
      </c>
    </row>
    <row r="1420" spans="1:13">
      <c r="A1420" t="s">
        <v>381</v>
      </c>
      <c r="B1420">
        <v>1127417</v>
      </c>
      <c r="C1420">
        <v>9481</v>
      </c>
      <c r="D1420">
        <v>24.1</v>
      </c>
      <c r="E1420">
        <v>25.6</v>
      </c>
      <c r="M1420" t="s">
        <v>570</v>
      </c>
    </row>
    <row r="1421" spans="1:13">
      <c r="A1421" t="s">
        <v>382</v>
      </c>
      <c r="B1421">
        <v>1154015</v>
      </c>
      <c r="C1421">
        <v>9676</v>
      </c>
      <c r="D1421">
        <v>25.5</v>
      </c>
      <c r="E1421">
        <v>25.5</v>
      </c>
      <c r="M1421" t="s">
        <v>570</v>
      </c>
    </row>
    <row r="1422" spans="1:13">
      <c r="A1422" t="s">
        <v>383</v>
      </c>
      <c r="B1422">
        <v>1158870</v>
      </c>
      <c r="C1422">
        <v>10077</v>
      </c>
      <c r="D1422">
        <v>25.6</v>
      </c>
      <c r="E1422">
        <v>10.3</v>
      </c>
      <c r="M1422" t="s">
        <v>570</v>
      </c>
    </row>
    <row r="1423" spans="1:13">
      <c r="A1423" t="s">
        <v>384</v>
      </c>
      <c r="B1423">
        <v>1090453</v>
      </c>
      <c r="C1423">
        <v>9605</v>
      </c>
      <c r="D1423">
        <v>6.1</v>
      </c>
      <c r="E1423">
        <v>5.7</v>
      </c>
      <c r="M1423" t="s">
        <v>570</v>
      </c>
    </row>
    <row r="1424" spans="1:13">
      <c r="A1424" t="s">
        <v>385</v>
      </c>
      <c r="B1424">
        <v>1809035</v>
      </c>
      <c r="C1424">
        <v>15472</v>
      </c>
      <c r="D1424">
        <v>9</v>
      </c>
      <c r="E1424">
        <v>9.9</v>
      </c>
      <c r="M1424" t="s">
        <v>570</v>
      </c>
    </row>
    <row r="1425" spans="1:13">
      <c r="A1425" t="s">
        <v>386</v>
      </c>
      <c r="B1425">
        <v>1793087</v>
      </c>
      <c r="C1425">
        <v>15574</v>
      </c>
      <c r="D1425">
        <v>10.9</v>
      </c>
      <c r="E1425">
        <v>9.1</v>
      </c>
      <c r="M1425" t="s">
        <v>570</v>
      </c>
    </row>
    <row r="1427" spans="1:13">
      <c r="M1427" t="s">
        <v>571</v>
      </c>
    </row>
    <row r="1428" spans="1:13">
      <c r="A1428" t="s">
        <v>373</v>
      </c>
      <c r="B1428" t="s">
        <v>374</v>
      </c>
      <c r="C1428" t="s">
        <v>375</v>
      </c>
      <c r="D1428" t="s">
        <v>376</v>
      </c>
      <c r="E1428" t="s">
        <v>377</v>
      </c>
      <c r="F1428" t="s">
        <v>378</v>
      </c>
      <c r="G1428" t="s">
        <v>379</v>
      </c>
      <c r="H1428" t="s">
        <v>380</v>
      </c>
      <c r="M1428" t="s">
        <v>571</v>
      </c>
    </row>
    <row r="1429" spans="1:13">
      <c r="A1429" t="s">
        <v>382</v>
      </c>
      <c r="B1429">
        <v>537453</v>
      </c>
      <c r="C1429">
        <v>4386</v>
      </c>
      <c r="D1429">
        <v>424736</v>
      </c>
      <c r="E1429">
        <v>3631</v>
      </c>
      <c r="F1429">
        <v>7871</v>
      </c>
      <c r="G1429">
        <v>3343110318</v>
      </c>
      <c r="H1429">
        <v>1.27</v>
      </c>
      <c r="M1429" t="s">
        <v>571</v>
      </c>
    </row>
    <row r="1430" spans="1:13">
      <c r="A1430" t="s">
        <v>383</v>
      </c>
      <c r="B1430">
        <v>355064</v>
      </c>
      <c r="C1430">
        <v>2928</v>
      </c>
      <c r="D1430">
        <v>677712</v>
      </c>
      <c r="E1430">
        <v>5597</v>
      </c>
      <c r="F1430">
        <v>8036</v>
      </c>
      <c r="G1430">
        <v>5446081476</v>
      </c>
      <c r="H1430">
        <v>0.52</v>
      </c>
      <c r="M1430" t="s">
        <v>571</v>
      </c>
    </row>
    <row r="1431" spans="1:13">
      <c r="A1431" t="s">
        <v>384</v>
      </c>
      <c r="B1431">
        <v>1077173</v>
      </c>
      <c r="C1431">
        <v>8880</v>
      </c>
      <c r="D1431">
        <v>1916540</v>
      </c>
      <c r="E1431">
        <v>16037</v>
      </c>
      <c r="F1431">
        <v>7627</v>
      </c>
      <c r="G1431">
        <v>14617895694</v>
      </c>
      <c r="H1431">
        <v>0.56000000000000005</v>
      </c>
      <c r="M1431" t="s">
        <v>571</v>
      </c>
    </row>
    <row r="1432" spans="1:13">
      <c r="A1432" t="s">
        <v>385</v>
      </c>
      <c r="B1432">
        <v>1250594</v>
      </c>
      <c r="C1432">
        <v>10443</v>
      </c>
      <c r="D1432">
        <v>638912</v>
      </c>
      <c r="E1432">
        <v>5260</v>
      </c>
      <c r="F1432">
        <v>7313</v>
      </c>
      <c r="G1432">
        <v>4672213497</v>
      </c>
      <c r="H1432">
        <v>1.96</v>
      </c>
      <c r="M1432" t="s">
        <v>571</v>
      </c>
    </row>
    <row r="1433" spans="1:13">
      <c r="A1433" t="s">
        <v>386</v>
      </c>
      <c r="B1433">
        <v>1042393</v>
      </c>
      <c r="C1433">
        <v>8472</v>
      </c>
      <c r="D1433">
        <v>303205</v>
      </c>
      <c r="E1433">
        <v>2461</v>
      </c>
      <c r="F1433">
        <v>7241</v>
      </c>
      <c r="G1433">
        <v>2195654165</v>
      </c>
      <c r="H1433">
        <v>3.44</v>
      </c>
      <c r="M1433" t="s">
        <v>571</v>
      </c>
    </row>
    <row r="1434" spans="1:13">
      <c r="A1434" t="s">
        <v>387</v>
      </c>
      <c r="B1434">
        <v>4262678</v>
      </c>
      <c r="C1434">
        <v>35109</v>
      </c>
      <c r="D1434">
        <v>3961105</v>
      </c>
      <c r="E1434">
        <v>32986</v>
      </c>
      <c r="F1434">
        <v>7643</v>
      </c>
      <c r="G1434">
        <v>30274955151</v>
      </c>
      <c r="H1434">
        <v>1.08</v>
      </c>
      <c r="M1434" t="s">
        <v>571</v>
      </c>
    </row>
    <row r="1436" spans="1:13">
      <c r="M1436" t="s">
        <v>572</v>
      </c>
    </row>
    <row r="1437" spans="1:13">
      <c r="A1437" t="s">
        <v>373</v>
      </c>
      <c r="B1437" t="s">
        <v>389</v>
      </c>
      <c r="C1437" t="s">
        <v>390</v>
      </c>
      <c r="D1437" t="s">
        <v>391</v>
      </c>
      <c r="E1437" t="s">
        <v>406</v>
      </c>
      <c r="M1437" t="s">
        <v>572</v>
      </c>
    </row>
    <row r="1438" spans="1:13">
      <c r="A1438" t="s">
        <v>381</v>
      </c>
      <c r="B1438">
        <v>1294587</v>
      </c>
      <c r="C1438">
        <v>10396</v>
      </c>
      <c r="D1438">
        <v>34.799999999999997</v>
      </c>
      <c r="E1438">
        <v>32</v>
      </c>
      <c r="M1438" t="s">
        <v>572</v>
      </c>
    </row>
    <row r="1439" spans="1:13">
      <c r="A1439" t="s">
        <v>382</v>
      </c>
      <c r="B1439">
        <v>1255719</v>
      </c>
      <c r="C1439">
        <v>10143</v>
      </c>
      <c r="D1439">
        <v>35.5</v>
      </c>
      <c r="E1439">
        <v>27.3</v>
      </c>
      <c r="M1439" t="s">
        <v>572</v>
      </c>
    </row>
    <row r="1440" spans="1:13">
      <c r="A1440" t="s">
        <v>383</v>
      </c>
      <c r="B1440">
        <v>1184262</v>
      </c>
      <c r="C1440">
        <v>9751</v>
      </c>
      <c r="D1440">
        <v>21</v>
      </c>
      <c r="E1440">
        <v>11</v>
      </c>
      <c r="M1440" t="s">
        <v>572</v>
      </c>
    </row>
    <row r="1441" spans="1:13">
      <c r="A1441" t="s">
        <v>384</v>
      </c>
      <c r="B1441">
        <v>1680726</v>
      </c>
      <c r="C1441">
        <v>14502</v>
      </c>
      <c r="D1441">
        <v>10.5</v>
      </c>
      <c r="E1441">
        <v>15.8</v>
      </c>
      <c r="M1441" t="s">
        <v>572</v>
      </c>
    </row>
    <row r="1442" spans="1:13">
      <c r="A1442" t="s">
        <v>385</v>
      </c>
      <c r="B1442">
        <v>2506968</v>
      </c>
      <c r="C1442">
        <v>21127</v>
      </c>
      <c r="D1442">
        <v>47.1</v>
      </c>
      <c r="E1442">
        <v>63.9</v>
      </c>
      <c r="M1442" t="s">
        <v>572</v>
      </c>
    </row>
    <row r="1444" spans="1:13">
      <c r="M1444" t="s">
        <v>573</v>
      </c>
    </row>
    <row r="1445" spans="1:13">
      <c r="A1445" t="s">
        <v>373</v>
      </c>
      <c r="B1445" t="s">
        <v>374</v>
      </c>
      <c r="C1445" t="s">
        <v>375</v>
      </c>
      <c r="D1445" t="s">
        <v>376</v>
      </c>
      <c r="E1445" t="s">
        <v>377</v>
      </c>
      <c r="F1445" t="s">
        <v>378</v>
      </c>
      <c r="G1445" t="s">
        <v>379</v>
      </c>
      <c r="H1445" t="s">
        <v>380</v>
      </c>
      <c r="M1445" t="s">
        <v>573</v>
      </c>
    </row>
    <row r="1446" spans="1:13">
      <c r="A1446" t="s">
        <v>382</v>
      </c>
      <c r="B1446">
        <v>16492784</v>
      </c>
      <c r="C1446">
        <v>94029</v>
      </c>
      <c r="D1446">
        <v>14260384</v>
      </c>
      <c r="E1446">
        <v>104621</v>
      </c>
      <c r="F1446">
        <v>32322</v>
      </c>
      <c r="G1446">
        <v>460925409866</v>
      </c>
      <c r="H1446">
        <v>1.1599999999999999</v>
      </c>
      <c r="M1446" t="s">
        <v>573</v>
      </c>
    </row>
    <row r="1447" spans="1:13">
      <c r="A1447" t="s">
        <v>383</v>
      </c>
      <c r="B1447">
        <v>20129514</v>
      </c>
      <c r="C1447">
        <v>123461</v>
      </c>
      <c r="D1447">
        <v>12342110</v>
      </c>
      <c r="E1447">
        <v>97191</v>
      </c>
      <c r="F1447">
        <v>33544</v>
      </c>
      <c r="G1447">
        <v>414005339537</v>
      </c>
      <c r="H1447">
        <v>1.63</v>
      </c>
      <c r="M1447" t="s">
        <v>573</v>
      </c>
    </row>
    <row r="1448" spans="1:13">
      <c r="A1448" t="s">
        <v>384</v>
      </c>
      <c r="B1448">
        <v>26167638</v>
      </c>
      <c r="C1448">
        <v>177222</v>
      </c>
      <c r="D1448">
        <v>23437209</v>
      </c>
      <c r="E1448">
        <v>208731</v>
      </c>
      <c r="F1448">
        <v>31143</v>
      </c>
      <c r="G1448">
        <v>729899979889</v>
      </c>
      <c r="H1448">
        <v>1.1200000000000001</v>
      </c>
      <c r="M1448" t="s">
        <v>573</v>
      </c>
    </row>
    <row r="1449" spans="1:13">
      <c r="A1449" t="s">
        <v>385</v>
      </c>
      <c r="B1449">
        <v>23239554</v>
      </c>
      <c r="C1449">
        <v>185008</v>
      </c>
      <c r="D1449">
        <v>16168907</v>
      </c>
      <c r="E1449">
        <v>152266</v>
      </c>
      <c r="F1449">
        <v>28321</v>
      </c>
      <c r="G1449">
        <v>457919068421</v>
      </c>
      <c r="H1449">
        <v>1.44</v>
      </c>
      <c r="M1449" t="s">
        <v>573</v>
      </c>
    </row>
    <row r="1450" spans="1:13">
      <c r="A1450" t="s">
        <v>386</v>
      </c>
      <c r="B1450">
        <v>19227927</v>
      </c>
      <c r="C1450">
        <v>164124</v>
      </c>
      <c r="D1450">
        <v>14378041</v>
      </c>
      <c r="E1450">
        <v>134997</v>
      </c>
      <c r="F1450">
        <v>27458</v>
      </c>
      <c r="G1450">
        <v>394786421262</v>
      </c>
      <c r="H1450">
        <v>1.34</v>
      </c>
      <c r="M1450" t="s">
        <v>573</v>
      </c>
    </row>
    <row r="1451" spans="1:13">
      <c r="A1451" t="s">
        <v>387</v>
      </c>
      <c r="B1451">
        <v>105257416</v>
      </c>
      <c r="C1451">
        <v>743844</v>
      </c>
      <c r="D1451">
        <v>80586651</v>
      </c>
      <c r="E1451">
        <v>697806</v>
      </c>
      <c r="F1451">
        <v>30496</v>
      </c>
      <c r="G1451">
        <v>2457536218976</v>
      </c>
      <c r="H1451">
        <v>1.31</v>
      </c>
      <c r="M1451" t="s">
        <v>573</v>
      </c>
    </row>
    <row r="1453" spans="1:13">
      <c r="M1453" t="s">
        <v>574</v>
      </c>
    </row>
    <row r="1454" spans="1:13">
      <c r="A1454" t="s">
        <v>373</v>
      </c>
      <c r="B1454" t="s">
        <v>389</v>
      </c>
      <c r="C1454" t="s">
        <v>390</v>
      </c>
      <c r="D1454" t="s">
        <v>391</v>
      </c>
      <c r="M1454" t="s">
        <v>574</v>
      </c>
    </row>
    <row r="1455" spans="1:13">
      <c r="A1455" t="s">
        <v>382</v>
      </c>
      <c r="B1455">
        <v>3788853</v>
      </c>
      <c r="C1455">
        <v>33273</v>
      </c>
      <c r="D1455">
        <v>4.5</v>
      </c>
      <c r="M1455" t="s">
        <v>574</v>
      </c>
    </row>
    <row r="1456" spans="1:13">
      <c r="A1456" t="s">
        <v>383</v>
      </c>
      <c r="B1456">
        <v>4555431</v>
      </c>
      <c r="C1456">
        <v>40499</v>
      </c>
      <c r="D1456">
        <v>5.8</v>
      </c>
      <c r="M1456" t="s">
        <v>574</v>
      </c>
    </row>
    <row r="1457" spans="1:13">
      <c r="A1457" t="s">
        <v>384</v>
      </c>
      <c r="B1457">
        <v>3455661</v>
      </c>
      <c r="C1457">
        <v>31538</v>
      </c>
      <c r="D1457">
        <v>2.2000000000000002</v>
      </c>
      <c r="M1457" t="s">
        <v>574</v>
      </c>
    </row>
    <row r="1458" spans="1:13">
      <c r="A1458" t="s">
        <v>385</v>
      </c>
      <c r="B1458">
        <v>7885524</v>
      </c>
      <c r="C1458">
        <v>70293</v>
      </c>
      <c r="D1458">
        <v>7.9</v>
      </c>
      <c r="M1458" t="s">
        <v>574</v>
      </c>
    </row>
    <row r="1459" spans="1:13">
      <c r="A1459" t="s">
        <v>386</v>
      </c>
      <c r="B1459">
        <v>3625286</v>
      </c>
      <c r="C1459">
        <v>29454</v>
      </c>
      <c r="D1459">
        <v>4.0999999999999996</v>
      </c>
      <c r="M1459" t="s">
        <v>574</v>
      </c>
    </row>
    <row r="1461" spans="1:13">
      <c r="M1461" t="s">
        <v>575</v>
      </c>
    </row>
    <row r="1462" spans="1:13">
      <c r="A1462" t="s">
        <v>373</v>
      </c>
      <c r="B1462" t="s">
        <v>374</v>
      </c>
      <c r="C1462" t="s">
        <v>375</v>
      </c>
      <c r="D1462" t="s">
        <v>376</v>
      </c>
      <c r="E1462" t="s">
        <v>377</v>
      </c>
      <c r="F1462" t="s">
        <v>378</v>
      </c>
      <c r="G1462" t="s">
        <v>379</v>
      </c>
      <c r="H1462" t="s">
        <v>380</v>
      </c>
      <c r="M1462" t="s">
        <v>575</v>
      </c>
    </row>
    <row r="1463" spans="1:13">
      <c r="A1463" t="s">
        <v>384</v>
      </c>
      <c r="B1463">
        <v>0</v>
      </c>
      <c r="C1463">
        <v>0</v>
      </c>
      <c r="D1463">
        <v>468577</v>
      </c>
      <c r="E1463">
        <v>4036</v>
      </c>
      <c r="F1463">
        <v>6608</v>
      </c>
      <c r="G1463">
        <v>3096556295</v>
      </c>
      <c r="H1463">
        <v>0</v>
      </c>
      <c r="M1463" t="s">
        <v>575</v>
      </c>
    </row>
    <row r="1464" spans="1:13">
      <c r="A1464" t="s">
        <v>385</v>
      </c>
      <c r="B1464">
        <v>0</v>
      </c>
      <c r="C1464">
        <v>0</v>
      </c>
      <c r="D1464">
        <v>3273712</v>
      </c>
      <c r="E1464">
        <v>27582</v>
      </c>
      <c r="F1464">
        <v>6844</v>
      </c>
      <c r="G1464">
        <v>22405418710</v>
      </c>
      <c r="H1464">
        <v>0</v>
      </c>
      <c r="M1464" t="s">
        <v>575</v>
      </c>
    </row>
    <row r="1465" spans="1:13">
      <c r="A1465" t="s">
        <v>386</v>
      </c>
      <c r="B1465">
        <v>0</v>
      </c>
      <c r="C1465">
        <v>0</v>
      </c>
      <c r="D1465">
        <v>3148861</v>
      </c>
      <c r="E1465">
        <v>26330</v>
      </c>
      <c r="F1465">
        <v>7081</v>
      </c>
      <c r="G1465">
        <v>22298615468</v>
      </c>
      <c r="H1465">
        <v>0</v>
      </c>
      <c r="M1465" t="s">
        <v>575</v>
      </c>
    </row>
    <row r="1466" spans="1:13">
      <c r="A1466" t="s">
        <v>393</v>
      </c>
      <c r="B1466">
        <v>0</v>
      </c>
      <c r="C1466">
        <v>0</v>
      </c>
      <c r="D1466">
        <v>4325713</v>
      </c>
      <c r="E1466">
        <v>36293</v>
      </c>
      <c r="F1466">
        <v>6826</v>
      </c>
      <c r="G1466">
        <v>29529349012</v>
      </c>
      <c r="H1466">
        <v>0</v>
      </c>
      <c r="M1466" t="s">
        <v>575</v>
      </c>
    </row>
    <row r="1467" spans="1:13">
      <c r="A1467" t="s">
        <v>435</v>
      </c>
      <c r="B1467">
        <v>2258643</v>
      </c>
      <c r="C1467">
        <v>19083</v>
      </c>
      <c r="D1467">
        <v>2707267</v>
      </c>
      <c r="E1467">
        <v>24233</v>
      </c>
      <c r="F1467">
        <v>5321</v>
      </c>
      <c r="G1467">
        <v>14404875845</v>
      </c>
      <c r="H1467">
        <v>0.83</v>
      </c>
      <c r="M1467" t="s">
        <v>575</v>
      </c>
    </row>
    <row r="1468" spans="1:13">
      <c r="A1468" t="s">
        <v>505</v>
      </c>
      <c r="B1468">
        <v>2566911</v>
      </c>
      <c r="C1468">
        <v>22621</v>
      </c>
      <c r="D1468">
        <v>2098217</v>
      </c>
      <c r="E1468">
        <v>18755</v>
      </c>
      <c r="F1468">
        <v>4457</v>
      </c>
      <c r="G1468">
        <v>9352338214</v>
      </c>
      <c r="H1468">
        <v>1.22</v>
      </c>
      <c r="M1468" t="s">
        <v>575</v>
      </c>
    </row>
    <row r="1469" spans="1:13">
      <c r="A1469" t="s">
        <v>387</v>
      </c>
      <c r="B1469">
        <v>4825554</v>
      </c>
      <c r="C1469">
        <v>41704</v>
      </c>
      <c r="D1469">
        <v>16022348</v>
      </c>
      <c r="E1469">
        <v>137229</v>
      </c>
      <c r="F1469">
        <v>6309</v>
      </c>
      <c r="G1469">
        <v>101087153545</v>
      </c>
      <c r="H1469">
        <v>0.3</v>
      </c>
      <c r="M1469" t="s">
        <v>575</v>
      </c>
    </row>
    <row r="1471" spans="1:13">
      <c r="M1471" t="s">
        <v>576</v>
      </c>
    </row>
    <row r="1472" spans="1:13">
      <c r="A1472" t="s">
        <v>373</v>
      </c>
      <c r="B1472" t="s">
        <v>374</v>
      </c>
      <c r="C1472" t="s">
        <v>375</v>
      </c>
      <c r="D1472" t="s">
        <v>376</v>
      </c>
      <c r="E1472" t="s">
        <v>377</v>
      </c>
      <c r="F1472" t="s">
        <v>378</v>
      </c>
      <c r="G1472" t="s">
        <v>379</v>
      </c>
      <c r="H1472" t="s">
        <v>380</v>
      </c>
      <c r="M1472" t="s">
        <v>576</v>
      </c>
    </row>
    <row r="1473" spans="1:13">
      <c r="A1473" t="s">
        <v>382</v>
      </c>
      <c r="B1473">
        <v>230398</v>
      </c>
      <c r="C1473">
        <v>1919</v>
      </c>
      <c r="D1473">
        <v>378397</v>
      </c>
      <c r="E1473">
        <v>3482</v>
      </c>
      <c r="F1473">
        <v>17669</v>
      </c>
      <c r="G1473">
        <v>6685848662</v>
      </c>
      <c r="H1473">
        <v>0.61</v>
      </c>
      <c r="M1473" t="s">
        <v>576</v>
      </c>
    </row>
    <row r="1474" spans="1:13">
      <c r="A1474" t="s">
        <v>383</v>
      </c>
      <c r="B1474">
        <v>786122</v>
      </c>
      <c r="C1474">
        <v>7103</v>
      </c>
      <c r="D1474">
        <v>610770</v>
      </c>
      <c r="E1474">
        <v>5396</v>
      </c>
      <c r="F1474">
        <v>19839</v>
      </c>
      <c r="G1474">
        <v>12117365876</v>
      </c>
      <c r="H1474">
        <v>1.29</v>
      </c>
      <c r="M1474" t="s">
        <v>576</v>
      </c>
    </row>
    <row r="1475" spans="1:13">
      <c r="A1475" t="s">
        <v>384</v>
      </c>
      <c r="B1475">
        <v>1209094</v>
      </c>
      <c r="C1475">
        <v>11033</v>
      </c>
      <c r="D1475">
        <v>1307433</v>
      </c>
      <c r="E1475">
        <v>12127</v>
      </c>
      <c r="F1475">
        <v>17143</v>
      </c>
      <c r="G1475">
        <v>22412795009</v>
      </c>
      <c r="H1475">
        <v>0.92</v>
      </c>
      <c r="M1475" t="s">
        <v>576</v>
      </c>
    </row>
    <row r="1476" spans="1:13">
      <c r="A1476" t="s">
        <v>385</v>
      </c>
      <c r="B1476">
        <v>1750320</v>
      </c>
      <c r="C1476">
        <v>15879</v>
      </c>
      <c r="D1476">
        <v>956069</v>
      </c>
      <c r="E1476">
        <v>8427</v>
      </c>
      <c r="F1476">
        <v>16883</v>
      </c>
      <c r="G1476">
        <v>16141694800</v>
      </c>
      <c r="H1476">
        <v>1.83</v>
      </c>
      <c r="M1476" t="s">
        <v>576</v>
      </c>
    </row>
    <row r="1477" spans="1:13">
      <c r="A1477" t="s">
        <v>386</v>
      </c>
      <c r="B1477">
        <v>821132</v>
      </c>
      <c r="C1477">
        <v>7049</v>
      </c>
      <c r="D1477">
        <v>61736</v>
      </c>
      <c r="E1477">
        <v>510</v>
      </c>
      <c r="F1477">
        <v>16077</v>
      </c>
      <c r="G1477">
        <v>992534306</v>
      </c>
      <c r="H1477">
        <v>13.3</v>
      </c>
      <c r="M1477" t="s">
        <v>576</v>
      </c>
    </row>
    <row r="1478" spans="1:13">
      <c r="A1478" t="s">
        <v>393</v>
      </c>
      <c r="B1478">
        <v>77558</v>
      </c>
      <c r="C1478">
        <v>538</v>
      </c>
      <c r="D1478">
        <v>88869</v>
      </c>
      <c r="E1478">
        <v>649</v>
      </c>
      <c r="F1478">
        <v>16095</v>
      </c>
      <c r="G1478">
        <v>1430319180</v>
      </c>
      <c r="H1478">
        <v>0.87</v>
      </c>
      <c r="M1478" t="s">
        <v>576</v>
      </c>
    </row>
    <row r="1479" spans="1:13">
      <c r="A1479" t="s">
        <v>387</v>
      </c>
      <c r="B1479">
        <v>4874624</v>
      </c>
      <c r="C1479">
        <v>43521</v>
      </c>
      <c r="D1479">
        <v>3403275</v>
      </c>
      <c r="E1479">
        <v>30591</v>
      </c>
      <c r="F1479">
        <v>17566</v>
      </c>
      <c r="G1479">
        <v>59780557833</v>
      </c>
      <c r="H1479">
        <v>1.43</v>
      </c>
      <c r="M1479" t="s">
        <v>576</v>
      </c>
    </row>
    <row r="1481" spans="1:13">
      <c r="M1481" t="s">
        <v>577</v>
      </c>
    </row>
    <row r="1482" spans="1:13">
      <c r="A1482" t="s">
        <v>373</v>
      </c>
      <c r="B1482" t="s">
        <v>389</v>
      </c>
      <c r="C1482" t="s">
        <v>390</v>
      </c>
      <c r="D1482" t="s">
        <v>391</v>
      </c>
      <c r="M1482" t="s">
        <v>577</v>
      </c>
    </row>
    <row r="1483" spans="1:13">
      <c r="A1483" t="s">
        <v>382</v>
      </c>
      <c r="B1483">
        <v>1031713</v>
      </c>
      <c r="C1483">
        <v>10137</v>
      </c>
      <c r="D1483">
        <v>16.3</v>
      </c>
      <c r="M1483" t="s">
        <v>577</v>
      </c>
    </row>
    <row r="1484" spans="1:13">
      <c r="A1484" t="s">
        <v>383</v>
      </c>
      <c r="B1484">
        <v>1075413</v>
      </c>
      <c r="C1484">
        <v>10786</v>
      </c>
      <c r="D1484">
        <v>22.2</v>
      </c>
      <c r="M1484" t="s">
        <v>577</v>
      </c>
    </row>
    <row r="1485" spans="1:13">
      <c r="A1485" t="s">
        <v>384</v>
      </c>
      <c r="B1485">
        <v>919716</v>
      </c>
      <c r="C1485">
        <v>9313</v>
      </c>
      <c r="D1485">
        <v>9.1</v>
      </c>
      <c r="M1485" t="s">
        <v>577</v>
      </c>
    </row>
    <row r="1486" spans="1:13">
      <c r="A1486" t="s">
        <v>385</v>
      </c>
      <c r="B1486">
        <v>1060198</v>
      </c>
      <c r="C1486">
        <v>10332</v>
      </c>
      <c r="D1486">
        <v>14.1</v>
      </c>
      <c r="M1486" t="s">
        <v>577</v>
      </c>
    </row>
    <row r="1487" spans="1:13">
      <c r="A1487" t="s">
        <v>386</v>
      </c>
      <c r="B1487">
        <v>0</v>
      </c>
      <c r="C1487">
        <v>0</v>
      </c>
      <c r="D1487">
        <v>0</v>
      </c>
      <c r="M1487" t="s">
        <v>577</v>
      </c>
    </row>
    <row r="1488" spans="1:13">
      <c r="A1488" t="s">
        <v>393</v>
      </c>
      <c r="B1488">
        <v>0</v>
      </c>
      <c r="C1488">
        <v>0</v>
      </c>
      <c r="D1488">
        <v>0</v>
      </c>
      <c r="M1488" t="s">
        <v>577</v>
      </c>
    </row>
    <row r="1490" spans="1:13">
      <c r="M1490" t="s">
        <v>578</v>
      </c>
    </row>
    <row r="1491" spans="1:13">
      <c r="A1491" t="s">
        <v>373</v>
      </c>
      <c r="B1491" t="s">
        <v>374</v>
      </c>
      <c r="C1491" t="s">
        <v>375</v>
      </c>
      <c r="D1491" t="s">
        <v>376</v>
      </c>
      <c r="E1491" t="s">
        <v>377</v>
      </c>
      <c r="F1491" t="s">
        <v>378</v>
      </c>
      <c r="G1491" t="s">
        <v>379</v>
      </c>
      <c r="H1491" t="s">
        <v>380</v>
      </c>
      <c r="M1491" t="s">
        <v>578</v>
      </c>
    </row>
    <row r="1492" spans="1:13">
      <c r="A1492" t="s">
        <v>381</v>
      </c>
      <c r="B1492">
        <v>0</v>
      </c>
      <c r="C1492">
        <v>0</v>
      </c>
      <c r="D1492">
        <v>8824</v>
      </c>
      <c r="E1492">
        <v>76</v>
      </c>
      <c r="F1492">
        <v>20293</v>
      </c>
      <c r="G1492">
        <v>179075598</v>
      </c>
      <c r="H1492">
        <v>0</v>
      </c>
      <c r="M1492" t="s">
        <v>578</v>
      </c>
    </row>
    <row r="1493" spans="1:13">
      <c r="A1493" t="s">
        <v>382</v>
      </c>
      <c r="B1493">
        <v>114671</v>
      </c>
      <c r="C1493">
        <v>1032</v>
      </c>
      <c r="D1493">
        <v>169364</v>
      </c>
      <c r="E1493">
        <v>1471</v>
      </c>
      <c r="F1493">
        <v>18035</v>
      </c>
      <c r="G1493">
        <v>3054423783</v>
      </c>
      <c r="H1493">
        <v>0.68</v>
      </c>
      <c r="M1493" t="s">
        <v>578</v>
      </c>
    </row>
    <row r="1494" spans="1:13">
      <c r="A1494" t="s">
        <v>383</v>
      </c>
      <c r="B1494">
        <v>389545</v>
      </c>
      <c r="C1494">
        <v>3464</v>
      </c>
      <c r="D1494">
        <v>248588</v>
      </c>
      <c r="E1494">
        <v>2174</v>
      </c>
      <c r="F1494">
        <v>18889</v>
      </c>
      <c r="G1494">
        <v>4695669042</v>
      </c>
      <c r="H1494">
        <v>1.57</v>
      </c>
      <c r="M1494" t="s">
        <v>578</v>
      </c>
    </row>
    <row r="1495" spans="1:13">
      <c r="A1495" t="s">
        <v>384</v>
      </c>
      <c r="B1495">
        <v>451033</v>
      </c>
      <c r="C1495">
        <v>4160</v>
      </c>
      <c r="D1495">
        <v>395783</v>
      </c>
      <c r="E1495">
        <v>3606</v>
      </c>
      <c r="F1495">
        <v>18819</v>
      </c>
      <c r="G1495">
        <v>7448300791</v>
      </c>
      <c r="H1495">
        <v>1.1399999999999999</v>
      </c>
      <c r="M1495" t="s">
        <v>578</v>
      </c>
    </row>
    <row r="1496" spans="1:13">
      <c r="A1496" t="s">
        <v>385</v>
      </c>
      <c r="B1496">
        <v>318341</v>
      </c>
      <c r="C1496">
        <v>2919</v>
      </c>
      <c r="D1496">
        <v>298260</v>
      </c>
      <c r="E1496">
        <v>2682</v>
      </c>
      <c r="F1496">
        <v>17998</v>
      </c>
      <c r="G1496">
        <v>5368107580</v>
      </c>
      <c r="H1496">
        <v>1.07</v>
      </c>
      <c r="M1496" t="s">
        <v>578</v>
      </c>
    </row>
    <row r="1497" spans="1:13">
      <c r="A1497" t="s">
        <v>386</v>
      </c>
      <c r="B1497">
        <v>245928</v>
      </c>
      <c r="C1497">
        <v>2117</v>
      </c>
      <c r="D1497">
        <v>197496</v>
      </c>
      <c r="E1497">
        <v>1688</v>
      </c>
      <c r="F1497">
        <v>17600</v>
      </c>
      <c r="G1497">
        <v>3475840953</v>
      </c>
      <c r="H1497">
        <v>1.25</v>
      </c>
      <c r="M1497" t="s">
        <v>578</v>
      </c>
    </row>
    <row r="1498" spans="1:13">
      <c r="A1498" t="s">
        <v>387</v>
      </c>
      <c r="B1498">
        <v>1519518</v>
      </c>
      <c r="C1498">
        <v>13692</v>
      </c>
      <c r="D1498">
        <v>1318316</v>
      </c>
      <c r="E1498">
        <v>11697</v>
      </c>
      <c r="F1498">
        <v>18373</v>
      </c>
      <c r="G1498">
        <v>24221417747</v>
      </c>
      <c r="H1498">
        <v>1.1499999999999999</v>
      </c>
      <c r="M1498" t="s">
        <v>578</v>
      </c>
    </row>
    <row r="1500" spans="1:13">
      <c r="M1500" t="s">
        <v>579</v>
      </c>
    </row>
    <row r="1501" spans="1:13">
      <c r="A1501" t="s">
        <v>373</v>
      </c>
      <c r="B1501" t="s">
        <v>389</v>
      </c>
      <c r="C1501" t="s">
        <v>390</v>
      </c>
      <c r="D1501" t="s">
        <v>391</v>
      </c>
      <c r="E1501" t="s">
        <v>406</v>
      </c>
      <c r="M1501" t="s">
        <v>579</v>
      </c>
    </row>
    <row r="1502" spans="1:13">
      <c r="A1502" t="s">
        <v>381</v>
      </c>
      <c r="B1502">
        <v>470925</v>
      </c>
      <c r="C1502">
        <v>4343</v>
      </c>
      <c r="D1502">
        <v>34.299999999999997</v>
      </c>
      <c r="E1502">
        <v>27.7</v>
      </c>
      <c r="M1502" t="s">
        <v>579</v>
      </c>
    </row>
    <row r="1503" spans="1:13">
      <c r="A1503" t="s">
        <v>382</v>
      </c>
      <c r="B1503">
        <v>477565</v>
      </c>
      <c r="C1503">
        <v>4397</v>
      </c>
      <c r="D1503">
        <v>33.799999999999997</v>
      </c>
      <c r="E1503">
        <v>27.4</v>
      </c>
      <c r="M1503" t="s">
        <v>579</v>
      </c>
    </row>
    <row r="1504" spans="1:13">
      <c r="A1504" t="s">
        <v>383</v>
      </c>
      <c r="B1504">
        <v>565804</v>
      </c>
      <c r="C1504">
        <v>5063</v>
      </c>
      <c r="D1504">
        <v>27.3</v>
      </c>
      <c r="E1504">
        <v>21.1</v>
      </c>
      <c r="M1504" t="s">
        <v>579</v>
      </c>
    </row>
    <row r="1505" spans="1:13">
      <c r="A1505" t="s">
        <v>384</v>
      </c>
      <c r="B1505">
        <v>452507</v>
      </c>
      <c r="C1505">
        <v>3984</v>
      </c>
      <c r="D1505">
        <v>13.7</v>
      </c>
      <c r="E1505">
        <v>15.6</v>
      </c>
      <c r="M1505" t="s">
        <v>579</v>
      </c>
    </row>
    <row r="1506" spans="1:13">
      <c r="A1506" t="s">
        <v>385</v>
      </c>
      <c r="B1506">
        <v>457789</v>
      </c>
      <c r="C1506">
        <v>3957</v>
      </c>
      <c r="D1506">
        <v>18.399999999999999</v>
      </c>
      <c r="E1506">
        <v>22.2</v>
      </c>
      <c r="M1506" t="s">
        <v>579</v>
      </c>
    </row>
    <row r="1507" spans="1:13">
      <c r="A1507" t="s">
        <v>386</v>
      </c>
      <c r="B1507">
        <v>398065</v>
      </c>
      <c r="C1507">
        <v>3809</v>
      </c>
      <c r="D1507">
        <v>24.2</v>
      </c>
      <c r="E1507">
        <v>22</v>
      </c>
      <c r="M1507" t="s">
        <v>579</v>
      </c>
    </row>
    <row r="1509" spans="1:13">
      <c r="M1509" t="s">
        <v>580</v>
      </c>
    </row>
    <row r="1510" spans="1:13">
      <c r="A1510" t="s">
        <v>373</v>
      </c>
      <c r="B1510" t="s">
        <v>374</v>
      </c>
      <c r="C1510" t="s">
        <v>375</v>
      </c>
      <c r="D1510" t="s">
        <v>376</v>
      </c>
      <c r="E1510" t="s">
        <v>377</v>
      </c>
      <c r="F1510" t="s">
        <v>378</v>
      </c>
      <c r="G1510" t="s">
        <v>379</v>
      </c>
      <c r="H1510" t="s">
        <v>380</v>
      </c>
      <c r="M1510" t="s">
        <v>580</v>
      </c>
    </row>
    <row r="1511" spans="1:13">
      <c r="A1511" t="s">
        <v>382</v>
      </c>
      <c r="B1511">
        <v>8728103</v>
      </c>
      <c r="C1511">
        <v>72622</v>
      </c>
      <c r="D1511">
        <v>10402600</v>
      </c>
      <c r="E1511">
        <v>87310</v>
      </c>
      <c r="F1511">
        <v>16780</v>
      </c>
      <c r="G1511">
        <v>174557325202</v>
      </c>
      <c r="H1511">
        <v>0.84</v>
      </c>
      <c r="M1511" t="s">
        <v>580</v>
      </c>
    </row>
    <row r="1512" spans="1:13">
      <c r="A1512" t="s">
        <v>383</v>
      </c>
      <c r="B1512">
        <v>9542980</v>
      </c>
      <c r="C1512">
        <v>82409</v>
      </c>
      <c r="D1512">
        <v>10003299</v>
      </c>
      <c r="E1512">
        <v>85123</v>
      </c>
      <c r="F1512">
        <v>16055</v>
      </c>
      <c r="G1512">
        <v>160600441315</v>
      </c>
      <c r="H1512">
        <v>0.95</v>
      </c>
      <c r="M1512" t="s">
        <v>580</v>
      </c>
    </row>
    <row r="1513" spans="1:13">
      <c r="A1513" t="s">
        <v>384</v>
      </c>
      <c r="B1513">
        <v>20199553</v>
      </c>
      <c r="C1513">
        <v>174962</v>
      </c>
      <c r="D1513">
        <v>19267194</v>
      </c>
      <c r="E1513">
        <v>165773</v>
      </c>
      <c r="F1513">
        <v>16690</v>
      </c>
      <c r="G1513">
        <v>321576516422</v>
      </c>
      <c r="H1513">
        <v>1.05</v>
      </c>
      <c r="M1513" t="s">
        <v>580</v>
      </c>
    </row>
    <row r="1514" spans="1:13">
      <c r="A1514" t="s">
        <v>385</v>
      </c>
      <c r="B1514">
        <v>20794466</v>
      </c>
      <c r="C1514">
        <v>177869</v>
      </c>
      <c r="D1514">
        <v>17264415</v>
      </c>
      <c r="E1514">
        <v>150033</v>
      </c>
      <c r="F1514">
        <v>14840</v>
      </c>
      <c r="G1514">
        <v>256201232358</v>
      </c>
      <c r="H1514">
        <v>1.2</v>
      </c>
      <c r="M1514" t="s">
        <v>580</v>
      </c>
    </row>
    <row r="1515" spans="1:13">
      <c r="A1515" t="s">
        <v>386</v>
      </c>
      <c r="B1515">
        <v>24203450</v>
      </c>
      <c r="C1515">
        <v>208853</v>
      </c>
      <c r="D1515">
        <v>20669169</v>
      </c>
      <c r="E1515">
        <v>181297</v>
      </c>
      <c r="F1515">
        <v>12862</v>
      </c>
      <c r="G1515">
        <v>265847160371</v>
      </c>
      <c r="H1515">
        <v>1.17</v>
      </c>
      <c r="M1515" t="s">
        <v>580</v>
      </c>
    </row>
    <row r="1516" spans="1:13">
      <c r="A1516" t="s">
        <v>387</v>
      </c>
      <c r="B1516">
        <v>83468553</v>
      </c>
      <c r="C1516">
        <v>716715</v>
      </c>
      <c r="D1516">
        <v>77606677</v>
      </c>
      <c r="E1516">
        <v>669536</v>
      </c>
      <c r="F1516">
        <v>15189</v>
      </c>
      <c r="G1516">
        <v>1178782675667</v>
      </c>
      <c r="H1516">
        <v>1.08</v>
      </c>
      <c r="M1516" t="s">
        <v>580</v>
      </c>
    </row>
    <row r="1518" spans="1:13">
      <c r="M1518" t="s">
        <v>581</v>
      </c>
    </row>
    <row r="1519" spans="1:13">
      <c r="A1519" t="s">
        <v>373</v>
      </c>
      <c r="B1519" t="s">
        <v>389</v>
      </c>
      <c r="C1519" t="s">
        <v>390</v>
      </c>
      <c r="D1519" t="s">
        <v>391</v>
      </c>
      <c r="E1519" t="s">
        <v>406</v>
      </c>
      <c r="M1519" t="s">
        <v>581</v>
      </c>
    </row>
    <row r="1520" spans="1:13">
      <c r="A1520" t="s">
        <v>381</v>
      </c>
      <c r="B1520">
        <v>15455687</v>
      </c>
      <c r="C1520">
        <v>130821</v>
      </c>
      <c r="D1520">
        <v>18.5</v>
      </c>
      <c r="E1520">
        <v>18.600000000000001</v>
      </c>
      <c r="M1520" t="s">
        <v>581</v>
      </c>
    </row>
    <row r="1521" spans="1:13">
      <c r="A1521" t="s">
        <v>382</v>
      </c>
      <c r="B1521">
        <v>15528464</v>
      </c>
      <c r="C1521">
        <v>131350</v>
      </c>
      <c r="D1521">
        <v>17.899999999999999</v>
      </c>
      <c r="E1521">
        <v>18.3</v>
      </c>
      <c r="M1521" t="s">
        <v>581</v>
      </c>
    </row>
    <row r="1522" spans="1:13">
      <c r="A1522" t="s">
        <v>383</v>
      </c>
      <c r="B1522">
        <v>16951874</v>
      </c>
      <c r="C1522">
        <v>144468</v>
      </c>
      <c r="D1522">
        <v>20.3</v>
      </c>
      <c r="E1522">
        <v>13.9</v>
      </c>
      <c r="M1522" t="s">
        <v>581</v>
      </c>
    </row>
    <row r="1523" spans="1:13">
      <c r="A1523" t="s">
        <v>384</v>
      </c>
      <c r="B1523">
        <v>17523306</v>
      </c>
      <c r="C1523">
        <v>148440</v>
      </c>
      <c r="D1523">
        <v>10.9</v>
      </c>
      <c r="E1523">
        <v>11.5</v>
      </c>
      <c r="M1523" t="s">
        <v>581</v>
      </c>
    </row>
    <row r="1524" spans="1:13">
      <c r="A1524" t="s">
        <v>385</v>
      </c>
      <c r="B1524">
        <v>15215406</v>
      </c>
      <c r="C1524">
        <v>126681</v>
      </c>
      <c r="D1524">
        <v>10.6</v>
      </c>
      <c r="E1524">
        <v>9.6</v>
      </c>
      <c r="M1524" t="s">
        <v>581</v>
      </c>
    </row>
    <row r="1525" spans="1:13">
      <c r="A1525" t="s">
        <v>386</v>
      </c>
      <c r="B1525">
        <v>7478582</v>
      </c>
      <c r="C1525">
        <v>60928</v>
      </c>
      <c r="D1525">
        <v>4.3</v>
      </c>
      <c r="E1525">
        <v>4.8</v>
      </c>
      <c r="M1525" t="s">
        <v>581</v>
      </c>
    </row>
    <row r="1527" spans="1:13">
      <c r="M1527" t="s">
        <v>582</v>
      </c>
    </row>
    <row r="1528" spans="1:13">
      <c r="A1528" t="s">
        <v>373</v>
      </c>
      <c r="B1528" t="s">
        <v>374</v>
      </c>
      <c r="C1528" t="s">
        <v>375</v>
      </c>
      <c r="D1528" t="s">
        <v>376</v>
      </c>
      <c r="E1528" t="s">
        <v>377</v>
      </c>
      <c r="F1528" t="s">
        <v>378</v>
      </c>
      <c r="G1528" t="s">
        <v>379</v>
      </c>
      <c r="H1528" t="s">
        <v>380</v>
      </c>
      <c r="M1528" t="s">
        <v>582</v>
      </c>
    </row>
    <row r="1529" spans="1:13">
      <c r="A1529" t="s">
        <v>383</v>
      </c>
      <c r="B1529">
        <v>650003</v>
      </c>
      <c r="C1529">
        <v>5350</v>
      </c>
      <c r="D1529">
        <v>678306</v>
      </c>
      <c r="E1529">
        <v>5448</v>
      </c>
      <c r="F1529">
        <v>5285</v>
      </c>
      <c r="G1529">
        <v>3585083681</v>
      </c>
      <c r="H1529">
        <v>0.96</v>
      </c>
      <c r="M1529" t="s">
        <v>582</v>
      </c>
    </row>
    <row r="1530" spans="1:13">
      <c r="A1530" t="s">
        <v>384</v>
      </c>
      <c r="B1530">
        <v>1788340</v>
      </c>
      <c r="C1530">
        <v>14837</v>
      </c>
      <c r="D1530">
        <v>1472680</v>
      </c>
      <c r="E1530">
        <v>12955</v>
      </c>
      <c r="F1530">
        <v>5250</v>
      </c>
      <c r="G1530">
        <v>7731806437</v>
      </c>
      <c r="H1530">
        <v>1.21</v>
      </c>
      <c r="M1530" t="s">
        <v>582</v>
      </c>
    </row>
    <row r="1531" spans="1:13">
      <c r="A1531" t="s">
        <v>385</v>
      </c>
      <c r="B1531">
        <v>2024895</v>
      </c>
      <c r="C1531">
        <v>18536</v>
      </c>
      <c r="D1531">
        <v>1079339</v>
      </c>
      <c r="E1531">
        <v>9253</v>
      </c>
      <c r="F1531">
        <v>5227</v>
      </c>
      <c r="G1531">
        <v>5641799736</v>
      </c>
      <c r="H1531">
        <v>1.88</v>
      </c>
      <c r="M1531" t="s">
        <v>582</v>
      </c>
    </row>
    <row r="1532" spans="1:13">
      <c r="A1532" t="s">
        <v>386</v>
      </c>
      <c r="B1532">
        <v>2299711</v>
      </c>
      <c r="C1532">
        <v>19803</v>
      </c>
      <c r="D1532">
        <v>0</v>
      </c>
      <c r="E1532">
        <v>0</v>
      </c>
      <c r="F1532">
        <v>0</v>
      </c>
      <c r="G1532">
        <v>0</v>
      </c>
      <c r="H1532">
        <v>0</v>
      </c>
      <c r="M1532" t="s">
        <v>582</v>
      </c>
    </row>
    <row r="1533" spans="1:13">
      <c r="A1533" t="s">
        <v>393</v>
      </c>
      <c r="B1533">
        <v>1456112</v>
      </c>
      <c r="C1533">
        <v>12772</v>
      </c>
      <c r="D1533">
        <v>0</v>
      </c>
      <c r="E1533">
        <v>0</v>
      </c>
      <c r="F1533">
        <v>0</v>
      </c>
      <c r="G1533">
        <v>0</v>
      </c>
      <c r="H1533">
        <v>0</v>
      </c>
      <c r="M1533" t="s">
        <v>582</v>
      </c>
    </row>
    <row r="1534" spans="1:13">
      <c r="A1534" t="s">
        <v>435</v>
      </c>
      <c r="B1534">
        <v>1356960</v>
      </c>
      <c r="C1534">
        <v>11993</v>
      </c>
      <c r="D1534">
        <v>0</v>
      </c>
      <c r="E1534">
        <v>0</v>
      </c>
      <c r="F1534">
        <v>0</v>
      </c>
      <c r="G1534">
        <v>0</v>
      </c>
      <c r="H1534">
        <v>0</v>
      </c>
      <c r="M1534" t="s">
        <v>582</v>
      </c>
    </row>
    <row r="1535" spans="1:13">
      <c r="A1535" t="s">
        <v>387</v>
      </c>
      <c r="B1535">
        <v>9576021</v>
      </c>
      <c r="C1535">
        <v>83291</v>
      </c>
      <c r="D1535">
        <v>3230325</v>
      </c>
      <c r="E1535">
        <v>27656</v>
      </c>
      <c r="F1535">
        <v>5250</v>
      </c>
      <c r="G1535">
        <v>16958689854</v>
      </c>
      <c r="H1535">
        <v>2.96</v>
      </c>
      <c r="M1535" t="s">
        <v>582</v>
      </c>
    </row>
    <row r="1537" spans="1:13">
      <c r="M1537" t="s">
        <v>583</v>
      </c>
    </row>
    <row r="1538" spans="1:13">
      <c r="A1538" t="s">
        <v>373</v>
      </c>
      <c r="B1538" t="s">
        <v>389</v>
      </c>
      <c r="C1538" t="s">
        <v>390</v>
      </c>
      <c r="D1538" t="s">
        <v>391</v>
      </c>
      <c r="E1538" t="s">
        <v>406</v>
      </c>
      <c r="M1538" t="s">
        <v>583</v>
      </c>
    </row>
    <row r="1539" spans="1:13">
      <c r="A1539" t="s">
        <v>383</v>
      </c>
      <c r="B1539">
        <v>2223421</v>
      </c>
      <c r="C1539">
        <v>20485</v>
      </c>
      <c r="D1539">
        <v>35.299999999999997</v>
      </c>
      <c r="E1539">
        <v>23.3</v>
      </c>
      <c r="M1539" t="s">
        <v>583</v>
      </c>
    </row>
    <row r="1540" spans="1:13">
      <c r="A1540" t="s">
        <v>384</v>
      </c>
      <c r="B1540">
        <v>2300465</v>
      </c>
      <c r="C1540">
        <v>21020</v>
      </c>
      <c r="D1540">
        <v>18.7</v>
      </c>
      <c r="E1540">
        <v>21.6</v>
      </c>
      <c r="M1540" t="s">
        <v>583</v>
      </c>
    </row>
    <row r="1541" spans="1:13">
      <c r="A1541" t="s">
        <v>385</v>
      </c>
      <c r="B1541">
        <v>1948728</v>
      </c>
      <c r="C1541">
        <v>18874</v>
      </c>
      <c r="D1541">
        <v>21.7</v>
      </c>
      <c r="E1541">
        <v>43.3</v>
      </c>
      <c r="M1541" t="s">
        <v>583</v>
      </c>
    </row>
    <row r="1543" spans="1:13">
      <c r="M1543" t="s">
        <v>584</v>
      </c>
    </row>
    <row r="1544" spans="1:13">
      <c r="A1544" t="s">
        <v>373</v>
      </c>
      <c r="B1544" t="s">
        <v>374</v>
      </c>
      <c r="C1544" t="s">
        <v>375</v>
      </c>
      <c r="D1544" t="s">
        <v>376</v>
      </c>
      <c r="E1544" t="s">
        <v>377</v>
      </c>
      <c r="F1544" t="s">
        <v>378</v>
      </c>
      <c r="G1544" t="s">
        <v>379</v>
      </c>
      <c r="H1544" t="s">
        <v>380</v>
      </c>
      <c r="M1544" t="s">
        <v>584</v>
      </c>
    </row>
    <row r="1545" spans="1:13">
      <c r="A1545" t="s">
        <v>382</v>
      </c>
      <c r="B1545">
        <v>1868302</v>
      </c>
      <c r="C1545">
        <v>15061</v>
      </c>
      <c r="D1545">
        <v>1238948</v>
      </c>
      <c r="E1545">
        <v>10120</v>
      </c>
      <c r="F1545">
        <v>5476</v>
      </c>
      <c r="G1545">
        <v>6783864730</v>
      </c>
      <c r="H1545">
        <v>1.51</v>
      </c>
      <c r="M1545" t="s">
        <v>584</v>
      </c>
    </row>
    <row r="1546" spans="1:13">
      <c r="A1546" t="s">
        <v>383</v>
      </c>
      <c r="B1546">
        <v>1892988</v>
      </c>
      <c r="C1546">
        <v>15145</v>
      </c>
      <c r="D1546">
        <v>1594574</v>
      </c>
      <c r="E1546">
        <v>13180</v>
      </c>
      <c r="F1546">
        <v>5395</v>
      </c>
      <c r="G1546">
        <v>8603134990</v>
      </c>
      <c r="H1546">
        <v>1.19</v>
      </c>
      <c r="M1546" t="s">
        <v>584</v>
      </c>
    </row>
    <row r="1547" spans="1:13">
      <c r="A1547" t="s">
        <v>384</v>
      </c>
      <c r="B1547">
        <v>2786379</v>
      </c>
      <c r="C1547">
        <v>22815</v>
      </c>
      <c r="D1547">
        <v>1055091</v>
      </c>
      <c r="E1547">
        <v>8646</v>
      </c>
      <c r="F1547">
        <v>5609</v>
      </c>
      <c r="G1547">
        <v>5917573361</v>
      </c>
      <c r="H1547">
        <v>2.64</v>
      </c>
      <c r="M1547" t="s">
        <v>584</v>
      </c>
    </row>
    <row r="1548" spans="1:13">
      <c r="A1548" t="s">
        <v>385</v>
      </c>
      <c r="B1548">
        <v>3131641</v>
      </c>
      <c r="C1548">
        <v>26886</v>
      </c>
      <c r="D1548">
        <v>0</v>
      </c>
      <c r="E1548">
        <v>0</v>
      </c>
      <c r="F1548">
        <v>0</v>
      </c>
      <c r="G1548">
        <v>0</v>
      </c>
      <c r="H1548">
        <v>0</v>
      </c>
      <c r="M1548" t="s">
        <v>584</v>
      </c>
    </row>
    <row r="1549" spans="1:13">
      <c r="A1549" t="s">
        <v>386</v>
      </c>
      <c r="B1549">
        <v>1569335</v>
      </c>
      <c r="C1549">
        <v>12837</v>
      </c>
      <c r="D1549">
        <v>0</v>
      </c>
      <c r="E1549">
        <v>0</v>
      </c>
      <c r="F1549">
        <v>0</v>
      </c>
      <c r="G1549">
        <v>0</v>
      </c>
      <c r="H1549">
        <v>0</v>
      </c>
      <c r="M1549" t="s">
        <v>584</v>
      </c>
    </row>
    <row r="1550" spans="1:13">
      <c r="A1550" t="s">
        <v>387</v>
      </c>
      <c r="B1550">
        <v>11248645</v>
      </c>
      <c r="C1550">
        <v>92744</v>
      </c>
      <c r="D1550">
        <v>3888613</v>
      </c>
      <c r="E1550">
        <v>31946</v>
      </c>
      <c r="F1550">
        <v>5479</v>
      </c>
      <c r="G1550">
        <v>21304573080</v>
      </c>
      <c r="H1550">
        <v>2.89</v>
      </c>
      <c r="M1550" t="s">
        <v>584</v>
      </c>
    </row>
    <row r="1552" spans="1:13">
      <c r="M1552" t="s">
        <v>585</v>
      </c>
    </row>
    <row r="1553" spans="1:13">
      <c r="A1553" t="s">
        <v>373</v>
      </c>
      <c r="B1553" t="s">
        <v>389</v>
      </c>
      <c r="C1553" t="s">
        <v>390</v>
      </c>
      <c r="D1553" t="s">
        <v>391</v>
      </c>
      <c r="M1553" t="s">
        <v>585</v>
      </c>
    </row>
    <row r="1554" spans="1:13">
      <c r="A1554" t="s">
        <v>382</v>
      </c>
      <c r="B1554">
        <v>4011108</v>
      </c>
      <c r="C1554">
        <v>32648</v>
      </c>
      <c r="D1554">
        <v>38.9</v>
      </c>
      <c r="M1554" t="s">
        <v>585</v>
      </c>
    </row>
    <row r="1555" spans="1:13">
      <c r="A1555" t="s">
        <v>383</v>
      </c>
      <c r="B1555">
        <v>3432220</v>
      </c>
      <c r="C1555">
        <v>28048</v>
      </c>
      <c r="D1555">
        <v>25.8</v>
      </c>
      <c r="M1555" t="s">
        <v>585</v>
      </c>
    </row>
    <row r="1556" spans="1:13">
      <c r="A1556" t="s">
        <v>384</v>
      </c>
      <c r="B1556">
        <v>3148005</v>
      </c>
      <c r="C1556">
        <v>26237</v>
      </c>
      <c r="D1556">
        <v>35.799999999999997</v>
      </c>
      <c r="M1556" t="s">
        <v>585</v>
      </c>
    </row>
    <row r="1558" spans="1:13">
      <c r="M1558" t="s">
        <v>586</v>
      </c>
    </row>
    <row r="1559" spans="1:13">
      <c r="A1559" t="s">
        <v>373</v>
      </c>
      <c r="B1559" t="s">
        <v>374</v>
      </c>
      <c r="C1559" t="s">
        <v>375</v>
      </c>
      <c r="D1559" t="s">
        <v>376</v>
      </c>
      <c r="E1559" t="s">
        <v>377</v>
      </c>
      <c r="F1559" t="s">
        <v>378</v>
      </c>
      <c r="G1559" t="s">
        <v>379</v>
      </c>
      <c r="H1559" t="s">
        <v>380</v>
      </c>
      <c r="M1559" t="s">
        <v>586</v>
      </c>
    </row>
    <row r="1560" spans="1:13">
      <c r="A1560" t="s">
        <v>382</v>
      </c>
      <c r="B1560">
        <v>2451220</v>
      </c>
      <c r="C1560">
        <v>19221</v>
      </c>
      <c r="D1560">
        <v>2632160</v>
      </c>
      <c r="E1560">
        <v>22282</v>
      </c>
      <c r="F1560">
        <v>10573</v>
      </c>
      <c r="G1560">
        <v>27829172972</v>
      </c>
      <c r="H1560">
        <v>0.93</v>
      </c>
      <c r="M1560" t="s">
        <v>586</v>
      </c>
    </row>
    <row r="1561" spans="1:13">
      <c r="A1561" t="s">
        <v>383</v>
      </c>
      <c r="B1561">
        <v>3305530</v>
      </c>
      <c r="C1561">
        <v>26481</v>
      </c>
      <c r="D1561">
        <v>2770106</v>
      </c>
      <c r="E1561">
        <v>23341</v>
      </c>
      <c r="F1561">
        <v>9601</v>
      </c>
      <c r="G1561">
        <v>26595107905</v>
      </c>
      <c r="H1561">
        <v>1.19</v>
      </c>
      <c r="M1561" t="s">
        <v>586</v>
      </c>
    </row>
    <row r="1562" spans="1:13">
      <c r="A1562" t="s">
        <v>384</v>
      </c>
      <c r="B1562">
        <v>6055686</v>
      </c>
      <c r="C1562">
        <v>54427</v>
      </c>
      <c r="D1562">
        <v>4196963</v>
      </c>
      <c r="E1562">
        <v>36877</v>
      </c>
      <c r="F1562">
        <v>10652</v>
      </c>
      <c r="G1562">
        <v>44707057757</v>
      </c>
      <c r="H1562">
        <v>1.44</v>
      </c>
      <c r="M1562" t="s">
        <v>586</v>
      </c>
    </row>
    <row r="1563" spans="1:13">
      <c r="A1563" t="s">
        <v>385</v>
      </c>
      <c r="B1563">
        <v>2818201</v>
      </c>
      <c r="C1563">
        <v>23977</v>
      </c>
      <c r="D1563">
        <v>2671705</v>
      </c>
      <c r="E1563">
        <v>22577</v>
      </c>
      <c r="F1563">
        <v>10228</v>
      </c>
      <c r="G1563">
        <v>27327191856</v>
      </c>
      <c r="H1563">
        <v>1.05</v>
      </c>
      <c r="M1563" t="s">
        <v>586</v>
      </c>
    </row>
    <row r="1564" spans="1:13">
      <c r="A1564" t="s">
        <v>386</v>
      </c>
      <c r="B1564">
        <v>2491973</v>
      </c>
      <c r="C1564">
        <v>22743</v>
      </c>
      <c r="D1564">
        <v>2375434</v>
      </c>
      <c r="E1564">
        <v>19449</v>
      </c>
      <c r="F1564">
        <v>9715</v>
      </c>
      <c r="G1564">
        <v>23076856032</v>
      </c>
      <c r="H1564">
        <v>1.05</v>
      </c>
      <c r="M1564" t="s">
        <v>586</v>
      </c>
    </row>
    <row r="1565" spans="1:13">
      <c r="A1565" t="s">
        <v>387</v>
      </c>
      <c r="B1565">
        <v>17122611</v>
      </c>
      <c r="C1565">
        <v>146849</v>
      </c>
      <c r="D1565">
        <v>14646369</v>
      </c>
      <c r="E1565">
        <v>124526</v>
      </c>
      <c r="F1565">
        <v>10210</v>
      </c>
      <c r="G1565">
        <v>149535386522</v>
      </c>
      <c r="H1565">
        <v>1.17</v>
      </c>
      <c r="M1565" t="s">
        <v>586</v>
      </c>
    </row>
    <row r="1567" spans="1:13">
      <c r="M1567" t="s">
        <v>587</v>
      </c>
    </row>
    <row r="1568" spans="1:13">
      <c r="A1568" t="s">
        <v>373</v>
      </c>
      <c r="B1568" t="s">
        <v>389</v>
      </c>
      <c r="C1568" t="s">
        <v>390</v>
      </c>
      <c r="D1568" t="s">
        <v>391</v>
      </c>
      <c r="M1568" t="s">
        <v>587</v>
      </c>
    </row>
    <row r="1569" spans="1:13">
      <c r="A1569" t="s">
        <v>381</v>
      </c>
      <c r="B1569">
        <v>7572943</v>
      </c>
      <c r="C1569">
        <v>60732</v>
      </c>
      <c r="D1569">
        <v>35.1</v>
      </c>
      <c r="M1569" t="s">
        <v>587</v>
      </c>
    </row>
    <row r="1570" spans="1:13">
      <c r="A1570" t="s">
        <v>382</v>
      </c>
      <c r="B1570">
        <v>7470676</v>
      </c>
      <c r="C1570">
        <v>60172</v>
      </c>
      <c r="D1570">
        <v>34.1</v>
      </c>
      <c r="M1570" t="s">
        <v>587</v>
      </c>
    </row>
    <row r="1571" spans="1:13">
      <c r="A1571" t="s">
        <v>383</v>
      </c>
      <c r="B1571">
        <v>7885750</v>
      </c>
      <c r="C1571">
        <v>64896</v>
      </c>
      <c r="D1571">
        <v>34.200000000000003</v>
      </c>
      <c r="M1571" t="s">
        <v>587</v>
      </c>
    </row>
    <row r="1572" spans="1:13">
      <c r="A1572" t="s">
        <v>384</v>
      </c>
      <c r="B1572">
        <v>7278495</v>
      </c>
      <c r="C1572">
        <v>61022</v>
      </c>
      <c r="D1572">
        <v>20.8</v>
      </c>
      <c r="M1572" t="s">
        <v>587</v>
      </c>
    </row>
    <row r="1573" spans="1:13">
      <c r="A1573" t="s">
        <v>385</v>
      </c>
      <c r="B1573">
        <v>5036327</v>
      </c>
      <c r="C1573">
        <v>43733</v>
      </c>
      <c r="D1573">
        <v>22.6</v>
      </c>
      <c r="M1573" t="s">
        <v>587</v>
      </c>
    </row>
    <row r="1574" spans="1:13">
      <c r="A1574" t="s">
        <v>386</v>
      </c>
      <c r="B1574">
        <v>5777181</v>
      </c>
      <c r="C1574">
        <v>44832</v>
      </c>
      <c r="D1574">
        <v>29.2</v>
      </c>
      <c r="M1574" t="s">
        <v>587</v>
      </c>
    </row>
    <row r="1576" spans="1:13">
      <c r="M1576" t="s">
        <v>588</v>
      </c>
    </row>
    <row r="1577" spans="1:13">
      <c r="A1577" t="s">
        <v>373</v>
      </c>
      <c r="B1577" t="s">
        <v>374</v>
      </c>
      <c r="C1577" t="s">
        <v>375</v>
      </c>
      <c r="D1577" t="s">
        <v>376</v>
      </c>
      <c r="E1577" t="s">
        <v>377</v>
      </c>
      <c r="F1577" t="s">
        <v>378</v>
      </c>
      <c r="G1577" t="s">
        <v>379</v>
      </c>
      <c r="H1577" t="s">
        <v>380</v>
      </c>
      <c r="M1577" t="s">
        <v>588</v>
      </c>
    </row>
    <row r="1578" spans="1:13">
      <c r="A1578" t="s">
        <v>381</v>
      </c>
      <c r="B1578">
        <v>52314</v>
      </c>
      <c r="C1578">
        <v>461</v>
      </c>
      <c r="D1578">
        <v>34815</v>
      </c>
      <c r="E1578">
        <v>267</v>
      </c>
      <c r="F1578">
        <v>13487</v>
      </c>
      <c r="G1578">
        <v>469560997</v>
      </c>
      <c r="H1578">
        <v>1.5</v>
      </c>
      <c r="M1578" t="s">
        <v>588</v>
      </c>
    </row>
    <row r="1579" spans="1:13">
      <c r="A1579" t="s">
        <v>382</v>
      </c>
      <c r="B1579">
        <v>464692</v>
      </c>
      <c r="C1579">
        <v>3824</v>
      </c>
      <c r="D1579">
        <v>746664</v>
      </c>
      <c r="E1579">
        <v>5968</v>
      </c>
      <c r="F1579">
        <v>13858</v>
      </c>
      <c r="G1579">
        <v>10346931279</v>
      </c>
      <c r="H1579">
        <v>0.62</v>
      </c>
      <c r="M1579" t="s">
        <v>588</v>
      </c>
    </row>
    <row r="1580" spans="1:13">
      <c r="A1580" t="s">
        <v>383</v>
      </c>
      <c r="B1580">
        <v>375755</v>
      </c>
      <c r="C1580">
        <v>3070</v>
      </c>
      <c r="D1580">
        <v>1043415</v>
      </c>
      <c r="E1580">
        <v>8122</v>
      </c>
      <c r="F1580">
        <v>14209</v>
      </c>
      <c r="G1580">
        <v>14826330181</v>
      </c>
      <c r="H1580">
        <v>0.36</v>
      </c>
      <c r="M1580" t="s">
        <v>588</v>
      </c>
    </row>
    <row r="1581" spans="1:13">
      <c r="A1581" t="s">
        <v>384</v>
      </c>
      <c r="B1581">
        <v>2524943</v>
      </c>
      <c r="C1581">
        <v>20273</v>
      </c>
      <c r="D1581">
        <v>2091096</v>
      </c>
      <c r="E1581">
        <v>16706</v>
      </c>
      <c r="F1581">
        <v>13477</v>
      </c>
      <c r="G1581">
        <v>28182008100</v>
      </c>
      <c r="H1581">
        <v>1.21</v>
      </c>
      <c r="M1581" t="s">
        <v>588</v>
      </c>
    </row>
    <row r="1582" spans="1:13">
      <c r="A1582" t="s">
        <v>385</v>
      </c>
      <c r="B1582">
        <v>3271712</v>
      </c>
      <c r="C1582">
        <v>26005</v>
      </c>
      <c r="D1582">
        <v>2518926</v>
      </c>
      <c r="E1582">
        <v>20276</v>
      </c>
      <c r="F1582">
        <v>12648</v>
      </c>
      <c r="G1582">
        <v>31860123697</v>
      </c>
      <c r="H1582">
        <v>1.3</v>
      </c>
      <c r="M1582" t="s">
        <v>588</v>
      </c>
    </row>
    <row r="1583" spans="1:13">
      <c r="A1583" t="s">
        <v>386</v>
      </c>
      <c r="B1583">
        <v>2258881</v>
      </c>
      <c r="C1583">
        <v>17953</v>
      </c>
      <c r="D1583">
        <v>2669974</v>
      </c>
      <c r="E1583">
        <v>20617</v>
      </c>
      <c r="F1583">
        <v>10574</v>
      </c>
      <c r="G1583">
        <v>28232851073</v>
      </c>
      <c r="H1583">
        <v>0.85</v>
      </c>
      <c r="M1583" t="s">
        <v>588</v>
      </c>
    </row>
    <row r="1584" spans="1:13">
      <c r="A1584" t="s">
        <v>387</v>
      </c>
      <c r="B1584">
        <v>8948298</v>
      </c>
      <c r="C1584">
        <v>71586</v>
      </c>
      <c r="D1584">
        <v>9104891</v>
      </c>
      <c r="E1584">
        <v>71956</v>
      </c>
      <c r="F1584">
        <v>12512</v>
      </c>
      <c r="G1584">
        <v>113917805327</v>
      </c>
      <c r="H1584">
        <v>0.98</v>
      </c>
      <c r="M1584" t="s">
        <v>588</v>
      </c>
    </row>
    <row r="1586" spans="1:13">
      <c r="M1586" t="s">
        <v>589</v>
      </c>
    </row>
    <row r="1587" spans="1:13">
      <c r="A1587" t="s">
        <v>373</v>
      </c>
      <c r="B1587" t="s">
        <v>389</v>
      </c>
      <c r="C1587" t="s">
        <v>390</v>
      </c>
      <c r="D1587" t="s">
        <v>391</v>
      </c>
      <c r="M1587" t="s">
        <v>589</v>
      </c>
    </row>
    <row r="1588" spans="1:13">
      <c r="A1588" t="s">
        <v>381</v>
      </c>
      <c r="B1588">
        <v>1783983</v>
      </c>
      <c r="C1588">
        <v>13753</v>
      </c>
      <c r="D1588">
        <v>30.7</v>
      </c>
      <c r="M1588" t="s">
        <v>589</v>
      </c>
    </row>
    <row r="1589" spans="1:13">
      <c r="A1589" t="s">
        <v>382</v>
      </c>
      <c r="B1589">
        <v>1740940</v>
      </c>
      <c r="C1589">
        <v>13362</v>
      </c>
      <c r="D1589">
        <v>28</v>
      </c>
      <c r="M1589" t="s">
        <v>589</v>
      </c>
    </row>
    <row r="1590" spans="1:13">
      <c r="A1590" t="s">
        <v>383</v>
      </c>
      <c r="B1590">
        <v>2055982</v>
      </c>
      <c r="C1590">
        <v>15847</v>
      </c>
      <c r="D1590">
        <v>23.6</v>
      </c>
      <c r="M1590" t="s">
        <v>589</v>
      </c>
    </row>
    <row r="1591" spans="1:13">
      <c r="A1591" t="s">
        <v>384</v>
      </c>
      <c r="B1591">
        <v>2725946</v>
      </c>
      <c r="C1591">
        <v>20912</v>
      </c>
      <c r="D1591">
        <v>15.6</v>
      </c>
      <c r="M1591" t="s">
        <v>589</v>
      </c>
    </row>
    <row r="1592" spans="1:13">
      <c r="A1592" t="s">
        <v>385</v>
      </c>
      <c r="B1592">
        <v>2421685</v>
      </c>
      <c r="C1592">
        <v>18107</v>
      </c>
      <c r="D1592">
        <v>11.5</v>
      </c>
      <c r="M1592" t="s">
        <v>589</v>
      </c>
    </row>
    <row r="1593" spans="1:13">
      <c r="A1593" t="s">
        <v>386</v>
      </c>
      <c r="B1593">
        <v>1582269</v>
      </c>
      <c r="C1593">
        <v>11001</v>
      </c>
      <c r="D1593">
        <v>7.1</v>
      </c>
      <c r="M1593" t="s">
        <v>589</v>
      </c>
    </row>
    <row r="1595" spans="1:13">
      <c r="M1595" t="s">
        <v>590</v>
      </c>
    </row>
    <row r="1596" spans="1:13">
      <c r="A1596" t="s">
        <v>373</v>
      </c>
      <c r="B1596" t="s">
        <v>374</v>
      </c>
      <c r="C1596" t="s">
        <v>375</v>
      </c>
      <c r="D1596" t="s">
        <v>376</v>
      </c>
      <c r="E1596" t="s">
        <v>377</v>
      </c>
      <c r="F1596" t="s">
        <v>378</v>
      </c>
      <c r="G1596" t="s">
        <v>379</v>
      </c>
      <c r="H1596" t="s">
        <v>380</v>
      </c>
      <c r="M1596" t="s">
        <v>590</v>
      </c>
    </row>
    <row r="1597" spans="1:13">
      <c r="A1597" t="s">
        <v>381</v>
      </c>
      <c r="B1597">
        <v>3695</v>
      </c>
      <c r="C1597">
        <v>32</v>
      </c>
      <c r="D1597">
        <v>10267</v>
      </c>
      <c r="E1597">
        <v>87</v>
      </c>
      <c r="F1597">
        <v>7775</v>
      </c>
      <c r="G1597">
        <v>79823423</v>
      </c>
      <c r="H1597">
        <v>0.36</v>
      </c>
      <c r="M1597" t="s">
        <v>590</v>
      </c>
    </row>
    <row r="1598" spans="1:13">
      <c r="A1598" t="s">
        <v>382</v>
      </c>
      <c r="B1598">
        <v>301256</v>
      </c>
      <c r="C1598">
        <v>2566</v>
      </c>
      <c r="D1598">
        <v>296758</v>
      </c>
      <c r="E1598">
        <v>2600</v>
      </c>
      <c r="F1598">
        <v>7825</v>
      </c>
      <c r="G1598">
        <v>2322178907</v>
      </c>
      <c r="H1598">
        <v>1.02</v>
      </c>
      <c r="M1598" t="s">
        <v>590</v>
      </c>
    </row>
    <row r="1599" spans="1:13">
      <c r="A1599" t="s">
        <v>383</v>
      </c>
      <c r="B1599">
        <v>229372</v>
      </c>
      <c r="C1599">
        <v>2038</v>
      </c>
      <c r="D1599">
        <v>282966</v>
      </c>
      <c r="E1599">
        <v>2589</v>
      </c>
      <c r="F1599">
        <v>8161</v>
      </c>
      <c r="G1599">
        <v>2309337291</v>
      </c>
      <c r="H1599">
        <v>0.81</v>
      </c>
      <c r="M1599" t="s">
        <v>590</v>
      </c>
    </row>
    <row r="1600" spans="1:13">
      <c r="A1600" t="s">
        <v>384</v>
      </c>
      <c r="B1600">
        <v>653075</v>
      </c>
      <c r="C1600">
        <v>5851</v>
      </c>
      <c r="D1600">
        <v>773699</v>
      </c>
      <c r="E1600">
        <v>6988</v>
      </c>
      <c r="F1600">
        <v>7728</v>
      </c>
      <c r="G1600">
        <v>5978942013</v>
      </c>
      <c r="H1600">
        <v>0.84</v>
      </c>
      <c r="M1600" t="s">
        <v>590</v>
      </c>
    </row>
    <row r="1601" spans="1:13">
      <c r="A1601" t="s">
        <v>385</v>
      </c>
      <c r="B1601">
        <v>532669</v>
      </c>
      <c r="C1601">
        <v>4830</v>
      </c>
      <c r="D1601">
        <v>525717</v>
      </c>
      <c r="E1601">
        <v>4553</v>
      </c>
      <c r="F1601">
        <v>7837</v>
      </c>
      <c r="G1601">
        <v>4120015870</v>
      </c>
      <c r="H1601">
        <v>1.01</v>
      </c>
      <c r="M1601" t="s">
        <v>590</v>
      </c>
    </row>
    <row r="1602" spans="1:13">
      <c r="A1602" t="s">
        <v>386</v>
      </c>
      <c r="B1602">
        <v>562182</v>
      </c>
      <c r="C1602">
        <v>4909</v>
      </c>
      <c r="D1602">
        <v>814218</v>
      </c>
      <c r="E1602">
        <v>7302</v>
      </c>
      <c r="F1602">
        <v>7374</v>
      </c>
      <c r="G1602">
        <v>6003991713</v>
      </c>
      <c r="H1602">
        <v>0.69</v>
      </c>
      <c r="M1602" t="s">
        <v>590</v>
      </c>
    </row>
    <row r="1603" spans="1:13">
      <c r="A1603" t="s">
        <v>387</v>
      </c>
      <c r="B1603">
        <v>2282249</v>
      </c>
      <c r="C1603">
        <v>20226</v>
      </c>
      <c r="D1603">
        <v>2703625</v>
      </c>
      <c r="E1603">
        <v>24119</v>
      </c>
      <c r="F1603">
        <v>7699</v>
      </c>
      <c r="G1603">
        <v>20814289217</v>
      </c>
      <c r="H1603">
        <v>0.84</v>
      </c>
      <c r="M1603" t="s">
        <v>590</v>
      </c>
    </row>
    <row r="1605" spans="1:13">
      <c r="M1605" t="s">
        <v>591</v>
      </c>
    </row>
    <row r="1606" spans="1:13">
      <c r="A1606" t="s">
        <v>373</v>
      </c>
      <c r="B1606" t="s">
        <v>389</v>
      </c>
      <c r="C1606" t="s">
        <v>390</v>
      </c>
      <c r="D1606" t="s">
        <v>391</v>
      </c>
      <c r="M1606" t="s">
        <v>591</v>
      </c>
    </row>
    <row r="1607" spans="1:13">
      <c r="A1607" t="s">
        <v>382</v>
      </c>
      <c r="B1607">
        <v>1236406</v>
      </c>
      <c r="C1607">
        <v>17764</v>
      </c>
      <c r="D1607">
        <v>38.299999999999997</v>
      </c>
      <c r="M1607" t="s">
        <v>591</v>
      </c>
    </row>
    <row r="1608" spans="1:13">
      <c r="A1608" t="s">
        <v>383</v>
      </c>
      <c r="B1608">
        <v>1236533</v>
      </c>
      <c r="C1608">
        <v>18622</v>
      </c>
      <c r="D1608">
        <v>37.799999999999997</v>
      </c>
      <c r="M1608" t="s">
        <v>591</v>
      </c>
    </row>
    <row r="1609" spans="1:13">
      <c r="A1609" t="s">
        <v>384</v>
      </c>
      <c r="B1609">
        <v>1306241</v>
      </c>
      <c r="C1609">
        <v>19114</v>
      </c>
      <c r="D1609">
        <v>16.600000000000001</v>
      </c>
      <c r="M1609" t="s">
        <v>591</v>
      </c>
    </row>
    <row r="1610" spans="1:13">
      <c r="A1610" t="s">
        <v>385</v>
      </c>
      <c r="B1610">
        <v>1427640</v>
      </c>
      <c r="C1610">
        <v>20665</v>
      </c>
      <c r="D1610">
        <v>25.2</v>
      </c>
      <c r="M1610" t="s">
        <v>591</v>
      </c>
    </row>
    <row r="1611" spans="1:13">
      <c r="A1611" t="s">
        <v>386</v>
      </c>
      <c r="B1611">
        <v>1209704</v>
      </c>
      <c r="C1611">
        <v>17406</v>
      </c>
      <c r="D1611">
        <v>13.1</v>
      </c>
      <c r="M1611" t="s">
        <v>591</v>
      </c>
    </row>
    <row r="1613" spans="1:13">
      <c r="M1613" t="s">
        <v>592</v>
      </c>
    </row>
    <row r="1614" spans="1:13">
      <c r="A1614" t="s">
        <v>373</v>
      </c>
      <c r="B1614" t="s">
        <v>374</v>
      </c>
      <c r="C1614" t="s">
        <v>375</v>
      </c>
      <c r="D1614" t="s">
        <v>376</v>
      </c>
      <c r="E1614" t="s">
        <v>377</v>
      </c>
      <c r="F1614" t="s">
        <v>378</v>
      </c>
      <c r="G1614" t="s">
        <v>380</v>
      </c>
      <c r="M1614" t="s">
        <v>592</v>
      </c>
    </row>
    <row r="1615" spans="1:13">
      <c r="A1615" t="s">
        <v>382</v>
      </c>
      <c r="B1615">
        <v>3012671</v>
      </c>
      <c r="C1615">
        <v>28847</v>
      </c>
      <c r="D1615">
        <v>5675175</v>
      </c>
      <c r="E1615">
        <v>54600</v>
      </c>
      <c r="F1615">
        <v>10417</v>
      </c>
      <c r="G1615">
        <v>0.53</v>
      </c>
      <c r="M1615" t="s">
        <v>592</v>
      </c>
    </row>
    <row r="1616" spans="1:13">
      <c r="A1616" t="s">
        <v>383</v>
      </c>
      <c r="B1616">
        <v>2981991</v>
      </c>
      <c r="C1616">
        <v>27394</v>
      </c>
      <c r="D1616">
        <v>7235606</v>
      </c>
      <c r="E1616">
        <v>73640</v>
      </c>
      <c r="F1616">
        <v>9657</v>
      </c>
      <c r="G1616">
        <v>0.41</v>
      </c>
      <c r="M1616" t="s">
        <v>592</v>
      </c>
    </row>
    <row r="1617" spans="1:13">
      <c r="A1617" t="s">
        <v>384</v>
      </c>
      <c r="B1617">
        <v>9993313</v>
      </c>
      <c r="C1617">
        <v>91010</v>
      </c>
      <c r="D1617">
        <v>12087906</v>
      </c>
      <c r="E1617">
        <v>115674</v>
      </c>
      <c r="F1617">
        <v>11347</v>
      </c>
      <c r="G1617">
        <v>0.83</v>
      </c>
      <c r="M1617" t="s">
        <v>592</v>
      </c>
    </row>
    <row r="1618" spans="1:13">
      <c r="A1618" t="s">
        <v>385</v>
      </c>
      <c r="B1618">
        <v>13961067</v>
      </c>
      <c r="C1618">
        <v>131798</v>
      </c>
      <c r="D1618">
        <v>11369073</v>
      </c>
      <c r="E1618">
        <v>110469</v>
      </c>
      <c r="F1618">
        <v>11224</v>
      </c>
      <c r="G1618">
        <v>1.23</v>
      </c>
      <c r="M1618" t="s">
        <v>592</v>
      </c>
    </row>
    <row r="1619" spans="1:13">
      <c r="A1619" t="s">
        <v>386</v>
      </c>
      <c r="B1619">
        <v>12245097</v>
      </c>
      <c r="C1619">
        <v>119592</v>
      </c>
      <c r="D1619">
        <v>15918590</v>
      </c>
      <c r="E1619">
        <v>158132</v>
      </c>
      <c r="F1619">
        <v>9998</v>
      </c>
      <c r="G1619">
        <v>0.77</v>
      </c>
      <c r="M1619" t="s">
        <v>592</v>
      </c>
    </row>
    <row r="1620" spans="1:13">
      <c r="A1620" t="s">
        <v>387</v>
      </c>
      <c r="B1620">
        <v>42194138</v>
      </c>
      <c r="C1620">
        <v>398641</v>
      </c>
      <c r="D1620">
        <v>52286350</v>
      </c>
      <c r="E1620">
        <v>512515</v>
      </c>
      <c r="F1620">
        <v>10575</v>
      </c>
      <c r="G1620">
        <v>0.81</v>
      </c>
      <c r="M1620" t="s">
        <v>592</v>
      </c>
    </row>
    <row r="1622" spans="1:13">
      <c r="M1622" t="s">
        <v>593</v>
      </c>
    </row>
    <row r="1623" spans="1:13">
      <c r="A1623" t="s">
        <v>373</v>
      </c>
      <c r="B1623" t="s">
        <v>389</v>
      </c>
      <c r="C1623" t="s">
        <v>390</v>
      </c>
      <c r="D1623" t="s">
        <v>391</v>
      </c>
      <c r="E1623" t="s">
        <v>406</v>
      </c>
      <c r="M1623" t="s">
        <v>593</v>
      </c>
    </row>
    <row r="1624" spans="1:13">
      <c r="A1624" t="s">
        <v>382</v>
      </c>
      <c r="B1624">
        <v>16920503</v>
      </c>
      <c r="C1624">
        <v>183898</v>
      </c>
      <c r="D1624">
        <v>35.799999999999997</v>
      </c>
      <c r="E1624">
        <v>31.5</v>
      </c>
      <c r="M1624" t="s">
        <v>593</v>
      </c>
    </row>
    <row r="1625" spans="1:13">
      <c r="A1625" t="s">
        <v>383</v>
      </c>
      <c r="B1625">
        <v>19291949</v>
      </c>
      <c r="C1625">
        <v>206835</v>
      </c>
      <c r="D1625">
        <v>32</v>
      </c>
      <c r="E1625">
        <v>24</v>
      </c>
      <c r="M1625" t="s">
        <v>593</v>
      </c>
    </row>
    <row r="1626" spans="1:13">
      <c r="A1626" t="s">
        <v>384</v>
      </c>
      <c r="B1626">
        <v>21567747</v>
      </c>
      <c r="C1626">
        <v>233930</v>
      </c>
      <c r="D1626">
        <v>21.4</v>
      </c>
      <c r="E1626">
        <v>22.1</v>
      </c>
      <c r="M1626" t="s">
        <v>593</v>
      </c>
    </row>
    <row r="1627" spans="1:13">
      <c r="A1627" t="s">
        <v>385</v>
      </c>
      <c r="B1627">
        <v>21920917</v>
      </c>
      <c r="C1627">
        <v>243767</v>
      </c>
      <c r="D1627">
        <v>23.1</v>
      </c>
      <c r="E1627">
        <v>19.3</v>
      </c>
      <c r="M1627" t="s">
        <v>593</v>
      </c>
    </row>
    <row r="1628" spans="1:13">
      <c r="A1628" t="s">
        <v>386</v>
      </c>
      <c r="B1628">
        <v>22381335</v>
      </c>
      <c r="C1628">
        <v>251612</v>
      </c>
      <c r="D1628">
        <v>16.899999999999999</v>
      </c>
      <c r="E1628">
        <v>18.600000000000001</v>
      </c>
      <c r="M1628" t="s">
        <v>593</v>
      </c>
    </row>
    <row r="1630" spans="1:13">
      <c r="M1630" t="s">
        <v>594</v>
      </c>
    </row>
    <row r="1631" spans="1:13">
      <c r="A1631" t="s">
        <v>373</v>
      </c>
      <c r="B1631" t="s">
        <v>374</v>
      </c>
      <c r="C1631" t="s">
        <v>375</v>
      </c>
      <c r="D1631" t="s">
        <v>376</v>
      </c>
      <c r="E1631" t="s">
        <v>377</v>
      </c>
      <c r="F1631" t="s">
        <v>378</v>
      </c>
      <c r="G1631" t="s">
        <v>379</v>
      </c>
      <c r="H1631" t="s">
        <v>380</v>
      </c>
      <c r="M1631" t="s">
        <v>594</v>
      </c>
    </row>
    <row r="1632" spans="1:13">
      <c r="A1632" t="s">
        <v>381</v>
      </c>
      <c r="B1632">
        <v>29000</v>
      </c>
      <c r="C1632">
        <v>235</v>
      </c>
      <c r="D1632">
        <v>84898</v>
      </c>
      <c r="E1632">
        <v>649</v>
      </c>
      <c r="F1632">
        <v>18267</v>
      </c>
      <c r="G1632">
        <v>1550872521</v>
      </c>
      <c r="H1632">
        <v>0.34</v>
      </c>
      <c r="M1632" t="s">
        <v>594</v>
      </c>
    </row>
    <row r="1633" spans="1:13">
      <c r="A1633" t="s">
        <v>382</v>
      </c>
      <c r="B1633">
        <v>714718</v>
      </c>
      <c r="C1633">
        <v>5613</v>
      </c>
      <c r="D1633">
        <v>793483</v>
      </c>
      <c r="E1633">
        <v>6514</v>
      </c>
      <c r="F1633">
        <v>13023</v>
      </c>
      <c r="G1633">
        <v>10333867417</v>
      </c>
      <c r="H1633">
        <v>0.9</v>
      </c>
      <c r="M1633" t="s">
        <v>594</v>
      </c>
    </row>
    <row r="1634" spans="1:13">
      <c r="A1634" t="s">
        <v>383</v>
      </c>
      <c r="B1634">
        <v>1536742</v>
      </c>
      <c r="C1634">
        <v>12808</v>
      </c>
      <c r="D1634">
        <v>1803395</v>
      </c>
      <c r="E1634">
        <v>15143</v>
      </c>
      <c r="F1634">
        <v>13424</v>
      </c>
      <c r="G1634">
        <v>24208472311</v>
      </c>
      <c r="H1634">
        <v>0.85</v>
      </c>
      <c r="M1634" t="s">
        <v>594</v>
      </c>
    </row>
    <row r="1635" spans="1:13">
      <c r="A1635" t="s">
        <v>384</v>
      </c>
      <c r="B1635">
        <v>2217547</v>
      </c>
      <c r="C1635">
        <v>19477</v>
      </c>
      <c r="D1635">
        <v>2472544</v>
      </c>
      <c r="E1635">
        <v>21367</v>
      </c>
      <c r="F1635">
        <v>10530</v>
      </c>
      <c r="G1635">
        <v>26036594365</v>
      </c>
      <c r="H1635">
        <v>0.9</v>
      </c>
      <c r="M1635" t="s">
        <v>594</v>
      </c>
    </row>
    <row r="1636" spans="1:13">
      <c r="A1636" t="s">
        <v>385</v>
      </c>
      <c r="B1636">
        <v>2338315</v>
      </c>
      <c r="C1636">
        <v>19596</v>
      </c>
      <c r="D1636">
        <v>2303789</v>
      </c>
      <c r="E1636">
        <v>19549</v>
      </c>
      <c r="F1636">
        <v>10278</v>
      </c>
      <c r="G1636">
        <v>23678946456</v>
      </c>
      <c r="H1636">
        <v>1.01</v>
      </c>
      <c r="M1636" t="s">
        <v>594</v>
      </c>
    </row>
    <row r="1637" spans="1:13">
      <c r="A1637" t="s">
        <v>386</v>
      </c>
      <c r="B1637">
        <v>2816635</v>
      </c>
      <c r="C1637">
        <v>23597</v>
      </c>
      <c r="D1637">
        <v>2723281</v>
      </c>
      <c r="E1637">
        <v>23263</v>
      </c>
      <c r="F1637">
        <v>9189</v>
      </c>
      <c r="G1637">
        <v>25022929827</v>
      </c>
      <c r="H1637">
        <v>1.03</v>
      </c>
      <c r="M1637" t="s">
        <v>594</v>
      </c>
    </row>
    <row r="1638" spans="1:13">
      <c r="A1638" t="s">
        <v>387</v>
      </c>
      <c r="B1638">
        <v>9652957</v>
      </c>
      <c r="C1638">
        <v>81326</v>
      </c>
      <c r="D1638">
        <v>10181392</v>
      </c>
      <c r="E1638">
        <v>86485</v>
      </c>
      <c r="F1638">
        <v>10886</v>
      </c>
      <c r="G1638">
        <v>110831682896</v>
      </c>
      <c r="H1638">
        <v>0.95</v>
      </c>
      <c r="M1638" t="s">
        <v>594</v>
      </c>
    </row>
    <row r="1640" spans="1:13">
      <c r="M1640" t="s">
        <v>595</v>
      </c>
    </row>
    <row r="1641" spans="1:13">
      <c r="A1641" t="s">
        <v>373</v>
      </c>
      <c r="B1641" t="s">
        <v>389</v>
      </c>
      <c r="C1641" t="s">
        <v>390</v>
      </c>
      <c r="D1641" t="s">
        <v>391</v>
      </c>
      <c r="M1641" t="s">
        <v>595</v>
      </c>
    </row>
    <row r="1642" spans="1:13">
      <c r="A1642" t="s">
        <v>381</v>
      </c>
      <c r="B1642">
        <v>1438523</v>
      </c>
      <c r="C1642">
        <v>11887</v>
      </c>
      <c r="D1642">
        <v>21.1</v>
      </c>
      <c r="M1642" t="s">
        <v>595</v>
      </c>
    </row>
    <row r="1643" spans="1:13">
      <c r="A1643" t="s">
        <v>382</v>
      </c>
      <c r="B1643">
        <v>1472834</v>
      </c>
      <c r="C1643">
        <v>12135</v>
      </c>
      <c r="D1643">
        <v>22.3</v>
      </c>
      <c r="M1643" t="s">
        <v>595</v>
      </c>
    </row>
    <row r="1644" spans="1:13">
      <c r="A1644" t="s">
        <v>383</v>
      </c>
      <c r="B1644">
        <v>1545262</v>
      </c>
      <c r="C1644">
        <v>12852</v>
      </c>
      <c r="D1644">
        <v>10.3</v>
      </c>
      <c r="M1644" t="s">
        <v>595</v>
      </c>
    </row>
    <row r="1645" spans="1:13">
      <c r="A1645" t="s">
        <v>384</v>
      </c>
      <c r="B1645">
        <v>1935665</v>
      </c>
      <c r="C1645">
        <v>16393</v>
      </c>
      <c r="D1645">
        <v>9.4</v>
      </c>
      <c r="M1645" t="s">
        <v>595</v>
      </c>
    </row>
    <row r="1646" spans="1:13">
      <c r="A1646" t="s">
        <v>385</v>
      </c>
      <c r="B1646">
        <v>2278912</v>
      </c>
      <c r="C1646">
        <v>19115</v>
      </c>
      <c r="D1646">
        <v>11.9</v>
      </c>
      <c r="M1646" t="s">
        <v>595</v>
      </c>
    </row>
    <row r="1647" spans="1:13">
      <c r="A1647" t="s">
        <v>386</v>
      </c>
      <c r="B1647">
        <v>2141623</v>
      </c>
      <c r="C1647">
        <v>18191</v>
      </c>
      <c r="D1647">
        <v>9.4</v>
      </c>
      <c r="M1647" t="s">
        <v>595</v>
      </c>
    </row>
    <row r="1649" spans="1:13">
      <c r="M1649" t="s">
        <v>596</v>
      </c>
    </row>
    <row r="1650" spans="1:13">
      <c r="A1650" t="s">
        <v>373</v>
      </c>
      <c r="B1650" t="s">
        <v>374</v>
      </c>
      <c r="C1650" t="s">
        <v>375</v>
      </c>
      <c r="D1650" t="s">
        <v>376</v>
      </c>
      <c r="E1650" t="s">
        <v>377</v>
      </c>
      <c r="F1650" t="s">
        <v>378</v>
      </c>
      <c r="G1650" t="s">
        <v>379</v>
      </c>
      <c r="H1650" t="s">
        <v>380</v>
      </c>
      <c r="M1650" t="s">
        <v>596</v>
      </c>
    </row>
    <row r="1651" spans="1:13">
      <c r="A1651" t="s">
        <v>382</v>
      </c>
      <c r="B1651">
        <v>569395</v>
      </c>
      <c r="C1651">
        <v>4342</v>
      </c>
      <c r="D1651">
        <v>474131</v>
      </c>
      <c r="E1651">
        <v>3549</v>
      </c>
      <c r="F1651">
        <v>16139</v>
      </c>
      <c r="G1651">
        <v>7651967553</v>
      </c>
      <c r="H1651">
        <v>1.2</v>
      </c>
      <c r="M1651" t="s">
        <v>596</v>
      </c>
    </row>
    <row r="1652" spans="1:13">
      <c r="A1652" t="s">
        <v>383</v>
      </c>
      <c r="B1652">
        <v>698688</v>
      </c>
      <c r="C1652">
        <v>5450</v>
      </c>
      <c r="D1652">
        <v>673061</v>
      </c>
      <c r="E1652">
        <v>5180</v>
      </c>
      <c r="F1652">
        <v>15353</v>
      </c>
      <c r="G1652">
        <v>10333360913</v>
      </c>
      <c r="H1652">
        <v>1.04</v>
      </c>
      <c r="M1652" t="s">
        <v>596</v>
      </c>
    </row>
    <row r="1653" spans="1:13">
      <c r="A1653" t="s">
        <v>384</v>
      </c>
      <c r="B1653">
        <v>1786684</v>
      </c>
      <c r="C1653">
        <v>14428</v>
      </c>
      <c r="D1653">
        <v>1818154</v>
      </c>
      <c r="E1653">
        <v>14585</v>
      </c>
      <c r="F1653">
        <v>14660</v>
      </c>
      <c r="G1653">
        <v>26654862243</v>
      </c>
      <c r="H1653">
        <v>0.98</v>
      </c>
      <c r="M1653" t="s">
        <v>596</v>
      </c>
    </row>
    <row r="1654" spans="1:13">
      <c r="A1654" t="s">
        <v>385</v>
      </c>
      <c r="B1654">
        <v>1774175</v>
      </c>
      <c r="C1654">
        <v>14328</v>
      </c>
      <c r="D1654">
        <v>1768128</v>
      </c>
      <c r="E1654">
        <v>13852</v>
      </c>
      <c r="F1654">
        <v>12375</v>
      </c>
      <c r="G1654">
        <v>21881406618</v>
      </c>
      <c r="H1654">
        <v>1</v>
      </c>
      <c r="M1654" t="s">
        <v>596</v>
      </c>
    </row>
    <row r="1655" spans="1:13">
      <c r="A1655" t="s">
        <v>386</v>
      </c>
      <c r="B1655">
        <v>1059745</v>
      </c>
      <c r="C1655">
        <v>8098</v>
      </c>
      <c r="D1655">
        <v>1530706</v>
      </c>
      <c r="E1655">
        <v>11968</v>
      </c>
      <c r="F1655">
        <v>11134</v>
      </c>
      <c r="G1655">
        <v>17042217462</v>
      </c>
      <c r="H1655">
        <v>0.69</v>
      </c>
      <c r="M1655" t="s">
        <v>596</v>
      </c>
    </row>
    <row r="1656" spans="1:13">
      <c r="A1656" t="s">
        <v>387</v>
      </c>
      <c r="B1656">
        <v>5888687</v>
      </c>
      <c r="C1656">
        <v>46646</v>
      </c>
      <c r="D1656">
        <v>6264181</v>
      </c>
      <c r="E1656">
        <v>49134</v>
      </c>
      <c r="F1656">
        <v>13340</v>
      </c>
      <c r="G1656">
        <v>83563814789</v>
      </c>
      <c r="H1656">
        <v>0.94</v>
      </c>
      <c r="M1656" t="s">
        <v>596</v>
      </c>
    </row>
    <row r="1658" spans="1:13">
      <c r="M1658" t="s">
        <v>597</v>
      </c>
    </row>
    <row r="1659" spans="1:13">
      <c r="A1659" t="s">
        <v>373</v>
      </c>
      <c r="B1659" t="s">
        <v>374</v>
      </c>
      <c r="C1659" t="s">
        <v>375</v>
      </c>
      <c r="D1659" t="s">
        <v>376</v>
      </c>
      <c r="E1659" t="s">
        <v>377</v>
      </c>
      <c r="F1659" t="s">
        <v>378</v>
      </c>
      <c r="G1659" t="s">
        <v>379</v>
      </c>
      <c r="H1659" t="s">
        <v>380</v>
      </c>
      <c r="M1659" t="s">
        <v>597</v>
      </c>
    </row>
    <row r="1660" spans="1:13">
      <c r="A1660" t="s">
        <v>382</v>
      </c>
      <c r="B1660">
        <v>1360792</v>
      </c>
      <c r="C1660">
        <v>12341</v>
      </c>
      <c r="D1660">
        <v>1485655</v>
      </c>
      <c r="E1660">
        <v>13829</v>
      </c>
      <c r="F1660">
        <v>6507</v>
      </c>
      <c r="G1660">
        <v>9666919837</v>
      </c>
      <c r="H1660">
        <v>0.92</v>
      </c>
      <c r="M1660" t="s">
        <v>597</v>
      </c>
    </row>
    <row r="1661" spans="1:13">
      <c r="A1661" t="s">
        <v>383</v>
      </c>
      <c r="B1661">
        <v>2095981</v>
      </c>
      <c r="C1661">
        <v>20770</v>
      </c>
      <c r="D1661">
        <v>1814231</v>
      </c>
      <c r="E1661">
        <v>17628</v>
      </c>
      <c r="F1661">
        <v>6862</v>
      </c>
      <c r="G1661">
        <v>12449599120</v>
      </c>
      <c r="H1661">
        <v>1.1599999999999999</v>
      </c>
      <c r="M1661" t="s">
        <v>597</v>
      </c>
    </row>
    <row r="1662" spans="1:13">
      <c r="A1662" t="s">
        <v>384</v>
      </c>
      <c r="B1662">
        <v>2772785</v>
      </c>
      <c r="C1662">
        <v>26828</v>
      </c>
      <c r="D1662">
        <v>1669843</v>
      </c>
      <c r="E1662">
        <v>16181</v>
      </c>
      <c r="F1662">
        <v>7129</v>
      </c>
      <c r="G1662">
        <v>11904495389</v>
      </c>
      <c r="H1662">
        <v>1.66</v>
      </c>
      <c r="M1662" t="s">
        <v>597</v>
      </c>
    </row>
    <row r="1663" spans="1:13">
      <c r="A1663" t="s">
        <v>385</v>
      </c>
      <c r="B1663">
        <v>3134017</v>
      </c>
      <c r="C1663">
        <v>29834</v>
      </c>
      <c r="D1663">
        <v>946628</v>
      </c>
      <c r="E1663">
        <v>8871</v>
      </c>
      <c r="F1663">
        <v>6617</v>
      </c>
      <c r="G1663">
        <v>6264116068</v>
      </c>
      <c r="H1663">
        <v>3.31</v>
      </c>
      <c r="M1663" t="s">
        <v>597</v>
      </c>
    </row>
    <row r="1664" spans="1:13">
      <c r="A1664" t="s">
        <v>386</v>
      </c>
      <c r="B1664">
        <v>4969453</v>
      </c>
      <c r="C1664">
        <v>44518</v>
      </c>
      <c r="D1664">
        <v>2843238</v>
      </c>
      <c r="E1664">
        <v>25966</v>
      </c>
      <c r="F1664">
        <v>6932</v>
      </c>
      <c r="G1664">
        <v>19709414673</v>
      </c>
      <c r="H1664">
        <v>1.75</v>
      </c>
      <c r="M1664" t="s">
        <v>597</v>
      </c>
    </row>
    <row r="1665" spans="1:13">
      <c r="A1665" t="s">
        <v>387</v>
      </c>
      <c r="B1665">
        <v>14333028</v>
      </c>
      <c r="C1665">
        <v>134291</v>
      </c>
      <c r="D1665">
        <v>8759595</v>
      </c>
      <c r="E1665">
        <v>82475</v>
      </c>
      <c r="F1665">
        <v>6849</v>
      </c>
      <c r="G1665">
        <v>59994545087</v>
      </c>
      <c r="H1665">
        <v>1.64</v>
      </c>
      <c r="M1665" t="s">
        <v>597</v>
      </c>
    </row>
    <row r="1667" spans="1:13">
      <c r="M1667" t="s">
        <v>598</v>
      </c>
    </row>
    <row r="1668" spans="1:13">
      <c r="A1668" t="s">
        <v>373</v>
      </c>
      <c r="B1668" t="s">
        <v>389</v>
      </c>
      <c r="C1668" t="s">
        <v>390</v>
      </c>
      <c r="D1668" t="s">
        <v>391</v>
      </c>
      <c r="E1668" t="s">
        <v>406</v>
      </c>
      <c r="M1668" t="s">
        <v>598</v>
      </c>
    </row>
    <row r="1669" spans="1:13">
      <c r="A1669" t="s">
        <v>381</v>
      </c>
      <c r="B1669">
        <v>5479769</v>
      </c>
      <c r="C1669">
        <v>49402</v>
      </c>
      <c r="D1669">
        <v>45.8</v>
      </c>
      <c r="E1669">
        <v>41.3</v>
      </c>
      <c r="M1669" t="s">
        <v>598</v>
      </c>
    </row>
    <row r="1670" spans="1:13">
      <c r="A1670" t="s">
        <v>382</v>
      </c>
      <c r="B1670">
        <v>5421395</v>
      </c>
      <c r="C1670">
        <v>48955</v>
      </c>
      <c r="D1670">
        <v>43.8</v>
      </c>
      <c r="E1670">
        <v>39.4</v>
      </c>
      <c r="M1670" t="s">
        <v>598</v>
      </c>
    </row>
    <row r="1671" spans="1:13">
      <c r="A1671" t="s">
        <v>383</v>
      </c>
      <c r="B1671">
        <v>5160010</v>
      </c>
      <c r="C1671">
        <v>47720</v>
      </c>
      <c r="D1671">
        <v>34.1</v>
      </c>
      <c r="E1671">
        <v>35.5</v>
      </c>
      <c r="M1671" t="s">
        <v>598</v>
      </c>
    </row>
    <row r="1672" spans="1:13">
      <c r="A1672" t="s">
        <v>384</v>
      </c>
      <c r="B1672">
        <v>4618684</v>
      </c>
      <c r="C1672">
        <v>42114</v>
      </c>
      <c r="D1672">
        <v>33.200000000000003</v>
      </c>
      <c r="E1672">
        <v>42.4</v>
      </c>
      <c r="M1672" t="s">
        <v>598</v>
      </c>
    </row>
    <row r="1673" spans="1:13">
      <c r="A1673" t="s">
        <v>385</v>
      </c>
      <c r="B1673">
        <v>0</v>
      </c>
      <c r="C1673">
        <v>0</v>
      </c>
      <c r="D1673">
        <v>0</v>
      </c>
      <c r="E1673">
        <v>0</v>
      </c>
      <c r="M1673" t="s">
        <v>598</v>
      </c>
    </row>
    <row r="1674" spans="1:13">
      <c r="A1674" t="s">
        <v>386</v>
      </c>
      <c r="B1674">
        <v>3711915</v>
      </c>
      <c r="C1674">
        <v>32239</v>
      </c>
      <c r="D1674">
        <v>15.7</v>
      </c>
      <c r="E1674">
        <v>31.3</v>
      </c>
      <c r="M1674" t="s">
        <v>598</v>
      </c>
    </row>
    <row r="1676" spans="1:13">
      <c r="M1676" t="s">
        <v>599</v>
      </c>
    </row>
    <row r="1677" spans="1:13">
      <c r="A1677" t="s">
        <v>373</v>
      </c>
      <c r="B1677" t="s">
        <v>374</v>
      </c>
      <c r="C1677" t="s">
        <v>375</v>
      </c>
      <c r="D1677" t="s">
        <v>376</v>
      </c>
      <c r="E1677" t="s">
        <v>377</v>
      </c>
      <c r="F1677" t="s">
        <v>378</v>
      </c>
      <c r="G1677" t="s">
        <v>379</v>
      </c>
      <c r="H1677" t="s">
        <v>380</v>
      </c>
      <c r="M1677" t="s">
        <v>599</v>
      </c>
    </row>
    <row r="1678" spans="1:13">
      <c r="A1678" t="s">
        <v>382</v>
      </c>
      <c r="B1678">
        <v>811519</v>
      </c>
      <c r="C1678">
        <v>6897</v>
      </c>
      <c r="D1678">
        <v>1513956</v>
      </c>
      <c r="E1678">
        <v>12323</v>
      </c>
      <c r="F1678">
        <v>9567</v>
      </c>
      <c r="G1678">
        <v>14483973705</v>
      </c>
      <c r="H1678">
        <v>0.54</v>
      </c>
      <c r="M1678" t="s">
        <v>599</v>
      </c>
    </row>
    <row r="1679" spans="1:13">
      <c r="A1679" t="s">
        <v>383</v>
      </c>
      <c r="B1679">
        <v>1478678</v>
      </c>
      <c r="C1679">
        <v>12013</v>
      </c>
      <c r="D1679">
        <v>1717381</v>
      </c>
      <c r="E1679">
        <v>14158</v>
      </c>
      <c r="F1679">
        <v>9659</v>
      </c>
      <c r="G1679">
        <v>16587339839</v>
      </c>
      <c r="H1679">
        <v>0.86</v>
      </c>
      <c r="M1679" t="s">
        <v>599</v>
      </c>
    </row>
    <row r="1680" spans="1:13">
      <c r="A1680" t="s">
        <v>384</v>
      </c>
      <c r="B1680">
        <v>3922490</v>
      </c>
      <c r="C1680">
        <v>32804</v>
      </c>
      <c r="D1680">
        <v>2124082</v>
      </c>
      <c r="E1680">
        <v>18307</v>
      </c>
      <c r="F1680">
        <v>9813</v>
      </c>
      <c r="G1680">
        <v>20844347600</v>
      </c>
      <c r="H1680">
        <v>1.85</v>
      </c>
      <c r="M1680" t="s">
        <v>599</v>
      </c>
    </row>
    <row r="1681" spans="1:13">
      <c r="A1681" t="s">
        <v>385</v>
      </c>
      <c r="B1681">
        <v>4237709</v>
      </c>
      <c r="C1681">
        <v>36322</v>
      </c>
      <c r="D1681">
        <v>2833596</v>
      </c>
      <c r="E1681">
        <v>23905</v>
      </c>
      <c r="F1681">
        <v>9590</v>
      </c>
      <c r="G1681">
        <v>27173235984</v>
      </c>
      <c r="H1681">
        <v>1.5</v>
      </c>
      <c r="M1681" t="s">
        <v>599</v>
      </c>
    </row>
    <row r="1682" spans="1:13">
      <c r="A1682" t="s">
        <v>386</v>
      </c>
      <c r="B1682">
        <v>2992017</v>
      </c>
      <c r="C1682">
        <v>25286</v>
      </c>
      <c r="D1682">
        <v>2656285</v>
      </c>
      <c r="E1682">
        <v>23034</v>
      </c>
      <c r="F1682">
        <v>8833</v>
      </c>
      <c r="G1682">
        <v>23462000003</v>
      </c>
      <c r="H1682">
        <v>1.1299999999999999</v>
      </c>
      <c r="M1682" t="s">
        <v>599</v>
      </c>
    </row>
    <row r="1683" spans="1:13">
      <c r="A1683" t="s">
        <v>393</v>
      </c>
      <c r="B1683">
        <v>2236648</v>
      </c>
      <c r="C1683">
        <v>20019</v>
      </c>
      <c r="D1683">
        <v>2183158</v>
      </c>
      <c r="E1683">
        <v>18513</v>
      </c>
      <c r="F1683">
        <v>7551</v>
      </c>
      <c r="G1683">
        <v>16484791930</v>
      </c>
      <c r="H1683">
        <v>1.02</v>
      </c>
      <c r="M1683" t="s">
        <v>599</v>
      </c>
    </row>
    <row r="1684" spans="1:13">
      <c r="A1684" t="s">
        <v>387</v>
      </c>
      <c r="B1684">
        <v>15679062</v>
      </c>
      <c r="C1684">
        <v>133341</v>
      </c>
      <c r="D1684">
        <v>13028458</v>
      </c>
      <c r="E1684">
        <v>110240</v>
      </c>
      <c r="F1684">
        <v>9137</v>
      </c>
      <c r="G1684">
        <v>119035689061</v>
      </c>
      <c r="H1684">
        <v>1.2</v>
      </c>
      <c r="M1684" t="s">
        <v>599</v>
      </c>
    </row>
    <row r="1686" spans="1:13">
      <c r="M1686" t="s">
        <v>600</v>
      </c>
    </row>
    <row r="1687" spans="1:13">
      <c r="A1687" t="s">
        <v>373</v>
      </c>
      <c r="B1687" t="s">
        <v>389</v>
      </c>
      <c r="C1687" t="s">
        <v>390</v>
      </c>
      <c r="D1687" t="s">
        <v>391</v>
      </c>
      <c r="M1687" t="s">
        <v>600</v>
      </c>
    </row>
    <row r="1688" spans="1:13">
      <c r="A1688" t="s">
        <v>382</v>
      </c>
      <c r="B1688">
        <v>3235865</v>
      </c>
      <c r="C1688">
        <v>26825</v>
      </c>
      <c r="D1688">
        <v>25.6</v>
      </c>
      <c r="M1688" t="s">
        <v>600</v>
      </c>
    </row>
    <row r="1689" spans="1:13">
      <c r="A1689" t="s">
        <v>383</v>
      </c>
      <c r="B1689">
        <v>4106477</v>
      </c>
      <c r="C1689">
        <v>33765</v>
      </c>
      <c r="D1689">
        <v>28.7</v>
      </c>
      <c r="M1689" t="s">
        <v>600</v>
      </c>
    </row>
    <row r="1690" spans="1:13">
      <c r="A1690" t="s">
        <v>384</v>
      </c>
      <c r="B1690">
        <v>4314173</v>
      </c>
      <c r="C1690">
        <v>36047</v>
      </c>
      <c r="D1690">
        <v>24.4</v>
      </c>
      <c r="M1690" t="s">
        <v>600</v>
      </c>
    </row>
    <row r="1691" spans="1:13">
      <c r="A1691" t="s">
        <v>385</v>
      </c>
      <c r="B1691">
        <v>4213328</v>
      </c>
      <c r="C1691">
        <v>35956</v>
      </c>
      <c r="D1691">
        <v>17.8</v>
      </c>
      <c r="M1691" t="s">
        <v>600</v>
      </c>
    </row>
    <row r="1693" spans="1:13">
      <c r="M1693" t="s">
        <v>601</v>
      </c>
    </row>
    <row r="1694" spans="1:13">
      <c r="A1694" t="s">
        <v>373</v>
      </c>
      <c r="B1694" t="s">
        <v>374</v>
      </c>
      <c r="C1694" t="s">
        <v>375</v>
      </c>
      <c r="D1694" t="s">
        <v>376</v>
      </c>
      <c r="E1694" t="s">
        <v>377</v>
      </c>
      <c r="F1694" t="s">
        <v>378</v>
      </c>
      <c r="G1694" t="s">
        <v>379</v>
      </c>
      <c r="H1694" t="s">
        <v>380</v>
      </c>
      <c r="M1694" t="s">
        <v>601</v>
      </c>
    </row>
    <row r="1695" spans="1:13">
      <c r="A1695" t="s">
        <v>382</v>
      </c>
      <c r="B1695">
        <v>5150204</v>
      </c>
      <c r="C1695">
        <v>39629</v>
      </c>
      <c r="D1695">
        <v>6103349</v>
      </c>
      <c r="E1695">
        <v>46378</v>
      </c>
      <c r="F1695">
        <v>17887</v>
      </c>
      <c r="G1695">
        <v>109169088969</v>
      </c>
      <c r="H1695">
        <v>0.84</v>
      </c>
      <c r="M1695" t="s">
        <v>601</v>
      </c>
    </row>
    <row r="1696" spans="1:13">
      <c r="A1696" t="s">
        <v>383</v>
      </c>
      <c r="B1696">
        <v>5594873</v>
      </c>
      <c r="C1696">
        <v>43958</v>
      </c>
      <c r="D1696">
        <v>6498691</v>
      </c>
      <c r="E1696">
        <v>49342</v>
      </c>
      <c r="F1696">
        <v>17334</v>
      </c>
      <c r="G1696">
        <v>112649712381</v>
      </c>
      <c r="H1696">
        <v>0.86</v>
      </c>
      <c r="M1696" t="s">
        <v>601</v>
      </c>
    </row>
    <row r="1697" spans="1:13">
      <c r="A1697" t="s">
        <v>384</v>
      </c>
      <c r="B1697">
        <v>7905996</v>
      </c>
      <c r="C1697">
        <v>62037</v>
      </c>
      <c r="D1697">
        <v>9477196</v>
      </c>
      <c r="E1697">
        <v>74946</v>
      </c>
      <c r="F1697">
        <v>16293</v>
      </c>
      <c r="G1697">
        <v>154408892036</v>
      </c>
      <c r="H1697">
        <v>0.83</v>
      </c>
      <c r="M1697" t="s">
        <v>601</v>
      </c>
    </row>
    <row r="1698" spans="1:13">
      <c r="A1698" t="s">
        <v>385</v>
      </c>
      <c r="B1698">
        <v>7799434</v>
      </c>
      <c r="C1698">
        <v>61741</v>
      </c>
      <c r="D1698">
        <v>7498293</v>
      </c>
      <c r="E1698">
        <v>60875</v>
      </c>
      <c r="F1698">
        <v>15403</v>
      </c>
      <c r="G1698">
        <v>115495489579</v>
      </c>
      <c r="H1698">
        <v>1.04</v>
      </c>
      <c r="M1698" t="s">
        <v>601</v>
      </c>
    </row>
    <row r="1699" spans="1:13">
      <c r="A1699" t="s">
        <v>386</v>
      </c>
      <c r="B1699">
        <v>8973222</v>
      </c>
      <c r="C1699">
        <v>72180</v>
      </c>
      <c r="D1699">
        <v>6248197</v>
      </c>
      <c r="E1699">
        <v>50641</v>
      </c>
      <c r="F1699">
        <v>15184</v>
      </c>
      <c r="G1699">
        <v>94875004100</v>
      </c>
      <c r="H1699">
        <v>1.44</v>
      </c>
      <c r="M1699" t="s">
        <v>601</v>
      </c>
    </row>
    <row r="1700" spans="1:13">
      <c r="A1700" t="s">
        <v>387</v>
      </c>
      <c r="B1700">
        <v>35423728</v>
      </c>
      <c r="C1700">
        <v>279545</v>
      </c>
      <c r="D1700">
        <v>35825726</v>
      </c>
      <c r="E1700">
        <v>282182</v>
      </c>
      <c r="F1700">
        <v>16374</v>
      </c>
      <c r="G1700">
        <v>586598187064</v>
      </c>
      <c r="H1700">
        <v>0.99</v>
      </c>
      <c r="M1700" t="s">
        <v>601</v>
      </c>
    </row>
    <row r="1702" spans="1:13">
      <c r="M1702" t="s">
        <v>602</v>
      </c>
    </row>
    <row r="1703" spans="1:13">
      <c r="A1703" t="s">
        <v>373</v>
      </c>
      <c r="B1703" t="s">
        <v>389</v>
      </c>
      <c r="C1703" t="s">
        <v>390</v>
      </c>
      <c r="D1703" t="s">
        <v>391</v>
      </c>
      <c r="M1703" t="s">
        <v>602</v>
      </c>
    </row>
    <row r="1704" spans="1:13">
      <c r="A1704" t="s">
        <v>382</v>
      </c>
      <c r="B1704">
        <v>6161870</v>
      </c>
      <c r="C1704">
        <v>48541</v>
      </c>
      <c r="D1704">
        <v>12.1</v>
      </c>
      <c r="M1704" t="s">
        <v>602</v>
      </c>
    </row>
    <row r="1705" spans="1:13">
      <c r="A1705" t="s">
        <v>383</v>
      </c>
      <c r="B1705">
        <v>5167790</v>
      </c>
      <c r="C1705">
        <v>40691</v>
      </c>
      <c r="D1705">
        <v>9.5</v>
      </c>
      <c r="M1705" t="s">
        <v>602</v>
      </c>
    </row>
    <row r="1706" spans="1:13">
      <c r="A1706" t="s">
        <v>384</v>
      </c>
      <c r="B1706">
        <v>5243090</v>
      </c>
      <c r="C1706">
        <v>41313</v>
      </c>
      <c r="D1706">
        <v>6.6</v>
      </c>
      <c r="M1706" t="s">
        <v>602</v>
      </c>
    </row>
    <row r="1707" spans="1:13">
      <c r="A1707" t="s">
        <v>385</v>
      </c>
      <c r="B1707">
        <v>5675461</v>
      </c>
      <c r="C1707">
        <v>45266</v>
      </c>
      <c r="D1707">
        <v>9.1</v>
      </c>
      <c r="M1707" t="s">
        <v>602</v>
      </c>
    </row>
    <row r="1708" spans="1:13">
      <c r="A1708" t="s">
        <v>386</v>
      </c>
      <c r="B1708">
        <v>4491231</v>
      </c>
      <c r="C1708">
        <v>35621</v>
      </c>
      <c r="D1708">
        <v>8.6</v>
      </c>
      <c r="M1708" t="s">
        <v>602</v>
      </c>
    </row>
    <row r="1709" spans="1:13">
      <c r="A1709" t="s">
        <v>393</v>
      </c>
      <c r="B1709">
        <v>9070483</v>
      </c>
      <c r="C1709">
        <v>73906</v>
      </c>
      <c r="D1709">
        <v>15.4</v>
      </c>
      <c r="M1709" t="s">
        <v>602</v>
      </c>
    </row>
    <row r="1711" spans="1:13">
      <c r="M1711" t="s">
        <v>603</v>
      </c>
    </row>
    <row r="1712" spans="1:13">
      <c r="A1712" t="s">
        <v>373</v>
      </c>
      <c r="B1712" t="s">
        <v>374</v>
      </c>
      <c r="C1712" t="s">
        <v>375</v>
      </c>
      <c r="D1712" t="s">
        <v>376</v>
      </c>
      <c r="E1712" t="s">
        <v>377</v>
      </c>
      <c r="F1712" t="s">
        <v>378</v>
      </c>
      <c r="G1712" t="s">
        <v>379</v>
      </c>
      <c r="H1712" t="s">
        <v>380</v>
      </c>
      <c r="M1712" t="s">
        <v>603</v>
      </c>
    </row>
    <row r="1713" spans="1:13">
      <c r="A1713" t="s">
        <v>382</v>
      </c>
      <c r="B1713">
        <v>995994</v>
      </c>
      <c r="C1713">
        <v>7771</v>
      </c>
      <c r="D1713">
        <v>1129967</v>
      </c>
      <c r="E1713">
        <v>8858</v>
      </c>
      <c r="F1713">
        <v>5859</v>
      </c>
      <c r="G1713">
        <v>6620257280</v>
      </c>
      <c r="H1713">
        <v>0.88</v>
      </c>
      <c r="M1713" t="s">
        <v>603</v>
      </c>
    </row>
    <row r="1714" spans="1:13">
      <c r="A1714" t="s">
        <v>383</v>
      </c>
      <c r="B1714">
        <v>1551404</v>
      </c>
      <c r="C1714">
        <v>12113</v>
      </c>
      <c r="D1714">
        <v>211040</v>
      </c>
      <c r="E1714">
        <v>1627</v>
      </c>
      <c r="F1714">
        <v>6138</v>
      </c>
      <c r="G1714">
        <v>1295369119</v>
      </c>
      <c r="H1714">
        <v>7.35</v>
      </c>
      <c r="M1714" t="s">
        <v>603</v>
      </c>
    </row>
    <row r="1715" spans="1:13">
      <c r="A1715" t="s">
        <v>384</v>
      </c>
      <c r="B1715">
        <v>2657897</v>
      </c>
      <c r="C1715">
        <v>21603</v>
      </c>
      <c r="D1715">
        <v>92848</v>
      </c>
      <c r="E1715">
        <v>667</v>
      </c>
      <c r="F1715">
        <v>6121</v>
      </c>
      <c r="G1715">
        <v>568365810</v>
      </c>
      <c r="H1715">
        <v>28.63</v>
      </c>
      <c r="M1715" t="s">
        <v>603</v>
      </c>
    </row>
    <row r="1716" spans="1:13">
      <c r="A1716" t="s">
        <v>385</v>
      </c>
      <c r="B1716">
        <v>1541856</v>
      </c>
      <c r="C1716">
        <v>12912</v>
      </c>
      <c r="D1716">
        <v>219047</v>
      </c>
      <c r="E1716">
        <v>1543</v>
      </c>
      <c r="F1716">
        <v>6139</v>
      </c>
      <c r="G1716">
        <v>1344835317</v>
      </c>
      <c r="H1716">
        <v>7.04</v>
      </c>
      <c r="M1716" t="s">
        <v>603</v>
      </c>
    </row>
    <row r="1717" spans="1:13">
      <c r="A1717" t="s">
        <v>386</v>
      </c>
      <c r="B1717">
        <v>1718811</v>
      </c>
      <c r="C1717">
        <v>13261</v>
      </c>
      <c r="D1717">
        <v>136236</v>
      </c>
      <c r="E1717">
        <v>935</v>
      </c>
      <c r="F1717">
        <v>5156</v>
      </c>
      <c r="G1717">
        <v>702464308</v>
      </c>
      <c r="H1717">
        <v>12.62</v>
      </c>
      <c r="M1717" t="s">
        <v>603</v>
      </c>
    </row>
    <row r="1718" spans="1:13">
      <c r="A1718" t="s">
        <v>387</v>
      </c>
      <c r="B1718">
        <v>8465962</v>
      </c>
      <c r="C1718">
        <v>67660</v>
      </c>
      <c r="D1718">
        <v>1789138</v>
      </c>
      <c r="E1718">
        <v>13630</v>
      </c>
      <c r="F1718">
        <v>5886</v>
      </c>
      <c r="G1718">
        <v>10531291834</v>
      </c>
      <c r="H1718">
        <v>4.7300000000000004</v>
      </c>
      <c r="M1718" t="s">
        <v>603</v>
      </c>
    </row>
    <row r="1720" spans="1:13">
      <c r="M1720" t="s">
        <v>604</v>
      </c>
    </row>
    <row r="1721" spans="1:13">
      <c r="A1721" t="s">
        <v>373</v>
      </c>
      <c r="B1721" t="s">
        <v>389</v>
      </c>
      <c r="C1721" t="s">
        <v>390</v>
      </c>
      <c r="D1721" t="s">
        <v>391</v>
      </c>
      <c r="M1721" t="s">
        <v>604</v>
      </c>
    </row>
    <row r="1722" spans="1:13">
      <c r="A1722" t="s">
        <v>382</v>
      </c>
      <c r="B1722">
        <v>3633601</v>
      </c>
      <c r="C1722">
        <v>28823</v>
      </c>
      <c r="D1722">
        <v>38.6</v>
      </c>
      <c r="M1722" t="s">
        <v>604</v>
      </c>
    </row>
    <row r="1723" spans="1:13">
      <c r="A1723" t="s">
        <v>383</v>
      </c>
      <c r="B1723">
        <v>3741191</v>
      </c>
      <c r="C1723">
        <v>29548</v>
      </c>
      <c r="D1723">
        <v>212.7</v>
      </c>
      <c r="M1723" t="s">
        <v>604</v>
      </c>
    </row>
    <row r="1724" spans="1:13">
      <c r="A1724" t="s">
        <v>384</v>
      </c>
      <c r="B1724">
        <v>659125</v>
      </c>
      <c r="C1724">
        <v>4919</v>
      </c>
      <c r="D1724">
        <v>85.2</v>
      </c>
      <c r="M1724" t="s">
        <v>604</v>
      </c>
    </row>
    <row r="1726" spans="1:13">
      <c r="M1726" t="s">
        <v>605</v>
      </c>
    </row>
    <row r="1727" spans="1:13">
      <c r="A1727" t="s">
        <v>373</v>
      </c>
      <c r="B1727" t="s">
        <v>374</v>
      </c>
      <c r="C1727" t="s">
        <v>375</v>
      </c>
      <c r="D1727" t="s">
        <v>376</v>
      </c>
      <c r="E1727" t="s">
        <v>377</v>
      </c>
      <c r="F1727" t="s">
        <v>378</v>
      </c>
      <c r="G1727" t="s">
        <v>379</v>
      </c>
      <c r="H1727" t="s">
        <v>380</v>
      </c>
      <c r="M1727" t="s">
        <v>605</v>
      </c>
    </row>
    <row r="1728" spans="1:13">
      <c r="A1728" t="s">
        <v>382</v>
      </c>
      <c r="B1728">
        <v>77174</v>
      </c>
      <c r="C1728">
        <v>639</v>
      </c>
      <c r="D1728">
        <v>67474</v>
      </c>
      <c r="E1728">
        <v>568</v>
      </c>
      <c r="F1728">
        <v>4989</v>
      </c>
      <c r="G1728">
        <v>336627689</v>
      </c>
      <c r="H1728">
        <v>1.1399999999999999</v>
      </c>
      <c r="M1728" t="s">
        <v>605</v>
      </c>
    </row>
    <row r="1729" spans="1:13">
      <c r="A1729" t="s">
        <v>383</v>
      </c>
      <c r="B1729">
        <v>56881</v>
      </c>
      <c r="C1729">
        <v>462</v>
      </c>
      <c r="D1729">
        <v>10859</v>
      </c>
      <c r="E1729">
        <v>90</v>
      </c>
      <c r="F1729">
        <v>5087</v>
      </c>
      <c r="G1729">
        <v>55240621</v>
      </c>
      <c r="H1729">
        <v>5.24</v>
      </c>
      <c r="M1729" t="s">
        <v>605</v>
      </c>
    </row>
    <row r="1730" spans="1:13">
      <c r="A1730" t="s">
        <v>384</v>
      </c>
      <c r="B1730">
        <v>83405</v>
      </c>
      <c r="C1730">
        <v>654</v>
      </c>
      <c r="D1730">
        <v>0</v>
      </c>
      <c r="E1730">
        <v>0</v>
      </c>
      <c r="F1730">
        <v>0</v>
      </c>
      <c r="G1730">
        <v>0</v>
      </c>
      <c r="H1730">
        <v>0</v>
      </c>
      <c r="M1730" t="s">
        <v>605</v>
      </c>
    </row>
    <row r="1731" spans="1:13">
      <c r="A1731" t="s">
        <v>385</v>
      </c>
      <c r="B1731">
        <v>64708</v>
      </c>
      <c r="C1731">
        <v>526</v>
      </c>
      <c r="D1731">
        <v>0</v>
      </c>
      <c r="E1731">
        <v>0</v>
      </c>
      <c r="F1731">
        <v>0</v>
      </c>
      <c r="G1731">
        <v>0</v>
      </c>
      <c r="H1731">
        <v>0</v>
      </c>
      <c r="M1731" t="s">
        <v>605</v>
      </c>
    </row>
    <row r="1732" spans="1:13">
      <c r="A1732" t="s">
        <v>386</v>
      </c>
      <c r="B1732">
        <v>153463</v>
      </c>
      <c r="C1732">
        <v>1276</v>
      </c>
      <c r="D1732">
        <v>0</v>
      </c>
      <c r="E1732">
        <v>0</v>
      </c>
      <c r="F1732">
        <v>0</v>
      </c>
      <c r="G1732">
        <v>0</v>
      </c>
      <c r="H1732">
        <v>0</v>
      </c>
      <c r="M1732" t="s">
        <v>605</v>
      </c>
    </row>
    <row r="1733" spans="1:13">
      <c r="A1733" t="s">
        <v>387</v>
      </c>
      <c r="B1733">
        <v>435631</v>
      </c>
      <c r="C1733">
        <v>3557</v>
      </c>
      <c r="D1733">
        <v>78334</v>
      </c>
      <c r="E1733">
        <v>658</v>
      </c>
      <c r="F1733">
        <v>5003</v>
      </c>
      <c r="G1733">
        <v>391868310</v>
      </c>
      <c r="H1733">
        <v>5.56</v>
      </c>
      <c r="M1733" t="s">
        <v>605</v>
      </c>
    </row>
    <row r="1735" spans="1:13">
      <c r="M1735" t="s">
        <v>606</v>
      </c>
    </row>
    <row r="1736" spans="1:13">
      <c r="A1736" t="s">
        <v>373</v>
      </c>
      <c r="B1736" t="s">
        <v>389</v>
      </c>
      <c r="C1736" t="s">
        <v>390</v>
      </c>
      <c r="D1736" t="s">
        <v>391</v>
      </c>
      <c r="E1736" t="s">
        <v>406</v>
      </c>
      <c r="M1736" t="s">
        <v>606</v>
      </c>
    </row>
    <row r="1737" spans="1:13">
      <c r="A1737" t="s">
        <v>382</v>
      </c>
      <c r="B1737">
        <v>124692</v>
      </c>
      <c r="C1737">
        <v>992</v>
      </c>
      <c r="D1737">
        <v>22.2</v>
      </c>
      <c r="E1737">
        <v>38.200000000000003</v>
      </c>
      <c r="M1737" t="s">
        <v>606</v>
      </c>
    </row>
    <row r="1738" spans="1:13">
      <c r="A1738" t="s">
        <v>383</v>
      </c>
      <c r="B1738">
        <v>113904</v>
      </c>
      <c r="C1738">
        <v>912</v>
      </c>
      <c r="D1738">
        <v>125.9</v>
      </c>
      <c r="E1738">
        <v>251.7</v>
      </c>
      <c r="M1738" t="s">
        <v>606</v>
      </c>
    </row>
    <row r="1740" spans="1:13">
      <c r="M1740" t="s">
        <v>607</v>
      </c>
    </row>
    <row r="1741" spans="1:13">
      <c r="A1741" t="s">
        <v>373</v>
      </c>
      <c r="B1741" t="s">
        <v>374</v>
      </c>
      <c r="C1741" t="s">
        <v>375</v>
      </c>
      <c r="D1741" t="s">
        <v>376</v>
      </c>
      <c r="E1741" t="s">
        <v>377</v>
      </c>
      <c r="F1741" t="s">
        <v>378</v>
      </c>
      <c r="G1741" t="s">
        <v>379</v>
      </c>
      <c r="H1741" t="s">
        <v>380</v>
      </c>
      <c r="M1741" t="s">
        <v>607</v>
      </c>
    </row>
    <row r="1742" spans="1:13">
      <c r="A1742" t="s">
        <v>382</v>
      </c>
      <c r="B1742">
        <v>247611</v>
      </c>
      <c r="C1742">
        <v>1943</v>
      </c>
      <c r="D1742">
        <v>148643</v>
      </c>
      <c r="E1742">
        <v>1117</v>
      </c>
      <c r="F1742">
        <v>6309</v>
      </c>
      <c r="G1742">
        <v>937732423</v>
      </c>
      <c r="H1742">
        <v>1.67</v>
      </c>
      <c r="M1742" t="s">
        <v>607</v>
      </c>
    </row>
    <row r="1743" spans="1:13">
      <c r="A1743" t="s">
        <v>383</v>
      </c>
      <c r="B1743">
        <v>120907</v>
      </c>
      <c r="C1743">
        <v>965</v>
      </c>
      <c r="D1743">
        <v>12171</v>
      </c>
      <c r="E1743">
        <v>93</v>
      </c>
      <c r="F1743">
        <v>5890</v>
      </c>
      <c r="G1743">
        <v>71686939</v>
      </c>
      <c r="H1743">
        <v>9.93</v>
      </c>
      <c r="M1743" t="s">
        <v>607</v>
      </c>
    </row>
    <row r="1744" spans="1:13">
      <c r="A1744" t="s">
        <v>384</v>
      </c>
      <c r="B1744">
        <v>55111</v>
      </c>
      <c r="C1744">
        <v>417</v>
      </c>
      <c r="D1744">
        <v>0</v>
      </c>
      <c r="E1744">
        <v>0</v>
      </c>
      <c r="F1744">
        <v>0</v>
      </c>
      <c r="G1744">
        <v>0</v>
      </c>
      <c r="H1744">
        <v>0</v>
      </c>
      <c r="M1744" t="s">
        <v>607</v>
      </c>
    </row>
    <row r="1745" spans="1:13">
      <c r="A1745" t="s">
        <v>385</v>
      </c>
      <c r="B1745">
        <v>326106</v>
      </c>
      <c r="C1745">
        <v>2643</v>
      </c>
      <c r="D1745">
        <v>0</v>
      </c>
      <c r="E1745">
        <v>0</v>
      </c>
      <c r="F1745">
        <v>0</v>
      </c>
      <c r="G1745">
        <v>0</v>
      </c>
      <c r="H1745">
        <v>0</v>
      </c>
      <c r="M1745" t="s">
        <v>607</v>
      </c>
    </row>
    <row r="1746" spans="1:13">
      <c r="A1746" t="s">
        <v>386</v>
      </c>
      <c r="B1746">
        <v>228592</v>
      </c>
      <c r="C1746">
        <v>1731</v>
      </c>
      <c r="D1746">
        <v>0</v>
      </c>
      <c r="E1746">
        <v>0</v>
      </c>
      <c r="F1746">
        <v>0</v>
      </c>
      <c r="G1746">
        <v>0</v>
      </c>
      <c r="H1746">
        <v>0</v>
      </c>
      <c r="M1746" t="s">
        <v>607</v>
      </c>
    </row>
    <row r="1747" spans="1:13">
      <c r="A1747" t="s">
        <v>387</v>
      </c>
      <c r="B1747">
        <v>978328</v>
      </c>
      <c r="C1747">
        <v>7699</v>
      </c>
      <c r="D1747">
        <v>160814</v>
      </c>
      <c r="E1747">
        <v>1210</v>
      </c>
      <c r="F1747">
        <v>6277</v>
      </c>
      <c r="G1747">
        <v>1009419362</v>
      </c>
      <c r="H1747">
        <v>6.08</v>
      </c>
      <c r="M1747" t="s">
        <v>607</v>
      </c>
    </row>
    <row r="1749" spans="1:13">
      <c r="M1749" t="s">
        <v>608</v>
      </c>
    </row>
    <row r="1750" spans="1:13">
      <c r="A1750" t="s">
        <v>373</v>
      </c>
      <c r="B1750" t="s">
        <v>389</v>
      </c>
      <c r="C1750" t="s">
        <v>390</v>
      </c>
      <c r="D1750" t="s">
        <v>391</v>
      </c>
      <c r="M1750" t="s">
        <v>608</v>
      </c>
    </row>
    <row r="1751" spans="1:13">
      <c r="A1751" t="s">
        <v>382</v>
      </c>
      <c r="B1751">
        <v>351511</v>
      </c>
      <c r="C1751">
        <v>2816</v>
      </c>
      <c r="D1751">
        <v>28.4</v>
      </c>
      <c r="M1751" t="s">
        <v>608</v>
      </c>
    </row>
    <row r="1752" spans="1:13">
      <c r="A1752" t="s">
        <v>383</v>
      </c>
      <c r="B1752">
        <v>246751</v>
      </c>
      <c r="C1752">
        <v>1975</v>
      </c>
      <c r="D1752">
        <v>243.3</v>
      </c>
      <c r="M1752" t="s">
        <v>608</v>
      </c>
    </row>
    <row r="1754" spans="1:13">
      <c r="M1754" t="s">
        <v>609</v>
      </c>
    </row>
    <row r="1755" spans="1:13">
      <c r="A1755" t="s">
        <v>373</v>
      </c>
      <c r="B1755" t="s">
        <v>374</v>
      </c>
      <c r="C1755" t="s">
        <v>375</v>
      </c>
      <c r="D1755" t="s">
        <v>376</v>
      </c>
      <c r="E1755" t="s">
        <v>377</v>
      </c>
      <c r="F1755" t="s">
        <v>378</v>
      </c>
      <c r="G1755" t="s">
        <v>379</v>
      </c>
      <c r="H1755" t="s">
        <v>380</v>
      </c>
      <c r="M1755" t="s">
        <v>609</v>
      </c>
    </row>
    <row r="1756" spans="1:13">
      <c r="A1756" t="s">
        <v>382</v>
      </c>
      <c r="B1756">
        <v>3173230</v>
      </c>
      <c r="C1756">
        <v>27232</v>
      </c>
      <c r="D1756">
        <v>2496968</v>
      </c>
      <c r="E1756">
        <v>20688</v>
      </c>
      <c r="F1756">
        <v>18307</v>
      </c>
      <c r="G1756">
        <v>45711349195</v>
      </c>
      <c r="H1756">
        <v>1.27</v>
      </c>
      <c r="M1756" t="s">
        <v>609</v>
      </c>
    </row>
    <row r="1757" spans="1:13">
      <c r="A1757" t="s">
        <v>383</v>
      </c>
      <c r="B1757">
        <v>2698845</v>
      </c>
      <c r="C1757">
        <v>24383</v>
      </c>
      <c r="D1757">
        <v>2456263</v>
      </c>
      <c r="E1757">
        <v>21668</v>
      </c>
      <c r="F1757">
        <v>17422</v>
      </c>
      <c r="G1757">
        <v>42793051207</v>
      </c>
      <c r="H1757">
        <v>1.1000000000000001</v>
      </c>
      <c r="M1757" t="s">
        <v>609</v>
      </c>
    </row>
    <row r="1758" spans="1:13">
      <c r="A1758" t="s">
        <v>384</v>
      </c>
      <c r="B1758">
        <v>4193651</v>
      </c>
      <c r="C1758">
        <v>36319</v>
      </c>
      <c r="D1758">
        <v>4183147</v>
      </c>
      <c r="E1758">
        <v>38336</v>
      </c>
      <c r="F1758">
        <v>17371</v>
      </c>
      <c r="G1758">
        <v>72665864223</v>
      </c>
      <c r="H1758">
        <v>1</v>
      </c>
      <c r="M1758" t="s">
        <v>609</v>
      </c>
    </row>
    <row r="1759" spans="1:13">
      <c r="A1759" t="s">
        <v>385</v>
      </c>
      <c r="B1759">
        <v>3144503</v>
      </c>
      <c r="C1759">
        <v>30657</v>
      </c>
      <c r="D1759">
        <v>3842533</v>
      </c>
      <c r="E1759">
        <v>36625</v>
      </c>
      <c r="F1759">
        <v>17212</v>
      </c>
      <c r="G1759">
        <v>66136382726</v>
      </c>
      <c r="H1759">
        <v>0.82</v>
      </c>
      <c r="M1759" t="s">
        <v>609</v>
      </c>
    </row>
    <row r="1760" spans="1:13">
      <c r="A1760" t="s">
        <v>386</v>
      </c>
      <c r="B1760">
        <v>3531767</v>
      </c>
      <c r="C1760">
        <v>33276</v>
      </c>
      <c r="D1760">
        <v>4264740</v>
      </c>
      <c r="E1760">
        <v>41003</v>
      </c>
      <c r="F1760">
        <v>16296</v>
      </c>
      <c r="G1760">
        <v>69498751839</v>
      </c>
      <c r="H1760">
        <v>0.83</v>
      </c>
      <c r="M1760" t="s">
        <v>609</v>
      </c>
    </row>
    <row r="1761" spans="1:13">
      <c r="A1761" t="s">
        <v>387</v>
      </c>
      <c r="B1761">
        <v>16741996</v>
      </c>
      <c r="C1761">
        <v>151867</v>
      </c>
      <c r="D1761">
        <v>17243650</v>
      </c>
      <c r="E1761">
        <v>158320</v>
      </c>
      <c r="F1761">
        <v>17212</v>
      </c>
      <c r="G1761">
        <v>296805399190</v>
      </c>
      <c r="H1761">
        <v>0.97</v>
      </c>
      <c r="M1761" t="s">
        <v>609</v>
      </c>
    </row>
    <row r="1763" spans="1:13">
      <c r="M1763" t="s">
        <v>610</v>
      </c>
    </row>
    <row r="1764" spans="1:13">
      <c r="A1764" t="s">
        <v>373</v>
      </c>
      <c r="B1764" t="s">
        <v>389</v>
      </c>
      <c r="C1764" t="s">
        <v>390</v>
      </c>
      <c r="D1764" t="s">
        <v>391</v>
      </c>
      <c r="M1764" t="s">
        <v>610</v>
      </c>
    </row>
    <row r="1765" spans="1:13">
      <c r="A1765" t="s">
        <v>382</v>
      </c>
      <c r="B1765">
        <v>4042394</v>
      </c>
      <c r="C1765">
        <v>38193</v>
      </c>
      <c r="D1765">
        <v>19.399999999999999</v>
      </c>
      <c r="M1765" t="s">
        <v>610</v>
      </c>
    </row>
    <row r="1766" spans="1:13">
      <c r="A1766" t="s">
        <v>383</v>
      </c>
      <c r="B1766">
        <v>3575076</v>
      </c>
      <c r="C1766">
        <v>34611</v>
      </c>
      <c r="D1766">
        <v>17.5</v>
      </c>
      <c r="M1766" t="s">
        <v>610</v>
      </c>
    </row>
    <row r="1767" spans="1:13">
      <c r="A1767" t="s">
        <v>384</v>
      </c>
      <c r="B1767">
        <v>2515184</v>
      </c>
      <c r="C1767">
        <v>26199</v>
      </c>
      <c r="D1767">
        <v>7.2</v>
      </c>
      <c r="M1767" t="s">
        <v>610</v>
      </c>
    </row>
    <row r="1769" spans="1:13">
      <c r="M1769" t="s">
        <v>611</v>
      </c>
    </row>
    <row r="1770" spans="1:13">
      <c r="A1770" t="s">
        <v>373</v>
      </c>
      <c r="B1770" t="s">
        <v>374</v>
      </c>
      <c r="C1770" t="s">
        <v>375</v>
      </c>
      <c r="D1770" t="s">
        <v>376</v>
      </c>
      <c r="E1770" t="s">
        <v>377</v>
      </c>
      <c r="F1770" t="s">
        <v>378</v>
      </c>
      <c r="G1770" t="s">
        <v>379</v>
      </c>
      <c r="H1770" t="s">
        <v>380</v>
      </c>
      <c r="M1770" t="s">
        <v>611</v>
      </c>
    </row>
    <row r="1771" spans="1:13">
      <c r="A1771" t="s">
        <v>382</v>
      </c>
      <c r="B1771">
        <v>251822</v>
      </c>
      <c r="C1771">
        <v>2244</v>
      </c>
      <c r="D1771">
        <v>162993</v>
      </c>
      <c r="E1771">
        <v>1526</v>
      </c>
      <c r="F1771">
        <v>19706</v>
      </c>
      <c r="G1771">
        <v>3211890482</v>
      </c>
      <c r="H1771">
        <v>1.54</v>
      </c>
      <c r="M1771" t="s">
        <v>611</v>
      </c>
    </row>
    <row r="1772" spans="1:13">
      <c r="A1772" t="s">
        <v>383</v>
      </c>
      <c r="B1772">
        <v>780755</v>
      </c>
      <c r="C1772">
        <v>6956</v>
      </c>
      <c r="D1772">
        <v>731576</v>
      </c>
      <c r="E1772">
        <v>6765</v>
      </c>
      <c r="F1772">
        <v>19538</v>
      </c>
      <c r="G1772">
        <v>14293393652</v>
      </c>
      <c r="H1772">
        <v>1.07</v>
      </c>
      <c r="M1772" t="s">
        <v>611</v>
      </c>
    </row>
    <row r="1773" spans="1:13">
      <c r="A1773" t="s">
        <v>384</v>
      </c>
      <c r="B1773">
        <v>1094410</v>
      </c>
      <c r="C1773">
        <v>9583</v>
      </c>
      <c r="D1773">
        <v>1326137</v>
      </c>
      <c r="E1773">
        <v>12604</v>
      </c>
      <c r="F1773">
        <v>18732</v>
      </c>
      <c r="G1773">
        <v>24841567648</v>
      </c>
      <c r="H1773">
        <v>0.83</v>
      </c>
      <c r="M1773" t="s">
        <v>611</v>
      </c>
    </row>
    <row r="1774" spans="1:13">
      <c r="A1774" t="s">
        <v>385</v>
      </c>
      <c r="B1774">
        <v>1673435</v>
      </c>
      <c r="C1774">
        <v>15959</v>
      </c>
      <c r="D1774">
        <v>1559662</v>
      </c>
      <c r="E1774">
        <v>14835</v>
      </c>
      <c r="F1774">
        <v>17847</v>
      </c>
      <c r="G1774">
        <v>27834600393</v>
      </c>
      <c r="H1774">
        <v>1.07</v>
      </c>
      <c r="M1774" t="s">
        <v>611</v>
      </c>
    </row>
    <row r="1775" spans="1:13">
      <c r="A1775" t="s">
        <v>386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M1775" t="s">
        <v>611</v>
      </c>
    </row>
    <row r="1776" spans="1:13">
      <c r="A1776" t="s">
        <v>393</v>
      </c>
      <c r="B1776">
        <v>2323135</v>
      </c>
      <c r="C1776">
        <v>23090</v>
      </c>
      <c r="D1776">
        <v>1694240</v>
      </c>
      <c r="E1776">
        <v>16315</v>
      </c>
      <c r="F1776">
        <v>15309</v>
      </c>
      <c r="G1776">
        <v>25936278835</v>
      </c>
      <c r="H1776">
        <v>1.37</v>
      </c>
      <c r="M1776" t="s">
        <v>611</v>
      </c>
    </row>
    <row r="1777" spans="1:13">
      <c r="A1777" t="s">
        <v>387</v>
      </c>
      <c r="B1777">
        <v>6123557</v>
      </c>
      <c r="C1777">
        <v>57832</v>
      </c>
      <c r="D1777">
        <v>5474607</v>
      </c>
      <c r="E1777">
        <v>52045</v>
      </c>
      <c r="F1777">
        <v>17557</v>
      </c>
      <c r="G1777">
        <v>96117731009</v>
      </c>
      <c r="H1777">
        <v>1.1200000000000001</v>
      </c>
      <c r="M1777" t="s">
        <v>611</v>
      </c>
    </row>
    <row r="1779" spans="1:13">
      <c r="M1779" t="s">
        <v>612</v>
      </c>
    </row>
    <row r="1780" spans="1:13">
      <c r="A1780" t="s">
        <v>373</v>
      </c>
      <c r="B1780" t="s">
        <v>389</v>
      </c>
      <c r="C1780" t="s">
        <v>390</v>
      </c>
      <c r="D1780" t="s">
        <v>391</v>
      </c>
      <c r="M1780" t="s">
        <v>612</v>
      </c>
    </row>
    <row r="1781" spans="1:13">
      <c r="A1781" t="s">
        <v>382</v>
      </c>
      <c r="B1781">
        <v>1394235</v>
      </c>
      <c r="C1781">
        <v>12606</v>
      </c>
      <c r="D1781">
        <v>39.200000000000003</v>
      </c>
      <c r="M1781" t="s">
        <v>612</v>
      </c>
    </row>
    <row r="1782" spans="1:13">
      <c r="A1782" t="s">
        <v>383</v>
      </c>
      <c r="B1782">
        <v>1329730</v>
      </c>
      <c r="C1782">
        <v>12017</v>
      </c>
      <c r="D1782">
        <v>21.8</v>
      </c>
      <c r="M1782" t="s">
        <v>612</v>
      </c>
    </row>
    <row r="1783" spans="1:13">
      <c r="A1783" t="s">
        <v>384</v>
      </c>
      <c r="B1783">
        <v>1141356</v>
      </c>
      <c r="C1783">
        <v>10862</v>
      </c>
      <c r="D1783">
        <v>10.3</v>
      </c>
      <c r="M1783" t="s">
        <v>612</v>
      </c>
    </row>
    <row r="1784" spans="1:13">
      <c r="A1784" t="s">
        <v>385</v>
      </c>
      <c r="B1784">
        <v>1352551</v>
      </c>
      <c r="C1784">
        <v>13719</v>
      </c>
      <c r="D1784">
        <v>10.4</v>
      </c>
      <c r="M1784" t="s">
        <v>612</v>
      </c>
    </row>
    <row r="1785" spans="1:13">
      <c r="A1785" t="s">
        <v>386</v>
      </c>
      <c r="B1785">
        <v>0</v>
      </c>
      <c r="C1785">
        <v>0</v>
      </c>
      <c r="D1785">
        <v>0</v>
      </c>
      <c r="M1785" t="s">
        <v>612</v>
      </c>
    </row>
    <row r="1786" spans="1:13">
      <c r="A1786" t="s">
        <v>393</v>
      </c>
      <c r="B1786">
        <v>0</v>
      </c>
      <c r="C1786">
        <v>0</v>
      </c>
      <c r="D1786">
        <v>0</v>
      </c>
      <c r="M1786" t="s">
        <v>612</v>
      </c>
    </row>
    <row r="1788" spans="1:13">
      <c r="M1788" t="s">
        <v>613</v>
      </c>
    </row>
    <row r="1789" spans="1:13">
      <c r="A1789" t="s">
        <v>373</v>
      </c>
      <c r="B1789" t="s">
        <v>374</v>
      </c>
      <c r="C1789" t="s">
        <v>375</v>
      </c>
      <c r="D1789" t="s">
        <v>376</v>
      </c>
      <c r="E1789" t="s">
        <v>377</v>
      </c>
      <c r="F1789" t="s">
        <v>378</v>
      </c>
      <c r="G1789" t="s">
        <v>379</v>
      </c>
      <c r="H1789" t="s">
        <v>380</v>
      </c>
      <c r="M1789" t="s">
        <v>613</v>
      </c>
    </row>
    <row r="1790" spans="1:13">
      <c r="A1790" t="s">
        <v>382</v>
      </c>
      <c r="B1790">
        <v>140719</v>
      </c>
      <c r="C1790">
        <v>1097</v>
      </c>
      <c r="D1790">
        <v>138511</v>
      </c>
      <c r="E1790">
        <v>1130</v>
      </c>
      <c r="F1790">
        <v>5456</v>
      </c>
      <c r="G1790">
        <v>755735961</v>
      </c>
      <c r="H1790">
        <v>1.02</v>
      </c>
      <c r="M1790" t="s">
        <v>613</v>
      </c>
    </row>
    <row r="1791" spans="1:13">
      <c r="A1791" t="s">
        <v>383</v>
      </c>
      <c r="B1791">
        <v>65250</v>
      </c>
      <c r="C1791">
        <v>495</v>
      </c>
      <c r="D1791">
        <v>18845</v>
      </c>
      <c r="E1791">
        <v>159</v>
      </c>
      <c r="F1791">
        <v>5948</v>
      </c>
      <c r="G1791">
        <v>112086457</v>
      </c>
      <c r="H1791">
        <v>3.46</v>
      </c>
      <c r="M1791" t="s">
        <v>613</v>
      </c>
    </row>
    <row r="1792" spans="1:13">
      <c r="A1792" t="s">
        <v>384</v>
      </c>
      <c r="B1792">
        <v>301777</v>
      </c>
      <c r="C1792">
        <v>2555</v>
      </c>
      <c r="D1792">
        <v>0</v>
      </c>
      <c r="E1792">
        <v>0</v>
      </c>
      <c r="F1792">
        <v>0</v>
      </c>
      <c r="G1792">
        <v>0</v>
      </c>
      <c r="H1792">
        <v>0</v>
      </c>
      <c r="M1792" t="s">
        <v>613</v>
      </c>
    </row>
    <row r="1793" spans="1:13">
      <c r="A1793" t="s">
        <v>385</v>
      </c>
      <c r="B1793">
        <v>252495</v>
      </c>
      <c r="C1793">
        <v>1982</v>
      </c>
      <c r="D1793">
        <v>0</v>
      </c>
      <c r="E1793">
        <v>0</v>
      </c>
      <c r="F1793">
        <v>0</v>
      </c>
      <c r="G1793">
        <v>0</v>
      </c>
      <c r="H1793">
        <v>0</v>
      </c>
      <c r="M1793" t="s">
        <v>613</v>
      </c>
    </row>
    <row r="1794" spans="1:13">
      <c r="A1794" t="s">
        <v>386</v>
      </c>
      <c r="B1794">
        <v>187145</v>
      </c>
      <c r="C1794">
        <v>1702</v>
      </c>
      <c r="D1794">
        <v>0</v>
      </c>
      <c r="E1794">
        <v>0</v>
      </c>
      <c r="F1794">
        <v>0</v>
      </c>
      <c r="G1794">
        <v>0</v>
      </c>
      <c r="H1794">
        <v>0</v>
      </c>
      <c r="M1794" t="s">
        <v>613</v>
      </c>
    </row>
    <row r="1795" spans="1:13">
      <c r="A1795" t="s">
        <v>387</v>
      </c>
      <c r="B1795">
        <v>947387</v>
      </c>
      <c r="C1795">
        <v>7831</v>
      </c>
      <c r="D1795">
        <v>157357</v>
      </c>
      <c r="E1795">
        <v>1289</v>
      </c>
      <c r="F1795">
        <v>5515</v>
      </c>
      <c r="G1795">
        <v>867822417</v>
      </c>
      <c r="H1795">
        <v>6.02</v>
      </c>
      <c r="M1795" t="s">
        <v>613</v>
      </c>
    </row>
    <row r="1797" spans="1:13">
      <c r="M1797" t="s">
        <v>614</v>
      </c>
    </row>
    <row r="1798" spans="1:13">
      <c r="A1798" t="s">
        <v>373</v>
      </c>
      <c r="B1798" t="s">
        <v>389</v>
      </c>
      <c r="C1798" t="s">
        <v>390</v>
      </c>
      <c r="D1798" t="s">
        <v>391</v>
      </c>
      <c r="M1798" t="s">
        <v>614</v>
      </c>
    </row>
    <row r="1799" spans="1:13">
      <c r="A1799" t="s">
        <v>382</v>
      </c>
      <c r="B1799">
        <v>286456</v>
      </c>
      <c r="C1799">
        <v>2362</v>
      </c>
      <c r="D1799">
        <v>24.8</v>
      </c>
      <c r="M1799" t="s">
        <v>614</v>
      </c>
    </row>
    <row r="1800" spans="1:13">
      <c r="A1800" t="s">
        <v>383</v>
      </c>
      <c r="B1800">
        <v>309707</v>
      </c>
      <c r="C1800">
        <v>2636</v>
      </c>
      <c r="D1800">
        <v>197.2</v>
      </c>
      <c r="M1800" t="s">
        <v>614</v>
      </c>
    </row>
    <row r="1802" spans="1:13">
      <c r="M1802" t="s">
        <v>615</v>
      </c>
    </row>
    <row r="1803" spans="1:13">
      <c r="A1803" t="s">
        <v>373</v>
      </c>
      <c r="B1803" t="s">
        <v>374</v>
      </c>
      <c r="C1803" t="s">
        <v>375</v>
      </c>
      <c r="D1803" t="s">
        <v>376</v>
      </c>
      <c r="E1803" t="s">
        <v>377</v>
      </c>
      <c r="F1803" t="s">
        <v>378</v>
      </c>
      <c r="G1803" t="s">
        <v>379</v>
      </c>
      <c r="H1803" t="s">
        <v>380</v>
      </c>
      <c r="M1803" t="s">
        <v>615</v>
      </c>
    </row>
    <row r="1804" spans="1:13">
      <c r="A1804" t="s">
        <v>381</v>
      </c>
      <c r="B1804">
        <v>111534</v>
      </c>
      <c r="C1804">
        <v>745</v>
      </c>
      <c r="D1804">
        <v>233417</v>
      </c>
      <c r="E1804">
        <v>1825</v>
      </c>
      <c r="F1804">
        <v>8601</v>
      </c>
      <c r="G1804">
        <v>2007704660</v>
      </c>
      <c r="H1804">
        <v>0.48</v>
      </c>
      <c r="M1804" t="s">
        <v>615</v>
      </c>
    </row>
    <row r="1805" spans="1:13">
      <c r="A1805" t="s">
        <v>382</v>
      </c>
      <c r="B1805">
        <v>2765160</v>
      </c>
      <c r="C1805">
        <v>20682</v>
      </c>
      <c r="D1805">
        <v>3133097</v>
      </c>
      <c r="E1805">
        <v>24346</v>
      </c>
      <c r="F1805">
        <v>8077</v>
      </c>
      <c r="G1805">
        <v>25305576560</v>
      </c>
      <c r="H1805">
        <v>0.88</v>
      </c>
      <c r="M1805" t="s">
        <v>615</v>
      </c>
    </row>
    <row r="1806" spans="1:13">
      <c r="A1806" t="s">
        <v>383</v>
      </c>
      <c r="B1806">
        <v>2708590</v>
      </c>
      <c r="C1806">
        <v>20465</v>
      </c>
      <c r="D1806">
        <v>2997918</v>
      </c>
      <c r="E1806">
        <v>23227</v>
      </c>
      <c r="F1806">
        <v>8456</v>
      </c>
      <c r="G1806">
        <v>25349359254</v>
      </c>
      <c r="H1806">
        <v>0.9</v>
      </c>
      <c r="M1806" t="s">
        <v>615</v>
      </c>
    </row>
    <row r="1807" spans="1:13">
      <c r="A1807" t="s">
        <v>384</v>
      </c>
      <c r="B1807">
        <v>4563832</v>
      </c>
      <c r="C1807">
        <v>36863</v>
      </c>
      <c r="D1807">
        <v>4695263</v>
      </c>
      <c r="E1807">
        <v>36602</v>
      </c>
      <c r="F1807">
        <v>8316</v>
      </c>
      <c r="G1807">
        <v>39045133515</v>
      </c>
      <c r="H1807">
        <v>0.97</v>
      </c>
      <c r="M1807" t="s">
        <v>615</v>
      </c>
    </row>
    <row r="1808" spans="1:13">
      <c r="A1808" t="s">
        <v>385</v>
      </c>
      <c r="B1808">
        <v>5137998</v>
      </c>
      <c r="C1808">
        <v>39925</v>
      </c>
      <c r="D1808">
        <v>5677686</v>
      </c>
      <c r="E1808">
        <v>44778</v>
      </c>
      <c r="F1808">
        <v>8707</v>
      </c>
      <c r="G1808">
        <v>49436421467</v>
      </c>
      <c r="H1808">
        <v>0.9</v>
      </c>
      <c r="M1808" t="s">
        <v>615</v>
      </c>
    </row>
    <row r="1809" spans="1:13">
      <c r="A1809" t="s">
        <v>386</v>
      </c>
      <c r="B1809">
        <v>5992417</v>
      </c>
      <c r="C1809">
        <v>45735</v>
      </c>
      <c r="D1809">
        <v>5422329</v>
      </c>
      <c r="E1809">
        <v>43064</v>
      </c>
      <c r="F1809">
        <v>8494</v>
      </c>
      <c r="G1809">
        <v>46058917696</v>
      </c>
      <c r="H1809">
        <v>1.1100000000000001</v>
      </c>
      <c r="M1809" t="s">
        <v>615</v>
      </c>
    </row>
    <row r="1810" spans="1:13">
      <c r="A1810" t="s">
        <v>387</v>
      </c>
      <c r="B1810">
        <v>21279531</v>
      </c>
      <c r="C1810">
        <v>164415</v>
      </c>
      <c r="D1810">
        <v>22159712</v>
      </c>
      <c r="E1810">
        <v>173842</v>
      </c>
      <c r="F1810">
        <v>8448</v>
      </c>
      <c r="G1810">
        <v>187203113152</v>
      </c>
      <c r="H1810">
        <v>0.96</v>
      </c>
      <c r="M1810" t="s">
        <v>615</v>
      </c>
    </row>
    <row r="1812" spans="1:13">
      <c r="M1812" t="s">
        <v>616</v>
      </c>
    </row>
    <row r="1813" spans="1:13">
      <c r="A1813" t="s">
        <v>373</v>
      </c>
      <c r="B1813" t="s">
        <v>389</v>
      </c>
      <c r="C1813" t="s">
        <v>390</v>
      </c>
      <c r="D1813" t="s">
        <v>391</v>
      </c>
      <c r="E1813" t="s">
        <v>406</v>
      </c>
      <c r="M1813" t="s">
        <v>616</v>
      </c>
    </row>
    <row r="1814" spans="1:13">
      <c r="A1814" t="s">
        <v>381</v>
      </c>
      <c r="B1814">
        <v>8219975</v>
      </c>
      <c r="C1814">
        <v>65908</v>
      </c>
      <c r="D1814">
        <v>30.8</v>
      </c>
      <c r="E1814">
        <v>32.4</v>
      </c>
      <c r="M1814" t="s">
        <v>616</v>
      </c>
    </row>
    <row r="1815" spans="1:13">
      <c r="A1815" t="s">
        <v>382</v>
      </c>
      <c r="B1815">
        <v>8316754</v>
      </c>
      <c r="C1815">
        <v>66768</v>
      </c>
      <c r="D1815">
        <v>31.9</v>
      </c>
      <c r="E1815">
        <v>32.6</v>
      </c>
      <c r="M1815" t="s">
        <v>616</v>
      </c>
    </row>
    <row r="1816" spans="1:13">
      <c r="A1816" t="s">
        <v>383</v>
      </c>
      <c r="B1816">
        <v>8058151</v>
      </c>
      <c r="C1816">
        <v>64367</v>
      </c>
      <c r="D1816">
        <v>32.299999999999997</v>
      </c>
      <c r="E1816">
        <v>25.1</v>
      </c>
      <c r="M1816" t="s">
        <v>616</v>
      </c>
    </row>
    <row r="1817" spans="1:13">
      <c r="A1817" t="s">
        <v>384</v>
      </c>
      <c r="B1817">
        <v>7302963</v>
      </c>
      <c r="C1817">
        <v>59438</v>
      </c>
      <c r="D1817">
        <v>18.7</v>
      </c>
      <c r="E1817">
        <v>16.899999999999999</v>
      </c>
      <c r="M1817" t="s">
        <v>616</v>
      </c>
    </row>
    <row r="1818" spans="1:13">
      <c r="A1818" t="s">
        <v>385</v>
      </c>
      <c r="B1818">
        <v>6724714</v>
      </c>
      <c r="C1818">
        <v>53160</v>
      </c>
      <c r="D1818">
        <v>14.2</v>
      </c>
      <c r="E1818">
        <v>14.5</v>
      </c>
      <c r="M1818" t="s">
        <v>616</v>
      </c>
    </row>
    <row r="1819" spans="1:13">
      <c r="A1819" t="s">
        <v>386</v>
      </c>
      <c r="B1819">
        <v>5040795</v>
      </c>
      <c r="C1819">
        <v>39930</v>
      </c>
      <c r="D1819">
        <v>11.2</v>
      </c>
      <c r="E1819">
        <v>20.3</v>
      </c>
      <c r="M1819" t="s">
        <v>616</v>
      </c>
    </row>
    <row r="1821" spans="1:13">
      <c r="M1821" t="s">
        <v>617</v>
      </c>
    </row>
    <row r="1822" spans="1:13">
      <c r="A1822" t="s">
        <v>373</v>
      </c>
      <c r="B1822" t="s">
        <v>374</v>
      </c>
      <c r="C1822" t="s">
        <v>375</v>
      </c>
      <c r="D1822" t="s">
        <v>376</v>
      </c>
      <c r="E1822" t="s">
        <v>377</v>
      </c>
      <c r="F1822" t="s">
        <v>378</v>
      </c>
      <c r="G1822" t="s">
        <v>379</v>
      </c>
      <c r="H1822" t="s">
        <v>380</v>
      </c>
      <c r="M1822" t="s">
        <v>617</v>
      </c>
    </row>
    <row r="1823" spans="1:13">
      <c r="A1823" t="s">
        <v>382</v>
      </c>
      <c r="B1823">
        <v>930100</v>
      </c>
      <c r="C1823">
        <v>8062</v>
      </c>
      <c r="D1823">
        <v>749342</v>
      </c>
      <c r="E1823">
        <v>6454</v>
      </c>
      <c r="F1823">
        <v>8130</v>
      </c>
      <c r="G1823">
        <v>6091851156</v>
      </c>
      <c r="H1823">
        <v>1.24</v>
      </c>
      <c r="M1823" t="s">
        <v>617</v>
      </c>
    </row>
    <row r="1824" spans="1:13">
      <c r="A1824" t="s">
        <v>383</v>
      </c>
      <c r="B1824">
        <v>614888</v>
      </c>
      <c r="C1824">
        <v>5229</v>
      </c>
      <c r="D1824">
        <v>779736</v>
      </c>
      <c r="E1824">
        <v>6766</v>
      </c>
      <c r="F1824">
        <v>7785</v>
      </c>
      <c r="G1824">
        <v>6070341293</v>
      </c>
      <c r="H1824">
        <v>0.79</v>
      </c>
      <c r="M1824" t="s">
        <v>617</v>
      </c>
    </row>
    <row r="1825" spans="1:13">
      <c r="A1825" t="s">
        <v>384</v>
      </c>
      <c r="B1825">
        <v>1811423</v>
      </c>
      <c r="C1825">
        <v>15971</v>
      </c>
      <c r="D1825">
        <v>1568079</v>
      </c>
      <c r="E1825">
        <v>13799</v>
      </c>
      <c r="F1825">
        <v>9561</v>
      </c>
      <c r="G1825">
        <v>14993028126</v>
      </c>
      <c r="H1825">
        <v>1.1599999999999999</v>
      </c>
      <c r="M1825" t="s">
        <v>617</v>
      </c>
    </row>
    <row r="1826" spans="1:13">
      <c r="A1826" t="s">
        <v>385</v>
      </c>
      <c r="B1826">
        <v>2013110</v>
      </c>
      <c r="C1826">
        <v>17579</v>
      </c>
      <c r="D1826">
        <v>1769213</v>
      </c>
      <c r="E1826">
        <v>15306</v>
      </c>
      <c r="F1826">
        <v>8332</v>
      </c>
      <c r="G1826">
        <v>14740266587</v>
      </c>
      <c r="H1826">
        <v>1.1399999999999999</v>
      </c>
      <c r="M1826" t="s">
        <v>617</v>
      </c>
    </row>
    <row r="1827" spans="1:13">
      <c r="A1827" t="s">
        <v>386</v>
      </c>
      <c r="B1827">
        <v>1827664</v>
      </c>
      <c r="C1827">
        <v>15933</v>
      </c>
      <c r="D1827">
        <v>1390397</v>
      </c>
      <c r="E1827">
        <v>11835</v>
      </c>
      <c r="F1827">
        <v>7367</v>
      </c>
      <c r="G1827">
        <v>10243478516</v>
      </c>
      <c r="H1827">
        <v>1.31</v>
      </c>
      <c r="M1827" t="s">
        <v>617</v>
      </c>
    </row>
    <row r="1828" spans="1:13">
      <c r="A1828" t="s">
        <v>387</v>
      </c>
      <c r="B1828">
        <v>7197185</v>
      </c>
      <c r="C1828">
        <v>62774</v>
      </c>
      <c r="D1828">
        <v>6256767</v>
      </c>
      <c r="E1828">
        <v>54160</v>
      </c>
      <c r="F1828">
        <v>8333</v>
      </c>
      <c r="G1828">
        <v>52138965678</v>
      </c>
      <c r="H1828">
        <v>1.1499999999999999</v>
      </c>
      <c r="M1828" t="s">
        <v>617</v>
      </c>
    </row>
    <row r="1830" spans="1:13">
      <c r="M1830" t="s">
        <v>618</v>
      </c>
    </row>
    <row r="1831" spans="1:13">
      <c r="A1831" t="s">
        <v>373</v>
      </c>
      <c r="B1831" t="s">
        <v>389</v>
      </c>
      <c r="C1831" t="s">
        <v>390</v>
      </c>
      <c r="D1831" t="s">
        <v>391</v>
      </c>
      <c r="M1831" t="s">
        <v>618</v>
      </c>
    </row>
    <row r="1832" spans="1:13">
      <c r="A1832" t="s">
        <v>382</v>
      </c>
      <c r="B1832">
        <v>1530112</v>
      </c>
      <c r="C1832">
        <v>13427</v>
      </c>
      <c r="D1832">
        <v>24.5</v>
      </c>
      <c r="M1832" t="s">
        <v>618</v>
      </c>
    </row>
    <row r="1833" spans="1:13">
      <c r="A1833" t="s">
        <v>383</v>
      </c>
      <c r="B1833">
        <v>1200544</v>
      </c>
      <c r="C1833">
        <v>10652</v>
      </c>
      <c r="D1833">
        <v>18.5</v>
      </c>
      <c r="M1833" t="s">
        <v>618</v>
      </c>
    </row>
    <row r="1834" spans="1:13">
      <c r="A1834" t="s">
        <v>384</v>
      </c>
      <c r="B1834">
        <v>1677473</v>
      </c>
      <c r="C1834">
        <v>15068</v>
      </c>
      <c r="D1834">
        <v>12.8</v>
      </c>
      <c r="M1834" t="s">
        <v>618</v>
      </c>
    </row>
    <row r="1835" spans="1:13">
      <c r="A1835" t="s">
        <v>385</v>
      </c>
      <c r="B1835">
        <v>1670053</v>
      </c>
      <c r="C1835">
        <v>15107</v>
      </c>
      <c r="D1835">
        <v>11.3</v>
      </c>
      <c r="M1835" t="s">
        <v>618</v>
      </c>
    </row>
    <row r="1837" spans="1:13">
      <c r="M1837" t="s">
        <v>619</v>
      </c>
    </row>
    <row r="1838" spans="1:13">
      <c r="A1838" t="s">
        <v>373</v>
      </c>
      <c r="B1838" t="s">
        <v>374</v>
      </c>
      <c r="C1838" t="s">
        <v>375</v>
      </c>
      <c r="D1838" t="s">
        <v>376</v>
      </c>
      <c r="E1838" t="s">
        <v>377</v>
      </c>
      <c r="F1838" t="s">
        <v>378</v>
      </c>
      <c r="G1838" t="s">
        <v>379</v>
      </c>
      <c r="H1838" t="s">
        <v>380</v>
      </c>
      <c r="M1838" t="s">
        <v>619</v>
      </c>
    </row>
    <row r="1839" spans="1:13">
      <c r="A1839" t="s">
        <v>382</v>
      </c>
      <c r="B1839">
        <v>936782</v>
      </c>
      <c r="C1839">
        <v>8209</v>
      </c>
      <c r="D1839">
        <v>1023714</v>
      </c>
      <c r="E1839">
        <v>8995</v>
      </c>
      <c r="F1839">
        <v>6791</v>
      </c>
      <c r="G1839">
        <v>6952248543</v>
      </c>
      <c r="H1839">
        <v>0.92</v>
      </c>
      <c r="M1839" t="s">
        <v>619</v>
      </c>
    </row>
    <row r="1840" spans="1:13">
      <c r="A1840" t="s">
        <v>383</v>
      </c>
      <c r="B1840">
        <v>1174160</v>
      </c>
      <c r="C1840">
        <v>10249</v>
      </c>
      <c r="D1840">
        <v>1096247</v>
      </c>
      <c r="E1840">
        <v>9650</v>
      </c>
      <c r="F1840">
        <v>7044</v>
      </c>
      <c r="G1840">
        <v>7722182277</v>
      </c>
      <c r="H1840">
        <v>1.07</v>
      </c>
      <c r="M1840" t="s">
        <v>619</v>
      </c>
    </row>
    <row r="1841" spans="1:13">
      <c r="A1841" t="s">
        <v>384</v>
      </c>
      <c r="B1841">
        <v>1288082</v>
      </c>
      <c r="C1841">
        <v>11223</v>
      </c>
      <c r="D1841">
        <v>1885147</v>
      </c>
      <c r="E1841">
        <v>16582</v>
      </c>
      <c r="F1841">
        <v>6720</v>
      </c>
      <c r="G1841">
        <v>12668724200</v>
      </c>
      <c r="H1841">
        <v>0.68</v>
      </c>
      <c r="M1841" t="s">
        <v>619</v>
      </c>
    </row>
    <row r="1842" spans="1:13">
      <c r="A1842" t="s">
        <v>385</v>
      </c>
      <c r="B1842">
        <v>1694987</v>
      </c>
      <c r="C1842">
        <v>14808</v>
      </c>
      <c r="D1842">
        <v>2110949</v>
      </c>
      <c r="E1842">
        <v>19242</v>
      </c>
      <c r="F1842">
        <v>6530</v>
      </c>
      <c r="G1842">
        <v>13784573675</v>
      </c>
      <c r="H1842">
        <v>0.8</v>
      </c>
      <c r="M1842" t="s">
        <v>619</v>
      </c>
    </row>
    <row r="1843" spans="1:13">
      <c r="A1843" t="s">
        <v>386</v>
      </c>
      <c r="B1843">
        <v>2427094</v>
      </c>
      <c r="C1843">
        <v>20557</v>
      </c>
      <c r="D1843">
        <v>2345401</v>
      </c>
      <c r="E1843">
        <v>21938</v>
      </c>
      <c r="F1843">
        <v>6361</v>
      </c>
      <c r="G1843">
        <v>14918553186</v>
      </c>
      <c r="H1843">
        <v>1.03</v>
      </c>
      <c r="M1843" t="s">
        <v>619</v>
      </c>
    </row>
    <row r="1844" spans="1:13">
      <c r="A1844" t="s">
        <v>387</v>
      </c>
      <c r="B1844">
        <v>7521105</v>
      </c>
      <c r="C1844">
        <v>65046</v>
      </c>
      <c r="D1844">
        <v>8461457</v>
      </c>
      <c r="E1844">
        <v>76407</v>
      </c>
      <c r="F1844">
        <v>6624</v>
      </c>
      <c r="G1844">
        <v>56046281880</v>
      </c>
      <c r="H1844">
        <v>0.89</v>
      </c>
      <c r="M1844" t="s">
        <v>619</v>
      </c>
    </row>
    <row r="1846" spans="1:13">
      <c r="M1846" t="s">
        <v>620</v>
      </c>
    </row>
    <row r="1847" spans="1:13">
      <c r="A1847" t="s">
        <v>373</v>
      </c>
      <c r="B1847" t="s">
        <v>389</v>
      </c>
      <c r="C1847" t="s">
        <v>390</v>
      </c>
      <c r="D1847" t="s">
        <v>391</v>
      </c>
      <c r="M1847" t="s">
        <v>620</v>
      </c>
    </row>
    <row r="1848" spans="1:13">
      <c r="A1848" t="s">
        <v>382</v>
      </c>
      <c r="B1848">
        <v>1353448</v>
      </c>
      <c r="C1848">
        <v>12226</v>
      </c>
      <c r="D1848">
        <v>15.9</v>
      </c>
      <c r="M1848" t="s">
        <v>620</v>
      </c>
    </row>
    <row r="1849" spans="1:13">
      <c r="A1849" t="s">
        <v>383</v>
      </c>
      <c r="B1849">
        <v>1314904</v>
      </c>
      <c r="C1849">
        <v>11885</v>
      </c>
      <c r="D1849">
        <v>14.4</v>
      </c>
      <c r="M1849" t="s">
        <v>620</v>
      </c>
    </row>
    <row r="1850" spans="1:13">
      <c r="A1850" t="s">
        <v>384</v>
      </c>
      <c r="B1850">
        <v>1337734</v>
      </c>
      <c r="C1850">
        <v>12180</v>
      </c>
      <c r="D1850">
        <v>8.5</v>
      </c>
      <c r="M1850" t="s">
        <v>620</v>
      </c>
    </row>
    <row r="1851" spans="1:13">
      <c r="A1851" t="s">
        <v>385</v>
      </c>
      <c r="B1851">
        <v>1937888</v>
      </c>
      <c r="C1851">
        <v>17141</v>
      </c>
      <c r="D1851">
        <v>11</v>
      </c>
      <c r="M1851" t="s">
        <v>620</v>
      </c>
    </row>
    <row r="1852" spans="1:13">
      <c r="A1852" t="s">
        <v>386</v>
      </c>
      <c r="B1852">
        <v>1460358</v>
      </c>
      <c r="C1852">
        <v>12856</v>
      </c>
      <c r="D1852">
        <v>7.5</v>
      </c>
      <c r="M1852" t="s">
        <v>620</v>
      </c>
    </row>
    <row r="1854" spans="1:13">
      <c r="M1854" t="s">
        <v>621</v>
      </c>
    </row>
    <row r="1855" spans="1:13">
      <c r="A1855" t="s">
        <v>373</v>
      </c>
      <c r="B1855" t="s">
        <v>374</v>
      </c>
      <c r="C1855" t="s">
        <v>375</v>
      </c>
      <c r="D1855" t="s">
        <v>376</v>
      </c>
      <c r="E1855" t="s">
        <v>377</v>
      </c>
      <c r="F1855" t="s">
        <v>378</v>
      </c>
      <c r="G1855" t="s">
        <v>379</v>
      </c>
      <c r="H1855" t="s">
        <v>380</v>
      </c>
      <c r="M1855" t="s">
        <v>621</v>
      </c>
    </row>
    <row r="1856" spans="1:13">
      <c r="A1856" t="s">
        <v>382</v>
      </c>
      <c r="B1856">
        <v>1118049</v>
      </c>
      <c r="C1856">
        <v>9243</v>
      </c>
      <c r="D1856">
        <v>1309443</v>
      </c>
      <c r="E1856">
        <v>10968</v>
      </c>
      <c r="F1856">
        <v>10302</v>
      </c>
      <c r="G1856">
        <v>13489240792</v>
      </c>
      <c r="H1856">
        <v>0.85</v>
      </c>
      <c r="M1856" t="s">
        <v>621</v>
      </c>
    </row>
    <row r="1857" spans="1:13">
      <c r="A1857" t="s">
        <v>383</v>
      </c>
      <c r="B1857">
        <v>1906907</v>
      </c>
      <c r="C1857">
        <v>15218</v>
      </c>
      <c r="D1857">
        <v>1614526</v>
      </c>
      <c r="E1857">
        <v>13629</v>
      </c>
      <c r="F1857">
        <v>10511</v>
      </c>
      <c r="G1857">
        <v>16970779305</v>
      </c>
      <c r="H1857">
        <v>1.18</v>
      </c>
      <c r="M1857" t="s">
        <v>621</v>
      </c>
    </row>
    <row r="1858" spans="1:13">
      <c r="A1858" t="s">
        <v>384</v>
      </c>
      <c r="B1858">
        <v>3995686</v>
      </c>
      <c r="C1858">
        <v>33492</v>
      </c>
      <c r="D1858">
        <v>3008320</v>
      </c>
      <c r="E1858">
        <v>25329</v>
      </c>
      <c r="F1858">
        <v>10216</v>
      </c>
      <c r="G1858">
        <v>30732774796</v>
      </c>
      <c r="H1858">
        <v>1.33</v>
      </c>
      <c r="M1858" t="s">
        <v>621</v>
      </c>
    </row>
    <row r="1859" spans="1:13">
      <c r="A1859" t="s">
        <v>385</v>
      </c>
      <c r="B1859">
        <v>3090406</v>
      </c>
      <c r="C1859">
        <v>25786</v>
      </c>
      <c r="D1859">
        <v>4563280</v>
      </c>
      <c r="E1859">
        <v>37501</v>
      </c>
      <c r="F1859">
        <v>9420</v>
      </c>
      <c r="G1859">
        <v>42987374754</v>
      </c>
      <c r="H1859">
        <v>0.68</v>
      </c>
      <c r="M1859" t="s">
        <v>621</v>
      </c>
    </row>
    <row r="1860" spans="1:13">
      <c r="A1860" t="s">
        <v>386</v>
      </c>
      <c r="B1860">
        <v>4154585</v>
      </c>
      <c r="C1860">
        <v>34866</v>
      </c>
      <c r="D1860">
        <v>4111676</v>
      </c>
      <c r="E1860">
        <v>35241</v>
      </c>
      <c r="F1860">
        <v>7640</v>
      </c>
      <c r="G1860">
        <v>31412528004</v>
      </c>
      <c r="H1860">
        <v>1.01</v>
      </c>
      <c r="M1860" t="s">
        <v>621</v>
      </c>
    </row>
    <row r="1861" spans="1:13">
      <c r="A1861" t="s">
        <v>387</v>
      </c>
      <c r="B1861">
        <v>14265634</v>
      </c>
      <c r="C1861">
        <v>118605</v>
      </c>
      <c r="D1861">
        <v>14607245</v>
      </c>
      <c r="E1861">
        <v>122668</v>
      </c>
      <c r="F1861">
        <v>9283</v>
      </c>
      <c r="G1861">
        <v>135592697651</v>
      </c>
      <c r="H1861">
        <v>0.98</v>
      </c>
      <c r="M1861" t="s">
        <v>621</v>
      </c>
    </row>
    <row r="1863" spans="1:13">
      <c r="M1863" t="s">
        <v>622</v>
      </c>
    </row>
    <row r="1864" spans="1:13">
      <c r="A1864" t="s">
        <v>373</v>
      </c>
      <c r="B1864" t="s">
        <v>374</v>
      </c>
      <c r="C1864" t="s">
        <v>375</v>
      </c>
      <c r="D1864" t="s">
        <v>376</v>
      </c>
      <c r="E1864" t="s">
        <v>377</v>
      </c>
      <c r="F1864" t="s">
        <v>378</v>
      </c>
      <c r="G1864" t="s">
        <v>379</v>
      </c>
      <c r="H1864" t="s">
        <v>380</v>
      </c>
      <c r="M1864" t="s">
        <v>622</v>
      </c>
    </row>
    <row r="1865" spans="1:13">
      <c r="A1865" t="s">
        <v>382</v>
      </c>
      <c r="B1865">
        <v>5852050</v>
      </c>
      <c r="C1865">
        <v>57415</v>
      </c>
      <c r="D1865">
        <v>3654180</v>
      </c>
      <c r="E1865">
        <v>35430</v>
      </c>
      <c r="F1865">
        <v>63675</v>
      </c>
      <c r="G1865">
        <v>232679689590</v>
      </c>
      <c r="H1865">
        <v>1.6</v>
      </c>
      <c r="M1865" t="s">
        <v>622</v>
      </c>
    </row>
    <row r="1866" spans="1:13">
      <c r="A1866" t="s">
        <v>383</v>
      </c>
      <c r="B1866">
        <v>4456985</v>
      </c>
      <c r="C1866">
        <v>44158</v>
      </c>
      <c r="D1866">
        <v>3504000</v>
      </c>
      <c r="E1866">
        <v>33632</v>
      </c>
      <c r="F1866">
        <v>69029</v>
      </c>
      <c r="G1866">
        <v>241877919318</v>
      </c>
      <c r="H1866">
        <v>1.27</v>
      </c>
      <c r="M1866" t="s">
        <v>622</v>
      </c>
    </row>
    <row r="1867" spans="1:13">
      <c r="A1867" t="s">
        <v>384</v>
      </c>
      <c r="B1867">
        <v>5880795</v>
      </c>
      <c r="C1867">
        <v>57652</v>
      </c>
      <c r="D1867">
        <v>5136964</v>
      </c>
      <c r="E1867">
        <v>51547</v>
      </c>
      <c r="F1867">
        <v>61801</v>
      </c>
      <c r="G1867">
        <v>317471128909</v>
      </c>
      <c r="H1867">
        <v>1.1399999999999999</v>
      </c>
      <c r="M1867" t="s">
        <v>622</v>
      </c>
    </row>
    <row r="1868" spans="1:13">
      <c r="A1868" t="s">
        <v>385</v>
      </c>
      <c r="B1868">
        <v>5123438</v>
      </c>
      <c r="C1868">
        <v>52390</v>
      </c>
      <c r="D1868">
        <v>4399510</v>
      </c>
      <c r="E1868">
        <v>44189</v>
      </c>
      <c r="F1868">
        <v>54171</v>
      </c>
      <c r="G1868">
        <v>238327850610</v>
      </c>
      <c r="H1868">
        <v>1.1599999999999999</v>
      </c>
      <c r="M1868" t="s">
        <v>622</v>
      </c>
    </row>
    <row r="1869" spans="1:13">
      <c r="A1869" t="s">
        <v>386</v>
      </c>
      <c r="B1869">
        <v>4473431</v>
      </c>
      <c r="C1869">
        <v>43532</v>
      </c>
      <c r="D1869">
        <v>3695029</v>
      </c>
      <c r="E1869">
        <v>37477</v>
      </c>
      <c r="F1869">
        <v>56026</v>
      </c>
      <c r="G1869">
        <v>207019434714</v>
      </c>
      <c r="H1869">
        <v>1.21</v>
      </c>
      <c r="M1869" t="s">
        <v>622</v>
      </c>
    </row>
    <row r="1870" spans="1:13">
      <c r="A1870" t="s">
        <v>387</v>
      </c>
      <c r="B1870">
        <v>25786700</v>
      </c>
      <c r="C1870">
        <v>255147</v>
      </c>
      <c r="D1870">
        <v>20389683</v>
      </c>
      <c r="E1870">
        <v>202275</v>
      </c>
      <c r="F1870">
        <v>60686</v>
      </c>
      <c r="G1870">
        <v>1237376023140</v>
      </c>
      <c r="H1870">
        <v>1.26</v>
      </c>
      <c r="M1870" t="s">
        <v>622</v>
      </c>
    </row>
    <row r="1872" spans="1:13">
      <c r="M1872" t="s">
        <v>623</v>
      </c>
    </row>
    <row r="1873" spans="1:13">
      <c r="A1873" t="s">
        <v>373</v>
      </c>
      <c r="B1873" t="s">
        <v>389</v>
      </c>
      <c r="C1873" t="s">
        <v>390</v>
      </c>
      <c r="D1873" t="s">
        <v>391</v>
      </c>
      <c r="M1873" t="s">
        <v>623</v>
      </c>
    </row>
    <row r="1874" spans="1:13">
      <c r="A1874" t="s">
        <v>382</v>
      </c>
      <c r="B1874">
        <v>7145382</v>
      </c>
      <c r="C1874">
        <v>71182</v>
      </c>
      <c r="D1874">
        <v>23.5</v>
      </c>
      <c r="M1874" t="s">
        <v>623</v>
      </c>
    </row>
    <row r="1875" spans="1:13">
      <c r="A1875" t="s">
        <v>383</v>
      </c>
      <c r="B1875">
        <v>5603710</v>
      </c>
      <c r="C1875">
        <v>55347</v>
      </c>
      <c r="D1875">
        <v>19.2</v>
      </c>
      <c r="M1875" t="s">
        <v>623</v>
      </c>
    </row>
    <row r="1876" spans="1:13">
      <c r="A1876" t="s">
        <v>384</v>
      </c>
      <c r="B1876">
        <v>3089050</v>
      </c>
      <c r="C1876">
        <v>30732</v>
      </c>
      <c r="D1876">
        <v>7.2</v>
      </c>
      <c r="M1876" t="s">
        <v>623</v>
      </c>
    </row>
    <row r="1877" spans="1:13">
      <c r="A1877" t="s">
        <v>385</v>
      </c>
      <c r="B1877">
        <v>2986465</v>
      </c>
      <c r="C1877">
        <v>29890</v>
      </c>
      <c r="D1877">
        <v>8.1</v>
      </c>
      <c r="M1877" t="s">
        <v>623</v>
      </c>
    </row>
    <row r="1878" spans="1:13">
      <c r="A1878" t="s">
        <v>386</v>
      </c>
      <c r="B1878">
        <v>3047128</v>
      </c>
      <c r="C1878">
        <v>29790</v>
      </c>
      <c r="D1878">
        <v>9.9</v>
      </c>
      <c r="M1878" t="s">
        <v>623</v>
      </c>
    </row>
    <row r="1880" spans="1:13">
      <c r="M1880" t="s">
        <v>624</v>
      </c>
    </row>
    <row r="1881" spans="1:13">
      <c r="A1881" t="s">
        <v>373</v>
      </c>
      <c r="B1881" t="s">
        <v>374</v>
      </c>
      <c r="C1881" t="s">
        <v>375</v>
      </c>
      <c r="D1881" t="s">
        <v>376</v>
      </c>
      <c r="E1881" t="s">
        <v>377</v>
      </c>
      <c r="F1881" t="s">
        <v>378</v>
      </c>
      <c r="G1881" t="s">
        <v>379</v>
      </c>
      <c r="H1881" t="s">
        <v>380</v>
      </c>
      <c r="M1881" t="s">
        <v>624</v>
      </c>
    </row>
    <row r="1882" spans="1:13">
      <c r="A1882" t="s">
        <v>382</v>
      </c>
      <c r="B1882">
        <v>0</v>
      </c>
      <c r="C1882">
        <v>0</v>
      </c>
      <c r="D1882">
        <v>1942</v>
      </c>
      <c r="E1882">
        <v>22</v>
      </c>
      <c r="F1882">
        <v>13188</v>
      </c>
      <c r="G1882">
        <v>25614470</v>
      </c>
      <c r="H1882">
        <v>0</v>
      </c>
      <c r="M1882" t="s">
        <v>624</v>
      </c>
    </row>
    <row r="1883" spans="1:13">
      <c r="A1883" t="s">
        <v>383</v>
      </c>
      <c r="B1883">
        <v>0</v>
      </c>
      <c r="C1883">
        <v>0</v>
      </c>
      <c r="D1883">
        <v>12986</v>
      </c>
      <c r="E1883">
        <v>139</v>
      </c>
      <c r="F1883">
        <v>17410</v>
      </c>
      <c r="G1883">
        <v>226083963</v>
      </c>
      <c r="H1883">
        <v>0</v>
      </c>
      <c r="M1883" t="s">
        <v>624</v>
      </c>
    </row>
    <row r="1884" spans="1:13">
      <c r="A1884" t="s">
        <v>384</v>
      </c>
      <c r="B1884">
        <v>0</v>
      </c>
      <c r="C1884">
        <v>0</v>
      </c>
      <c r="D1884">
        <v>49055</v>
      </c>
      <c r="E1884">
        <v>453</v>
      </c>
      <c r="F1884">
        <v>17658</v>
      </c>
      <c r="G1884">
        <v>866220958</v>
      </c>
      <c r="H1884">
        <v>0</v>
      </c>
      <c r="M1884" t="s">
        <v>624</v>
      </c>
    </row>
    <row r="1885" spans="1:13">
      <c r="A1885" t="s">
        <v>385</v>
      </c>
      <c r="B1885">
        <v>0</v>
      </c>
      <c r="C1885">
        <v>0</v>
      </c>
      <c r="D1885">
        <v>34436</v>
      </c>
      <c r="E1885">
        <v>296</v>
      </c>
      <c r="F1885">
        <v>18212</v>
      </c>
      <c r="G1885">
        <v>627158256</v>
      </c>
      <c r="H1885">
        <v>0</v>
      </c>
      <c r="M1885" t="s">
        <v>624</v>
      </c>
    </row>
    <row r="1886" spans="1:13">
      <c r="A1886" t="s">
        <v>386</v>
      </c>
      <c r="B1886">
        <v>108996</v>
      </c>
      <c r="C1886">
        <v>960</v>
      </c>
      <c r="D1886">
        <v>0</v>
      </c>
      <c r="E1886">
        <v>0</v>
      </c>
      <c r="F1886">
        <v>0</v>
      </c>
      <c r="G1886">
        <v>0</v>
      </c>
      <c r="H1886">
        <v>0</v>
      </c>
      <c r="M1886" t="s">
        <v>624</v>
      </c>
    </row>
    <row r="1887" spans="1:13">
      <c r="A1887" t="s">
        <v>393</v>
      </c>
      <c r="B1887">
        <v>305547</v>
      </c>
      <c r="C1887">
        <v>2904</v>
      </c>
      <c r="D1887">
        <v>348960</v>
      </c>
      <c r="E1887">
        <v>3199</v>
      </c>
      <c r="F1887">
        <v>12982</v>
      </c>
      <c r="G1887">
        <v>4530067358</v>
      </c>
      <c r="H1887">
        <v>0.88</v>
      </c>
      <c r="M1887" t="s">
        <v>624</v>
      </c>
    </row>
    <row r="1888" spans="1:13">
      <c r="A1888" t="s">
        <v>387</v>
      </c>
      <c r="B1888">
        <v>414542</v>
      </c>
      <c r="C1888">
        <v>3864</v>
      </c>
      <c r="D1888">
        <v>447380</v>
      </c>
      <c r="E1888">
        <v>4109</v>
      </c>
      <c r="F1888">
        <v>14026</v>
      </c>
      <c r="G1888">
        <v>6275145006</v>
      </c>
      <c r="H1888">
        <v>0.93</v>
      </c>
      <c r="M1888" t="s">
        <v>624</v>
      </c>
    </row>
    <row r="1890" spans="1:13">
      <c r="M1890" t="s">
        <v>625</v>
      </c>
    </row>
    <row r="1891" spans="1:13">
      <c r="A1891" t="s">
        <v>373</v>
      </c>
      <c r="B1891" t="s">
        <v>374</v>
      </c>
      <c r="C1891" t="s">
        <v>375</v>
      </c>
      <c r="D1891" t="s">
        <v>376</v>
      </c>
      <c r="E1891" t="s">
        <v>377</v>
      </c>
      <c r="F1891" t="s">
        <v>378</v>
      </c>
      <c r="G1891" t="s">
        <v>379</v>
      </c>
      <c r="H1891" t="s">
        <v>380</v>
      </c>
      <c r="M1891" t="s">
        <v>625</v>
      </c>
    </row>
    <row r="1892" spans="1:13">
      <c r="A1892" t="s">
        <v>382</v>
      </c>
      <c r="B1892">
        <v>2328460</v>
      </c>
      <c r="C1892">
        <v>21306</v>
      </c>
      <c r="D1892">
        <v>3321795</v>
      </c>
      <c r="E1892">
        <v>30301</v>
      </c>
      <c r="F1892">
        <v>6925</v>
      </c>
      <c r="G1892">
        <v>23002640507</v>
      </c>
      <c r="H1892">
        <v>0.7</v>
      </c>
      <c r="M1892" t="s">
        <v>625</v>
      </c>
    </row>
    <row r="1893" spans="1:13">
      <c r="A1893" t="s">
        <v>383</v>
      </c>
      <c r="B1893">
        <v>2898886</v>
      </c>
      <c r="C1893">
        <v>26855</v>
      </c>
      <c r="D1893">
        <v>4396043</v>
      </c>
      <c r="E1893">
        <v>40325</v>
      </c>
      <c r="F1893">
        <v>7104</v>
      </c>
      <c r="G1893">
        <v>31227559836</v>
      </c>
      <c r="H1893">
        <v>0.66</v>
      </c>
      <c r="M1893" t="s">
        <v>625</v>
      </c>
    </row>
    <row r="1894" spans="1:13">
      <c r="A1894" t="s">
        <v>384</v>
      </c>
      <c r="B1894">
        <v>5478757</v>
      </c>
      <c r="C1894">
        <v>53797</v>
      </c>
      <c r="D1894">
        <v>7836184</v>
      </c>
      <c r="E1894">
        <v>71761</v>
      </c>
      <c r="F1894">
        <v>7502</v>
      </c>
      <c r="G1894">
        <v>58786089658</v>
      </c>
      <c r="H1894">
        <v>0.7</v>
      </c>
      <c r="M1894" t="s">
        <v>625</v>
      </c>
    </row>
    <row r="1895" spans="1:13">
      <c r="A1895" t="s">
        <v>385</v>
      </c>
      <c r="B1895">
        <v>6899191</v>
      </c>
      <c r="C1895">
        <v>65341</v>
      </c>
      <c r="D1895">
        <v>7005307</v>
      </c>
      <c r="E1895">
        <v>65067</v>
      </c>
      <c r="F1895">
        <v>7855</v>
      </c>
      <c r="G1895">
        <v>55027003574</v>
      </c>
      <c r="H1895">
        <v>0.98</v>
      </c>
      <c r="M1895" t="s">
        <v>625</v>
      </c>
    </row>
    <row r="1896" spans="1:13">
      <c r="A1896" t="s">
        <v>386</v>
      </c>
      <c r="B1896">
        <v>7276725</v>
      </c>
      <c r="C1896">
        <v>69008</v>
      </c>
      <c r="D1896">
        <v>5841849</v>
      </c>
      <c r="E1896">
        <v>53958</v>
      </c>
      <c r="F1896">
        <v>8366</v>
      </c>
      <c r="G1896">
        <v>48870884162</v>
      </c>
      <c r="H1896">
        <v>1.25</v>
      </c>
      <c r="M1896" t="s">
        <v>625</v>
      </c>
    </row>
    <row r="1897" spans="1:13">
      <c r="A1897" t="s">
        <v>387</v>
      </c>
      <c r="B1897">
        <v>24882019</v>
      </c>
      <c r="C1897">
        <v>236307</v>
      </c>
      <c r="D1897">
        <v>28401178</v>
      </c>
      <c r="E1897">
        <v>261412</v>
      </c>
      <c r="F1897">
        <v>7638</v>
      </c>
      <c r="G1897">
        <v>216914177736</v>
      </c>
      <c r="H1897">
        <v>0.88</v>
      </c>
      <c r="M1897" t="s">
        <v>625</v>
      </c>
    </row>
    <row r="1899" spans="1:13">
      <c r="M1899" t="s">
        <v>626</v>
      </c>
    </row>
    <row r="1900" spans="1:13">
      <c r="A1900" t="s">
        <v>373</v>
      </c>
      <c r="B1900" t="s">
        <v>389</v>
      </c>
      <c r="C1900" t="s">
        <v>390</v>
      </c>
      <c r="D1900" t="s">
        <v>391</v>
      </c>
      <c r="M1900" t="s">
        <v>626</v>
      </c>
    </row>
    <row r="1901" spans="1:13">
      <c r="A1901" t="s">
        <v>381</v>
      </c>
      <c r="B1901">
        <v>6257036</v>
      </c>
      <c r="C1901">
        <v>55386</v>
      </c>
      <c r="D1901">
        <v>22.8</v>
      </c>
      <c r="M1901" t="s">
        <v>626</v>
      </c>
    </row>
    <row r="1902" spans="1:13">
      <c r="A1902" t="s">
        <v>382</v>
      </c>
      <c r="B1902">
        <v>6211463</v>
      </c>
      <c r="C1902">
        <v>54854</v>
      </c>
      <c r="D1902">
        <v>22.4</v>
      </c>
      <c r="M1902" t="s">
        <v>626</v>
      </c>
    </row>
    <row r="1903" spans="1:13">
      <c r="A1903" t="s">
        <v>383</v>
      </c>
      <c r="B1903">
        <v>7112263</v>
      </c>
      <c r="C1903">
        <v>63148</v>
      </c>
      <c r="D1903">
        <v>19.399999999999999</v>
      </c>
      <c r="M1903" t="s">
        <v>626</v>
      </c>
    </row>
    <row r="1904" spans="1:13">
      <c r="A1904" t="s">
        <v>384</v>
      </c>
      <c r="B1904">
        <v>5526719</v>
      </c>
      <c r="C1904">
        <v>51710</v>
      </c>
      <c r="D1904">
        <v>8.5</v>
      </c>
      <c r="M1904" t="s">
        <v>626</v>
      </c>
    </row>
    <row r="1905" spans="1:13">
      <c r="A1905" t="s">
        <v>385</v>
      </c>
      <c r="B1905">
        <v>5612698</v>
      </c>
      <c r="C1905">
        <v>51905</v>
      </c>
      <c r="D1905">
        <v>9.6</v>
      </c>
      <c r="M1905" t="s">
        <v>626</v>
      </c>
    </row>
    <row r="1906" spans="1:13">
      <c r="A1906" t="s">
        <v>386</v>
      </c>
      <c r="B1906">
        <v>0</v>
      </c>
      <c r="C1906">
        <v>0</v>
      </c>
      <c r="D1906">
        <v>0</v>
      </c>
      <c r="M1906" t="s">
        <v>626</v>
      </c>
    </row>
    <row r="1908" spans="1:13">
      <c r="M1908" t="s">
        <v>627</v>
      </c>
    </row>
    <row r="1909" spans="1:13">
      <c r="A1909" t="s">
        <v>373</v>
      </c>
      <c r="B1909" t="s">
        <v>374</v>
      </c>
      <c r="C1909" t="s">
        <v>375</v>
      </c>
      <c r="D1909" t="s">
        <v>376</v>
      </c>
      <c r="E1909" t="s">
        <v>377</v>
      </c>
      <c r="F1909" t="s">
        <v>378</v>
      </c>
      <c r="G1909" t="s">
        <v>379</v>
      </c>
      <c r="H1909" t="s">
        <v>380</v>
      </c>
      <c r="M1909" t="s">
        <v>627</v>
      </c>
    </row>
    <row r="1910" spans="1:13">
      <c r="A1910" t="s">
        <v>381</v>
      </c>
      <c r="B1910">
        <v>434125</v>
      </c>
      <c r="C1910">
        <v>3621</v>
      </c>
      <c r="D1910">
        <v>234882</v>
      </c>
      <c r="E1910">
        <v>1873</v>
      </c>
      <c r="F1910">
        <v>17191</v>
      </c>
      <c r="G1910">
        <v>4037768997</v>
      </c>
      <c r="H1910">
        <v>1.85</v>
      </c>
      <c r="M1910" t="s">
        <v>627</v>
      </c>
    </row>
    <row r="1911" spans="1:13">
      <c r="A1911" t="s">
        <v>382</v>
      </c>
      <c r="B1911">
        <v>3724438</v>
      </c>
      <c r="C1911">
        <v>31498</v>
      </c>
      <c r="D1911">
        <v>3517324</v>
      </c>
      <c r="E1911">
        <v>29707</v>
      </c>
      <c r="F1911">
        <v>18544</v>
      </c>
      <c r="G1911">
        <v>65225993582</v>
      </c>
      <c r="H1911">
        <v>1.06</v>
      </c>
      <c r="M1911" t="s">
        <v>627</v>
      </c>
    </row>
    <row r="1912" spans="1:13">
      <c r="A1912" t="s">
        <v>383</v>
      </c>
      <c r="B1912">
        <v>3797867</v>
      </c>
      <c r="C1912">
        <v>32419</v>
      </c>
      <c r="D1912">
        <v>3964549</v>
      </c>
      <c r="E1912">
        <v>34264</v>
      </c>
      <c r="F1912">
        <v>17996</v>
      </c>
      <c r="G1912">
        <v>71346984659</v>
      </c>
      <c r="H1912">
        <v>0.96</v>
      </c>
      <c r="M1912" t="s">
        <v>627</v>
      </c>
    </row>
    <row r="1913" spans="1:13">
      <c r="A1913" t="s">
        <v>384</v>
      </c>
      <c r="B1913">
        <v>7519546</v>
      </c>
      <c r="C1913">
        <v>65612</v>
      </c>
      <c r="D1913">
        <v>7816366</v>
      </c>
      <c r="E1913">
        <v>67043</v>
      </c>
      <c r="F1913">
        <v>19463</v>
      </c>
      <c r="G1913">
        <v>152131204051</v>
      </c>
      <c r="H1913">
        <v>0.96</v>
      </c>
      <c r="M1913" t="s">
        <v>627</v>
      </c>
    </row>
    <row r="1914" spans="1:13">
      <c r="A1914" t="s">
        <v>385</v>
      </c>
      <c r="B1914">
        <v>9275556</v>
      </c>
      <c r="C1914">
        <v>81418</v>
      </c>
      <c r="D1914">
        <v>8131780</v>
      </c>
      <c r="E1914">
        <v>69588</v>
      </c>
      <c r="F1914">
        <v>18637</v>
      </c>
      <c r="G1914">
        <v>151553555423</v>
      </c>
      <c r="H1914">
        <v>1.1399999999999999</v>
      </c>
      <c r="M1914" t="s">
        <v>627</v>
      </c>
    </row>
    <row r="1915" spans="1:13">
      <c r="A1915" t="s">
        <v>386</v>
      </c>
      <c r="B1915">
        <v>8414302</v>
      </c>
      <c r="C1915">
        <v>69171</v>
      </c>
      <c r="D1915">
        <v>8065113</v>
      </c>
      <c r="E1915">
        <v>66073</v>
      </c>
      <c r="F1915">
        <v>17466</v>
      </c>
      <c r="G1915">
        <v>140866531732</v>
      </c>
      <c r="H1915">
        <v>1.04</v>
      </c>
      <c r="M1915" t="s">
        <v>627</v>
      </c>
    </row>
    <row r="1916" spans="1:13">
      <c r="A1916" t="s">
        <v>387</v>
      </c>
      <c r="B1916">
        <v>33165833</v>
      </c>
      <c r="C1916">
        <v>283739</v>
      </c>
      <c r="D1916">
        <v>31730013</v>
      </c>
      <c r="E1916">
        <v>268548</v>
      </c>
      <c r="F1916">
        <v>18442</v>
      </c>
      <c r="G1916">
        <v>585162038444</v>
      </c>
      <c r="H1916">
        <v>1.05</v>
      </c>
      <c r="M1916" t="s">
        <v>627</v>
      </c>
    </row>
    <row r="1918" spans="1:13">
      <c r="M1918" t="s">
        <v>628</v>
      </c>
    </row>
    <row r="1919" spans="1:13">
      <c r="A1919" t="s">
        <v>373</v>
      </c>
      <c r="B1919" t="s">
        <v>389</v>
      </c>
      <c r="C1919" t="s">
        <v>390</v>
      </c>
      <c r="D1919" t="s">
        <v>391</v>
      </c>
      <c r="M1919" t="s">
        <v>628</v>
      </c>
    </row>
    <row r="1920" spans="1:13">
      <c r="A1920" t="s">
        <v>381</v>
      </c>
      <c r="B1920">
        <v>6313315</v>
      </c>
      <c r="C1920">
        <v>52351</v>
      </c>
      <c r="D1920">
        <v>21.9</v>
      </c>
      <c r="M1920" t="s">
        <v>628</v>
      </c>
    </row>
    <row r="1921" spans="1:13">
      <c r="A1921" t="s">
        <v>382</v>
      </c>
      <c r="B1921">
        <v>6062552</v>
      </c>
      <c r="C1921">
        <v>50215</v>
      </c>
      <c r="D1921">
        <v>20.7</v>
      </c>
      <c r="M1921" t="s">
        <v>628</v>
      </c>
    </row>
    <row r="1922" spans="1:13">
      <c r="A1922" t="s">
        <v>383</v>
      </c>
      <c r="B1922">
        <v>5549259</v>
      </c>
      <c r="C1922">
        <v>45581</v>
      </c>
      <c r="D1922">
        <v>16.8</v>
      </c>
      <c r="M1922" t="s">
        <v>628</v>
      </c>
    </row>
    <row r="1923" spans="1:13">
      <c r="A1923" t="s">
        <v>384</v>
      </c>
      <c r="B1923">
        <v>5706618</v>
      </c>
      <c r="C1923">
        <v>47174</v>
      </c>
      <c r="D1923">
        <v>8.8000000000000007</v>
      </c>
      <c r="M1923" t="s">
        <v>628</v>
      </c>
    </row>
    <row r="1924" spans="1:13">
      <c r="A1924" t="s">
        <v>385</v>
      </c>
      <c r="B1924">
        <v>6489568</v>
      </c>
      <c r="C1924">
        <v>52568</v>
      </c>
      <c r="D1924">
        <v>9.6</v>
      </c>
      <c r="M1924" t="s">
        <v>628</v>
      </c>
    </row>
    <row r="1925" spans="1:13">
      <c r="A1925" t="s">
        <v>386</v>
      </c>
      <c r="B1925">
        <v>6557948</v>
      </c>
      <c r="C1925">
        <v>48811</v>
      </c>
      <c r="D1925">
        <v>9.8000000000000007</v>
      </c>
      <c r="M1925" t="s">
        <v>628</v>
      </c>
    </row>
    <row r="1927" spans="1:13">
      <c r="M1927" t="s">
        <v>629</v>
      </c>
    </row>
    <row r="1928" spans="1:13">
      <c r="A1928" t="s">
        <v>373</v>
      </c>
      <c r="B1928" t="s">
        <v>374</v>
      </c>
      <c r="C1928" t="s">
        <v>375</v>
      </c>
      <c r="D1928" t="s">
        <v>376</v>
      </c>
      <c r="E1928" t="s">
        <v>377</v>
      </c>
      <c r="F1928" t="s">
        <v>378</v>
      </c>
      <c r="G1928" t="s">
        <v>379</v>
      </c>
      <c r="H1928" t="s">
        <v>380</v>
      </c>
      <c r="M1928" t="s">
        <v>629</v>
      </c>
    </row>
    <row r="1929" spans="1:13">
      <c r="A1929" t="s">
        <v>382</v>
      </c>
      <c r="B1929">
        <v>860302</v>
      </c>
      <c r="C1929">
        <v>6302</v>
      </c>
      <c r="D1929">
        <v>847893</v>
      </c>
      <c r="E1929">
        <v>6813</v>
      </c>
      <c r="F1929">
        <v>6541</v>
      </c>
      <c r="G1929">
        <v>5546091118</v>
      </c>
      <c r="H1929">
        <v>1.01</v>
      </c>
      <c r="M1929" t="s">
        <v>629</v>
      </c>
    </row>
    <row r="1930" spans="1:13">
      <c r="A1930" t="s">
        <v>383</v>
      </c>
      <c r="B1930">
        <v>914005</v>
      </c>
      <c r="C1930">
        <v>7091</v>
      </c>
      <c r="D1930">
        <v>1143972</v>
      </c>
      <c r="E1930">
        <v>9534</v>
      </c>
      <c r="F1930">
        <v>6318</v>
      </c>
      <c r="G1930">
        <v>7227400949</v>
      </c>
      <c r="H1930">
        <v>0.8</v>
      </c>
      <c r="M1930" t="s">
        <v>629</v>
      </c>
    </row>
    <row r="1931" spans="1:13">
      <c r="A1931" t="s">
        <v>384</v>
      </c>
      <c r="B1931">
        <v>1648510</v>
      </c>
      <c r="C1931">
        <v>13533</v>
      </c>
      <c r="D1931">
        <v>2034700</v>
      </c>
      <c r="E1931">
        <v>16476</v>
      </c>
      <c r="F1931">
        <v>6197</v>
      </c>
      <c r="G1931">
        <v>12609640611</v>
      </c>
      <c r="H1931">
        <v>0.81</v>
      </c>
      <c r="M1931" t="s">
        <v>629</v>
      </c>
    </row>
    <row r="1932" spans="1:13">
      <c r="A1932" t="s">
        <v>385</v>
      </c>
      <c r="B1932">
        <v>2899877</v>
      </c>
      <c r="C1932">
        <v>23862</v>
      </c>
      <c r="D1932">
        <v>2205364</v>
      </c>
      <c r="E1932">
        <v>18003</v>
      </c>
      <c r="F1932">
        <v>6239</v>
      </c>
      <c r="G1932">
        <v>13759406444</v>
      </c>
      <c r="H1932">
        <v>1.31</v>
      </c>
      <c r="M1932" t="s">
        <v>629</v>
      </c>
    </row>
    <row r="1933" spans="1:13">
      <c r="A1933" t="s">
        <v>386</v>
      </c>
      <c r="B1933">
        <v>2147597</v>
      </c>
      <c r="C1933">
        <v>16922</v>
      </c>
      <c r="D1933">
        <v>100150</v>
      </c>
      <c r="E1933">
        <v>801</v>
      </c>
      <c r="F1933">
        <v>6025</v>
      </c>
      <c r="G1933">
        <v>603365323</v>
      </c>
      <c r="H1933">
        <v>21.44</v>
      </c>
      <c r="M1933" t="s">
        <v>629</v>
      </c>
    </row>
    <row r="1934" spans="1:13">
      <c r="A1934" t="s">
        <v>387</v>
      </c>
      <c r="B1934">
        <v>8470292</v>
      </c>
      <c r="C1934">
        <v>67710</v>
      </c>
      <c r="D1934">
        <v>6332079</v>
      </c>
      <c r="E1934">
        <v>51627</v>
      </c>
      <c r="F1934">
        <v>6277</v>
      </c>
      <c r="G1934">
        <v>39745904445</v>
      </c>
      <c r="H1934">
        <v>1.34</v>
      </c>
      <c r="M1934" t="s">
        <v>629</v>
      </c>
    </row>
    <row r="1936" spans="1:13">
      <c r="M1936" t="s">
        <v>630</v>
      </c>
    </row>
    <row r="1937" spans="1:13">
      <c r="A1937" t="s">
        <v>373</v>
      </c>
      <c r="B1937" t="s">
        <v>389</v>
      </c>
      <c r="C1937" t="s">
        <v>390</v>
      </c>
      <c r="D1937" t="s">
        <v>391</v>
      </c>
      <c r="M1937" t="s">
        <v>630</v>
      </c>
    </row>
    <row r="1938" spans="1:13">
      <c r="A1938" t="s">
        <v>381</v>
      </c>
      <c r="B1938">
        <v>3147772</v>
      </c>
      <c r="C1938">
        <v>24983</v>
      </c>
      <c r="D1938">
        <v>45.3</v>
      </c>
      <c r="M1938" t="s">
        <v>630</v>
      </c>
    </row>
    <row r="1939" spans="1:13">
      <c r="A1939" t="s">
        <v>382</v>
      </c>
      <c r="B1939">
        <v>3092291</v>
      </c>
      <c r="C1939">
        <v>24564</v>
      </c>
      <c r="D1939">
        <v>43.8</v>
      </c>
      <c r="M1939" t="s">
        <v>630</v>
      </c>
    </row>
    <row r="1940" spans="1:13">
      <c r="A1940" t="s">
        <v>383</v>
      </c>
      <c r="B1940">
        <v>2940747</v>
      </c>
      <c r="C1940">
        <v>23918</v>
      </c>
      <c r="D1940">
        <v>30.8</v>
      </c>
      <c r="M1940" t="s">
        <v>630</v>
      </c>
    </row>
    <row r="1941" spans="1:13">
      <c r="A1941" t="s">
        <v>384</v>
      </c>
      <c r="B1941">
        <v>2926977</v>
      </c>
      <c r="C1941">
        <v>24508</v>
      </c>
      <c r="D1941">
        <v>17.3</v>
      </c>
      <c r="M1941" t="s">
        <v>630</v>
      </c>
    </row>
    <row r="1942" spans="1:13">
      <c r="A1942" t="s">
        <v>385</v>
      </c>
      <c r="B1942">
        <v>3360703</v>
      </c>
      <c r="C1942">
        <v>27804</v>
      </c>
      <c r="D1942">
        <v>18.3</v>
      </c>
      <c r="M1942" t="s">
        <v>630</v>
      </c>
    </row>
    <row r="1943" spans="1:13">
      <c r="A1943" t="s">
        <v>386</v>
      </c>
      <c r="B1943">
        <v>2818866</v>
      </c>
      <c r="C1943">
        <v>23347</v>
      </c>
      <c r="D1943">
        <v>337.8</v>
      </c>
      <c r="M1943" t="s">
        <v>630</v>
      </c>
    </row>
    <row r="1945" spans="1:13">
      <c r="M1945" t="s">
        <v>631</v>
      </c>
    </row>
    <row r="1946" spans="1:13">
      <c r="A1946" t="s">
        <v>373</v>
      </c>
      <c r="B1946" t="s">
        <v>374</v>
      </c>
      <c r="C1946" t="s">
        <v>375</v>
      </c>
      <c r="D1946" t="s">
        <v>376</v>
      </c>
      <c r="E1946" t="s">
        <v>377</v>
      </c>
      <c r="F1946" t="s">
        <v>378</v>
      </c>
      <c r="G1946" t="s">
        <v>379</v>
      </c>
      <c r="H1946" t="s">
        <v>380</v>
      </c>
      <c r="M1946" t="s">
        <v>631</v>
      </c>
    </row>
    <row r="1947" spans="1:13">
      <c r="A1947" t="s">
        <v>382</v>
      </c>
      <c r="B1947">
        <v>1016036</v>
      </c>
      <c r="C1947">
        <v>8135</v>
      </c>
      <c r="D1947">
        <v>1586490</v>
      </c>
      <c r="E1947">
        <v>14220</v>
      </c>
      <c r="F1947">
        <v>12743</v>
      </c>
      <c r="G1947">
        <v>20217281331</v>
      </c>
      <c r="H1947">
        <v>0.64</v>
      </c>
      <c r="M1947" t="s">
        <v>631</v>
      </c>
    </row>
    <row r="1948" spans="1:13">
      <c r="A1948" t="s">
        <v>383</v>
      </c>
      <c r="B1948">
        <v>2496468</v>
      </c>
      <c r="C1948">
        <v>20998</v>
      </c>
      <c r="D1948">
        <v>2587769</v>
      </c>
      <c r="E1948">
        <v>22850</v>
      </c>
      <c r="F1948">
        <v>12567</v>
      </c>
      <c r="G1948">
        <v>32521334492</v>
      </c>
      <c r="H1948">
        <v>0.96</v>
      </c>
      <c r="M1948" t="s">
        <v>631</v>
      </c>
    </row>
    <row r="1949" spans="1:13">
      <c r="A1949" t="s">
        <v>384</v>
      </c>
      <c r="B1949">
        <v>4610735</v>
      </c>
      <c r="C1949">
        <v>42602</v>
      </c>
      <c r="D1949">
        <v>5077543</v>
      </c>
      <c r="E1949">
        <v>45245</v>
      </c>
      <c r="F1949">
        <v>12237</v>
      </c>
      <c r="G1949">
        <v>62133670605</v>
      </c>
      <c r="H1949">
        <v>0.91</v>
      </c>
      <c r="M1949" t="s">
        <v>631</v>
      </c>
    </row>
    <row r="1950" spans="1:13">
      <c r="A1950" t="s">
        <v>385</v>
      </c>
      <c r="B1950">
        <v>5315044</v>
      </c>
      <c r="C1950">
        <v>48664</v>
      </c>
      <c r="D1950">
        <v>5549101</v>
      </c>
      <c r="E1950">
        <v>48150</v>
      </c>
      <c r="F1950">
        <v>11848</v>
      </c>
      <c r="G1950">
        <v>65743428771</v>
      </c>
      <c r="H1950">
        <v>0.96</v>
      </c>
      <c r="M1950" t="s">
        <v>631</v>
      </c>
    </row>
    <row r="1951" spans="1:13">
      <c r="A1951" t="s">
        <v>386</v>
      </c>
      <c r="B1951">
        <v>5490431</v>
      </c>
      <c r="C1951">
        <v>48228</v>
      </c>
      <c r="D1951">
        <v>5175844</v>
      </c>
      <c r="E1951">
        <v>45500</v>
      </c>
      <c r="F1951">
        <v>10763</v>
      </c>
      <c r="G1951">
        <v>55705255748</v>
      </c>
      <c r="H1951">
        <v>1.06</v>
      </c>
      <c r="M1951" t="s">
        <v>631</v>
      </c>
    </row>
    <row r="1952" spans="1:13">
      <c r="A1952" t="s">
        <v>387</v>
      </c>
      <c r="B1952">
        <v>18928715</v>
      </c>
      <c r="C1952">
        <v>168627</v>
      </c>
      <c r="D1952">
        <v>19976748</v>
      </c>
      <c r="E1952">
        <v>175965</v>
      </c>
      <c r="F1952">
        <v>11830</v>
      </c>
      <c r="G1952">
        <v>236320970948</v>
      </c>
      <c r="H1952">
        <v>0.95</v>
      </c>
      <c r="M1952" t="s">
        <v>631</v>
      </c>
    </row>
    <row r="1954" spans="1:13">
      <c r="M1954" t="s">
        <v>632</v>
      </c>
    </row>
    <row r="1955" spans="1:13">
      <c r="A1955" t="s">
        <v>373</v>
      </c>
      <c r="B1955" t="s">
        <v>389</v>
      </c>
      <c r="C1955" t="s">
        <v>390</v>
      </c>
      <c r="D1955" t="s">
        <v>391</v>
      </c>
      <c r="M1955" t="s">
        <v>632</v>
      </c>
    </row>
    <row r="1956" spans="1:13">
      <c r="A1956" t="s">
        <v>382</v>
      </c>
      <c r="B1956">
        <v>3103113</v>
      </c>
      <c r="C1956">
        <v>27596</v>
      </c>
      <c r="D1956">
        <v>23.5</v>
      </c>
      <c r="M1956" t="s">
        <v>632</v>
      </c>
    </row>
    <row r="1957" spans="1:13">
      <c r="A1957" t="s">
        <v>383</v>
      </c>
      <c r="B1957">
        <v>3474633</v>
      </c>
      <c r="C1957">
        <v>31864</v>
      </c>
      <c r="D1957">
        <v>16.100000000000001</v>
      </c>
      <c r="M1957" t="s">
        <v>632</v>
      </c>
    </row>
    <row r="1958" spans="1:13">
      <c r="A1958" t="s">
        <v>384</v>
      </c>
      <c r="B1958">
        <v>3478330</v>
      </c>
      <c r="C1958">
        <v>33510</v>
      </c>
      <c r="D1958">
        <v>8.1999999999999993</v>
      </c>
      <c r="M1958" t="s">
        <v>632</v>
      </c>
    </row>
    <row r="1959" spans="1:13">
      <c r="A1959" t="s">
        <v>385</v>
      </c>
      <c r="B1959">
        <v>5168719</v>
      </c>
      <c r="C1959">
        <v>48759</v>
      </c>
      <c r="D1959">
        <v>11.2</v>
      </c>
      <c r="M1959" t="s">
        <v>632</v>
      </c>
    </row>
    <row r="1960" spans="1:13">
      <c r="A1960" t="s">
        <v>386</v>
      </c>
      <c r="B1960">
        <v>5539307</v>
      </c>
      <c r="C1960">
        <v>50167</v>
      </c>
      <c r="D1960">
        <v>12.8</v>
      </c>
      <c r="M1960" t="s">
        <v>632</v>
      </c>
    </row>
    <row r="1962" spans="1:13">
      <c r="M1962" t="s">
        <v>633</v>
      </c>
    </row>
    <row r="1963" spans="1:13">
      <c r="A1963" t="s">
        <v>373</v>
      </c>
      <c r="B1963" t="s">
        <v>374</v>
      </c>
      <c r="C1963" t="s">
        <v>375</v>
      </c>
      <c r="D1963" t="s">
        <v>376</v>
      </c>
      <c r="E1963" t="s">
        <v>377</v>
      </c>
      <c r="F1963" t="s">
        <v>378</v>
      </c>
      <c r="G1963" t="s">
        <v>379</v>
      </c>
      <c r="H1963" t="s">
        <v>380</v>
      </c>
      <c r="M1963" t="s">
        <v>633</v>
      </c>
    </row>
    <row r="1964" spans="1:13">
      <c r="A1964" t="s">
        <v>381</v>
      </c>
      <c r="B1964">
        <v>9795</v>
      </c>
      <c r="C1964">
        <v>70</v>
      </c>
      <c r="D1964">
        <v>65174</v>
      </c>
      <c r="E1964">
        <v>459</v>
      </c>
      <c r="F1964">
        <v>7136</v>
      </c>
      <c r="G1964">
        <v>465095451</v>
      </c>
      <c r="H1964">
        <v>0.15</v>
      </c>
      <c r="M1964" t="s">
        <v>633</v>
      </c>
    </row>
    <row r="1965" spans="1:13">
      <c r="A1965" t="s">
        <v>382</v>
      </c>
      <c r="B1965">
        <v>1242848</v>
      </c>
      <c r="C1965">
        <v>8666</v>
      </c>
      <c r="D1965">
        <v>1033926</v>
      </c>
      <c r="E1965">
        <v>7428</v>
      </c>
      <c r="F1965">
        <v>7199</v>
      </c>
      <c r="G1965">
        <v>7442808389</v>
      </c>
      <c r="H1965">
        <v>1.2</v>
      </c>
      <c r="M1965" t="s">
        <v>633</v>
      </c>
    </row>
    <row r="1966" spans="1:13">
      <c r="A1966" t="s">
        <v>383</v>
      </c>
      <c r="B1966">
        <v>1869079</v>
      </c>
      <c r="C1966">
        <v>13477</v>
      </c>
      <c r="D1966">
        <v>1158415</v>
      </c>
      <c r="E1966">
        <v>8749</v>
      </c>
      <c r="F1966">
        <v>7102</v>
      </c>
      <c r="G1966">
        <v>8226743845</v>
      </c>
      <c r="H1966">
        <v>1.61</v>
      </c>
      <c r="M1966" t="s">
        <v>633</v>
      </c>
    </row>
    <row r="1967" spans="1:13">
      <c r="A1967" t="s">
        <v>384</v>
      </c>
      <c r="B1967">
        <v>1528123</v>
      </c>
      <c r="C1967">
        <v>11733</v>
      </c>
      <c r="D1967">
        <v>1070640</v>
      </c>
      <c r="E1967">
        <v>8189</v>
      </c>
      <c r="F1967">
        <v>7137</v>
      </c>
      <c r="G1967">
        <v>7641644198</v>
      </c>
      <c r="H1967">
        <v>1.43</v>
      </c>
      <c r="M1967" t="s">
        <v>633</v>
      </c>
    </row>
    <row r="1968" spans="1:13">
      <c r="A1968" t="s">
        <v>385</v>
      </c>
      <c r="B1968">
        <v>2306046</v>
      </c>
      <c r="C1968">
        <v>17340</v>
      </c>
      <c r="D1968">
        <v>0</v>
      </c>
      <c r="E1968">
        <v>0</v>
      </c>
      <c r="F1968">
        <v>0</v>
      </c>
      <c r="G1968">
        <v>0</v>
      </c>
      <c r="H1968">
        <v>0</v>
      </c>
      <c r="M1968" t="s">
        <v>633</v>
      </c>
    </row>
    <row r="1969" spans="1:13">
      <c r="A1969" t="s">
        <v>386</v>
      </c>
      <c r="B1969">
        <v>1928358</v>
      </c>
      <c r="C1969">
        <v>14597</v>
      </c>
      <c r="D1969">
        <v>0</v>
      </c>
      <c r="E1969">
        <v>0</v>
      </c>
      <c r="F1969">
        <v>0</v>
      </c>
      <c r="G1969">
        <v>0</v>
      </c>
      <c r="H1969">
        <v>0</v>
      </c>
      <c r="M1969" t="s">
        <v>633</v>
      </c>
    </row>
    <row r="1970" spans="1:13">
      <c r="A1970" t="s">
        <v>387</v>
      </c>
      <c r="B1970">
        <v>8884249</v>
      </c>
      <c r="C1970">
        <v>65883</v>
      </c>
      <c r="D1970">
        <v>3328155</v>
      </c>
      <c r="E1970">
        <v>24825</v>
      </c>
      <c r="F1970">
        <v>7144</v>
      </c>
      <c r="G1970">
        <v>23776291883</v>
      </c>
      <c r="H1970">
        <v>2.67</v>
      </c>
      <c r="M1970" t="s">
        <v>633</v>
      </c>
    </row>
    <row r="1972" spans="1:13">
      <c r="M1972" t="s">
        <v>634</v>
      </c>
    </row>
    <row r="1973" spans="1:13">
      <c r="A1973" t="s">
        <v>373</v>
      </c>
      <c r="B1973" t="s">
        <v>389</v>
      </c>
      <c r="C1973" t="s">
        <v>390</v>
      </c>
      <c r="D1973" t="s">
        <v>391</v>
      </c>
      <c r="M1973" t="s">
        <v>634</v>
      </c>
    </row>
    <row r="1974" spans="1:13">
      <c r="A1974" t="s">
        <v>381</v>
      </c>
      <c r="B1974">
        <v>2554919</v>
      </c>
      <c r="C1974">
        <v>18525</v>
      </c>
      <c r="D1974">
        <v>30.3</v>
      </c>
      <c r="M1974" t="s">
        <v>634</v>
      </c>
    </row>
    <row r="1975" spans="1:13">
      <c r="A1975" t="s">
        <v>382</v>
      </c>
      <c r="B1975">
        <v>2604336</v>
      </c>
      <c r="C1975">
        <v>18885</v>
      </c>
      <c r="D1975">
        <v>30.2</v>
      </c>
      <c r="M1975" t="s">
        <v>634</v>
      </c>
    </row>
    <row r="1976" spans="1:13">
      <c r="A1976" t="s">
        <v>383</v>
      </c>
      <c r="B1976">
        <v>2555958</v>
      </c>
      <c r="C1976">
        <v>18781</v>
      </c>
      <c r="D1976">
        <v>26.5</v>
      </c>
      <c r="M1976" t="s">
        <v>634</v>
      </c>
    </row>
    <row r="1977" spans="1:13">
      <c r="A1977" t="s">
        <v>384</v>
      </c>
      <c r="B1977">
        <v>2013695</v>
      </c>
      <c r="C1977">
        <v>15321</v>
      </c>
      <c r="D1977">
        <v>22.6</v>
      </c>
      <c r="M1977" t="s">
        <v>634</v>
      </c>
    </row>
    <row r="1979" spans="1:13">
      <c r="M1979" t="s">
        <v>635</v>
      </c>
    </row>
    <row r="1980" spans="1:13">
      <c r="A1980" t="s">
        <v>373</v>
      </c>
      <c r="B1980" t="s">
        <v>374</v>
      </c>
      <c r="C1980" t="s">
        <v>375</v>
      </c>
      <c r="D1980" t="s">
        <v>376</v>
      </c>
      <c r="E1980" t="s">
        <v>377</v>
      </c>
      <c r="F1980" t="s">
        <v>378</v>
      </c>
      <c r="G1980" t="s">
        <v>379</v>
      </c>
      <c r="H1980" t="s">
        <v>380</v>
      </c>
      <c r="M1980" t="s">
        <v>635</v>
      </c>
    </row>
    <row r="1981" spans="1:13">
      <c r="A1981" t="s">
        <v>382</v>
      </c>
      <c r="B1981">
        <v>1329923</v>
      </c>
      <c r="C1981">
        <v>11286</v>
      </c>
      <c r="D1981">
        <v>1469251</v>
      </c>
      <c r="E1981">
        <v>12314</v>
      </c>
      <c r="F1981">
        <v>6057</v>
      </c>
      <c r="G1981">
        <v>8899578690</v>
      </c>
      <c r="H1981">
        <v>0.91</v>
      </c>
      <c r="M1981" t="s">
        <v>635</v>
      </c>
    </row>
    <row r="1982" spans="1:13">
      <c r="A1982" t="s">
        <v>383</v>
      </c>
      <c r="B1982">
        <v>1329085</v>
      </c>
      <c r="C1982">
        <v>11588</v>
      </c>
      <c r="D1982">
        <v>1662437</v>
      </c>
      <c r="E1982">
        <v>14188</v>
      </c>
      <c r="F1982">
        <v>6081</v>
      </c>
      <c r="G1982">
        <v>10109562576</v>
      </c>
      <c r="H1982">
        <v>0.8</v>
      </c>
      <c r="M1982" t="s">
        <v>635</v>
      </c>
    </row>
    <row r="1983" spans="1:13">
      <c r="A1983" t="s">
        <v>384</v>
      </c>
      <c r="B1983">
        <v>8811630</v>
      </c>
      <c r="C1983">
        <v>74349</v>
      </c>
      <c r="D1983">
        <v>812908</v>
      </c>
      <c r="E1983">
        <v>6825</v>
      </c>
      <c r="F1983">
        <v>6338</v>
      </c>
      <c r="G1983">
        <v>5152387217</v>
      </c>
      <c r="H1983">
        <v>10.84</v>
      </c>
      <c r="M1983" t="s">
        <v>635</v>
      </c>
    </row>
    <row r="1984" spans="1:13">
      <c r="A1984" t="s">
        <v>385</v>
      </c>
      <c r="B1984">
        <v>20316</v>
      </c>
      <c r="C1984">
        <v>170</v>
      </c>
      <c r="D1984">
        <v>0</v>
      </c>
      <c r="E1984">
        <v>0</v>
      </c>
      <c r="F1984">
        <v>0</v>
      </c>
      <c r="G1984">
        <v>0</v>
      </c>
      <c r="H1984">
        <v>0</v>
      </c>
      <c r="M1984" t="s">
        <v>635</v>
      </c>
    </row>
    <row r="1985" spans="1:13">
      <c r="A1985" t="s">
        <v>386</v>
      </c>
      <c r="B1985">
        <v>1199225</v>
      </c>
      <c r="C1985">
        <v>9987</v>
      </c>
      <c r="D1985">
        <v>0</v>
      </c>
      <c r="E1985">
        <v>0</v>
      </c>
      <c r="F1985">
        <v>0</v>
      </c>
      <c r="G1985">
        <v>0</v>
      </c>
      <c r="H1985">
        <v>0</v>
      </c>
      <c r="M1985" t="s">
        <v>635</v>
      </c>
    </row>
    <row r="1986" spans="1:13">
      <c r="A1986" t="s">
        <v>387</v>
      </c>
      <c r="B1986">
        <v>12690179</v>
      </c>
      <c r="C1986">
        <v>107380</v>
      </c>
      <c r="D1986">
        <v>3944596</v>
      </c>
      <c r="E1986">
        <v>33327</v>
      </c>
      <c r="F1986">
        <v>6125</v>
      </c>
      <c r="G1986">
        <v>24161528482</v>
      </c>
      <c r="H1986">
        <v>3.22</v>
      </c>
      <c r="M1986" t="s">
        <v>635</v>
      </c>
    </row>
    <row r="1988" spans="1:13">
      <c r="M1988" t="s">
        <v>636</v>
      </c>
    </row>
    <row r="1989" spans="1:13">
      <c r="A1989" t="s">
        <v>373</v>
      </c>
      <c r="B1989" t="s">
        <v>389</v>
      </c>
      <c r="C1989" t="s">
        <v>390</v>
      </c>
      <c r="D1989" t="s">
        <v>391</v>
      </c>
      <c r="E1989" t="s">
        <v>406</v>
      </c>
      <c r="M1989" t="s">
        <v>636</v>
      </c>
    </row>
    <row r="1990" spans="1:13">
      <c r="A1990" t="s">
        <v>381</v>
      </c>
      <c r="B1990">
        <v>2655749</v>
      </c>
      <c r="C1990">
        <v>23028</v>
      </c>
      <c r="D1990">
        <v>22.8</v>
      </c>
      <c r="E1990">
        <v>20.8</v>
      </c>
      <c r="M1990" t="s">
        <v>636</v>
      </c>
    </row>
    <row r="1991" spans="1:13">
      <c r="A1991" t="s">
        <v>382</v>
      </c>
      <c r="B1991">
        <v>2647972</v>
      </c>
      <c r="C1991">
        <v>22928</v>
      </c>
      <c r="D1991">
        <v>21.6</v>
      </c>
      <c r="E1991">
        <v>20.3</v>
      </c>
      <c r="M1991" t="s">
        <v>636</v>
      </c>
    </row>
    <row r="1992" spans="1:13">
      <c r="A1992" t="s">
        <v>383</v>
      </c>
      <c r="B1992">
        <v>2719318</v>
      </c>
      <c r="C1992">
        <v>23333</v>
      </c>
      <c r="D1992">
        <v>19.600000000000001</v>
      </c>
      <c r="E1992">
        <v>26.4</v>
      </c>
      <c r="M1992" t="s">
        <v>636</v>
      </c>
    </row>
    <row r="1993" spans="1:13">
      <c r="A1993" t="s">
        <v>384</v>
      </c>
      <c r="B1993">
        <v>3184423</v>
      </c>
      <c r="C1993">
        <v>27238</v>
      </c>
      <c r="D1993">
        <v>47</v>
      </c>
      <c r="E1993">
        <v>94</v>
      </c>
      <c r="M1993" t="s">
        <v>636</v>
      </c>
    </row>
    <row r="1995" spans="1:13">
      <c r="M1995" t="s">
        <v>637</v>
      </c>
    </row>
    <row r="1996" spans="1:13">
      <c r="A1996" t="s">
        <v>373</v>
      </c>
      <c r="B1996" t="s">
        <v>374</v>
      </c>
      <c r="C1996" t="s">
        <v>375</v>
      </c>
      <c r="D1996" t="s">
        <v>376</v>
      </c>
      <c r="E1996" t="s">
        <v>377</v>
      </c>
      <c r="F1996" t="s">
        <v>378</v>
      </c>
      <c r="G1996" t="s">
        <v>379</v>
      </c>
      <c r="H1996" t="s">
        <v>380</v>
      </c>
      <c r="M1996" t="s">
        <v>637</v>
      </c>
    </row>
    <row r="1997" spans="1:13">
      <c r="A1997" t="s">
        <v>381</v>
      </c>
      <c r="B1997">
        <v>72315</v>
      </c>
      <c r="C1997">
        <v>614</v>
      </c>
      <c r="D1997">
        <v>24380</v>
      </c>
      <c r="E1997">
        <v>224</v>
      </c>
      <c r="F1997">
        <v>11971</v>
      </c>
      <c r="G1997">
        <v>291859064</v>
      </c>
      <c r="H1997">
        <v>2.97</v>
      </c>
      <c r="M1997" t="s">
        <v>637</v>
      </c>
    </row>
    <row r="1998" spans="1:13">
      <c r="A1998" t="s">
        <v>382</v>
      </c>
      <c r="B1998">
        <v>738192</v>
      </c>
      <c r="C1998">
        <v>6424</v>
      </c>
      <c r="D1998">
        <v>733815</v>
      </c>
      <c r="E1998">
        <v>6472</v>
      </c>
      <c r="F1998">
        <v>13213</v>
      </c>
      <c r="G1998">
        <v>9696233119</v>
      </c>
      <c r="H1998">
        <v>1.01</v>
      </c>
      <c r="M1998" t="s">
        <v>637</v>
      </c>
    </row>
    <row r="1999" spans="1:13">
      <c r="A1999" t="s">
        <v>383</v>
      </c>
      <c r="B1999">
        <v>896249</v>
      </c>
      <c r="C1999">
        <v>7270</v>
      </c>
      <c r="D1999">
        <v>867236</v>
      </c>
      <c r="E1999">
        <v>7790</v>
      </c>
      <c r="F1999">
        <v>14646</v>
      </c>
      <c r="G1999">
        <v>12701784415</v>
      </c>
      <c r="H1999">
        <v>1.03</v>
      </c>
      <c r="M1999" t="s">
        <v>637</v>
      </c>
    </row>
    <row r="2000" spans="1:13">
      <c r="A2000" t="s">
        <v>384</v>
      </c>
      <c r="B2000">
        <v>824945</v>
      </c>
      <c r="C2000">
        <v>8040</v>
      </c>
      <c r="D2000">
        <v>1348199</v>
      </c>
      <c r="E2000">
        <v>12710</v>
      </c>
      <c r="F2000">
        <v>13579</v>
      </c>
      <c r="G2000">
        <v>18307138058</v>
      </c>
      <c r="H2000">
        <v>0.61</v>
      </c>
      <c r="M2000" t="s">
        <v>637</v>
      </c>
    </row>
    <row r="2001" spans="1:13">
      <c r="A2001" t="s">
        <v>385</v>
      </c>
      <c r="B2001">
        <v>1197741</v>
      </c>
      <c r="C2001">
        <v>11399</v>
      </c>
      <c r="D2001">
        <v>1018656</v>
      </c>
      <c r="E2001">
        <v>9596</v>
      </c>
      <c r="F2001">
        <v>13948</v>
      </c>
      <c r="G2001">
        <v>14208435313</v>
      </c>
      <c r="H2001">
        <v>1.18</v>
      </c>
      <c r="M2001" t="s">
        <v>637</v>
      </c>
    </row>
    <row r="2002" spans="1:13">
      <c r="A2002" t="s">
        <v>386</v>
      </c>
      <c r="B2002">
        <v>1336281</v>
      </c>
      <c r="C2002">
        <v>11660</v>
      </c>
      <c r="D2002">
        <v>885814</v>
      </c>
      <c r="E2002">
        <v>8058</v>
      </c>
      <c r="F2002">
        <v>14593</v>
      </c>
      <c r="G2002">
        <v>12926999612</v>
      </c>
      <c r="H2002">
        <v>1.51</v>
      </c>
      <c r="M2002" t="s">
        <v>637</v>
      </c>
    </row>
    <row r="2003" spans="1:13">
      <c r="A2003" t="s">
        <v>387</v>
      </c>
      <c r="B2003">
        <v>5065723</v>
      </c>
      <c r="C2003">
        <v>45407</v>
      </c>
      <c r="D2003">
        <v>4878100</v>
      </c>
      <c r="E2003">
        <v>44850</v>
      </c>
      <c r="F2003">
        <v>13967</v>
      </c>
      <c r="G2003">
        <v>68132449581</v>
      </c>
      <c r="H2003">
        <v>1.04</v>
      </c>
      <c r="M2003" t="s">
        <v>637</v>
      </c>
    </row>
    <row r="2005" spans="1:13">
      <c r="M2005" t="s">
        <v>638</v>
      </c>
    </row>
    <row r="2006" spans="1:13">
      <c r="A2006" t="s">
        <v>373</v>
      </c>
      <c r="B2006" t="s">
        <v>389</v>
      </c>
      <c r="C2006" t="s">
        <v>390</v>
      </c>
      <c r="D2006" t="s">
        <v>391</v>
      </c>
      <c r="M2006" t="s">
        <v>638</v>
      </c>
    </row>
    <row r="2007" spans="1:13">
      <c r="A2007" t="s">
        <v>382</v>
      </c>
      <c r="B2007">
        <v>920755</v>
      </c>
      <c r="C2007">
        <v>8025</v>
      </c>
      <c r="D2007">
        <v>15.1</v>
      </c>
      <c r="M2007" t="s">
        <v>638</v>
      </c>
    </row>
    <row r="2008" spans="1:13">
      <c r="A2008" t="s">
        <v>383</v>
      </c>
      <c r="B2008">
        <v>897044</v>
      </c>
      <c r="C2008">
        <v>7918</v>
      </c>
      <c r="D2008">
        <v>12.4</v>
      </c>
      <c r="M2008" t="s">
        <v>638</v>
      </c>
    </row>
    <row r="2009" spans="1:13">
      <c r="A2009" t="s">
        <v>384</v>
      </c>
      <c r="B2009">
        <v>0</v>
      </c>
      <c r="C2009">
        <v>0</v>
      </c>
      <c r="D2009">
        <v>0</v>
      </c>
      <c r="M2009" t="s">
        <v>638</v>
      </c>
    </row>
    <row r="2010" spans="1:13">
      <c r="A2010" t="s">
        <v>385</v>
      </c>
      <c r="B2010">
        <v>1438823</v>
      </c>
      <c r="C2010">
        <v>13149</v>
      </c>
      <c r="D2010">
        <v>16.899999999999999</v>
      </c>
      <c r="M2010" t="s">
        <v>638</v>
      </c>
    </row>
    <row r="2011" spans="1:13">
      <c r="A2011" t="s">
        <v>386</v>
      </c>
      <c r="B2011">
        <v>1324361</v>
      </c>
      <c r="C2011">
        <v>11764</v>
      </c>
      <c r="D2011">
        <v>17.899999999999999</v>
      </c>
      <c r="M2011" t="s">
        <v>638</v>
      </c>
    </row>
    <row r="2012" spans="1:13">
      <c r="A2012" t="s">
        <v>393</v>
      </c>
      <c r="B2012">
        <v>1034141</v>
      </c>
      <c r="C2012">
        <v>9742</v>
      </c>
      <c r="D2012">
        <v>16.8</v>
      </c>
      <c r="M2012" t="s">
        <v>638</v>
      </c>
    </row>
    <row r="2014" spans="1:13">
      <c r="M2014" t="s">
        <v>639</v>
      </c>
    </row>
    <row r="2015" spans="1:13">
      <c r="A2015" t="s">
        <v>373</v>
      </c>
      <c r="B2015" t="s">
        <v>374</v>
      </c>
      <c r="C2015" t="s">
        <v>375</v>
      </c>
      <c r="D2015" t="s">
        <v>376</v>
      </c>
      <c r="E2015" t="s">
        <v>377</v>
      </c>
      <c r="F2015" t="s">
        <v>378</v>
      </c>
      <c r="G2015" t="s">
        <v>379</v>
      </c>
      <c r="H2015" t="s">
        <v>380</v>
      </c>
      <c r="M2015" t="s">
        <v>639</v>
      </c>
    </row>
    <row r="2016" spans="1:13">
      <c r="A2016" t="s">
        <v>381</v>
      </c>
      <c r="B2016">
        <v>73252</v>
      </c>
      <c r="C2016">
        <v>670</v>
      </c>
      <c r="D2016">
        <v>33583</v>
      </c>
      <c r="E2016">
        <v>353</v>
      </c>
      <c r="F2016">
        <v>12458</v>
      </c>
      <c r="G2016">
        <v>418361382</v>
      </c>
      <c r="H2016">
        <v>2.1800000000000002</v>
      </c>
      <c r="M2016" t="s">
        <v>639</v>
      </c>
    </row>
    <row r="2017" spans="1:13">
      <c r="A2017" t="s">
        <v>382</v>
      </c>
      <c r="B2017">
        <v>602295</v>
      </c>
      <c r="C2017">
        <v>5794</v>
      </c>
      <c r="D2017">
        <v>593731</v>
      </c>
      <c r="E2017">
        <v>6469</v>
      </c>
      <c r="F2017">
        <v>11522</v>
      </c>
      <c r="G2017">
        <v>6841251145</v>
      </c>
      <c r="H2017">
        <v>1.01</v>
      </c>
      <c r="M2017" t="s">
        <v>639</v>
      </c>
    </row>
    <row r="2018" spans="1:13">
      <c r="A2018" t="s">
        <v>383</v>
      </c>
      <c r="B2018">
        <v>276010</v>
      </c>
      <c r="C2018">
        <v>2960</v>
      </c>
      <c r="D2018">
        <v>587257</v>
      </c>
      <c r="E2018">
        <v>6829</v>
      </c>
      <c r="F2018">
        <v>13088</v>
      </c>
      <c r="G2018">
        <v>7686131964</v>
      </c>
      <c r="H2018">
        <v>0.47</v>
      </c>
      <c r="M2018" t="s">
        <v>639</v>
      </c>
    </row>
    <row r="2019" spans="1:13">
      <c r="A2019" t="s">
        <v>384</v>
      </c>
      <c r="B2019">
        <v>14568</v>
      </c>
      <c r="C2019">
        <v>120</v>
      </c>
      <c r="D2019">
        <v>44008</v>
      </c>
      <c r="E2019">
        <v>503</v>
      </c>
      <c r="F2019">
        <v>13282</v>
      </c>
      <c r="G2019">
        <v>584533269</v>
      </c>
      <c r="H2019">
        <v>0.33</v>
      </c>
      <c r="M2019" t="s">
        <v>639</v>
      </c>
    </row>
    <row r="2020" spans="1:13">
      <c r="A2020" t="s">
        <v>385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M2020" t="s">
        <v>639</v>
      </c>
    </row>
    <row r="2021" spans="1:13">
      <c r="A2021" t="s">
        <v>386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M2021" t="s">
        <v>639</v>
      </c>
    </row>
    <row r="2022" spans="1:13">
      <c r="A2022" t="s">
        <v>387</v>
      </c>
      <c r="B2022">
        <v>966126</v>
      </c>
      <c r="C2022">
        <v>9544</v>
      </c>
      <c r="D2022">
        <v>1258579</v>
      </c>
      <c r="E2022">
        <v>14154</v>
      </c>
      <c r="F2022">
        <v>12340</v>
      </c>
      <c r="G2022">
        <v>15530277760</v>
      </c>
      <c r="H2022">
        <v>0.77</v>
      </c>
      <c r="M2022" t="s">
        <v>639</v>
      </c>
    </row>
    <row r="2024" spans="1:13">
      <c r="M2024" t="s">
        <v>640</v>
      </c>
    </row>
    <row r="2025" spans="1:13">
      <c r="A2025" t="s">
        <v>373</v>
      </c>
      <c r="B2025" t="s">
        <v>389</v>
      </c>
      <c r="C2025" t="s">
        <v>390</v>
      </c>
      <c r="D2025" t="s">
        <v>391</v>
      </c>
      <c r="M2025" t="s">
        <v>640</v>
      </c>
    </row>
    <row r="2026" spans="1:13">
      <c r="A2026" t="s">
        <v>381</v>
      </c>
      <c r="B2026">
        <v>2738247</v>
      </c>
      <c r="C2026">
        <v>30173</v>
      </c>
      <c r="D2026">
        <v>53.6</v>
      </c>
      <c r="M2026" t="s">
        <v>640</v>
      </c>
    </row>
    <row r="2027" spans="1:13">
      <c r="A2027" t="s">
        <v>382</v>
      </c>
      <c r="B2027">
        <v>2696817</v>
      </c>
      <c r="C2027">
        <v>29839</v>
      </c>
      <c r="D2027">
        <v>54.5</v>
      </c>
      <c r="M2027" t="s">
        <v>640</v>
      </c>
    </row>
    <row r="2028" spans="1:13">
      <c r="A2028" t="s">
        <v>383</v>
      </c>
      <c r="B2028">
        <v>2626918</v>
      </c>
      <c r="C2028">
        <v>29929</v>
      </c>
      <c r="D2028">
        <v>53.7</v>
      </c>
      <c r="M2028" t="s">
        <v>640</v>
      </c>
    </row>
    <row r="2029" spans="1:13">
      <c r="A2029" t="s">
        <v>384</v>
      </c>
      <c r="B2029">
        <v>3001606</v>
      </c>
      <c r="C2029">
        <v>34506</v>
      </c>
      <c r="D2029">
        <v>818.5</v>
      </c>
      <c r="M2029" t="s">
        <v>640</v>
      </c>
    </row>
    <row r="2031" spans="1:13">
      <c r="M2031" t="s">
        <v>641</v>
      </c>
    </row>
    <row r="2032" spans="1:13">
      <c r="A2032" t="s">
        <v>373</v>
      </c>
      <c r="B2032" t="s">
        <v>374</v>
      </c>
      <c r="C2032" t="s">
        <v>375</v>
      </c>
      <c r="D2032" t="s">
        <v>376</v>
      </c>
      <c r="E2032" t="s">
        <v>377</v>
      </c>
      <c r="F2032" t="s">
        <v>378</v>
      </c>
      <c r="G2032" t="s">
        <v>379</v>
      </c>
      <c r="H2032" t="s">
        <v>380</v>
      </c>
      <c r="M2032" t="s">
        <v>641</v>
      </c>
    </row>
    <row r="2033" spans="1:13">
      <c r="A2033" t="s">
        <v>382</v>
      </c>
      <c r="B2033">
        <v>1263549</v>
      </c>
      <c r="C2033">
        <v>10167</v>
      </c>
      <c r="D2033">
        <v>1024612</v>
      </c>
      <c r="E2033">
        <v>7902</v>
      </c>
      <c r="F2033">
        <v>8765</v>
      </c>
      <c r="G2033">
        <v>8981151541</v>
      </c>
      <c r="H2033">
        <v>1.23</v>
      </c>
      <c r="M2033" t="s">
        <v>641</v>
      </c>
    </row>
    <row r="2034" spans="1:13">
      <c r="A2034" t="s">
        <v>383</v>
      </c>
      <c r="B2034">
        <v>698018</v>
      </c>
      <c r="C2034">
        <v>5594</v>
      </c>
      <c r="D2034">
        <v>796279</v>
      </c>
      <c r="E2034">
        <v>6134</v>
      </c>
      <c r="F2034">
        <v>8421</v>
      </c>
      <c r="G2034">
        <v>6705604761</v>
      </c>
      <c r="H2034">
        <v>0.88</v>
      </c>
      <c r="M2034" t="s">
        <v>641</v>
      </c>
    </row>
    <row r="2035" spans="1:13">
      <c r="A2035" t="s">
        <v>384</v>
      </c>
      <c r="B2035">
        <v>1965542</v>
      </c>
      <c r="C2035">
        <v>15102</v>
      </c>
      <c r="D2035">
        <v>495791</v>
      </c>
      <c r="E2035">
        <v>3846</v>
      </c>
      <c r="F2035">
        <v>8196</v>
      </c>
      <c r="G2035">
        <v>4063610229</v>
      </c>
      <c r="H2035">
        <v>3.96</v>
      </c>
      <c r="M2035" t="s">
        <v>641</v>
      </c>
    </row>
    <row r="2036" spans="1:13">
      <c r="A2036" t="s">
        <v>385</v>
      </c>
      <c r="B2036">
        <v>2862172</v>
      </c>
      <c r="C2036">
        <v>22627</v>
      </c>
      <c r="D2036">
        <v>283672</v>
      </c>
      <c r="E2036">
        <v>2263</v>
      </c>
      <c r="F2036">
        <v>8553</v>
      </c>
      <c r="G2036">
        <v>2426219441</v>
      </c>
      <c r="H2036">
        <v>10.09</v>
      </c>
      <c r="M2036" t="s">
        <v>641</v>
      </c>
    </row>
    <row r="2037" spans="1:13">
      <c r="A2037" t="s">
        <v>386</v>
      </c>
      <c r="B2037">
        <v>2802038</v>
      </c>
      <c r="C2037">
        <v>22522</v>
      </c>
      <c r="D2037">
        <v>238157</v>
      </c>
      <c r="E2037">
        <v>1940</v>
      </c>
      <c r="F2037">
        <v>7094</v>
      </c>
      <c r="G2037">
        <v>1689580773</v>
      </c>
      <c r="H2037">
        <v>11.77</v>
      </c>
      <c r="M2037" t="s">
        <v>641</v>
      </c>
    </row>
    <row r="2038" spans="1:13">
      <c r="A2038" t="s">
        <v>387</v>
      </c>
      <c r="B2038">
        <v>9591320</v>
      </c>
      <c r="C2038">
        <v>76012</v>
      </c>
      <c r="D2038">
        <v>2838511</v>
      </c>
      <c r="E2038">
        <v>22085</v>
      </c>
      <c r="F2038">
        <v>8408</v>
      </c>
      <c r="G2038">
        <v>23866166745</v>
      </c>
      <c r="H2038">
        <v>3.38</v>
      </c>
      <c r="M2038" t="s">
        <v>641</v>
      </c>
    </row>
    <row r="2040" spans="1:13">
      <c r="M2040" t="s">
        <v>642</v>
      </c>
    </row>
    <row r="2041" spans="1:13">
      <c r="A2041" t="s">
        <v>373</v>
      </c>
      <c r="B2041" t="s">
        <v>389</v>
      </c>
      <c r="C2041" t="s">
        <v>390</v>
      </c>
      <c r="D2041" t="s">
        <v>391</v>
      </c>
      <c r="M2041" t="s">
        <v>642</v>
      </c>
    </row>
    <row r="2042" spans="1:13">
      <c r="A2042" t="s">
        <v>381</v>
      </c>
      <c r="B2042">
        <v>2430753</v>
      </c>
      <c r="C2042">
        <v>18653</v>
      </c>
      <c r="D2042">
        <v>28.4</v>
      </c>
      <c r="M2042" t="s">
        <v>642</v>
      </c>
    </row>
    <row r="2043" spans="1:13">
      <c r="A2043" t="s">
        <v>382</v>
      </c>
      <c r="B2043">
        <v>2254879</v>
      </c>
      <c r="C2043">
        <v>17286</v>
      </c>
      <c r="D2043">
        <v>26.4</v>
      </c>
      <c r="M2043" t="s">
        <v>642</v>
      </c>
    </row>
    <row r="2044" spans="1:13">
      <c r="A2044" t="s">
        <v>383</v>
      </c>
      <c r="B2044">
        <v>1711492</v>
      </c>
      <c r="C2044">
        <v>12734</v>
      </c>
      <c r="D2044">
        <v>25.8</v>
      </c>
      <c r="M2044" t="s">
        <v>642</v>
      </c>
    </row>
    <row r="2045" spans="1:13">
      <c r="A2045" t="s">
        <v>384</v>
      </c>
      <c r="B2045">
        <v>1088380</v>
      </c>
      <c r="C2045">
        <v>7647</v>
      </c>
      <c r="D2045">
        <v>26.3</v>
      </c>
      <c r="M2045" t="s">
        <v>642</v>
      </c>
    </row>
    <row r="2047" spans="1:13">
      <c r="M2047" t="s">
        <v>643</v>
      </c>
    </row>
    <row r="2048" spans="1:13">
      <c r="A2048" t="s">
        <v>373</v>
      </c>
      <c r="B2048" t="s">
        <v>374</v>
      </c>
      <c r="C2048" t="s">
        <v>375</v>
      </c>
      <c r="D2048" t="s">
        <v>376</v>
      </c>
      <c r="E2048" t="s">
        <v>377</v>
      </c>
      <c r="F2048" t="s">
        <v>378</v>
      </c>
      <c r="G2048" t="s">
        <v>379</v>
      </c>
      <c r="H2048" t="s">
        <v>380</v>
      </c>
      <c r="M2048" t="s">
        <v>643</v>
      </c>
    </row>
    <row r="2049" spans="1:13">
      <c r="A2049" t="s">
        <v>381</v>
      </c>
      <c r="B2049">
        <v>132549</v>
      </c>
      <c r="C2049">
        <v>1098</v>
      </c>
      <c r="D2049">
        <v>305541</v>
      </c>
      <c r="E2049">
        <v>2632</v>
      </c>
      <c r="F2049">
        <v>10921</v>
      </c>
      <c r="G2049">
        <v>3336881531</v>
      </c>
      <c r="H2049">
        <v>0.43</v>
      </c>
      <c r="M2049" t="s">
        <v>643</v>
      </c>
    </row>
    <row r="2050" spans="1:13">
      <c r="A2050" t="s">
        <v>382</v>
      </c>
      <c r="B2050">
        <v>2456444</v>
      </c>
      <c r="C2050">
        <v>21963</v>
      </c>
      <c r="D2050">
        <v>2568738</v>
      </c>
      <c r="E2050">
        <v>21694</v>
      </c>
      <c r="F2050">
        <v>11467</v>
      </c>
      <c r="G2050">
        <v>29456327845</v>
      </c>
      <c r="H2050">
        <v>0.96</v>
      </c>
      <c r="M2050" t="s">
        <v>643</v>
      </c>
    </row>
    <row r="2051" spans="1:13">
      <c r="A2051" t="s">
        <v>383</v>
      </c>
      <c r="B2051">
        <v>2485676</v>
      </c>
      <c r="C2051">
        <v>22228</v>
      </c>
      <c r="D2051">
        <v>2463164</v>
      </c>
      <c r="E2051">
        <v>21396</v>
      </c>
      <c r="F2051">
        <v>11480</v>
      </c>
      <c r="G2051">
        <v>28276161022</v>
      </c>
      <c r="H2051">
        <v>1.01</v>
      </c>
      <c r="M2051" t="s">
        <v>643</v>
      </c>
    </row>
    <row r="2052" spans="1:13">
      <c r="A2052" t="s">
        <v>384</v>
      </c>
      <c r="B2052">
        <v>4226559</v>
      </c>
      <c r="C2052">
        <v>38077</v>
      </c>
      <c r="D2052">
        <v>3360493</v>
      </c>
      <c r="E2052">
        <v>29155</v>
      </c>
      <c r="F2052">
        <v>11412</v>
      </c>
      <c r="G2052">
        <v>38348818552</v>
      </c>
      <c r="H2052">
        <v>1.26</v>
      </c>
      <c r="M2052" t="s">
        <v>643</v>
      </c>
    </row>
    <row r="2053" spans="1:13">
      <c r="A2053" t="s">
        <v>385</v>
      </c>
      <c r="B2053">
        <v>4693868</v>
      </c>
      <c r="C2053">
        <v>40671</v>
      </c>
      <c r="D2053">
        <v>3664427</v>
      </c>
      <c r="E2053">
        <v>32281</v>
      </c>
      <c r="F2053">
        <v>11712</v>
      </c>
      <c r="G2053">
        <v>42916737277</v>
      </c>
      <c r="H2053">
        <v>1.28</v>
      </c>
      <c r="M2053" t="s">
        <v>643</v>
      </c>
    </row>
    <row r="2054" spans="1:13">
      <c r="A2054" t="s">
        <v>386</v>
      </c>
      <c r="B2054">
        <v>5786265</v>
      </c>
      <c r="C2054">
        <v>52415</v>
      </c>
      <c r="D2054">
        <v>4102139</v>
      </c>
      <c r="E2054">
        <v>37014</v>
      </c>
      <c r="F2054">
        <v>10798</v>
      </c>
      <c r="G2054">
        <v>44293298289</v>
      </c>
      <c r="H2054">
        <v>1.41</v>
      </c>
      <c r="M2054" t="s">
        <v>643</v>
      </c>
    </row>
    <row r="2055" spans="1:13">
      <c r="A2055" t="s">
        <v>387</v>
      </c>
      <c r="B2055">
        <v>19781361</v>
      </c>
      <c r="C2055">
        <v>176452</v>
      </c>
      <c r="D2055">
        <v>16464502</v>
      </c>
      <c r="E2055">
        <v>144172</v>
      </c>
      <c r="F2055">
        <v>11335</v>
      </c>
      <c r="G2055">
        <v>186628224516</v>
      </c>
      <c r="H2055">
        <v>1.2</v>
      </c>
      <c r="M2055" t="s">
        <v>643</v>
      </c>
    </row>
    <row r="2057" spans="1:13">
      <c r="M2057" t="s">
        <v>644</v>
      </c>
    </row>
    <row r="2058" spans="1:13">
      <c r="A2058" t="s">
        <v>373</v>
      </c>
      <c r="B2058" t="s">
        <v>389</v>
      </c>
      <c r="C2058" t="s">
        <v>390</v>
      </c>
      <c r="D2058" t="s">
        <v>391</v>
      </c>
      <c r="E2058" t="s">
        <v>406</v>
      </c>
      <c r="M2058" t="s">
        <v>644</v>
      </c>
    </row>
    <row r="2059" spans="1:13">
      <c r="A2059" t="s">
        <v>381</v>
      </c>
      <c r="B2059">
        <v>8081175</v>
      </c>
      <c r="C2059">
        <v>74235</v>
      </c>
      <c r="D2059">
        <v>35.4</v>
      </c>
      <c r="E2059">
        <v>37.799999999999997</v>
      </c>
      <c r="M2059" t="s">
        <v>644</v>
      </c>
    </row>
    <row r="2060" spans="1:13">
      <c r="A2060" t="s">
        <v>382</v>
      </c>
      <c r="B2060">
        <v>8085722</v>
      </c>
      <c r="C2060">
        <v>74414</v>
      </c>
      <c r="D2060">
        <v>37.799999999999997</v>
      </c>
      <c r="E2060">
        <v>38.6</v>
      </c>
      <c r="M2060" t="s">
        <v>644</v>
      </c>
    </row>
    <row r="2061" spans="1:13">
      <c r="A2061" t="s">
        <v>383</v>
      </c>
      <c r="B2061">
        <v>10144840</v>
      </c>
      <c r="C2061">
        <v>94599</v>
      </c>
      <c r="D2061">
        <v>49.4</v>
      </c>
      <c r="E2061">
        <v>41.8</v>
      </c>
      <c r="M2061" t="s">
        <v>644</v>
      </c>
    </row>
    <row r="2062" spans="1:13">
      <c r="A2062" t="s">
        <v>384</v>
      </c>
      <c r="B2062">
        <v>10471202</v>
      </c>
      <c r="C2062">
        <v>97639</v>
      </c>
      <c r="D2062">
        <v>37.4</v>
      </c>
      <c r="E2062">
        <v>35.799999999999997</v>
      </c>
      <c r="M2062" t="s">
        <v>644</v>
      </c>
    </row>
    <row r="2063" spans="1:13">
      <c r="A2063" t="s">
        <v>385</v>
      </c>
      <c r="B2063">
        <v>10365486</v>
      </c>
      <c r="C2063">
        <v>96216</v>
      </c>
      <c r="D2063">
        <v>33.9</v>
      </c>
      <c r="E2063">
        <v>32</v>
      </c>
      <c r="M2063" t="s">
        <v>644</v>
      </c>
    </row>
    <row r="2064" spans="1:13">
      <c r="A2064" t="s">
        <v>386</v>
      </c>
      <c r="B2064">
        <v>8870580</v>
      </c>
      <c r="C2064">
        <v>83402</v>
      </c>
      <c r="D2064">
        <v>25.9</v>
      </c>
      <c r="E2064">
        <v>22.2</v>
      </c>
      <c r="M2064" t="s">
        <v>644</v>
      </c>
    </row>
    <row r="2066" spans="1:13">
      <c r="M2066" t="s">
        <v>645</v>
      </c>
    </row>
    <row r="2067" spans="1:13">
      <c r="A2067" t="s">
        <v>373</v>
      </c>
      <c r="B2067" t="s">
        <v>374</v>
      </c>
      <c r="C2067" t="s">
        <v>375</v>
      </c>
      <c r="D2067" t="s">
        <v>376</v>
      </c>
      <c r="E2067" t="s">
        <v>377</v>
      </c>
      <c r="F2067" t="s">
        <v>378</v>
      </c>
      <c r="G2067" t="s">
        <v>379</v>
      </c>
      <c r="H2067" t="s">
        <v>380</v>
      </c>
      <c r="M2067" t="s">
        <v>645</v>
      </c>
    </row>
    <row r="2068" spans="1:13">
      <c r="A2068" t="s">
        <v>382</v>
      </c>
      <c r="B2068">
        <v>728179</v>
      </c>
      <c r="C2068">
        <v>5669</v>
      </c>
      <c r="D2068">
        <v>799988</v>
      </c>
      <c r="E2068">
        <v>6195</v>
      </c>
      <c r="F2068">
        <v>6058</v>
      </c>
      <c r="G2068">
        <v>4846537980</v>
      </c>
      <c r="H2068">
        <v>0.91</v>
      </c>
      <c r="M2068" t="s">
        <v>645</v>
      </c>
    </row>
    <row r="2069" spans="1:13">
      <c r="A2069" t="s">
        <v>383</v>
      </c>
      <c r="B2069">
        <v>966122</v>
      </c>
      <c r="C2069">
        <v>7533</v>
      </c>
      <c r="D2069">
        <v>571629</v>
      </c>
      <c r="E2069">
        <v>4490</v>
      </c>
      <c r="F2069">
        <v>6791</v>
      </c>
      <c r="G2069">
        <v>3882204203</v>
      </c>
      <c r="H2069">
        <v>1.69</v>
      </c>
      <c r="M2069" t="s">
        <v>645</v>
      </c>
    </row>
    <row r="2070" spans="1:13">
      <c r="A2070" t="s">
        <v>384</v>
      </c>
      <c r="B2070">
        <v>2286604</v>
      </c>
      <c r="C2070">
        <v>20039</v>
      </c>
      <c r="D2070">
        <v>300053</v>
      </c>
      <c r="E2070">
        <v>2395</v>
      </c>
      <c r="F2070">
        <v>6980</v>
      </c>
      <c r="G2070">
        <v>2094405842</v>
      </c>
      <c r="H2070">
        <v>7.62</v>
      </c>
      <c r="M2070" t="s">
        <v>645</v>
      </c>
    </row>
    <row r="2071" spans="1:13">
      <c r="A2071" t="s">
        <v>385</v>
      </c>
      <c r="B2071">
        <v>4457353</v>
      </c>
      <c r="C2071">
        <v>37466</v>
      </c>
      <c r="D2071">
        <v>0</v>
      </c>
      <c r="E2071">
        <v>0</v>
      </c>
      <c r="F2071">
        <v>0</v>
      </c>
      <c r="G2071">
        <v>0</v>
      </c>
      <c r="H2071">
        <v>0</v>
      </c>
      <c r="M2071" t="s">
        <v>645</v>
      </c>
    </row>
    <row r="2072" spans="1:13">
      <c r="A2072" t="s">
        <v>386</v>
      </c>
      <c r="B2072">
        <v>68229</v>
      </c>
      <c r="C2072">
        <v>645</v>
      </c>
      <c r="D2072">
        <v>0</v>
      </c>
      <c r="E2072">
        <v>0</v>
      </c>
      <c r="F2072">
        <v>0</v>
      </c>
      <c r="G2072">
        <v>0</v>
      </c>
      <c r="H2072">
        <v>0</v>
      </c>
      <c r="M2072" t="s">
        <v>645</v>
      </c>
    </row>
    <row r="2073" spans="1:13">
      <c r="A2073" t="s">
        <v>387</v>
      </c>
      <c r="B2073">
        <v>8506486</v>
      </c>
      <c r="C2073">
        <v>71352</v>
      </c>
      <c r="D2073">
        <v>1671670</v>
      </c>
      <c r="E2073">
        <v>13080</v>
      </c>
      <c r="F2073">
        <v>6474</v>
      </c>
      <c r="G2073">
        <v>10823148025</v>
      </c>
      <c r="H2073">
        <v>5.09</v>
      </c>
      <c r="M2073" t="s">
        <v>645</v>
      </c>
    </row>
    <row r="2075" spans="1:13">
      <c r="M2075" t="s">
        <v>646</v>
      </c>
    </row>
    <row r="2076" spans="1:13">
      <c r="A2076" t="s">
        <v>373</v>
      </c>
      <c r="B2076" t="s">
        <v>389</v>
      </c>
      <c r="C2076" t="s">
        <v>390</v>
      </c>
      <c r="D2076" t="s">
        <v>391</v>
      </c>
      <c r="E2076" t="s">
        <v>406</v>
      </c>
      <c r="M2076" t="s">
        <v>646</v>
      </c>
    </row>
    <row r="2077" spans="1:13">
      <c r="A2077" t="s">
        <v>382</v>
      </c>
      <c r="B2077">
        <v>1195323</v>
      </c>
      <c r="C2077">
        <v>9666</v>
      </c>
      <c r="D2077">
        <v>17.899999999999999</v>
      </c>
      <c r="E2077">
        <v>20.9</v>
      </c>
      <c r="M2077" t="s">
        <v>646</v>
      </c>
    </row>
    <row r="2078" spans="1:13">
      <c r="A2078" t="s">
        <v>383</v>
      </c>
      <c r="B2078">
        <v>1304672</v>
      </c>
      <c r="C2078">
        <v>10665</v>
      </c>
      <c r="D2078">
        <v>27.4</v>
      </c>
      <c r="E2078">
        <v>35.9</v>
      </c>
      <c r="M2078" t="s">
        <v>646</v>
      </c>
    </row>
    <row r="2079" spans="1:13">
      <c r="A2079" t="s">
        <v>384</v>
      </c>
      <c r="B2079">
        <v>1369136</v>
      </c>
      <c r="C2079">
        <v>11266</v>
      </c>
      <c r="D2079">
        <v>54.8</v>
      </c>
      <c r="E2079">
        <v>109.5</v>
      </c>
      <c r="M2079" t="s">
        <v>646</v>
      </c>
    </row>
    <row r="2081" spans="1:13">
      <c r="M2081" t="s">
        <v>647</v>
      </c>
    </row>
    <row r="2082" spans="1:13">
      <c r="A2082" t="s">
        <v>373</v>
      </c>
      <c r="B2082" t="s">
        <v>374</v>
      </c>
      <c r="C2082" t="s">
        <v>375</v>
      </c>
      <c r="D2082" t="s">
        <v>376</v>
      </c>
      <c r="E2082" t="s">
        <v>377</v>
      </c>
      <c r="F2082" t="s">
        <v>378</v>
      </c>
      <c r="G2082" t="s">
        <v>379</v>
      </c>
      <c r="H2082" t="s">
        <v>380</v>
      </c>
      <c r="M2082" t="s">
        <v>647</v>
      </c>
    </row>
    <row r="2083" spans="1:13">
      <c r="A2083" t="s">
        <v>382</v>
      </c>
      <c r="B2083">
        <v>0</v>
      </c>
      <c r="C2083">
        <v>0</v>
      </c>
      <c r="D2083">
        <v>553189</v>
      </c>
      <c r="E2083">
        <v>5224</v>
      </c>
      <c r="F2083">
        <v>19633</v>
      </c>
      <c r="G2083">
        <v>10860735051</v>
      </c>
      <c r="H2083">
        <v>0</v>
      </c>
      <c r="M2083" t="s">
        <v>647</v>
      </c>
    </row>
    <row r="2084" spans="1:13">
      <c r="A2084" t="s">
        <v>383</v>
      </c>
      <c r="B2084">
        <v>0</v>
      </c>
      <c r="C2084">
        <v>0</v>
      </c>
      <c r="D2084">
        <v>668294</v>
      </c>
      <c r="E2084">
        <v>6223</v>
      </c>
      <c r="F2084">
        <v>20090</v>
      </c>
      <c r="G2084">
        <v>13426167538</v>
      </c>
      <c r="H2084">
        <v>0</v>
      </c>
      <c r="M2084" t="s">
        <v>647</v>
      </c>
    </row>
    <row r="2085" spans="1:13">
      <c r="A2085" t="s">
        <v>384</v>
      </c>
      <c r="B2085">
        <v>0</v>
      </c>
      <c r="C2085">
        <v>0</v>
      </c>
      <c r="D2085">
        <v>591764</v>
      </c>
      <c r="E2085">
        <v>5970</v>
      </c>
      <c r="F2085">
        <v>19332</v>
      </c>
      <c r="G2085">
        <v>11440113702</v>
      </c>
      <c r="H2085">
        <v>0</v>
      </c>
      <c r="M2085" t="s">
        <v>647</v>
      </c>
    </row>
    <row r="2086" spans="1:13">
      <c r="A2086" t="s">
        <v>385</v>
      </c>
      <c r="B2086">
        <v>0</v>
      </c>
      <c r="C2086">
        <v>0</v>
      </c>
      <c r="D2086">
        <v>733412</v>
      </c>
      <c r="E2086">
        <v>7633</v>
      </c>
      <c r="F2086">
        <v>19589</v>
      </c>
      <c r="G2086">
        <v>14366804500</v>
      </c>
      <c r="H2086">
        <v>0</v>
      </c>
      <c r="M2086" t="s">
        <v>647</v>
      </c>
    </row>
    <row r="2087" spans="1:13">
      <c r="A2087" t="s">
        <v>386</v>
      </c>
      <c r="B2087">
        <v>0</v>
      </c>
      <c r="C2087">
        <v>0</v>
      </c>
      <c r="D2087">
        <v>133283</v>
      </c>
      <c r="E2087">
        <v>1530</v>
      </c>
      <c r="F2087">
        <v>19009</v>
      </c>
      <c r="G2087">
        <v>2533561368</v>
      </c>
      <c r="H2087">
        <v>0</v>
      </c>
      <c r="M2087" t="s">
        <v>647</v>
      </c>
    </row>
    <row r="2088" spans="1:13">
      <c r="A2088" t="s">
        <v>393</v>
      </c>
      <c r="B2088">
        <v>0</v>
      </c>
      <c r="C2088">
        <v>0</v>
      </c>
      <c r="D2088">
        <v>45423</v>
      </c>
      <c r="E2088">
        <v>671</v>
      </c>
      <c r="F2088">
        <v>15460</v>
      </c>
      <c r="G2088">
        <v>702232456</v>
      </c>
      <c r="H2088">
        <v>0</v>
      </c>
      <c r="M2088" t="s">
        <v>647</v>
      </c>
    </row>
    <row r="2089" spans="1:13">
      <c r="A2089" t="s">
        <v>387</v>
      </c>
      <c r="B2089">
        <v>0</v>
      </c>
      <c r="C2089">
        <v>0</v>
      </c>
      <c r="D2089">
        <v>2725365</v>
      </c>
      <c r="E2089">
        <v>27251</v>
      </c>
      <c r="F2089">
        <v>19568</v>
      </c>
      <c r="G2089">
        <v>53329614614</v>
      </c>
      <c r="H2089">
        <v>0</v>
      </c>
      <c r="M2089" t="s">
        <v>647</v>
      </c>
    </row>
    <row r="2091" spans="1:13">
      <c r="M2091" t="s">
        <v>648</v>
      </c>
    </row>
    <row r="2092" spans="1:13">
      <c r="A2092" t="s">
        <v>373</v>
      </c>
      <c r="B2092" t="s">
        <v>374</v>
      </c>
      <c r="C2092" t="s">
        <v>375</v>
      </c>
      <c r="D2092" t="s">
        <v>376</v>
      </c>
      <c r="E2092" t="s">
        <v>377</v>
      </c>
      <c r="F2092" t="s">
        <v>378</v>
      </c>
      <c r="G2092" t="s">
        <v>379</v>
      </c>
      <c r="H2092" t="s">
        <v>380</v>
      </c>
      <c r="M2092" t="s">
        <v>648</v>
      </c>
    </row>
    <row r="2093" spans="1:13">
      <c r="A2093" t="s">
        <v>381</v>
      </c>
      <c r="B2093">
        <v>341032</v>
      </c>
      <c r="C2093">
        <v>3798</v>
      </c>
      <c r="D2093">
        <v>171865</v>
      </c>
      <c r="E2093">
        <v>1637</v>
      </c>
      <c r="F2093">
        <v>26791</v>
      </c>
      <c r="G2093">
        <v>4604493529</v>
      </c>
      <c r="H2093">
        <v>1.98</v>
      </c>
      <c r="M2093" t="s">
        <v>648</v>
      </c>
    </row>
    <row r="2094" spans="1:13">
      <c r="A2094" t="s">
        <v>382</v>
      </c>
      <c r="B2094">
        <v>2506251</v>
      </c>
      <c r="C2094">
        <v>25076</v>
      </c>
      <c r="D2094">
        <v>2281453</v>
      </c>
      <c r="E2094">
        <v>21606</v>
      </c>
      <c r="F2094">
        <v>26073</v>
      </c>
      <c r="G2094">
        <v>59485256048</v>
      </c>
      <c r="H2094">
        <v>1.1000000000000001</v>
      </c>
      <c r="M2094" t="s">
        <v>648</v>
      </c>
    </row>
    <row r="2095" spans="1:13">
      <c r="A2095" t="s">
        <v>383</v>
      </c>
      <c r="B2095">
        <v>2403966</v>
      </c>
      <c r="C2095">
        <v>23039</v>
      </c>
      <c r="D2095">
        <v>2288982</v>
      </c>
      <c r="E2095">
        <v>21611</v>
      </c>
      <c r="F2095">
        <v>24990</v>
      </c>
      <c r="G2095">
        <v>57200821789</v>
      </c>
      <c r="H2095">
        <v>1.05</v>
      </c>
      <c r="M2095" t="s">
        <v>648</v>
      </c>
    </row>
    <row r="2096" spans="1:13">
      <c r="A2096" t="s">
        <v>384</v>
      </c>
      <c r="B2096">
        <v>4639560</v>
      </c>
      <c r="C2096">
        <v>45806</v>
      </c>
      <c r="D2096">
        <v>4892975</v>
      </c>
      <c r="E2096">
        <v>47234</v>
      </c>
      <c r="F2096">
        <v>27059</v>
      </c>
      <c r="G2096">
        <v>132398931243</v>
      </c>
      <c r="H2096">
        <v>0.95</v>
      </c>
      <c r="M2096" t="s">
        <v>648</v>
      </c>
    </row>
    <row r="2097" spans="1:13">
      <c r="A2097" t="s">
        <v>385</v>
      </c>
      <c r="B2097">
        <v>4725313</v>
      </c>
      <c r="C2097">
        <v>46650</v>
      </c>
      <c r="D2097">
        <v>3440562</v>
      </c>
      <c r="E2097">
        <v>33535</v>
      </c>
      <c r="F2097">
        <v>26215</v>
      </c>
      <c r="G2097">
        <v>90193916601</v>
      </c>
      <c r="H2097">
        <v>1.37</v>
      </c>
      <c r="M2097" t="s">
        <v>648</v>
      </c>
    </row>
    <row r="2098" spans="1:13">
      <c r="A2098" t="s">
        <v>386</v>
      </c>
      <c r="B2098">
        <v>5450103</v>
      </c>
      <c r="C2098">
        <v>52105</v>
      </c>
      <c r="D2098">
        <v>4363014</v>
      </c>
      <c r="E2098">
        <v>42176</v>
      </c>
      <c r="F2098">
        <v>22685</v>
      </c>
      <c r="G2098">
        <v>98972908659</v>
      </c>
      <c r="H2098">
        <v>1.25</v>
      </c>
      <c r="M2098" t="s">
        <v>648</v>
      </c>
    </row>
    <row r="2099" spans="1:13">
      <c r="A2099" t="s">
        <v>387</v>
      </c>
      <c r="B2099">
        <v>20066226</v>
      </c>
      <c r="C2099">
        <v>196474</v>
      </c>
      <c r="D2099">
        <v>17438851</v>
      </c>
      <c r="E2099">
        <v>167799</v>
      </c>
      <c r="F2099">
        <v>25395</v>
      </c>
      <c r="G2099">
        <v>442856327868</v>
      </c>
      <c r="H2099">
        <v>1.1499999999999999</v>
      </c>
      <c r="M2099" t="s">
        <v>648</v>
      </c>
    </row>
    <row r="2101" spans="1:13">
      <c r="M2101" t="s">
        <v>649</v>
      </c>
    </row>
    <row r="2102" spans="1:13">
      <c r="A2102" s="20" t="s">
        <v>373</v>
      </c>
      <c r="B2102" s="21" t="s">
        <v>389</v>
      </c>
      <c r="C2102" s="21" t="s">
        <v>390</v>
      </c>
      <c r="D2102" s="21" t="s">
        <v>391</v>
      </c>
      <c r="E2102" s="21" t="s">
        <v>406</v>
      </c>
      <c r="M2102" s="16" t="s">
        <v>649</v>
      </c>
    </row>
    <row r="2103" spans="1:13">
      <c r="A2103" s="19" t="s">
        <v>381</v>
      </c>
      <c r="B2103" s="19">
        <v>13033653</v>
      </c>
      <c r="C2103" s="19">
        <v>114047</v>
      </c>
      <c r="D2103" s="19">
        <v>53.6</v>
      </c>
      <c r="E2103" s="19">
        <v>53.6</v>
      </c>
      <c r="M2103" s="16" t="s">
        <v>649</v>
      </c>
    </row>
    <row r="2104" spans="1:13">
      <c r="A2104" s="19" t="s">
        <v>382</v>
      </c>
      <c r="B2104" s="19">
        <v>12954983</v>
      </c>
      <c r="C2104" s="19">
        <v>113064</v>
      </c>
      <c r="D2104" s="19">
        <v>55.7</v>
      </c>
      <c r="E2104" s="19">
        <v>53.6</v>
      </c>
      <c r="M2104" s="16" t="s">
        <v>649</v>
      </c>
    </row>
    <row r="2105" spans="1:13">
      <c r="A2105" s="19" t="s">
        <v>383</v>
      </c>
      <c r="B2105" s="19">
        <v>12334213</v>
      </c>
      <c r="C2105" s="19">
        <v>108037</v>
      </c>
      <c r="D2105" s="19">
        <v>49.2</v>
      </c>
      <c r="E2105" s="19">
        <v>33.5</v>
      </c>
      <c r="M2105" s="16" t="s">
        <v>649</v>
      </c>
    </row>
    <row r="2106" spans="1:13">
      <c r="A2106" s="19" t="s">
        <v>384</v>
      </c>
      <c r="B2106" s="19">
        <v>11438502</v>
      </c>
      <c r="C2106" s="19">
        <v>103552</v>
      </c>
      <c r="D2106" s="19">
        <v>23.5</v>
      </c>
      <c r="E2106" s="19">
        <v>27.3</v>
      </c>
      <c r="M2106" s="16" t="s">
        <v>649</v>
      </c>
    </row>
    <row r="2107" spans="1:13">
      <c r="A2107" s="19" t="s">
        <v>385</v>
      </c>
      <c r="B2107" s="19">
        <v>10699976</v>
      </c>
      <c r="C2107" s="19">
        <v>101357</v>
      </c>
      <c r="D2107" s="19">
        <v>30.4</v>
      </c>
      <c r="E2107" s="19">
        <v>27.1</v>
      </c>
      <c r="M2107" s="16" t="s">
        <v>649</v>
      </c>
    </row>
    <row r="2108" spans="1:13">
      <c r="A2108" s="19" t="s">
        <v>386</v>
      </c>
      <c r="B2108" s="19">
        <v>10364601</v>
      </c>
      <c r="C2108" s="19">
        <v>94768</v>
      </c>
      <c r="D2108" s="19">
        <v>23.7</v>
      </c>
      <c r="E2108" s="19">
        <v>31.2</v>
      </c>
      <c r="M2108" s="16" t="s">
        <v>649</v>
      </c>
    </row>
    <row r="2110" spans="1:13">
      <c r="M2110" t="s">
        <v>650</v>
      </c>
    </row>
    <row r="2111" spans="1:13">
      <c r="A2111" t="s">
        <v>373</v>
      </c>
      <c r="B2111" t="s">
        <v>374</v>
      </c>
      <c r="C2111" t="s">
        <v>375</v>
      </c>
      <c r="D2111" t="s">
        <v>376</v>
      </c>
      <c r="E2111" t="s">
        <v>377</v>
      </c>
      <c r="F2111" t="s">
        <v>378</v>
      </c>
      <c r="G2111" t="s">
        <v>379</v>
      </c>
      <c r="H2111" t="s">
        <v>380</v>
      </c>
      <c r="M2111" t="s">
        <v>650</v>
      </c>
    </row>
    <row r="2112" spans="1:13">
      <c r="A2112" t="s">
        <v>381</v>
      </c>
      <c r="B2112">
        <v>0</v>
      </c>
      <c r="C2112">
        <v>0</v>
      </c>
      <c r="D2112">
        <v>1063</v>
      </c>
      <c r="E2112">
        <v>11</v>
      </c>
      <c r="F2112">
        <v>9357</v>
      </c>
      <c r="G2112">
        <v>9949745</v>
      </c>
      <c r="H2112">
        <v>0</v>
      </c>
      <c r="M2112" t="s">
        <v>650</v>
      </c>
    </row>
    <row r="2113" spans="1:13">
      <c r="A2113" t="s">
        <v>382</v>
      </c>
      <c r="B2113">
        <v>18464</v>
      </c>
      <c r="C2113">
        <v>164</v>
      </c>
      <c r="D2113">
        <v>8249</v>
      </c>
      <c r="E2113">
        <v>80</v>
      </c>
      <c r="F2113">
        <v>8655</v>
      </c>
      <c r="G2113">
        <v>71392140</v>
      </c>
      <c r="H2113">
        <v>2.2400000000000002</v>
      </c>
      <c r="M2113" t="s">
        <v>650</v>
      </c>
    </row>
    <row r="2114" spans="1:13">
      <c r="A2114" t="s">
        <v>383</v>
      </c>
      <c r="B2114">
        <v>0</v>
      </c>
      <c r="C2114">
        <v>0</v>
      </c>
      <c r="D2114">
        <v>2600</v>
      </c>
      <c r="E2114">
        <v>26</v>
      </c>
      <c r="F2114">
        <v>8205</v>
      </c>
      <c r="G2114">
        <v>21328499</v>
      </c>
      <c r="H2114">
        <v>0</v>
      </c>
      <c r="M2114" t="s">
        <v>650</v>
      </c>
    </row>
    <row r="2115" spans="1:13">
      <c r="A2115" t="s">
        <v>384</v>
      </c>
      <c r="B2115">
        <v>8018</v>
      </c>
      <c r="C2115">
        <v>129</v>
      </c>
      <c r="D2115">
        <v>260</v>
      </c>
      <c r="E2115">
        <v>2</v>
      </c>
      <c r="F2115">
        <v>6542</v>
      </c>
      <c r="G2115">
        <v>1702276</v>
      </c>
      <c r="H2115">
        <v>30.82</v>
      </c>
      <c r="M2115" t="s">
        <v>650</v>
      </c>
    </row>
    <row r="2116" spans="1:13">
      <c r="A2116" t="s">
        <v>387</v>
      </c>
      <c r="B2116">
        <v>26482</v>
      </c>
      <c r="C2116">
        <v>293</v>
      </c>
      <c r="D2116">
        <v>12172</v>
      </c>
      <c r="E2116">
        <v>119</v>
      </c>
      <c r="F2116">
        <v>8575</v>
      </c>
      <c r="G2116">
        <v>104372660</v>
      </c>
      <c r="H2116">
        <v>2.1800000000000002</v>
      </c>
      <c r="M2116" t="s">
        <v>650</v>
      </c>
    </row>
    <row r="2118" spans="1:13">
      <c r="M2118" t="s">
        <v>651</v>
      </c>
    </row>
    <row r="2119" spans="1:13">
      <c r="A2119" t="s">
        <v>373</v>
      </c>
      <c r="B2119" t="s">
        <v>389</v>
      </c>
      <c r="C2119" t="s">
        <v>390</v>
      </c>
      <c r="D2119" t="s">
        <v>391</v>
      </c>
      <c r="M2119" t="s">
        <v>651</v>
      </c>
    </row>
    <row r="2120" spans="1:13">
      <c r="A2120" t="s">
        <v>381</v>
      </c>
      <c r="B2120">
        <v>103750</v>
      </c>
      <c r="C2120">
        <v>1567</v>
      </c>
      <c r="D2120">
        <v>147.5</v>
      </c>
      <c r="M2120" t="s">
        <v>651</v>
      </c>
    </row>
    <row r="2121" spans="1:13">
      <c r="A2121" t="s">
        <v>382</v>
      </c>
      <c r="B2121">
        <v>104814</v>
      </c>
      <c r="C2121">
        <v>1578</v>
      </c>
      <c r="D2121">
        <v>152.5</v>
      </c>
      <c r="M2121" t="s">
        <v>651</v>
      </c>
    </row>
    <row r="2122" spans="1:13">
      <c r="A2122" t="s">
        <v>383</v>
      </c>
      <c r="B2122">
        <v>94179</v>
      </c>
      <c r="C2122">
        <v>1487</v>
      </c>
      <c r="D2122">
        <v>434.7</v>
      </c>
      <c r="M2122" t="s">
        <v>651</v>
      </c>
    </row>
    <row r="2123" spans="1:13">
      <c r="A2123" t="s">
        <v>384</v>
      </c>
      <c r="B2123">
        <v>127728</v>
      </c>
      <c r="C2123">
        <v>1995</v>
      </c>
      <c r="D2123">
        <v>5890.8</v>
      </c>
      <c r="M2123" t="s">
        <v>651</v>
      </c>
    </row>
    <row r="2125" spans="1:13">
      <c r="M2125" t="s">
        <v>652</v>
      </c>
    </row>
    <row r="2126" spans="1:13">
      <c r="A2126" t="s">
        <v>373</v>
      </c>
      <c r="B2126" t="s">
        <v>374</v>
      </c>
      <c r="C2126" t="s">
        <v>375</v>
      </c>
      <c r="D2126" t="s">
        <v>376</v>
      </c>
      <c r="E2126" t="s">
        <v>377</v>
      </c>
      <c r="F2126" t="s">
        <v>378</v>
      </c>
      <c r="G2126" t="s">
        <v>379</v>
      </c>
      <c r="H2126" t="s">
        <v>380</v>
      </c>
      <c r="M2126" t="s">
        <v>652</v>
      </c>
    </row>
    <row r="2127" spans="1:13">
      <c r="A2127" t="s">
        <v>381</v>
      </c>
      <c r="B2127">
        <v>16123</v>
      </c>
      <c r="C2127">
        <v>200</v>
      </c>
      <c r="D2127">
        <v>20213</v>
      </c>
      <c r="E2127">
        <v>223</v>
      </c>
      <c r="F2127">
        <v>13257</v>
      </c>
      <c r="G2127">
        <v>267954044</v>
      </c>
      <c r="H2127">
        <v>0.8</v>
      </c>
      <c r="M2127" t="s">
        <v>652</v>
      </c>
    </row>
    <row r="2128" spans="1:13">
      <c r="A2128" t="s">
        <v>382</v>
      </c>
      <c r="B2128">
        <v>201041</v>
      </c>
      <c r="C2128">
        <v>1813</v>
      </c>
      <c r="D2128">
        <v>352919</v>
      </c>
      <c r="E2128">
        <v>4124</v>
      </c>
      <c r="F2128">
        <v>14729</v>
      </c>
      <c r="G2128">
        <v>5198211048</v>
      </c>
      <c r="H2128">
        <v>0.56999999999999995</v>
      </c>
      <c r="M2128" t="s">
        <v>652</v>
      </c>
    </row>
    <row r="2129" spans="1:13">
      <c r="A2129" t="s">
        <v>383</v>
      </c>
      <c r="B2129">
        <v>186499</v>
      </c>
      <c r="C2129">
        <v>2132</v>
      </c>
      <c r="D2129">
        <v>206023</v>
      </c>
      <c r="E2129">
        <v>2298</v>
      </c>
      <c r="F2129">
        <v>13228</v>
      </c>
      <c r="G2129">
        <v>2725285495</v>
      </c>
      <c r="H2129">
        <v>0.91</v>
      </c>
      <c r="M2129" t="s">
        <v>652</v>
      </c>
    </row>
    <row r="2130" spans="1:13">
      <c r="A2130" t="s">
        <v>384</v>
      </c>
      <c r="B2130">
        <v>0</v>
      </c>
      <c r="C2130">
        <v>0</v>
      </c>
      <c r="D2130">
        <v>30530</v>
      </c>
      <c r="E2130">
        <v>369</v>
      </c>
      <c r="F2130">
        <v>14229</v>
      </c>
      <c r="G2130">
        <v>434420558</v>
      </c>
      <c r="H2130">
        <v>0</v>
      </c>
      <c r="M2130" t="s">
        <v>652</v>
      </c>
    </row>
    <row r="2131" spans="1:13">
      <c r="A2131" t="s">
        <v>385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M2131" t="s">
        <v>652</v>
      </c>
    </row>
    <row r="2132" spans="1:13">
      <c r="A2132" t="s">
        <v>386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M2132" t="s">
        <v>652</v>
      </c>
    </row>
    <row r="2133" spans="1:13">
      <c r="A2133" t="s">
        <v>387</v>
      </c>
      <c r="B2133">
        <v>403663</v>
      </c>
      <c r="C2133">
        <v>4145</v>
      </c>
      <c r="D2133">
        <v>609685</v>
      </c>
      <c r="E2133">
        <v>7014</v>
      </c>
      <c r="F2133">
        <v>14148</v>
      </c>
      <c r="G2133">
        <v>8625871145</v>
      </c>
      <c r="H2133">
        <v>0.66</v>
      </c>
      <c r="M2133" t="s">
        <v>652</v>
      </c>
    </row>
    <row r="2135" spans="1:13">
      <c r="M2135" t="s">
        <v>653</v>
      </c>
    </row>
    <row r="2136" spans="1:13">
      <c r="A2136" t="s">
        <v>373</v>
      </c>
      <c r="B2136" t="s">
        <v>389</v>
      </c>
      <c r="C2136" t="s">
        <v>390</v>
      </c>
      <c r="D2136" t="s">
        <v>391</v>
      </c>
      <c r="M2136" t="s">
        <v>653</v>
      </c>
    </row>
    <row r="2137" spans="1:13">
      <c r="A2137" t="s">
        <v>381</v>
      </c>
      <c r="B2137">
        <v>1435413</v>
      </c>
      <c r="C2137">
        <v>16508</v>
      </c>
      <c r="D2137">
        <v>47</v>
      </c>
      <c r="M2137" t="s">
        <v>653</v>
      </c>
    </row>
    <row r="2138" spans="1:13">
      <c r="A2138" t="s">
        <v>382</v>
      </c>
      <c r="B2138">
        <v>1440505</v>
      </c>
      <c r="C2138">
        <v>16540</v>
      </c>
      <c r="D2138">
        <v>49</v>
      </c>
      <c r="M2138" t="s">
        <v>653</v>
      </c>
    </row>
    <row r="2139" spans="1:13">
      <c r="A2139" t="s">
        <v>383</v>
      </c>
      <c r="B2139">
        <v>1592317</v>
      </c>
      <c r="C2139">
        <v>18876</v>
      </c>
      <c r="D2139">
        <v>92.7</v>
      </c>
      <c r="M2139" t="s">
        <v>653</v>
      </c>
    </row>
    <row r="2140" spans="1:13">
      <c r="A2140" t="s">
        <v>384</v>
      </c>
      <c r="B2140">
        <v>1638733</v>
      </c>
      <c r="C2140">
        <v>19560</v>
      </c>
      <c r="D2140">
        <v>644.1</v>
      </c>
      <c r="M2140" t="s">
        <v>653</v>
      </c>
    </row>
    <row r="2142" spans="1:13">
      <c r="M2142" t="s">
        <v>654</v>
      </c>
    </row>
    <row r="2143" spans="1:13">
      <c r="A2143" t="s">
        <v>373</v>
      </c>
      <c r="B2143" t="s">
        <v>374</v>
      </c>
      <c r="C2143" t="s">
        <v>375</v>
      </c>
      <c r="D2143" t="s">
        <v>376</v>
      </c>
      <c r="E2143" t="s">
        <v>377</v>
      </c>
      <c r="F2143" t="s">
        <v>378</v>
      </c>
      <c r="G2143" t="s">
        <v>379</v>
      </c>
      <c r="H2143" t="s">
        <v>380</v>
      </c>
      <c r="M2143" t="s">
        <v>654</v>
      </c>
    </row>
    <row r="2144" spans="1:13">
      <c r="A2144" t="s">
        <v>381</v>
      </c>
      <c r="B2144">
        <v>0</v>
      </c>
      <c r="C2144">
        <v>0</v>
      </c>
      <c r="D2144">
        <v>1642</v>
      </c>
      <c r="E2144">
        <v>14</v>
      </c>
      <c r="F2144">
        <v>6879</v>
      </c>
      <c r="G2144">
        <v>11299207</v>
      </c>
      <c r="H2144">
        <v>0</v>
      </c>
      <c r="M2144" t="s">
        <v>654</v>
      </c>
    </row>
    <row r="2145" spans="1:13">
      <c r="A2145" t="s">
        <v>382</v>
      </c>
      <c r="B2145">
        <v>0</v>
      </c>
      <c r="C2145">
        <v>0</v>
      </c>
      <c r="D2145">
        <v>29924</v>
      </c>
      <c r="E2145">
        <v>311</v>
      </c>
      <c r="F2145">
        <v>7850</v>
      </c>
      <c r="G2145">
        <v>234898421</v>
      </c>
      <c r="H2145">
        <v>0</v>
      </c>
      <c r="M2145" t="s">
        <v>654</v>
      </c>
    </row>
    <row r="2146" spans="1:13">
      <c r="A2146" t="s">
        <v>383</v>
      </c>
      <c r="B2146">
        <v>0</v>
      </c>
      <c r="C2146">
        <v>0</v>
      </c>
      <c r="D2146">
        <v>24576</v>
      </c>
      <c r="E2146">
        <v>340</v>
      </c>
      <c r="F2146">
        <v>9933</v>
      </c>
      <c r="G2146">
        <v>244109357</v>
      </c>
      <c r="H2146">
        <v>0</v>
      </c>
      <c r="M2146" t="s">
        <v>654</v>
      </c>
    </row>
    <row r="2147" spans="1:13">
      <c r="A2147" t="s">
        <v>384</v>
      </c>
      <c r="B2147">
        <v>0</v>
      </c>
      <c r="C2147">
        <v>0</v>
      </c>
      <c r="D2147">
        <v>1165</v>
      </c>
      <c r="E2147">
        <v>16</v>
      </c>
      <c r="F2147">
        <v>11703</v>
      </c>
      <c r="G2147">
        <v>13635763</v>
      </c>
      <c r="H2147">
        <v>0</v>
      </c>
      <c r="M2147" t="s">
        <v>654</v>
      </c>
    </row>
    <row r="2148" spans="1:13">
      <c r="A2148" t="s">
        <v>387</v>
      </c>
      <c r="B2148">
        <v>0</v>
      </c>
      <c r="C2148">
        <v>0</v>
      </c>
      <c r="D2148">
        <v>57308</v>
      </c>
      <c r="E2148">
        <v>681</v>
      </c>
      <c r="F2148">
        <v>8794</v>
      </c>
      <c r="G2148">
        <v>503942749</v>
      </c>
      <c r="H2148">
        <v>0</v>
      </c>
      <c r="M2148" t="s">
        <v>654</v>
      </c>
    </row>
    <row r="2150" spans="1:13">
      <c r="M2150" t="s">
        <v>655</v>
      </c>
    </row>
    <row r="2151" spans="1:13">
      <c r="A2151" t="s">
        <v>373</v>
      </c>
      <c r="B2151" t="s">
        <v>389</v>
      </c>
      <c r="C2151" t="s">
        <v>390</v>
      </c>
      <c r="D2151" t="s">
        <v>391</v>
      </c>
      <c r="E2151" t="s">
        <v>406</v>
      </c>
      <c r="M2151" t="s">
        <v>655</v>
      </c>
    </row>
    <row r="2152" spans="1:13">
      <c r="A2152" t="s">
        <v>381</v>
      </c>
      <c r="B2152">
        <v>270224</v>
      </c>
      <c r="C2152">
        <v>3645</v>
      </c>
      <c r="D2152">
        <v>106.4</v>
      </c>
      <c r="E2152">
        <v>119.9</v>
      </c>
      <c r="M2152" t="s">
        <v>655</v>
      </c>
    </row>
    <row r="2153" spans="1:13">
      <c r="A2153" t="s">
        <v>382</v>
      </c>
      <c r="B2153">
        <v>271986</v>
      </c>
      <c r="C2153">
        <v>3660</v>
      </c>
      <c r="D2153">
        <v>109.1</v>
      </c>
      <c r="E2153">
        <v>119.8</v>
      </c>
      <c r="M2153" t="s">
        <v>655</v>
      </c>
    </row>
    <row r="2154" spans="1:13">
      <c r="A2154" t="s">
        <v>383</v>
      </c>
      <c r="B2154">
        <v>243547</v>
      </c>
      <c r="C2154">
        <v>3451</v>
      </c>
      <c r="D2154">
        <v>118.9</v>
      </c>
      <c r="E2154">
        <v>227.1</v>
      </c>
      <c r="M2154" t="s">
        <v>655</v>
      </c>
    </row>
    <row r="2155" spans="1:13">
      <c r="A2155" t="s">
        <v>384</v>
      </c>
      <c r="B2155">
        <v>261346</v>
      </c>
      <c r="C2155">
        <v>3768</v>
      </c>
      <c r="D2155">
        <v>2691.6</v>
      </c>
      <c r="E2155">
        <v>5383.2</v>
      </c>
      <c r="M2155" t="s">
        <v>655</v>
      </c>
    </row>
    <row r="2157" spans="1:13">
      <c r="M2157" t="s">
        <v>656</v>
      </c>
    </row>
    <row r="2158" spans="1:13">
      <c r="A2158" t="s">
        <v>373</v>
      </c>
      <c r="B2158" t="s">
        <v>374</v>
      </c>
      <c r="C2158" t="s">
        <v>375</v>
      </c>
      <c r="D2158" t="s">
        <v>376</v>
      </c>
      <c r="E2158" t="s">
        <v>377</v>
      </c>
      <c r="F2158" t="s">
        <v>378</v>
      </c>
      <c r="G2158" t="s">
        <v>379</v>
      </c>
      <c r="H2158" t="s">
        <v>380</v>
      </c>
      <c r="M2158" t="s">
        <v>656</v>
      </c>
    </row>
    <row r="2159" spans="1:13">
      <c r="A2159" t="s">
        <v>382</v>
      </c>
      <c r="B2159">
        <v>95716</v>
      </c>
      <c r="C2159">
        <v>753</v>
      </c>
      <c r="D2159">
        <v>47184</v>
      </c>
      <c r="E2159">
        <v>381</v>
      </c>
      <c r="F2159">
        <v>5635</v>
      </c>
      <c r="G2159">
        <v>265871088</v>
      </c>
      <c r="H2159">
        <v>2.0299999999999998</v>
      </c>
      <c r="M2159" t="s">
        <v>656</v>
      </c>
    </row>
    <row r="2160" spans="1:13">
      <c r="A2160" t="s">
        <v>383</v>
      </c>
      <c r="B2160">
        <v>606670</v>
      </c>
      <c r="C2160">
        <v>5021</v>
      </c>
      <c r="D2160">
        <v>127618</v>
      </c>
      <c r="E2160">
        <v>1045</v>
      </c>
      <c r="F2160">
        <v>5870</v>
      </c>
      <c r="G2160">
        <v>749113747</v>
      </c>
      <c r="H2160">
        <v>4.75</v>
      </c>
      <c r="M2160" t="s">
        <v>656</v>
      </c>
    </row>
    <row r="2161" spans="1:13">
      <c r="A2161" t="s">
        <v>384</v>
      </c>
      <c r="B2161">
        <v>1339928</v>
      </c>
      <c r="C2161">
        <v>11291</v>
      </c>
      <c r="D2161">
        <v>0</v>
      </c>
      <c r="E2161">
        <v>0</v>
      </c>
      <c r="F2161">
        <v>0</v>
      </c>
      <c r="G2161">
        <v>0</v>
      </c>
      <c r="H2161">
        <v>0</v>
      </c>
      <c r="M2161" t="s">
        <v>656</v>
      </c>
    </row>
    <row r="2162" spans="1:13">
      <c r="A2162" t="s">
        <v>385</v>
      </c>
      <c r="B2162">
        <v>1088738</v>
      </c>
      <c r="C2162">
        <v>8932</v>
      </c>
      <c r="D2162">
        <v>147348</v>
      </c>
      <c r="E2162">
        <v>1217</v>
      </c>
      <c r="F2162">
        <v>6117</v>
      </c>
      <c r="G2162">
        <v>901344084</v>
      </c>
      <c r="H2162">
        <v>7.39</v>
      </c>
      <c r="M2162" t="s">
        <v>656</v>
      </c>
    </row>
    <row r="2163" spans="1:13">
      <c r="A2163" t="s">
        <v>386</v>
      </c>
      <c r="B2163">
        <v>1991020</v>
      </c>
      <c r="C2163">
        <v>16896</v>
      </c>
      <c r="D2163">
        <v>449434</v>
      </c>
      <c r="E2163">
        <v>3708</v>
      </c>
      <c r="F2163">
        <v>5681</v>
      </c>
      <c r="G2163">
        <v>2553058127</v>
      </c>
      <c r="H2163">
        <v>4.43</v>
      </c>
      <c r="M2163" t="s">
        <v>656</v>
      </c>
    </row>
    <row r="2164" spans="1:13">
      <c r="A2164" t="s">
        <v>393</v>
      </c>
      <c r="B2164">
        <v>1107744</v>
      </c>
      <c r="C2164">
        <v>9347</v>
      </c>
      <c r="D2164">
        <v>0</v>
      </c>
      <c r="E2164">
        <v>0</v>
      </c>
      <c r="F2164">
        <v>0</v>
      </c>
      <c r="G2164">
        <v>0</v>
      </c>
      <c r="H2164">
        <v>0</v>
      </c>
      <c r="M2164" t="s">
        <v>656</v>
      </c>
    </row>
    <row r="2165" spans="1:13">
      <c r="A2165" t="s">
        <v>387</v>
      </c>
      <c r="B2165">
        <v>6229816</v>
      </c>
      <c r="C2165">
        <v>52240</v>
      </c>
      <c r="D2165">
        <v>771584</v>
      </c>
      <c r="E2165">
        <v>6351</v>
      </c>
      <c r="F2165">
        <v>5792</v>
      </c>
      <c r="G2165">
        <v>4469387046</v>
      </c>
      <c r="H2165">
        <v>8.07</v>
      </c>
      <c r="M2165" t="s">
        <v>656</v>
      </c>
    </row>
    <row r="2167" spans="1:13">
      <c r="M2167" t="s">
        <v>657</v>
      </c>
    </row>
    <row r="2168" spans="1:13">
      <c r="A2168" t="s">
        <v>373</v>
      </c>
      <c r="B2168" t="s">
        <v>389</v>
      </c>
      <c r="C2168" t="s">
        <v>390</v>
      </c>
      <c r="D2168" t="s">
        <v>391</v>
      </c>
      <c r="M2168" t="s">
        <v>657</v>
      </c>
    </row>
    <row r="2169" spans="1:13">
      <c r="A2169" t="s">
        <v>382</v>
      </c>
      <c r="B2169">
        <v>3497596</v>
      </c>
      <c r="C2169">
        <v>29998</v>
      </c>
      <c r="D2169">
        <v>240.1</v>
      </c>
      <c r="M2169" t="s">
        <v>657</v>
      </c>
    </row>
    <row r="2170" spans="1:13">
      <c r="A2170" t="s">
        <v>383</v>
      </c>
      <c r="B2170">
        <v>3394254</v>
      </c>
      <c r="C2170">
        <v>29179</v>
      </c>
      <c r="D2170">
        <v>319.2</v>
      </c>
      <c r="M2170" t="s">
        <v>657</v>
      </c>
    </row>
    <row r="2171" spans="1:13">
      <c r="A2171" t="s">
        <v>384</v>
      </c>
      <c r="B2171">
        <v>0</v>
      </c>
      <c r="C2171">
        <v>0</v>
      </c>
      <c r="D2171">
        <v>0</v>
      </c>
      <c r="M2171" t="s">
        <v>657</v>
      </c>
    </row>
    <row r="2172" spans="1:13">
      <c r="A2172" t="s">
        <v>385</v>
      </c>
      <c r="B2172">
        <v>0</v>
      </c>
      <c r="C2172">
        <v>0</v>
      </c>
      <c r="D2172">
        <v>0</v>
      </c>
      <c r="M2172" t="s">
        <v>657</v>
      </c>
    </row>
    <row r="2173" spans="1:13">
      <c r="A2173" t="s">
        <v>386</v>
      </c>
      <c r="B2173">
        <v>2512127</v>
      </c>
      <c r="C2173">
        <v>22019</v>
      </c>
      <c r="D2173">
        <v>67.099999999999994</v>
      </c>
      <c r="M2173" t="s">
        <v>657</v>
      </c>
    </row>
    <row r="2175" spans="1:13">
      <c r="M2175" t="s">
        <v>658</v>
      </c>
    </row>
    <row r="2176" spans="1:13">
      <c r="A2176" t="s">
        <v>373</v>
      </c>
      <c r="B2176" t="s">
        <v>374</v>
      </c>
      <c r="C2176" t="s">
        <v>375</v>
      </c>
      <c r="D2176" t="s">
        <v>376</v>
      </c>
      <c r="E2176" t="s">
        <v>377</v>
      </c>
      <c r="F2176" t="s">
        <v>378</v>
      </c>
      <c r="G2176" t="s">
        <v>379</v>
      </c>
      <c r="H2176" t="s">
        <v>380</v>
      </c>
      <c r="M2176" t="s">
        <v>658</v>
      </c>
    </row>
    <row r="2177" spans="1:13">
      <c r="A2177" t="s">
        <v>385</v>
      </c>
      <c r="B2177">
        <v>257655</v>
      </c>
      <c r="C2177">
        <v>1994</v>
      </c>
      <c r="D2177">
        <v>87579</v>
      </c>
      <c r="E2177">
        <v>683</v>
      </c>
      <c r="F2177">
        <v>6371</v>
      </c>
      <c r="G2177">
        <v>557926522</v>
      </c>
      <c r="H2177">
        <v>2.94</v>
      </c>
      <c r="M2177" t="s">
        <v>658</v>
      </c>
    </row>
    <row r="2178" spans="1:13">
      <c r="A2178" t="s">
        <v>386</v>
      </c>
      <c r="B2178">
        <v>1731294</v>
      </c>
      <c r="C2178">
        <v>13965</v>
      </c>
      <c r="D2178">
        <v>1295230</v>
      </c>
      <c r="E2178">
        <v>10037</v>
      </c>
      <c r="F2178">
        <v>6210</v>
      </c>
      <c r="G2178">
        <v>8043377014</v>
      </c>
      <c r="H2178">
        <v>1.34</v>
      </c>
      <c r="M2178" t="s">
        <v>658</v>
      </c>
    </row>
    <row r="2179" spans="1:13">
      <c r="A2179" t="s">
        <v>393</v>
      </c>
      <c r="B2179">
        <v>1538984</v>
      </c>
      <c r="C2179">
        <v>11886</v>
      </c>
      <c r="D2179">
        <v>1096334</v>
      </c>
      <c r="E2179">
        <v>8930</v>
      </c>
      <c r="F2179">
        <v>6165</v>
      </c>
      <c r="G2179">
        <v>6758582924</v>
      </c>
      <c r="H2179">
        <v>1.4</v>
      </c>
      <c r="M2179" t="s">
        <v>658</v>
      </c>
    </row>
    <row r="2180" spans="1:13">
      <c r="A2180" t="s">
        <v>435</v>
      </c>
      <c r="B2180">
        <v>1071078</v>
      </c>
      <c r="C2180">
        <v>8580</v>
      </c>
      <c r="D2180">
        <v>777179</v>
      </c>
      <c r="E2180">
        <v>6372</v>
      </c>
      <c r="F2180">
        <v>4854</v>
      </c>
      <c r="G2180">
        <v>3772264062</v>
      </c>
      <c r="H2180">
        <v>1.38</v>
      </c>
      <c r="M2180" t="s">
        <v>658</v>
      </c>
    </row>
    <row r="2181" spans="1:13">
      <c r="A2181" t="s">
        <v>505</v>
      </c>
      <c r="B2181">
        <v>597498</v>
      </c>
      <c r="C2181">
        <v>4961</v>
      </c>
      <c r="D2181">
        <v>64098</v>
      </c>
      <c r="E2181">
        <v>528</v>
      </c>
      <c r="F2181">
        <v>4195</v>
      </c>
      <c r="G2181">
        <v>268858890</v>
      </c>
      <c r="H2181">
        <v>9.32</v>
      </c>
      <c r="M2181" t="s">
        <v>658</v>
      </c>
    </row>
    <row r="2182" spans="1:13">
      <c r="A2182" t="s">
        <v>506</v>
      </c>
      <c r="B2182">
        <v>687304</v>
      </c>
      <c r="C2182">
        <v>5986</v>
      </c>
      <c r="D2182">
        <v>72169</v>
      </c>
      <c r="E2182">
        <v>611</v>
      </c>
      <c r="F2182">
        <v>3801</v>
      </c>
      <c r="G2182">
        <v>274299825</v>
      </c>
      <c r="H2182">
        <v>9.52</v>
      </c>
      <c r="M2182" t="s">
        <v>658</v>
      </c>
    </row>
    <row r="2183" spans="1:13">
      <c r="A2183" t="s">
        <v>387</v>
      </c>
      <c r="B2183">
        <v>5883812</v>
      </c>
      <c r="C2183">
        <v>47372</v>
      </c>
      <c r="D2183">
        <v>3392589</v>
      </c>
      <c r="E2183">
        <v>27161</v>
      </c>
      <c r="F2183">
        <v>5799</v>
      </c>
      <c r="G2183">
        <v>19675309238</v>
      </c>
      <c r="H2183">
        <v>1.73</v>
      </c>
      <c r="M2183" t="s">
        <v>658</v>
      </c>
    </row>
    <row r="2185" spans="1:13">
      <c r="M2185" t="s">
        <v>659</v>
      </c>
    </row>
    <row r="2186" spans="1:13">
      <c r="A2186" t="s">
        <v>373</v>
      </c>
      <c r="B2186" t="s">
        <v>374</v>
      </c>
      <c r="C2186" t="s">
        <v>375</v>
      </c>
      <c r="D2186" t="s">
        <v>376</v>
      </c>
      <c r="E2186" t="s">
        <v>377</v>
      </c>
      <c r="F2186" t="s">
        <v>378</v>
      </c>
      <c r="G2186" t="s">
        <v>379</v>
      </c>
      <c r="H2186" t="s">
        <v>380</v>
      </c>
      <c r="M2186" t="s">
        <v>659</v>
      </c>
    </row>
    <row r="2187" spans="1:13">
      <c r="A2187" t="s">
        <v>381</v>
      </c>
      <c r="B2187">
        <v>44946</v>
      </c>
      <c r="C2187">
        <v>385</v>
      </c>
      <c r="D2187">
        <v>21059</v>
      </c>
      <c r="E2187">
        <v>169</v>
      </c>
      <c r="F2187">
        <v>12936</v>
      </c>
      <c r="G2187">
        <v>272426020</v>
      </c>
      <c r="H2187">
        <v>2.13</v>
      </c>
      <c r="M2187" t="s">
        <v>659</v>
      </c>
    </row>
    <row r="2188" spans="1:13">
      <c r="A2188" t="s">
        <v>382</v>
      </c>
      <c r="B2188">
        <v>644771</v>
      </c>
      <c r="C2188">
        <v>5270</v>
      </c>
      <c r="D2188">
        <v>679115</v>
      </c>
      <c r="E2188">
        <v>5549</v>
      </c>
      <c r="F2188">
        <v>13652</v>
      </c>
      <c r="G2188">
        <v>9271169511</v>
      </c>
      <c r="H2188">
        <v>0.95</v>
      </c>
      <c r="M2188" t="s">
        <v>659</v>
      </c>
    </row>
    <row r="2189" spans="1:13">
      <c r="A2189" t="s">
        <v>383</v>
      </c>
      <c r="B2189">
        <v>1258020</v>
      </c>
      <c r="C2189">
        <v>10187</v>
      </c>
      <c r="D2189">
        <v>1034141</v>
      </c>
      <c r="E2189">
        <v>8562</v>
      </c>
      <c r="F2189">
        <v>13837</v>
      </c>
      <c r="G2189">
        <v>14309621664</v>
      </c>
      <c r="H2189">
        <v>1.22</v>
      </c>
      <c r="M2189" t="s">
        <v>659</v>
      </c>
    </row>
    <row r="2190" spans="1:13">
      <c r="A2190" t="s">
        <v>384</v>
      </c>
      <c r="B2190">
        <v>3231399</v>
      </c>
      <c r="C2190">
        <v>27544</v>
      </c>
      <c r="D2190">
        <v>3051405</v>
      </c>
      <c r="E2190">
        <v>25563</v>
      </c>
      <c r="F2190">
        <v>13685</v>
      </c>
      <c r="G2190">
        <v>41759708552</v>
      </c>
      <c r="H2190">
        <v>1.06</v>
      </c>
      <c r="M2190" t="s">
        <v>659</v>
      </c>
    </row>
    <row r="2191" spans="1:13">
      <c r="A2191" t="s">
        <v>385</v>
      </c>
      <c r="B2191">
        <v>3589749</v>
      </c>
      <c r="C2191">
        <v>30063</v>
      </c>
      <c r="D2191">
        <v>4219705</v>
      </c>
      <c r="E2191">
        <v>34383</v>
      </c>
      <c r="F2191">
        <v>11149</v>
      </c>
      <c r="G2191">
        <v>47044959409</v>
      </c>
      <c r="H2191">
        <v>0.85</v>
      </c>
      <c r="M2191" t="s">
        <v>659</v>
      </c>
    </row>
    <row r="2192" spans="1:13">
      <c r="A2192" t="s">
        <v>386</v>
      </c>
      <c r="B2192">
        <v>3157413</v>
      </c>
      <c r="C2192">
        <v>25783</v>
      </c>
      <c r="D2192">
        <v>3187657</v>
      </c>
      <c r="E2192">
        <v>25684</v>
      </c>
      <c r="F2192">
        <v>10456</v>
      </c>
      <c r="G2192">
        <v>33331132956</v>
      </c>
      <c r="H2192">
        <v>0.99</v>
      </c>
      <c r="M2192" t="s">
        <v>659</v>
      </c>
    </row>
    <row r="2193" spans="1:13">
      <c r="A2193" t="s">
        <v>387</v>
      </c>
      <c r="B2193">
        <v>11926298</v>
      </c>
      <c r="C2193">
        <v>99232</v>
      </c>
      <c r="D2193">
        <v>12193083</v>
      </c>
      <c r="E2193">
        <v>99910</v>
      </c>
      <c r="F2193">
        <v>11973</v>
      </c>
      <c r="G2193">
        <v>145989018112</v>
      </c>
      <c r="H2193">
        <v>0.98</v>
      </c>
      <c r="M2193" t="s">
        <v>659</v>
      </c>
    </row>
    <row r="2195" spans="1:13">
      <c r="M2195" t="s">
        <v>660</v>
      </c>
    </row>
    <row r="2196" spans="1:13">
      <c r="A2196" t="s">
        <v>373</v>
      </c>
      <c r="B2196" t="s">
        <v>374</v>
      </c>
      <c r="C2196" t="s">
        <v>375</v>
      </c>
      <c r="D2196" t="s">
        <v>376</v>
      </c>
      <c r="E2196" t="s">
        <v>377</v>
      </c>
      <c r="F2196" t="s">
        <v>378</v>
      </c>
      <c r="G2196" t="s">
        <v>379</v>
      </c>
      <c r="H2196" t="s">
        <v>380</v>
      </c>
      <c r="M2196" t="s">
        <v>660</v>
      </c>
    </row>
    <row r="2197" spans="1:13">
      <c r="A2197" t="s">
        <v>382</v>
      </c>
      <c r="B2197">
        <v>1442342</v>
      </c>
      <c r="C2197">
        <v>13121</v>
      </c>
      <c r="D2197">
        <v>1567488</v>
      </c>
      <c r="E2197">
        <v>14004</v>
      </c>
      <c r="F2197">
        <v>25210</v>
      </c>
      <c r="G2197">
        <v>39516829436</v>
      </c>
      <c r="H2197">
        <v>0.92</v>
      </c>
      <c r="M2197" t="s">
        <v>660</v>
      </c>
    </row>
    <row r="2198" spans="1:13">
      <c r="A2198" t="s">
        <v>383</v>
      </c>
      <c r="B2198">
        <v>1523973</v>
      </c>
      <c r="C2198">
        <v>13983</v>
      </c>
      <c r="D2198">
        <v>1870584</v>
      </c>
      <c r="E2198">
        <v>17623</v>
      </c>
      <c r="F2198">
        <v>24074</v>
      </c>
      <c r="G2198">
        <v>45032268485</v>
      </c>
      <c r="H2198">
        <v>0.81</v>
      </c>
      <c r="M2198" t="s">
        <v>660</v>
      </c>
    </row>
    <row r="2199" spans="1:13">
      <c r="A2199" t="s">
        <v>384</v>
      </c>
      <c r="B2199">
        <v>3618066</v>
      </c>
      <c r="C2199">
        <v>34925</v>
      </c>
      <c r="D2199">
        <v>4004677</v>
      </c>
      <c r="E2199">
        <v>39728</v>
      </c>
      <c r="F2199">
        <v>23750</v>
      </c>
      <c r="G2199">
        <v>95110612685</v>
      </c>
      <c r="H2199">
        <v>0.9</v>
      </c>
      <c r="M2199" t="s">
        <v>660</v>
      </c>
    </row>
    <row r="2200" spans="1:13">
      <c r="A2200" t="s">
        <v>385</v>
      </c>
      <c r="B2200">
        <v>3774011</v>
      </c>
      <c r="C2200">
        <v>38108</v>
      </c>
      <c r="D2200">
        <v>3058510</v>
      </c>
      <c r="E2200">
        <v>31129</v>
      </c>
      <c r="F2200">
        <v>22688</v>
      </c>
      <c r="G2200">
        <v>69392379947</v>
      </c>
      <c r="H2200">
        <v>1.23</v>
      </c>
      <c r="M2200" t="s">
        <v>660</v>
      </c>
    </row>
    <row r="2201" spans="1:13">
      <c r="A2201" t="s">
        <v>386</v>
      </c>
      <c r="B2201">
        <v>3092818</v>
      </c>
      <c r="C2201">
        <v>32342</v>
      </c>
      <c r="D2201">
        <v>3081599</v>
      </c>
      <c r="E2201">
        <v>31945</v>
      </c>
      <c r="F2201">
        <v>22244</v>
      </c>
      <c r="G2201">
        <v>68545754972</v>
      </c>
      <c r="H2201">
        <v>1</v>
      </c>
      <c r="M2201" t="s">
        <v>660</v>
      </c>
    </row>
    <row r="2202" spans="1:13">
      <c r="A2202" t="s">
        <v>387</v>
      </c>
      <c r="B2202">
        <v>13451210</v>
      </c>
      <c r="C2202">
        <v>132479</v>
      </c>
      <c r="D2202">
        <v>13582858</v>
      </c>
      <c r="E2202">
        <v>134429</v>
      </c>
      <c r="F2202">
        <v>23382</v>
      </c>
      <c r="G2202">
        <v>317597845525</v>
      </c>
      <c r="H2202">
        <v>0.99</v>
      </c>
      <c r="M2202" t="s">
        <v>660</v>
      </c>
    </row>
    <row r="2204" spans="1:13">
      <c r="M2204" t="s">
        <v>661</v>
      </c>
    </row>
    <row r="2205" spans="1:13">
      <c r="A2205" t="s">
        <v>373</v>
      </c>
      <c r="B2205" t="s">
        <v>389</v>
      </c>
      <c r="C2205" t="s">
        <v>390</v>
      </c>
      <c r="D2205" t="s">
        <v>391</v>
      </c>
      <c r="M2205" t="s">
        <v>661</v>
      </c>
    </row>
    <row r="2206" spans="1:13">
      <c r="A2206" t="s">
        <v>382</v>
      </c>
      <c r="B2206">
        <v>2536749</v>
      </c>
      <c r="C2206">
        <v>23960</v>
      </c>
      <c r="D2206">
        <v>19.399999999999999</v>
      </c>
      <c r="M2206" t="s">
        <v>661</v>
      </c>
    </row>
    <row r="2207" spans="1:13">
      <c r="A2207" t="s">
        <v>383</v>
      </c>
      <c r="B2207">
        <v>2786051</v>
      </c>
      <c r="C2207">
        <v>25894</v>
      </c>
      <c r="D2207">
        <v>17.899999999999999</v>
      </c>
      <c r="M2207" t="s">
        <v>661</v>
      </c>
    </row>
    <row r="2208" spans="1:13">
      <c r="A2208" t="s">
        <v>384</v>
      </c>
      <c r="B2208">
        <v>3042436</v>
      </c>
      <c r="C2208">
        <v>28730</v>
      </c>
      <c r="D2208">
        <v>9.1</v>
      </c>
      <c r="M2208" t="s">
        <v>661</v>
      </c>
    </row>
    <row r="2209" spans="1:13">
      <c r="A2209" t="s">
        <v>385</v>
      </c>
      <c r="B2209">
        <v>3495233</v>
      </c>
      <c r="C2209">
        <v>34137</v>
      </c>
      <c r="D2209">
        <v>13.7</v>
      </c>
      <c r="M2209" t="s">
        <v>661</v>
      </c>
    </row>
    <row r="2210" spans="1:13">
      <c r="A2210" t="s">
        <v>386</v>
      </c>
      <c r="B2210">
        <v>2961408</v>
      </c>
      <c r="C2210">
        <v>29157</v>
      </c>
      <c r="D2210">
        <v>11.5</v>
      </c>
      <c r="M2210" t="s">
        <v>661</v>
      </c>
    </row>
    <row r="2211" spans="1:13">
      <c r="A2211" t="s">
        <v>393</v>
      </c>
      <c r="B2211">
        <v>2818787</v>
      </c>
      <c r="C2211">
        <v>27332</v>
      </c>
      <c r="D2211">
        <v>11.4</v>
      </c>
      <c r="M2211" t="s">
        <v>661</v>
      </c>
    </row>
    <row r="2213" spans="1:13">
      <c r="M2213" t="s">
        <v>662</v>
      </c>
    </row>
    <row r="2214" spans="1:13">
      <c r="A2214" t="s">
        <v>373</v>
      </c>
      <c r="B2214" t="s">
        <v>374</v>
      </c>
      <c r="C2214" t="s">
        <v>375</v>
      </c>
      <c r="D2214" t="s">
        <v>376</v>
      </c>
      <c r="E2214" t="s">
        <v>377</v>
      </c>
      <c r="F2214" t="s">
        <v>378</v>
      </c>
      <c r="G2214" t="s">
        <v>379</v>
      </c>
      <c r="H2214" t="s">
        <v>380</v>
      </c>
      <c r="M2214" t="s">
        <v>662</v>
      </c>
    </row>
    <row r="2215" spans="1:13">
      <c r="A2215" t="s">
        <v>382</v>
      </c>
      <c r="B2215">
        <v>1265944</v>
      </c>
      <c r="C2215">
        <v>10425</v>
      </c>
      <c r="D2215">
        <v>641064</v>
      </c>
      <c r="E2215">
        <v>5398</v>
      </c>
      <c r="F2215">
        <v>24601</v>
      </c>
      <c r="G2215">
        <v>15770693314</v>
      </c>
      <c r="H2215">
        <v>1.97</v>
      </c>
      <c r="M2215" t="s">
        <v>662</v>
      </c>
    </row>
    <row r="2216" spans="1:13">
      <c r="A2216" t="s">
        <v>383</v>
      </c>
      <c r="B2216">
        <v>997437</v>
      </c>
      <c r="C2216">
        <v>8584</v>
      </c>
      <c r="D2216">
        <v>710945</v>
      </c>
      <c r="E2216">
        <v>5914</v>
      </c>
      <c r="F2216">
        <v>25176</v>
      </c>
      <c r="G2216">
        <v>17898918373</v>
      </c>
      <c r="H2216">
        <v>1.4</v>
      </c>
      <c r="M2216" t="s">
        <v>662</v>
      </c>
    </row>
    <row r="2217" spans="1:13">
      <c r="A2217" t="s">
        <v>384</v>
      </c>
      <c r="B2217">
        <v>2980667</v>
      </c>
      <c r="C2217">
        <v>25272</v>
      </c>
      <c r="D2217">
        <v>1605973</v>
      </c>
      <c r="E2217">
        <v>13381</v>
      </c>
      <c r="F2217">
        <v>23879</v>
      </c>
      <c r="G2217">
        <v>38349229234</v>
      </c>
      <c r="H2217">
        <v>1.86</v>
      </c>
      <c r="M2217" t="s">
        <v>662</v>
      </c>
    </row>
    <row r="2218" spans="1:13">
      <c r="A2218" t="s">
        <v>385</v>
      </c>
      <c r="B2218">
        <v>3934519</v>
      </c>
      <c r="C2218">
        <v>33617</v>
      </c>
      <c r="D2218">
        <v>2028114</v>
      </c>
      <c r="E2218">
        <v>16863</v>
      </c>
      <c r="F2218">
        <v>21214</v>
      </c>
      <c r="G2218">
        <v>43023631715</v>
      </c>
      <c r="H2218">
        <v>1.94</v>
      </c>
      <c r="M2218" t="s">
        <v>662</v>
      </c>
    </row>
    <row r="2219" spans="1:13">
      <c r="A2219" t="s">
        <v>386</v>
      </c>
      <c r="B2219">
        <v>3165385</v>
      </c>
      <c r="C2219">
        <v>27094</v>
      </c>
      <c r="D2219">
        <v>1806224</v>
      </c>
      <c r="E2219">
        <v>14946</v>
      </c>
      <c r="F2219">
        <v>18220</v>
      </c>
      <c r="G2219">
        <v>32908752038</v>
      </c>
      <c r="H2219">
        <v>1.75</v>
      </c>
      <c r="M2219" t="s">
        <v>662</v>
      </c>
    </row>
    <row r="2220" spans="1:13">
      <c r="A2220" t="s">
        <v>387</v>
      </c>
      <c r="B2220">
        <v>12343952</v>
      </c>
      <c r="C2220">
        <v>104992</v>
      </c>
      <c r="D2220">
        <v>6792321</v>
      </c>
      <c r="E2220">
        <v>56502</v>
      </c>
      <c r="F2220">
        <v>21782</v>
      </c>
      <c r="G2220">
        <v>147951224675</v>
      </c>
      <c r="H2220">
        <v>1.82</v>
      </c>
      <c r="M2220" t="s">
        <v>662</v>
      </c>
    </row>
    <row r="2222" spans="1:13">
      <c r="M2222" t="s">
        <v>663</v>
      </c>
    </row>
    <row r="2223" spans="1:13">
      <c r="A2223" t="s">
        <v>373</v>
      </c>
      <c r="B2223" t="s">
        <v>389</v>
      </c>
      <c r="C2223" t="s">
        <v>390</v>
      </c>
      <c r="D2223" t="s">
        <v>391</v>
      </c>
      <c r="E2223" t="s">
        <v>406</v>
      </c>
      <c r="M2223" t="s">
        <v>663</v>
      </c>
    </row>
    <row r="2224" spans="1:13">
      <c r="A2224" t="s">
        <v>381</v>
      </c>
      <c r="B2224">
        <v>1341642</v>
      </c>
      <c r="C2224">
        <v>11075</v>
      </c>
      <c r="D2224">
        <v>24.3</v>
      </c>
      <c r="E2224">
        <v>24.4</v>
      </c>
      <c r="M2224" t="s">
        <v>663</v>
      </c>
    </row>
    <row r="2225" spans="1:13">
      <c r="A2225" t="s">
        <v>382</v>
      </c>
      <c r="B2225">
        <v>1311258</v>
      </c>
      <c r="C2225">
        <v>10795</v>
      </c>
      <c r="D2225">
        <v>24.5</v>
      </c>
      <c r="E2225">
        <v>23.3</v>
      </c>
      <c r="M2225" t="s">
        <v>663</v>
      </c>
    </row>
    <row r="2226" spans="1:13">
      <c r="A2226" t="s">
        <v>383</v>
      </c>
      <c r="B2226">
        <v>1321106</v>
      </c>
      <c r="C2226">
        <v>10914</v>
      </c>
      <c r="D2226">
        <v>22.3</v>
      </c>
      <c r="E2226">
        <v>13.7</v>
      </c>
      <c r="M2226" t="s">
        <v>663</v>
      </c>
    </row>
    <row r="2227" spans="1:13">
      <c r="A2227" t="s">
        <v>384</v>
      </c>
      <c r="B2227">
        <v>1374689</v>
      </c>
      <c r="C2227">
        <v>11339</v>
      </c>
      <c r="D2227">
        <v>10.3</v>
      </c>
      <c r="E2227">
        <v>9.1</v>
      </c>
      <c r="M2227" t="s">
        <v>663</v>
      </c>
    </row>
    <row r="2228" spans="1:13">
      <c r="A2228" t="s">
        <v>385</v>
      </c>
      <c r="B2228">
        <v>928811</v>
      </c>
      <c r="C2228">
        <v>7343</v>
      </c>
      <c r="D2228">
        <v>5.5</v>
      </c>
      <c r="E2228">
        <v>5.8</v>
      </c>
      <c r="M2228" t="s">
        <v>663</v>
      </c>
    </row>
    <row r="2229" spans="1:13">
      <c r="A2229" t="s">
        <v>386</v>
      </c>
      <c r="B2229">
        <v>808606</v>
      </c>
      <c r="C2229">
        <v>7010</v>
      </c>
      <c r="D2229">
        <v>5.4</v>
      </c>
      <c r="E2229">
        <v>5.9</v>
      </c>
      <c r="M2229" t="s">
        <v>663</v>
      </c>
    </row>
    <row r="2231" spans="1:13">
      <c r="M2231" t="s">
        <v>664</v>
      </c>
    </row>
    <row r="2232" spans="1:13">
      <c r="A2232" t="s">
        <v>373</v>
      </c>
      <c r="B2232" t="s">
        <v>377</v>
      </c>
      <c r="C2232" t="s">
        <v>523</v>
      </c>
      <c r="M2232" t="s">
        <v>664</v>
      </c>
    </row>
    <row r="2233" spans="1:13">
      <c r="A2233" t="s">
        <v>381</v>
      </c>
      <c r="B2233">
        <v>815</v>
      </c>
      <c r="C2233">
        <v>240212</v>
      </c>
      <c r="M2233" t="s">
        <v>664</v>
      </c>
    </row>
    <row r="2234" spans="1:13">
      <c r="A2234" t="s">
        <v>382</v>
      </c>
      <c r="B2234">
        <v>8701</v>
      </c>
      <c r="C2234">
        <v>2183646</v>
      </c>
      <c r="M2234" t="s">
        <v>664</v>
      </c>
    </row>
    <row r="2235" spans="1:13">
      <c r="A2235" t="s">
        <v>383</v>
      </c>
      <c r="B2235">
        <v>10312</v>
      </c>
      <c r="C2235">
        <v>2246448</v>
      </c>
      <c r="M2235" t="s">
        <v>664</v>
      </c>
    </row>
    <row r="2236" spans="1:13">
      <c r="A2236" t="s">
        <v>387</v>
      </c>
      <c r="B2236">
        <v>19828</v>
      </c>
      <c r="C2236">
        <v>0</v>
      </c>
      <c r="M2236" t="s">
        <v>664</v>
      </c>
    </row>
    <row r="2238" spans="1:13">
      <c r="M2238" t="s">
        <v>665</v>
      </c>
    </row>
    <row r="2239" spans="1:13">
      <c r="A2239" t="s">
        <v>373</v>
      </c>
      <c r="B2239" t="s">
        <v>374</v>
      </c>
      <c r="C2239" t="s">
        <v>375</v>
      </c>
      <c r="D2239" t="s">
        <v>376</v>
      </c>
      <c r="E2239" t="s">
        <v>377</v>
      </c>
      <c r="F2239" t="s">
        <v>378</v>
      </c>
      <c r="G2239" t="s">
        <v>379</v>
      </c>
      <c r="H2239" t="s">
        <v>380</v>
      </c>
      <c r="M2239" t="s">
        <v>665</v>
      </c>
    </row>
    <row r="2240" spans="1:13">
      <c r="A2240" t="s">
        <v>381</v>
      </c>
      <c r="B2240">
        <v>0</v>
      </c>
      <c r="C2240">
        <v>0</v>
      </c>
      <c r="D2240">
        <v>77429</v>
      </c>
      <c r="E2240">
        <v>561</v>
      </c>
      <c r="F2240">
        <v>9867</v>
      </c>
      <c r="G2240">
        <v>763963822</v>
      </c>
      <c r="H2240">
        <v>0</v>
      </c>
      <c r="M2240" t="s">
        <v>665</v>
      </c>
    </row>
    <row r="2241" spans="1:13">
      <c r="A2241" t="s">
        <v>382</v>
      </c>
      <c r="B2241">
        <v>1753876</v>
      </c>
      <c r="C2241">
        <v>13747</v>
      </c>
      <c r="D2241">
        <v>1217766</v>
      </c>
      <c r="E2241">
        <v>9690</v>
      </c>
      <c r="F2241">
        <v>10133</v>
      </c>
      <c r="G2241">
        <v>12339781431</v>
      </c>
      <c r="H2241">
        <v>1.44</v>
      </c>
      <c r="M2241" t="s">
        <v>665</v>
      </c>
    </row>
    <row r="2242" spans="1:13">
      <c r="A2242" t="s">
        <v>383</v>
      </c>
      <c r="B2242">
        <v>2125880</v>
      </c>
      <c r="C2242">
        <v>17025</v>
      </c>
      <c r="D2242">
        <v>1537323</v>
      </c>
      <c r="E2242">
        <v>12090</v>
      </c>
      <c r="F2242">
        <v>10574</v>
      </c>
      <c r="G2242">
        <v>16255272883</v>
      </c>
      <c r="H2242">
        <v>1.38</v>
      </c>
      <c r="M2242" t="s">
        <v>665</v>
      </c>
    </row>
    <row r="2243" spans="1:13">
      <c r="A2243" t="s">
        <v>384</v>
      </c>
      <c r="B2243">
        <v>2404648</v>
      </c>
      <c r="C2243">
        <v>20334</v>
      </c>
      <c r="D2243">
        <v>1012613</v>
      </c>
      <c r="E2243">
        <v>8481</v>
      </c>
      <c r="F2243">
        <v>10064</v>
      </c>
      <c r="G2243">
        <v>10190640577</v>
      </c>
      <c r="H2243">
        <v>2.37</v>
      </c>
      <c r="M2243" t="s">
        <v>665</v>
      </c>
    </row>
    <row r="2244" spans="1:13">
      <c r="A2244" t="s">
        <v>385</v>
      </c>
      <c r="B2244">
        <v>136853</v>
      </c>
      <c r="C2244">
        <v>1098</v>
      </c>
      <c r="D2244">
        <v>0</v>
      </c>
      <c r="E2244">
        <v>0</v>
      </c>
      <c r="F2244">
        <v>0</v>
      </c>
      <c r="G2244">
        <v>0</v>
      </c>
      <c r="H2244">
        <v>0</v>
      </c>
      <c r="M2244" t="s">
        <v>665</v>
      </c>
    </row>
    <row r="2245" spans="1:13">
      <c r="A2245" t="s">
        <v>387</v>
      </c>
      <c r="B2245">
        <v>6421257</v>
      </c>
      <c r="C2245">
        <v>52204</v>
      </c>
      <c r="D2245">
        <v>3845132</v>
      </c>
      <c r="E2245">
        <v>30822</v>
      </c>
      <c r="F2245">
        <v>10286</v>
      </c>
      <c r="G2245">
        <v>39549658714</v>
      </c>
      <c r="H2245">
        <v>1.67</v>
      </c>
      <c r="M2245" t="s">
        <v>665</v>
      </c>
    </row>
    <row r="2247" spans="1:13">
      <c r="M2247" t="s">
        <v>666</v>
      </c>
    </row>
    <row r="2248" spans="1:13">
      <c r="A2248" t="s">
        <v>373</v>
      </c>
      <c r="B2248" t="s">
        <v>374</v>
      </c>
      <c r="C2248" t="s">
        <v>375</v>
      </c>
      <c r="D2248" t="s">
        <v>376</v>
      </c>
      <c r="E2248" t="s">
        <v>377</v>
      </c>
      <c r="F2248" t="s">
        <v>378</v>
      </c>
      <c r="G2248" t="s">
        <v>379</v>
      </c>
      <c r="H2248" t="s">
        <v>380</v>
      </c>
      <c r="M2248" t="s">
        <v>666</v>
      </c>
    </row>
    <row r="2249" spans="1:13">
      <c r="A2249" t="s">
        <v>381</v>
      </c>
      <c r="B2249">
        <v>199530</v>
      </c>
      <c r="C2249">
        <v>1706</v>
      </c>
      <c r="D2249">
        <v>179512</v>
      </c>
      <c r="E2249">
        <v>1607</v>
      </c>
      <c r="F2249">
        <v>6279</v>
      </c>
      <c r="G2249">
        <v>1127212996</v>
      </c>
      <c r="H2249">
        <v>1.1100000000000001</v>
      </c>
      <c r="M2249" t="s">
        <v>666</v>
      </c>
    </row>
    <row r="2250" spans="1:13">
      <c r="A2250" t="s">
        <v>382</v>
      </c>
      <c r="B2250">
        <v>1850721</v>
      </c>
      <c r="C2250">
        <v>16690</v>
      </c>
      <c r="D2250">
        <v>2929218</v>
      </c>
      <c r="E2250">
        <v>26627</v>
      </c>
      <c r="F2250">
        <v>5911</v>
      </c>
      <c r="G2250">
        <v>17314670029</v>
      </c>
      <c r="H2250">
        <v>0.63</v>
      </c>
      <c r="M2250" t="s">
        <v>666</v>
      </c>
    </row>
    <row r="2251" spans="1:13">
      <c r="A2251" t="s">
        <v>383</v>
      </c>
      <c r="B2251">
        <v>2449428</v>
      </c>
      <c r="C2251">
        <v>21739</v>
      </c>
      <c r="D2251">
        <v>3891893</v>
      </c>
      <c r="E2251">
        <v>35111</v>
      </c>
      <c r="F2251">
        <v>5846</v>
      </c>
      <c r="G2251">
        <v>22751378149</v>
      </c>
      <c r="H2251">
        <v>0.63</v>
      </c>
      <c r="M2251" t="s">
        <v>666</v>
      </c>
    </row>
    <row r="2252" spans="1:13">
      <c r="A2252" t="s">
        <v>384</v>
      </c>
      <c r="B2252">
        <v>4883009</v>
      </c>
      <c r="C2252">
        <v>46069</v>
      </c>
      <c r="D2252">
        <v>4172647</v>
      </c>
      <c r="E2252">
        <v>39168</v>
      </c>
      <c r="F2252">
        <v>6347</v>
      </c>
      <c r="G2252">
        <v>26482430482</v>
      </c>
      <c r="H2252">
        <v>1.17</v>
      </c>
      <c r="M2252" t="s">
        <v>666</v>
      </c>
    </row>
    <row r="2253" spans="1:13">
      <c r="A2253" t="s">
        <v>385</v>
      </c>
      <c r="B2253">
        <v>6464401</v>
      </c>
      <c r="C2253">
        <v>59678</v>
      </c>
      <c r="D2253">
        <v>4532506</v>
      </c>
      <c r="E2253">
        <v>41334</v>
      </c>
      <c r="F2253">
        <v>6867</v>
      </c>
      <c r="G2253">
        <v>31124452700</v>
      </c>
      <c r="H2253">
        <v>1.43</v>
      </c>
      <c r="M2253" t="s">
        <v>666</v>
      </c>
    </row>
    <row r="2254" spans="1:13">
      <c r="A2254" t="s">
        <v>386</v>
      </c>
      <c r="B2254">
        <v>6499215</v>
      </c>
      <c r="C2254">
        <v>58633</v>
      </c>
      <c r="D2254">
        <v>4603956</v>
      </c>
      <c r="E2254">
        <v>41998</v>
      </c>
      <c r="F2254">
        <v>7248</v>
      </c>
      <c r="G2254">
        <v>33370858952</v>
      </c>
      <c r="H2254">
        <v>1.41</v>
      </c>
      <c r="M2254" t="s">
        <v>666</v>
      </c>
    </row>
    <row r="2255" spans="1:13">
      <c r="A2255" t="s">
        <v>387</v>
      </c>
      <c r="B2255">
        <v>22346306</v>
      </c>
      <c r="C2255">
        <v>204515</v>
      </c>
      <c r="D2255">
        <v>20309732</v>
      </c>
      <c r="E2255">
        <v>185845</v>
      </c>
      <c r="F2255">
        <v>6508</v>
      </c>
      <c r="G2255">
        <v>132171003308</v>
      </c>
      <c r="H2255">
        <v>1.1000000000000001</v>
      </c>
      <c r="M2255" t="s">
        <v>666</v>
      </c>
    </row>
    <row r="2257" spans="1:13">
      <c r="M2257" t="s">
        <v>667</v>
      </c>
    </row>
    <row r="2258" spans="1:13">
      <c r="A2258" t="s">
        <v>373</v>
      </c>
      <c r="B2258" t="s">
        <v>389</v>
      </c>
      <c r="C2258" t="s">
        <v>390</v>
      </c>
      <c r="D2258" t="s">
        <v>391</v>
      </c>
      <c r="M2258" t="s">
        <v>667</v>
      </c>
    </row>
    <row r="2259" spans="1:13">
      <c r="A2259" t="s">
        <v>381</v>
      </c>
      <c r="B2259">
        <v>3023996</v>
      </c>
      <c r="C2259">
        <v>28949</v>
      </c>
      <c r="D2259">
        <v>12.7</v>
      </c>
      <c r="M2259" t="s">
        <v>667</v>
      </c>
    </row>
    <row r="2260" spans="1:13">
      <c r="A2260" t="s">
        <v>382</v>
      </c>
      <c r="B2260">
        <v>2932067</v>
      </c>
      <c r="C2260">
        <v>28036</v>
      </c>
      <c r="D2260">
        <v>12</v>
      </c>
      <c r="M2260" t="s">
        <v>667</v>
      </c>
    </row>
    <row r="2261" spans="1:13">
      <c r="A2261" t="s">
        <v>383</v>
      </c>
      <c r="B2261">
        <v>5174602</v>
      </c>
      <c r="C2261">
        <v>48680</v>
      </c>
      <c r="D2261">
        <v>16</v>
      </c>
      <c r="M2261" t="s">
        <v>667</v>
      </c>
    </row>
    <row r="2262" spans="1:13">
      <c r="A2262" t="s">
        <v>384</v>
      </c>
      <c r="B2262">
        <v>8299999</v>
      </c>
      <c r="C2262">
        <v>65501</v>
      </c>
      <c r="D2262">
        <v>23.9</v>
      </c>
      <c r="M2262" t="s">
        <v>667</v>
      </c>
    </row>
    <row r="2263" spans="1:13">
      <c r="A2263" t="s">
        <v>385</v>
      </c>
      <c r="B2263">
        <v>5719465</v>
      </c>
      <c r="C2263">
        <v>53439</v>
      </c>
      <c r="D2263">
        <v>15.1</v>
      </c>
      <c r="M2263" t="s">
        <v>667</v>
      </c>
    </row>
    <row r="2264" spans="1:13">
      <c r="A2264" t="s">
        <v>386</v>
      </c>
      <c r="B2264">
        <v>0</v>
      </c>
      <c r="C2264">
        <v>0</v>
      </c>
      <c r="D2264">
        <v>0</v>
      </c>
      <c r="M2264" t="s">
        <v>667</v>
      </c>
    </row>
    <row r="2266" spans="1:13">
      <c r="M2266" t="s">
        <v>668</v>
      </c>
    </row>
    <row r="2267" spans="1:13">
      <c r="A2267" t="s">
        <v>373</v>
      </c>
      <c r="B2267" t="s">
        <v>374</v>
      </c>
      <c r="C2267" t="s">
        <v>375</v>
      </c>
      <c r="D2267" t="s">
        <v>376</v>
      </c>
      <c r="E2267" t="s">
        <v>377</v>
      </c>
      <c r="F2267" t="s">
        <v>378</v>
      </c>
      <c r="G2267" t="s">
        <v>379</v>
      </c>
      <c r="H2267" t="s">
        <v>380</v>
      </c>
      <c r="M2267" t="s">
        <v>668</v>
      </c>
    </row>
    <row r="2268" spans="1:13">
      <c r="A2268" t="s">
        <v>381</v>
      </c>
      <c r="B2268">
        <v>0</v>
      </c>
      <c r="C2268">
        <v>0</v>
      </c>
      <c r="D2268">
        <v>20285</v>
      </c>
      <c r="E2268">
        <v>190</v>
      </c>
      <c r="F2268">
        <v>15776</v>
      </c>
      <c r="G2268">
        <v>320018580</v>
      </c>
      <c r="H2268">
        <v>0</v>
      </c>
      <c r="M2268" t="s">
        <v>668</v>
      </c>
    </row>
    <row r="2269" spans="1:13">
      <c r="A2269" t="s">
        <v>382</v>
      </c>
      <c r="B2269">
        <v>324483</v>
      </c>
      <c r="C2269">
        <v>3164</v>
      </c>
      <c r="D2269">
        <v>491774</v>
      </c>
      <c r="E2269">
        <v>4750</v>
      </c>
      <c r="F2269">
        <v>15754</v>
      </c>
      <c r="G2269">
        <v>7747368593</v>
      </c>
      <c r="H2269">
        <v>0.66</v>
      </c>
      <c r="M2269" t="s">
        <v>668</v>
      </c>
    </row>
    <row r="2270" spans="1:13">
      <c r="A2270" t="s">
        <v>383</v>
      </c>
      <c r="B2270">
        <v>565565</v>
      </c>
      <c r="C2270">
        <v>5386</v>
      </c>
      <c r="D2270">
        <v>709329</v>
      </c>
      <c r="E2270">
        <v>6678</v>
      </c>
      <c r="F2270">
        <v>16019</v>
      </c>
      <c r="G2270">
        <v>11362751155</v>
      </c>
      <c r="H2270">
        <v>0.8</v>
      </c>
      <c r="M2270" t="s">
        <v>668</v>
      </c>
    </row>
    <row r="2271" spans="1:13">
      <c r="A2271" t="s">
        <v>384</v>
      </c>
      <c r="B2271">
        <v>996425</v>
      </c>
      <c r="C2271">
        <v>9883</v>
      </c>
      <c r="D2271">
        <v>988536</v>
      </c>
      <c r="E2271">
        <v>9494</v>
      </c>
      <c r="F2271">
        <v>16686</v>
      </c>
      <c r="G2271">
        <v>16495170636</v>
      </c>
      <c r="H2271">
        <v>1.01</v>
      </c>
      <c r="M2271" t="s">
        <v>668</v>
      </c>
    </row>
    <row r="2272" spans="1:13">
      <c r="A2272" t="s">
        <v>385</v>
      </c>
      <c r="B2272">
        <v>1335435</v>
      </c>
      <c r="C2272">
        <v>12813</v>
      </c>
      <c r="D2272">
        <v>1060274</v>
      </c>
      <c r="E2272">
        <v>10234</v>
      </c>
      <c r="F2272">
        <v>16555</v>
      </c>
      <c r="G2272">
        <v>17552340598</v>
      </c>
      <c r="H2272">
        <v>1.26</v>
      </c>
      <c r="M2272" t="s">
        <v>668</v>
      </c>
    </row>
    <row r="2273" spans="1:13">
      <c r="A2273" t="s">
        <v>386</v>
      </c>
      <c r="B2273">
        <v>1210103</v>
      </c>
      <c r="C2273">
        <v>12057</v>
      </c>
      <c r="D2273">
        <v>951021</v>
      </c>
      <c r="E2273">
        <v>9641</v>
      </c>
      <c r="F2273">
        <v>16668</v>
      </c>
      <c r="G2273">
        <v>15851194376</v>
      </c>
      <c r="H2273">
        <v>1.27</v>
      </c>
      <c r="M2273" t="s">
        <v>668</v>
      </c>
    </row>
    <row r="2274" spans="1:13">
      <c r="A2274" t="s">
        <v>387</v>
      </c>
      <c r="B2274">
        <v>4432010</v>
      </c>
      <c r="C2274">
        <v>43303</v>
      </c>
      <c r="D2274">
        <v>4221220</v>
      </c>
      <c r="E2274">
        <v>40987</v>
      </c>
      <c r="F2274">
        <v>16424</v>
      </c>
      <c r="G2274">
        <v>69328843938</v>
      </c>
      <c r="H2274">
        <v>1.05</v>
      </c>
      <c r="M2274" t="s">
        <v>668</v>
      </c>
    </row>
    <row r="2276" spans="1:13">
      <c r="M2276" t="s">
        <v>669</v>
      </c>
    </row>
    <row r="2277" spans="1:13">
      <c r="A2277" t="s">
        <v>373</v>
      </c>
      <c r="B2277" t="s">
        <v>389</v>
      </c>
      <c r="C2277" t="s">
        <v>390</v>
      </c>
      <c r="D2277" t="s">
        <v>391</v>
      </c>
      <c r="E2277" t="s">
        <v>406</v>
      </c>
      <c r="M2277" t="s">
        <v>669</v>
      </c>
    </row>
    <row r="2278" spans="1:13">
      <c r="A2278" t="s">
        <v>381</v>
      </c>
      <c r="B2278">
        <v>793703</v>
      </c>
      <c r="C2278">
        <v>7206</v>
      </c>
      <c r="D2278">
        <v>19.100000000000001</v>
      </c>
      <c r="E2278">
        <v>16.399999999999999</v>
      </c>
      <c r="M2278" t="s">
        <v>669</v>
      </c>
    </row>
    <row r="2279" spans="1:13">
      <c r="A2279" t="s">
        <v>382</v>
      </c>
      <c r="B2279">
        <v>805064</v>
      </c>
      <c r="C2279">
        <v>7297</v>
      </c>
      <c r="D2279">
        <v>19.600000000000001</v>
      </c>
      <c r="E2279">
        <v>16.100000000000001</v>
      </c>
      <c r="M2279" t="s">
        <v>669</v>
      </c>
    </row>
    <row r="2280" spans="1:13">
      <c r="A2280" t="s">
        <v>383</v>
      </c>
      <c r="B2280">
        <v>1086261</v>
      </c>
      <c r="C2280">
        <v>9868</v>
      </c>
      <c r="D2280">
        <v>18.399999999999999</v>
      </c>
      <c r="E2280">
        <v>15.4</v>
      </c>
      <c r="M2280" t="s">
        <v>669</v>
      </c>
    </row>
    <row r="2281" spans="1:13">
      <c r="A2281" t="s">
        <v>384</v>
      </c>
      <c r="B2281">
        <v>1226503</v>
      </c>
      <c r="C2281">
        <v>11215</v>
      </c>
      <c r="D2281">
        <v>14.9</v>
      </c>
      <c r="E2281">
        <v>14.4</v>
      </c>
      <c r="M2281" t="s">
        <v>669</v>
      </c>
    </row>
    <row r="2282" spans="1:13">
      <c r="A2282" t="s">
        <v>385</v>
      </c>
      <c r="B2282">
        <v>1332097</v>
      </c>
      <c r="C2282">
        <v>12425</v>
      </c>
      <c r="D2282">
        <v>15.1</v>
      </c>
      <c r="E2282">
        <v>15.9</v>
      </c>
      <c r="M2282" t="s">
        <v>669</v>
      </c>
    </row>
    <row r="2283" spans="1:13">
      <c r="A2283" t="s">
        <v>386</v>
      </c>
      <c r="B2283">
        <v>1358656</v>
      </c>
      <c r="C2283">
        <v>12520</v>
      </c>
      <c r="D2283">
        <v>17.100000000000001</v>
      </c>
      <c r="E2283">
        <v>15.6</v>
      </c>
      <c r="M2283" t="s">
        <v>669</v>
      </c>
    </row>
    <row r="2285" spans="1:13">
      <c r="M2285" t="s">
        <v>670</v>
      </c>
    </row>
    <row r="2286" spans="1:13">
      <c r="A2286" t="s">
        <v>373</v>
      </c>
      <c r="B2286" t="s">
        <v>374</v>
      </c>
      <c r="C2286" t="s">
        <v>375</v>
      </c>
      <c r="D2286" t="s">
        <v>376</v>
      </c>
      <c r="E2286" t="s">
        <v>377</v>
      </c>
      <c r="F2286" t="s">
        <v>378</v>
      </c>
      <c r="G2286" t="s">
        <v>379</v>
      </c>
      <c r="H2286" t="s">
        <v>380</v>
      </c>
      <c r="M2286" t="s">
        <v>670</v>
      </c>
    </row>
    <row r="2287" spans="1:13">
      <c r="A2287" t="s">
        <v>381</v>
      </c>
      <c r="B2287">
        <v>94537</v>
      </c>
      <c r="C2287">
        <v>815</v>
      </c>
      <c r="D2287">
        <v>30401</v>
      </c>
      <c r="E2287">
        <v>248</v>
      </c>
      <c r="F2287">
        <v>13719</v>
      </c>
      <c r="G2287">
        <v>417054436</v>
      </c>
      <c r="H2287">
        <v>3.11</v>
      </c>
      <c r="M2287" t="s">
        <v>670</v>
      </c>
    </row>
    <row r="2288" spans="1:13">
      <c r="A2288" t="s">
        <v>382</v>
      </c>
      <c r="B2288">
        <v>782881</v>
      </c>
      <c r="C2288">
        <v>6707</v>
      </c>
      <c r="D2288">
        <v>694175</v>
      </c>
      <c r="E2288">
        <v>5865</v>
      </c>
      <c r="F2288">
        <v>15237</v>
      </c>
      <c r="G2288">
        <v>10577247840</v>
      </c>
      <c r="H2288">
        <v>1.1299999999999999</v>
      </c>
      <c r="M2288" t="s">
        <v>670</v>
      </c>
    </row>
    <row r="2289" spans="1:13">
      <c r="A2289" t="s">
        <v>383</v>
      </c>
      <c r="B2289">
        <v>1243889</v>
      </c>
      <c r="C2289">
        <v>9581</v>
      </c>
      <c r="D2289">
        <v>1068819</v>
      </c>
      <c r="E2289">
        <v>8197</v>
      </c>
      <c r="F2289">
        <v>14808</v>
      </c>
      <c r="G2289">
        <v>15827144252</v>
      </c>
      <c r="H2289">
        <v>1.1599999999999999</v>
      </c>
      <c r="M2289" t="s">
        <v>670</v>
      </c>
    </row>
    <row r="2290" spans="1:13">
      <c r="A2290" t="s">
        <v>384</v>
      </c>
      <c r="B2290">
        <v>2895422</v>
      </c>
      <c r="C2290">
        <v>25449</v>
      </c>
      <c r="D2290">
        <v>3062106</v>
      </c>
      <c r="E2290">
        <v>26760</v>
      </c>
      <c r="F2290">
        <v>12844</v>
      </c>
      <c r="G2290">
        <v>39329834688</v>
      </c>
      <c r="H2290">
        <v>0.95</v>
      </c>
      <c r="M2290" t="s">
        <v>670</v>
      </c>
    </row>
    <row r="2291" spans="1:13">
      <c r="A2291" t="s">
        <v>385</v>
      </c>
      <c r="B2291">
        <v>2818788</v>
      </c>
      <c r="C2291">
        <v>24411</v>
      </c>
      <c r="D2291">
        <v>2401999</v>
      </c>
      <c r="E2291">
        <v>19870</v>
      </c>
      <c r="F2291">
        <v>12500</v>
      </c>
      <c r="G2291">
        <v>30024957394</v>
      </c>
      <c r="H2291">
        <v>1.17</v>
      </c>
      <c r="M2291" t="s">
        <v>670</v>
      </c>
    </row>
    <row r="2292" spans="1:13">
      <c r="A2292" t="s">
        <v>386</v>
      </c>
      <c r="B2292">
        <v>2352139</v>
      </c>
      <c r="C2292">
        <v>18753</v>
      </c>
      <c r="D2292">
        <v>2651624</v>
      </c>
      <c r="E2292">
        <v>21934</v>
      </c>
      <c r="F2292">
        <v>11761</v>
      </c>
      <c r="G2292">
        <v>31186461262</v>
      </c>
      <c r="H2292">
        <v>0.89</v>
      </c>
      <c r="M2292" t="s">
        <v>670</v>
      </c>
    </row>
    <row r="2293" spans="1:13">
      <c r="A2293" t="s">
        <v>387</v>
      </c>
      <c r="B2293">
        <v>10187656</v>
      </c>
      <c r="C2293">
        <v>85716</v>
      </c>
      <c r="D2293">
        <v>9909125</v>
      </c>
      <c r="E2293">
        <v>82874</v>
      </c>
      <c r="F2293">
        <v>12853</v>
      </c>
      <c r="G2293">
        <v>127362699871</v>
      </c>
      <c r="H2293">
        <v>1.03</v>
      </c>
      <c r="M2293" t="s">
        <v>670</v>
      </c>
    </row>
    <row r="2295" spans="1:13">
      <c r="M2295" t="s">
        <v>671</v>
      </c>
    </row>
    <row r="2296" spans="1:13">
      <c r="A2296" t="s">
        <v>373</v>
      </c>
      <c r="B2296" t="s">
        <v>389</v>
      </c>
      <c r="C2296" t="s">
        <v>390</v>
      </c>
      <c r="D2296" t="s">
        <v>391</v>
      </c>
      <c r="M2296" t="s">
        <v>671</v>
      </c>
    </row>
    <row r="2297" spans="1:13">
      <c r="A2297" t="s">
        <v>381</v>
      </c>
      <c r="B2297">
        <v>1992681</v>
      </c>
      <c r="C2297">
        <v>16731</v>
      </c>
      <c r="D2297">
        <v>35.700000000000003</v>
      </c>
      <c r="M2297" t="s">
        <v>671</v>
      </c>
    </row>
    <row r="2298" spans="1:13">
      <c r="A2298" t="s">
        <v>382</v>
      </c>
      <c r="B2298">
        <v>1960199</v>
      </c>
      <c r="C2298">
        <v>16350</v>
      </c>
      <c r="D2298">
        <v>33.9</v>
      </c>
      <c r="M2298" t="s">
        <v>671</v>
      </c>
    </row>
    <row r="2299" spans="1:13">
      <c r="A2299" t="s">
        <v>383</v>
      </c>
      <c r="B2299">
        <v>1924394</v>
      </c>
      <c r="C2299">
        <v>15857</v>
      </c>
      <c r="D2299">
        <v>21.6</v>
      </c>
      <c r="M2299" t="s">
        <v>671</v>
      </c>
    </row>
    <row r="2300" spans="1:13">
      <c r="A2300" t="s">
        <v>384</v>
      </c>
      <c r="B2300">
        <v>1709084</v>
      </c>
      <c r="C2300">
        <v>14216</v>
      </c>
      <c r="D2300">
        <v>6.7</v>
      </c>
      <c r="M2300" t="s">
        <v>671</v>
      </c>
    </row>
    <row r="2301" spans="1:13">
      <c r="A2301" t="s">
        <v>385</v>
      </c>
      <c r="B2301">
        <v>1965343</v>
      </c>
      <c r="C2301">
        <v>16160</v>
      </c>
      <c r="D2301">
        <v>9.8000000000000007</v>
      </c>
      <c r="M2301" t="s">
        <v>671</v>
      </c>
    </row>
    <row r="2302" spans="1:13">
      <c r="A2302" t="s">
        <v>386</v>
      </c>
      <c r="B2302">
        <v>1772351</v>
      </c>
      <c r="C2302">
        <v>13900</v>
      </c>
      <c r="D2302">
        <v>8</v>
      </c>
      <c r="M2302" t="s">
        <v>671</v>
      </c>
    </row>
    <row r="2304" spans="1:13">
      <c r="M2304" t="s">
        <v>672</v>
      </c>
    </row>
    <row r="2305" spans="1:13">
      <c r="A2305" t="s">
        <v>373</v>
      </c>
      <c r="B2305" t="s">
        <v>374</v>
      </c>
      <c r="C2305" t="s">
        <v>375</v>
      </c>
      <c r="D2305" t="s">
        <v>376</v>
      </c>
      <c r="E2305" t="s">
        <v>377</v>
      </c>
      <c r="F2305" t="s">
        <v>378</v>
      </c>
      <c r="G2305" t="s">
        <v>379</v>
      </c>
      <c r="H2305" t="s">
        <v>380</v>
      </c>
      <c r="M2305" t="s">
        <v>672</v>
      </c>
    </row>
    <row r="2306" spans="1:13">
      <c r="A2306" t="s">
        <v>382</v>
      </c>
      <c r="B2306">
        <v>4793589</v>
      </c>
      <c r="C2306">
        <v>35040</v>
      </c>
      <c r="D2306">
        <v>5355278</v>
      </c>
      <c r="E2306">
        <v>41472</v>
      </c>
      <c r="F2306">
        <v>27955</v>
      </c>
      <c r="G2306">
        <v>149706279464</v>
      </c>
      <c r="H2306">
        <v>0.9</v>
      </c>
      <c r="M2306" t="s">
        <v>672</v>
      </c>
    </row>
    <row r="2307" spans="1:13">
      <c r="A2307" t="s">
        <v>383</v>
      </c>
      <c r="B2307">
        <v>4745269</v>
      </c>
      <c r="C2307">
        <v>36472</v>
      </c>
      <c r="D2307">
        <v>6695507</v>
      </c>
      <c r="E2307">
        <v>54497</v>
      </c>
      <c r="F2307">
        <v>25871</v>
      </c>
      <c r="G2307">
        <v>173217597070</v>
      </c>
      <c r="H2307">
        <v>0.71</v>
      </c>
      <c r="M2307" t="s">
        <v>672</v>
      </c>
    </row>
    <row r="2308" spans="1:13">
      <c r="A2308" t="s">
        <v>384</v>
      </c>
      <c r="B2308">
        <v>8626249</v>
      </c>
      <c r="C2308">
        <v>73713</v>
      </c>
      <c r="D2308">
        <v>8201106</v>
      </c>
      <c r="E2308">
        <v>69595</v>
      </c>
      <c r="F2308">
        <v>25711</v>
      </c>
      <c r="G2308">
        <v>210856216022</v>
      </c>
      <c r="H2308">
        <v>1.05</v>
      </c>
      <c r="M2308" t="s">
        <v>672</v>
      </c>
    </row>
    <row r="2309" spans="1:13">
      <c r="A2309" t="s">
        <v>385</v>
      </c>
      <c r="B2309">
        <v>10046834</v>
      </c>
      <c r="C2309">
        <v>84798</v>
      </c>
      <c r="D2309">
        <v>7084927</v>
      </c>
      <c r="E2309">
        <v>59218</v>
      </c>
      <c r="F2309">
        <v>26333</v>
      </c>
      <c r="G2309">
        <v>186568054091</v>
      </c>
      <c r="H2309">
        <v>1.42</v>
      </c>
      <c r="M2309" t="s">
        <v>672</v>
      </c>
    </row>
    <row r="2310" spans="1:13">
      <c r="A2310" t="s">
        <v>386</v>
      </c>
      <c r="B2310">
        <v>7648249</v>
      </c>
      <c r="C2310">
        <v>65467</v>
      </c>
      <c r="D2310">
        <v>7665042</v>
      </c>
      <c r="E2310">
        <v>65423</v>
      </c>
      <c r="F2310">
        <v>21612</v>
      </c>
      <c r="G2310">
        <v>165659620618</v>
      </c>
      <c r="H2310">
        <v>1</v>
      </c>
      <c r="M2310" t="s">
        <v>672</v>
      </c>
    </row>
    <row r="2311" spans="1:13">
      <c r="A2311" t="s">
        <v>387</v>
      </c>
      <c r="B2311">
        <v>35860191</v>
      </c>
      <c r="C2311">
        <v>295490</v>
      </c>
      <c r="D2311">
        <v>35001860</v>
      </c>
      <c r="E2311">
        <v>290205</v>
      </c>
      <c r="F2311">
        <v>25313</v>
      </c>
      <c r="G2311">
        <v>886007767266</v>
      </c>
      <c r="H2311">
        <v>1.02</v>
      </c>
      <c r="M2311" t="s">
        <v>672</v>
      </c>
    </row>
    <row r="2313" spans="1:13">
      <c r="M2313" t="s">
        <v>673</v>
      </c>
    </row>
    <row r="2314" spans="1:13">
      <c r="A2314" t="s">
        <v>373</v>
      </c>
      <c r="B2314" t="s">
        <v>389</v>
      </c>
      <c r="C2314" t="s">
        <v>390</v>
      </c>
      <c r="D2314" t="s">
        <v>391</v>
      </c>
      <c r="E2314" t="s">
        <v>406</v>
      </c>
      <c r="M2314" t="s">
        <v>673</v>
      </c>
    </row>
    <row r="2315" spans="1:13">
      <c r="A2315" t="s">
        <v>382</v>
      </c>
      <c r="B2315">
        <v>6645812</v>
      </c>
      <c r="C2315">
        <v>52300</v>
      </c>
      <c r="D2315">
        <v>14.9</v>
      </c>
      <c r="E2315">
        <v>13.2</v>
      </c>
      <c r="M2315" t="s">
        <v>673</v>
      </c>
    </row>
    <row r="2316" spans="1:13">
      <c r="A2316" t="s">
        <v>383</v>
      </c>
      <c r="B2316">
        <v>7057253</v>
      </c>
      <c r="C2316">
        <v>57712</v>
      </c>
      <c r="D2316">
        <v>12.6</v>
      </c>
      <c r="E2316">
        <v>11.4</v>
      </c>
      <c r="M2316" t="s">
        <v>673</v>
      </c>
    </row>
    <row r="2317" spans="1:13">
      <c r="A2317" t="s">
        <v>384</v>
      </c>
      <c r="B2317">
        <v>8525208</v>
      </c>
      <c r="C2317">
        <v>71744</v>
      </c>
      <c r="D2317">
        <v>12.5</v>
      </c>
      <c r="E2317">
        <v>13.4</v>
      </c>
      <c r="M2317" t="s">
        <v>673</v>
      </c>
    </row>
    <row r="2318" spans="1:13">
      <c r="A2318" t="s">
        <v>385</v>
      </c>
      <c r="B2318">
        <v>9079847</v>
      </c>
      <c r="C2318">
        <v>75344</v>
      </c>
      <c r="D2318">
        <v>15.4</v>
      </c>
      <c r="E2318">
        <v>14.8</v>
      </c>
      <c r="M2318" t="s">
        <v>673</v>
      </c>
    </row>
    <row r="2319" spans="1:13">
      <c r="A2319" t="s">
        <v>386</v>
      </c>
      <c r="B2319">
        <v>5456565</v>
      </c>
      <c r="C2319">
        <v>44233</v>
      </c>
      <c r="D2319">
        <v>8.5</v>
      </c>
      <c r="E2319">
        <v>9.6</v>
      </c>
      <c r="M2319" t="s">
        <v>673</v>
      </c>
    </row>
    <row r="2321" spans="1:13">
      <c r="M2321" t="s">
        <v>674</v>
      </c>
    </row>
    <row r="2322" spans="1:13">
      <c r="A2322" t="s">
        <v>373</v>
      </c>
      <c r="B2322" t="s">
        <v>374</v>
      </c>
      <c r="C2322" t="s">
        <v>375</v>
      </c>
      <c r="D2322" t="s">
        <v>376</v>
      </c>
      <c r="E2322" t="s">
        <v>377</v>
      </c>
      <c r="F2322" t="s">
        <v>378</v>
      </c>
      <c r="G2322" t="s">
        <v>379</v>
      </c>
      <c r="H2322" t="s">
        <v>380</v>
      </c>
      <c r="M2322" t="s">
        <v>674</v>
      </c>
    </row>
    <row r="2323" spans="1:13">
      <c r="A2323" t="s">
        <v>382</v>
      </c>
      <c r="B2323">
        <v>615902</v>
      </c>
      <c r="C2323">
        <v>5091</v>
      </c>
      <c r="D2323">
        <v>802618</v>
      </c>
      <c r="E2323">
        <v>6711</v>
      </c>
      <c r="F2323">
        <v>5487</v>
      </c>
      <c r="G2323">
        <v>4403944453</v>
      </c>
      <c r="H2323">
        <v>0.77</v>
      </c>
      <c r="M2323" t="s">
        <v>674</v>
      </c>
    </row>
    <row r="2324" spans="1:13">
      <c r="A2324" t="s">
        <v>383</v>
      </c>
      <c r="B2324">
        <v>886539</v>
      </c>
      <c r="C2324">
        <v>7467</v>
      </c>
      <c r="D2324">
        <v>1002917</v>
      </c>
      <c r="E2324">
        <v>8312</v>
      </c>
      <c r="F2324">
        <v>5435</v>
      </c>
      <c r="G2324">
        <v>5451171287</v>
      </c>
      <c r="H2324">
        <v>0.88</v>
      </c>
      <c r="M2324" t="s">
        <v>674</v>
      </c>
    </row>
    <row r="2325" spans="1:13">
      <c r="A2325" t="s">
        <v>384</v>
      </c>
      <c r="B2325">
        <v>1285682</v>
      </c>
      <c r="C2325">
        <v>10842</v>
      </c>
      <c r="D2325">
        <v>707269</v>
      </c>
      <c r="E2325">
        <v>6068</v>
      </c>
      <c r="F2325">
        <v>5187</v>
      </c>
      <c r="G2325">
        <v>3668416466</v>
      </c>
      <c r="H2325">
        <v>1.82</v>
      </c>
      <c r="M2325" t="s">
        <v>674</v>
      </c>
    </row>
    <row r="2326" spans="1:13">
      <c r="A2326" t="s">
        <v>385</v>
      </c>
      <c r="B2326">
        <v>1509110</v>
      </c>
      <c r="C2326">
        <v>12714</v>
      </c>
      <c r="D2326">
        <v>0</v>
      </c>
      <c r="E2326">
        <v>0</v>
      </c>
      <c r="F2326">
        <v>0</v>
      </c>
      <c r="G2326">
        <v>0</v>
      </c>
      <c r="H2326">
        <v>0</v>
      </c>
      <c r="M2326" t="s">
        <v>674</v>
      </c>
    </row>
    <row r="2327" spans="1:13">
      <c r="A2327" t="s">
        <v>386</v>
      </c>
      <c r="B2327">
        <v>2497311</v>
      </c>
      <c r="C2327">
        <v>21545</v>
      </c>
      <c r="D2327">
        <v>0</v>
      </c>
      <c r="E2327">
        <v>0</v>
      </c>
      <c r="F2327">
        <v>0</v>
      </c>
      <c r="G2327">
        <v>0</v>
      </c>
      <c r="H2327">
        <v>0</v>
      </c>
      <c r="M2327" t="s">
        <v>674</v>
      </c>
    </row>
    <row r="2328" spans="1:13">
      <c r="A2328" t="s">
        <v>387</v>
      </c>
      <c r="B2328">
        <v>6794543</v>
      </c>
      <c r="C2328">
        <v>57659</v>
      </c>
      <c r="D2328">
        <v>2512805</v>
      </c>
      <c r="E2328">
        <v>21091</v>
      </c>
      <c r="F2328">
        <v>5382</v>
      </c>
      <c r="G2328">
        <v>13523532206</v>
      </c>
      <c r="H2328">
        <v>2.7</v>
      </c>
      <c r="M2328" t="s">
        <v>674</v>
      </c>
    </row>
    <row r="2330" spans="1:13">
      <c r="M2330" t="s">
        <v>675</v>
      </c>
    </row>
    <row r="2331" spans="1:13">
      <c r="A2331" t="s">
        <v>373</v>
      </c>
      <c r="B2331" t="s">
        <v>389</v>
      </c>
      <c r="C2331" t="s">
        <v>390</v>
      </c>
      <c r="D2331" t="s">
        <v>391</v>
      </c>
      <c r="E2331" t="s">
        <v>406</v>
      </c>
      <c r="M2331" t="s">
        <v>675</v>
      </c>
    </row>
    <row r="2332" spans="1:13">
      <c r="A2332" t="s">
        <v>381</v>
      </c>
      <c r="B2332">
        <v>1534826</v>
      </c>
      <c r="C2332">
        <v>13144</v>
      </c>
      <c r="D2332">
        <v>24.1</v>
      </c>
      <c r="E2332">
        <v>21.1</v>
      </c>
      <c r="M2332" t="s">
        <v>675</v>
      </c>
    </row>
    <row r="2333" spans="1:13">
      <c r="A2333" t="s">
        <v>382</v>
      </c>
      <c r="B2333">
        <v>1583800</v>
      </c>
      <c r="C2333">
        <v>13553</v>
      </c>
      <c r="D2333">
        <v>23.7</v>
      </c>
      <c r="E2333">
        <v>21.1</v>
      </c>
      <c r="M2333" t="s">
        <v>675</v>
      </c>
    </row>
    <row r="2334" spans="1:13">
      <c r="A2334" t="s">
        <v>383</v>
      </c>
      <c r="B2334">
        <v>1817431</v>
      </c>
      <c r="C2334">
        <v>15873</v>
      </c>
      <c r="D2334">
        <v>21.7</v>
      </c>
      <c r="E2334">
        <v>25.5</v>
      </c>
      <c r="M2334" t="s">
        <v>675</v>
      </c>
    </row>
    <row r="2335" spans="1:13">
      <c r="A2335" t="s">
        <v>384</v>
      </c>
      <c r="B2335">
        <v>1959963</v>
      </c>
      <c r="C2335">
        <v>16873</v>
      </c>
      <c r="D2335">
        <v>33.299999999999997</v>
      </c>
      <c r="E2335">
        <v>66.5</v>
      </c>
      <c r="M2335" t="s">
        <v>675</v>
      </c>
    </row>
    <row r="2337" spans="1:13">
      <c r="M2337" t="s">
        <v>676</v>
      </c>
    </row>
    <row r="2338" spans="1:13">
      <c r="A2338" t="s">
        <v>373</v>
      </c>
      <c r="B2338" t="s">
        <v>374</v>
      </c>
      <c r="C2338" t="s">
        <v>375</v>
      </c>
      <c r="D2338" t="s">
        <v>376</v>
      </c>
      <c r="E2338" t="s">
        <v>377</v>
      </c>
      <c r="F2338" t="s">
        <v>378</v>
      </c>
      <c r="G2338" t="s">
        <v>379</v>
      </c>
      <c r="H2338" t="s">
        <v>380</v>
      </c>
      <c r="M2338" t="s">
        <v>676</v>
      </c>
    </row>
    <row r="2339" spans="1:13">
      <c r="A2339" t="s">
        <v>382</v>
      </c>
      <c r="B2339">
        <v>1979623</v>
      </c>
      <c r="C2339">
        <v>15659</v>
      </c>
      <c r="D2339">
        <v>1906969</v>
      </c>
      <c r="E2339">
        <v>14746</v>
      </c>
      <c r="F2339">
        <v>6813</v>
      </c>
      <c r="G2339">
        <v>12991987595</v>
      </c>
      <c r="H2339">
        <v>1.04</v>
      </c>
      <c r="M2339" t="s">
        <v>676</v>
      </c>
    </row>
    <row r="2340" spans="1:13">
      <c r="A2340" t="s">
        <v>383</v>
      </c>
      <c r="B2340">
        <v>2325388</v>
      </c>
      <c r="C2340">
        <v>18159</v>
      </c>
      <c r="D2340">
        <v>2308342</v>
      </c>
      <c r="E2340">
        <v>17713</v>
      </c>
      <c r="F2340">
        <v>6898</v>
      </c>
      <c r="G2340">
        <v>15923015205</v>
      </c>
      <c r="H2340">
        <v>1.01</v>
      </c>
      <c r="M2340" t="s">
        <v>676</v>
      </c>
    </row>
    <row r="2341" spans="1:13">
      <c r="A2341" t="s">
        <v>384</v>
      </c>
      <c r="B2341">
        <v>3228051</v>
      </c>
      <c r="C2341">
        <v>25626</v>
      </c>
      <c r="D2341">
        <v>3469403</v>
      </c>
      <c r="E2341">
        <v>26701</v>
      </c>
      <c r="F2341">
        <v>6954</v>
      </c>
      <c r="G2341">
        <v>24124626571</v>
      </c>
      <c r="H2341">
        <v>0.93</v>
      </c>
      <c r="M2341" t="s">
        <v>676</v>
      </c>
    </row>
    <row r="2342" spans="1:13">
      <c r="A2342" t="s">
        <v>385</v>
      </c>
      <c r="B2342">
        <v>3793700</v>
      </c>
      <c r="C2342">
        <v>29570</v>
      </c>
      <c r="D2342">
        <v>515088</v>
      </c>
      <c r="E2342">
        <v>4137</v>
      </c>
      <c r="F2342">
        <v>6978</v>
      </c>
      <c r="G2342">
        <v>3594348334</v>
      </c>
      <c r="H2342">
        <v>7.37</v>
      </c>
      <c r="M2342" t="s">
        <v>676</v>
      </c>
    </row>
    <row r="2343" spans="1:13">
      <c r="A2343" t="s">
        <v>386</v>
      </c>
      <c r="B2343">
        <v>5768854</v>
      </c>
      <c r="C2343">
        <v>44533</v>
      </c>
      <c r="D2343">
        <v>0</v>
      </c>
      <c r="E2343">
        <v>0</v>
      </c>
      <c r="F2343">
        <v>0</v>
      </c>
      <c r="G2343">
        <v>0</v>
      </c>
      <c r="H2343">
        <v>0</v>
      </c>
      <c r="M2343" t="s">
        <v>676</v>
      </c>
    </row>
    <row r="2344" spans="1:13">
      <c r="A2344" t="s">
        <v>387</v>
      </c>
      <c r="B2344">
        <v>17095617</v>
      </c>
      <c r="C2344">
        <v>133547</v>
      </c>
      <c r="D2344">
        <v>8199803</v>
      </c>
      <c r="E2344">
        <v>63297</v>
      </c>
      <c r="F2344">
        <v>6907</v>
      </c>
      <c r="G2344">
        <v>56633977705</v>
      </c>
      <c r="H2344">
        <v>2.08</v>
      </c>
      <c r="M2344" t="s">
        <v>676</v>
      </c>
    </row>
    <row r="2346" spans="1:13">
      <c r="M2346" t="s">
        <v>677</v>
      </c>
    </row>
    <row r="2347" spans="1:13">
      <c r="A2347" t="s">
        <v>373</v>
      </c>
      <c r="B2347" t="s">
        <v>389</v>
      </c>
      <c r="C2347" t="s">
        <v>390</v>
      </c>
      <c r="D2347" t="s">
        <v>391</v>
      </c>
      <c r="M2347" t="s">
        <v>677</v>
      </c>
    </row>
    <row r="2348" spans="1:13">
      <c r="A2348" t="s">
        <v>382</v>
      </c>
      <c r="B2348">
        <v>2664296</v>
      </c>
      <c r="C2348">
        <v>20529</v>
      </c>
      <c r="D2348">
        <v>16.8</v>
      </c>
      <c r="M2348" t="s">
        <v>677</v>
      </c>
    </row>
    <row r="2349" spans="1:13">
      <c r="A2349" t="s">
        <v>383</v>
      </c>
      <c r="B2349">
        <v>2895505</v>
      </c>
      <c r="C2349">
        <v>22075</v>
      </c>
      <c r="D2349">
        <v>15.1</v>
      </c>
      <c r="M2349" t="s">
        <v>677</v>
      </c>
    </row>
    <row r="2350" spans="1:13">
      <c r="A2350" t="s">
        <v>384</v>
      </c>
      <c r="B2350">
        <v>3609557</v>
      </c>
      <c r="C2350">
        <v>27583</v>
      </c>
      <c r="D2350">
        <v>12.5</v>
      </c>
      <c r="M2350" t="s">
        <v>677</v>
      </c>
    </row>
    <row r="2351" spans="1:13">
      <c r="A2351" t="s">
        <v>385</v>
      </c>
      <c r="B2351">
        <v>4586468</v>
      </c>
      <c r="C2351">
        <v>34822</v>
      </c>
      <c r="D2351">
        <v>106.9</v>
      </c>
      <c r="M2351" t="s">
        <v>677</v>
      </c>
    </row>
    <row r="2353" spans="1:13">
      <c r="M2353" t="s">
        <v>678</v>
      </c>
    </row>
    <row r="2354" spans="1:13">
      <c r="A2354" t="s">
        <v>373</v>
      </c>
      <c r="B2354" t="s">
        <v>374</v>
      </c>
      <c r="C2354" t="s">
        <v>375</v>
      </c>
      <c r="D2354" t="s">
        <v>376</v>
      </c>
      <c r="E2354" t="s">
        <v>377</v>
      </c>
      <c r="F2354" t="s">
        <v>378</v>
      </c>
      <c r="G2354" t="s">
        <v>379</v>
      </c>
      <c r="H2354" t="s">
        <v>380</v>
      </c>
      <c r="M2354" t="s">
        <v>678</v>
      </c>
    </row>
    <row r="2355" spans="1:13">
      <c r="A2355" t="s">
        <v>383</v>
      </c>
      <c r="B2355">
        <v>584350</v>
      </c>
      <c r="C2355">
        <v>4616</v>
      </c>
      <c r="D2355">
        <v>1095447</v>
      </c>
      <c r="E2355">
        <v>9343</v>
      </c>
      <c r="F2355">
        <v>9161</v>
      </c>
      <c r="G2355">
        <v>10035738323</v>
      </c>
      <c r="H2355">
        <v>0.53</v>
      </c>
      <c r="M2355" t="s">
        <v>678</v>
      </c>
    </row>
    <row r="2356" spans="1:13">
      <c r="A2356" t="s">
        <v>384</v>
      </c>
      <c r="B2356">
        <v>2114344</v>
      </c>
      <c r="C2356">
        <v>18158</v>
      </c>
      <c r="D2356">
        <v>1610651</v>
      </c>
      <c r="E2356">
        <v>13877</v>
      </c>
      <c r="F2356">
        <v>9579</v>
      </c>
      <c r="G2356">
        <v>15428667509</v>
      </c>
      <c r="H2356">
        <v>1.31</v>
      </c>
      <c r="M2356" t="s">
        <v>678</v>
      </c>
    </row>
    <row r="2357" spans="1:13">
      <c r="A2357" t="s">
        <v>387</v>
      </c>
      <c r="B2357">
        <v>2698694</v>
      </c>
      <c r="C2357">
        <v>22774</v>
      </c>
      <c r="D2357">
        <v>2706098</v>
      </c>
      <c r="E2357">
        <v>23220</v>
      </c>
      <c r="F2357">
        <v>9410</v>
      </c>
      <c r="G2357">
        <v>25464405832</v>
      </c>
      <c r="H2357">
        <v>1</v>
      </c>
      <c r="M2357" t="s">
        <v>678</v>
      </c>
    </row>
    <row r="2359" spans="1:13">
      <c r="M2359" t="s">
        <v>679</v>
      </c>
    </row>
    <row r="2360" spans="1:13">
      <c r="A2360" t="s">
        <v>373</v>
      </c>
      <c r="B2360" t="s">
        <v>389</v>
      </c>
      <c r="C2360" t="s">
        <v>390</v>
      </c>
      <c r="D2360" t="s">
        <v>391</v>
      </c>
      <c r="E2360" t="s">
        <v>406</v>
      </c>
      <c r="M2360" t="s">
        <v>679</v>
      </c>
    </row>
    <row r="2361" spans="1:13">
      <c r="A2361" t="s">
        <v>383</v>
      </c>
      <c r="B2361">
        <v>1619429</v>
      </c>
      <c r="C2361">
        <v>14097</v>
      </c>
      <c r="D2361">
        <v>14.3</v>
      </c>
      <c r="E2361">
        <v>14.4</v>
      </c>
      <c r="M2361" t="s">
        <v>679</v>
      </c>
    </row>
    <row r="2362" spans="1:13">
      <c r="A2362" t="s">
        <v>384</v>
      </c>
      <c r="B2362">
        <v>2078721</v>
      </c>
      <c r="C2362">
        <v>18039</v>
      </c>
      <c r="D2362">
        <v>15.5</v>
      </c>
      <c r="E2362">
        <v>31</v>
      </c>
      <c r="M2362" t="s">
        <v>679</v>
      </c>
    </row>
    <row r="2364" spans="1:13">
      <c r="M2364" t="s">
        <v>680</v>
      </c>
    </row>
    <row r="2365" spans="1:13">
      <c r="A2365" t="s">
        <v>373</v>
      </c>
      <c r="B2365" t="s">
        <v>374</v>
      </c>
      <c r="C2365" t="s">
        <v>375</v>
      </c>
      <c r="D2365" t="s">
        <v>376</v>
      </c>
      <c r="E2365" t="s">
        <v>377</v>
      </c>
      <c r="F2365" t="s">
        <v>378</v>
      </c>
      <c r="G2365" t="s">
        <v>379</v>
      </c>
      <c r="H2365" t="s">
        <v>380</v>
      </c>
      <c r="M2365" t="s">
        <v>680</v>
      </c>
    </row>
    <row r="2366" spans="1:13">
      <c r="A2366" t="s">
        <v>383</v>
      </c>
      <c r="B2366">
        <v>1144508</v>
      </c>
      <c r="C2366">
        <v>8812</v>
      </c>
      <c r="D2366">
        <v>1619907</v>
      </c>
      <c r="E2366">
        <v>12683</v>
      </c>
      <c r="F2366">
        <v>5922</v>
      </c>
      <c r="G2366">
        <v>9593189656</v>
      </c>
      <c r="H2366">
        <v>0.71</v>
      </c>
      <c r="M2366" t="s">
        <v>680</v>
      </c>
    </row>
    <row r="2367" spans="1:13">
      <c r="A2367" t="s">
        <v>384</v>
      </c>
      <c r="B2367">
        <v>2633372</v>
      </c>
      <c r="C2367">
        <v>20871</v>
      </c>
      <c r="D2367">
        <v>2479678</v>
      </c>
      <c r="E2367">
        <v>19733</v>
      </c>
      <c r="F2367">
        <v>5908</v>
      </c>
      <c r="G2367">
        <v>14650116830</v>
      </c>
      <c r="H2367">
        <v>1.06</v>
      </c>
      <c r="M2367" t="s">
        <v>680</v>
      </c>
    </row>
    <row r="2368" spans="1:13">
      <c r="A2368" t="s">
        <v>385</v>
      </c>
      <c r="B2368">
        <v>3679423</v>
      </c>
      <c r="C2368">
        <v>29328</v>
      </c>
      <c r="D2368">
        <v>3120345</v>
      </c>
      <c r="E2368">
        <v>24696</v>
      </c>
      <c r="F2368">
        <v>6164</v>
      </c>
      <c r="G2368">
        <v>19232845995</v>
      </c>
      <c r="H2368">
        <v>1.18</v>
      </c>
      <c r="M2368" t="s">
        <v>680</v>
      </c>
    </row>
    <row r="2369" spans="1:13">
      <c r="A2369" t="s">
        <v>386</v>
      </c>
      <c r="B2369">
        <v>3260565</v>
      </c>
      <c r="C2369">
        <v>26284</v>
      </c>
      <c r="D2369">
        <v>3010456</v>
      </c>
      <c r="E2369">
        <v>24368</v>
      </c>
      <c r="F2369">
        <v>6116</v>
      </c>
      <c r="G2369">
        <v>18411858288</v>
      </c>
      <c r="H2369">
        <v>1.08</v>
      </c>
      <c r="M2369" t="s">
        <v>680</v>
      </c>
    </row>
    <row r="2370" spans="1:13">
      <c r="A2370" t="s">
        <v>393</v>
      </c>
      <c r="B2370">
        <v>4503886</v>
      </c>
      <c r="C2370">
        <v>37118</v>
      </c>
      <c r="D2370">
        <v>3026910</v>
      </c>
      <c r="E2370">
        <v>25553</v>
      </c>
      <c r="F2370">
        <v>6342</v>
      </c>
      <c r="G2370">
        <v>19197465325</v>
      </c>
      <c r="H2370">
        <v>1.49</v>
      </c>
      <c r="M2370" t="s">
        <v>680</v>
      </c>
    </row>
    <row r="2371" spans="1:13">
      <c r="A2371" t="s">
        <v>435</v>
      </c>
      <c r="B2371">
        <v>3423467</v>
      </c>
      <c r="C2371">
        <v>29125</v>
      </c>
      <c r="D2371">
        <v>4291240</v>
      </c>
      <c r="E2371">
        <v>35522</v>
      </c>
      <c r="F2371">
        <v>4750</v>
      </c>
      <c r="G2371">
        <v>20384756287</v>
      </c>
      <c r="H2371">
        <v>0.8</v>
      </c>
      <c r="M2371" t="s">
        <v>680</v>
      </c>
    </row>
    <row r="2372" spans="1:13">
      <c r="A2372" t="s">
        <v>387</v>
      </c>
      <c r="B2372">
        <v>18645221</v>
      </c>
      <c r="C2372">
        <v>151538</v>
      </c>
      <c r="D2372">
        <v>17548537</v>
      </c>
      <c r="E2372">
        <v>142555</v>
      </c>
      <c r="F2372">
        <v>5782</v>
      </c>
      <c r="G2372">
        <v>101470232381</v>
      </c>
      <c r="H2372">
        <v>1.06</v>
      </c>
      <c r="M2372" t="s">
        <v>680</v>
      </c>
    </row>
    <row r="2374" spans="1:13">
      <c r="M2374" t="s">
        <v>681</v>
      </c>
    </row>
    <row r="2375" spans="1:13">
      <c r="A2375" t="s">
        <v>373</v>
      </c>
      <c r="B2375" t="s">
        <v>389</v>
      </c>
      <c r="C2375" t="s">
        <v>390</v>
      </c>
      <c r="D2375" t="s">
        <v>391</v>
      </c>
      <c r="M2375" t="s">
        <v>681</v>
      </c>
    </row>
    <row r="2376" spans="1:13">
      <c r="A2376" t="s">
        <v>383</v>
      </c>
      <c r="B2376">
        <v>4051252</v>
      </c>
      <c r="C2376">
        <v>32699</v>
      </c>
      <c r="D2376">
        <v>30</v>
      </c>
      <c r="M2376" t="s">
        <v>681</v>
      </c>
    </row>
    <row r="2377" spans="1:13">
      <c r="A2377" t="s">
        <v>384</v>
      </c>
      <c r="B2377">
        <v>4435433</v>
      </c>
      <c r="C2377">
        <v>35842</v>
      </c>
      <c r="D2377">
        <v>21.5</v>
      </c>
      <c r="M2377" t="s">
        <v>681</v>
      </c>
    </row>
    <row r="2378" spans="1:13">
      <c r="A2378" t="s">
        <v>385</v>
      </c>
      <c r="B2378">
        <v>4212673</v>
      </c>
      <c r="C2378">
        <v>34193</v>
      </c>
      <c r="D2378">
        <v>16.2</v>
      </c>
      <c r="M2378" t="s">
        <v>681</v>
      </c>
    </row>
    <row r="2380" spans="1:13">
      <c r="M2380" t="s">
        <v>682</v>
      </c>
    </row>
    <row r="2381" spans="1:13">
      <c r="A2381" t="s">
        <v>373</v>
      </c>
      <c r="B2381" t="s">
        <v>374</v>
      </c>
      <c r="C2381" t="s">
        <v>375</v>
      </c>
      <c r="D2381" t="s">
        <v>376</v>
      </c>
      <c r="E2381" t="s">
        <v>377</v>
      </c>
      <c r="F2381" t="s">
        <v>378</v>
      </c>
      <c r="G2381" t="s">
        <v>379</v>
      </c>
      <c r="H2381" t="s">
        <v>380</v>
      </c>
      <c r="M2381" t="s">
        <v>682</v>
      </c>
    </row>
    <row r="2382" spans="1:13">
      <c r="A2382" t="s">
        <v>381</v>
      </c>
      <c r="B2382">
        <v>29116</v>
      </c>
      <c r="C2382">
        <v>240</v>
      </c>
      <c r="D2382">
        <v>20984</v>
      </c>
      <c r="E2382">
        <v>203</v>
      </c>
      <c r="F2382">
        <v>13304</v>
      </c>
      <c r="G2382">
        <v>279172133</v>
      </c>
      <c r="H2382">
        <v>1.39</v>
      </c>
      <c r="M2382" t="s">
        <v>682</v>
      </c>
    </row>
    <row r="2383" spans="1:13">
      <c r="A2383" t="s">
        <v>382</v>
      </c>
      <c r="B2383">
        <v>360805</v>
      </c>
      <c r="C2383">
        <v>3391</v>
      </c>
      <c r="D2383">
        <v>382668</v>
      </c>
      <c r="E2383">
        <v>3470</v>
      </c>
      <c r="F2383">
        <v>18798</v>
      </c>
      <c r="G2383">
        <v>7193340235</v>
      </c>
      <c r="H2383">
        <v>0.94</v>
      </c>
      <c r="M2383" t="s">
        <v>682</v>
      </c>
    </row>
    <row r="2384" spans="1:13">
      <c r="A2384" t="s">
        <v>383</v>
      </c>
      <c r="B2384">
        <v>601520</v>
      </c>
      <c r="C2384">
        <v>5880</v>
      </c>
      <c r="D2384">
        <v>522307</v>
      </c>
      <c r="E2384">
        <v>5025</v>
      </c>
      <c r="F2384">
        <v>17445</v>
      </c>
      <c r="G2384">
        <v>9111717114</v>
      </c>
      <c r="H2384">
        <v>1.1499999999999999</v>
      </c>
      <c r="M2384" t="s">
        <v>682</v>
      </c>
    </row>
    <row r="2385" spans="1:13">
      <c r="A2385" t="s">
        <v>384</v>
      </c>
      <c r="B2385">
        <v>1059274</v>
      </c>
      <c r="C2385">
        <v>9940</v>
      </c>
      <c r="D2385">
        <v>849410</v>
      </c>
      <c r="E2385">
        <v>7667</v>
      </c>
      <c r="F2385">
        <v>18449</v>
      </c>
      <c r="G2385">
        <v>15670531531</v>
      </c>
      <c r="H2385">
        <v>1.25</v>
      </c>
      <c r="M2385" t="s">
        <v>682</v>
      </c>
    </row>
    <row r="2386" spans="1:13">
      <c r="A2386" t="s">
        <v>385</v>
      </c>
      <c r="B2386">
        <v>1016490</v>
      </c>
      <c r="C2386">
        <v>9653</v>
      </c>
      <c r="D2386">
        <v>740147</v>
      </c>
      <c r="E2386">
        <v>7165</v>
      </c>
      <c r="F2386">
        <v>15386</v>
      </c>
      <c r="G2386">
        <v>11387878923</v>
      </c>
      <c r="H2386">
        <v>1.37</v>
      </c>
      <c r="M2386" t="s">
        <v>682</v>
      </c>
    </row>
    <row r="2387" spans="1:13">
      <c r="A2387" t="s">
        <v>386</v>
      </c>
      <c r="B2387">
        <v>405680</v>
      </c>
      <c r="C2387">
        <v>3777</v>
      </c>
      <c r="D2387">
        <v>473586</v>
      </c>
      <c r="E2387">
        <v>4317</v>
      </c>
      <c r="F2387">
        <v>13048</v>
      </c>
      <c r="G2387">
        <v>6179322586</v>
      </c>
      <c r="H2387">
        <v>0.86</v>
      </c>
      <c r="M2387" t="s">
        <v>682</v>
      </c>
    </row>
    <row r="2388" spans="1:13">
      <c r="A2388" t="s">
        <v>387</v>
      </c>
      <c r="B2388">
        <v>3472885</v>
      </c>
      <c r="C2388">
        <v>32881</v>
      </c>
      <c r="D2388">
        <v>2989102</v>
      </c>
      <c r="E2388">
        <v>27847</v>
      </c>
      <c r="F2388">
        <v>16668</v>
      </c>
      <c r="G2388">
        <v>49821962522</v>
      </c>
      <c r="H2388">
        <v>1.1599999999999999</v>
      </c>
      <c r="M2388" t="s">
        <v>682</v>
      </c>
    </row>
    <row r="2390" spans="1:13">
      <c r="M2390" t="s">
        <v>683</v>
      </c>
    </row>
    <row r="2391" spans="1:13">
      <c r="A2391" t="s">
        <v>373</v>
      </c>
      <c r="B2391" t="s">
        <v>389</v>
      </c>
      <c r="C2391" t="s">
        <v>390</v>
      </c>
      <c r="D2391" t="s">
        <v>391</v>
      </c>
      <c r="M2391" t="s">
        <v>683</v>
      </c>
    </row>
    <row r="2392" spans="1:13">
      <c r="A2392" t="s">
        <v>381</v>
      </c>
      <c r="B2392">
        <v>780705</v>
      </c>
      <c r="C2392">
        <v>7480</v>
      </c>
      <c r="D2392">
        <v>23.8</v>
      </c>
      <c r="M2392" t="s">
        <v>683</v>
      </c>
    </row>
    <row r="2393" spans="1:13">
      <c r="A2393" t="s">
        <v>382</v>
      </c>
      <c r="B2393">
        <v>767045</v>
      </c>
      <c r="C2393">
        <v>7406</v>
      </c>
      <c r="D2393">
        <v>24.1</v>
      </c>
      <c r="M2393" t="s">
        <v>683</v>
      </c>
    </row>
    <row r="2394" spans="1:13">
      <c r="A2394" t="s">
        <v>383</v>
      </c>
      <c r="B2394">
        <v>735241</v>
      </c>
      <c r="C2394">
        <v>6998</v>
      </c>
      <c r="D2394">
        <v>16.899999999999999</v>
      </c>
      <c r="M2394" t="s">
        <v>683</v>
      </c>
    </row>
    <row r="2395" spans="1:13">
      <c r="A2395" t="s">
        <v>384</v>
      </c>
      <c r="B2395">
        <v>649989</v>
      </c>
      <c r="C2395">
        <v>6147</v>
      </c>
      <c r="D2395">
        <v>9.1999999999999993</v>
      </c>
      <c r="M2395" t="s">
        <v>683</v>
      </c>
    </row>
    <row r="2396" spans="1:13">
      <c r="A2396" t="s">
        <v>385</v>
      </c>
      <c r="B2396">
        <v>555104</v>
      </c>
      <c r="C2396">
        <v>5080</v>
      </c>
      <c r="D2396">
        <v>9</v>
      </c>
      <c r="M2396" t="s">
        <v>683</v>
      </c>
    </row>
    <row r="2397" spans="1:13">
      <c r="A2397" t="s">
        <v>386</v>
      </c>
      <c r="B2397">
        <v>504297</v>
      </c>
      <c r="C2397">
        <v>4844</v>
      </c>
      <c r="D2397">
        <v>12.8</v>
      </c>
      <c r="M2397" t="s">
        <v>683</v>
      </c>
    </row>
    <row r="2399" spans="1:13">
      <c r="M2399" t="s">
        <v>684</v>
      </c>
    </row>
    <row r="2400" spans="1:13">
      <c r="A2400" t="s">
        <v>373</v>
      </c>
      <c r="B2400" t="s">
        <v>374</v>
      </c>
      <c r="C2400" t="s">
        <v>375</v>
      </c>
      <c r="D2400" t="s">
        <v>376</v>
      </c>
      <c r="E2400" t="s">
        <v>377</v>
      </c>
      <c r="F2400" t="s">
        <v>378</v>
      </c>
      <c r="G2400" t="s">
        <v>379</v>
      </c>
      <c r="H2400" t="s">
        <v>380</v>
      </c>
      <c r="M2400" t="s">
        <v>684</v>
      </c>
    </row>
    <row r="2401" spans="1:13">
      <c r="A2401" t="s">
        <v>381</v>
      </c>
      <c r="B2401">
        <v>61268</v>
      </c>
      <c r="C2401">
        <v>474</v>
      </c>
      <c r="D2401">
        <v>70346</v>
      </c>
      <c r="E2401">
        <v>600</v>
      </c>
      <c r="F2401">
        <v>9399</v>
      </c>
      <c r="G2401">
        <v>661190568</v>
      </c>
      <c r="H2401">
        <v>0.87</v>
      </c>
      <c r="M2401" t="s">
        <v>684</v>
      </c>
    </row>
    <row r="2402" spans="1:13">
      <c r="A2402" t="s">
        <v>382</v>
      </c>
      <c r="B2402">
        <v>1333733</v>
      </c>
      <c r="C2402">
        <v>11848</v>
      </c>
      <c r="D2402">
        <v>1251994</v>
      </c>
      <c r="E2402">
        <v>10665</v>
      </c>
      <c r="F2402">
        <v>9539</v>
      </c>
      <c r="G2402">
        <v>11943292172</v>
      </c>
      <c r="H2402">
        <v>1.07</v>
      </c>
      <c r="M2402" t="s">
        <v>684</v>
      </c>
    </row>
    <row r="2403" spans="1:13">
      <c r="A2403" t="s">
        <v>383</v>
      </c>
      <c r="B2403">
        <v>1579026</v>
      </c>
      <c r="C2403">
        <v>14385</v>
      </c>
      <c r="D2403">
        <v>1082045</v>
      </c>
      <c r="E2403">
        <v>9619</v>
      </c>
      <c r="F2403">
        <v>10509</v>
      </c>
      <c r="G2403">
        <v>11371275073</v>
      </c>
      <c r="H2403">
        <v>1.46</v>
      </c>
      <c r="M2403" t="s">
        <v>684</v>
      </c>
    </row>
    <row r="2404" spans="1:13">
      <c r="A2404" t="s">
        <v>384</v>
      </c>
      <c r="B2404">
        <v>3050160</v>
      </c>
      <c r="C2404">
        <v>26791</v>
      </c>
      <c r="D2404">
        <v>2106799</v>
      </c>
      <c r="E2404">
        <v>18459</v>
      </c>
      <c r="F2404">
        <v>9378</v>
      </c>
      <c r="G2404">
        <v>19757835264</v>
      </c>
      <c r="H2404">
        <v>1.45</v>
      </c>
      <c r="M2404" t="s">
        <v>684</v>
      </c>
    </row>
    <row r="2405" spans="1:13">
      <c r="A2405" t="s">
        <v>385</v>
      </c>
      <c r="B2405">
        <v>3789618</v>
      </c>
      <c r="C2405">
        <v>32516</v>
      </c>
      <c r="D2405">
        <v>3856620</v>
      </c>
      <c r="E2405">
        <v>33948</v>
      </c>
      <c r="F2405">
        <v>8469</v>
      </c>
      <c r="G2405">
        <v>32663395318</v>
      </c>
      <c r="H2405">
        <v>0.98</v>
      </c>
      <c r="M2405" t="s">
        <v>684</v>
      </c>
    </row>
    <row r="2406" spans="1:13">
      <c r="A2406" t="s">
        <v>386</v>
      </c>
      <c r="B2406">
        <v>4883235</v>
      </c>
      <c r="C2406">
        <v>42394</v>
      </c>
      <c r="D2406">
        <v>2899438</v>
      </c>
      <c r="E2406">
        <v>25435</v>
      </c>
      <c r="F2406">
        <v>8506</v>
      </c>
      <c r="G2406">
        <v>24661224463</v>
      </c>
      <c r="H2406">
        <v>1.68</v>
      </c>
      <c r="M2406" t="s">
        <v>684</v>
      </c>
    </row>
    <row r="2407" spans="1:13">
      <c r="A2407" t="s">
        <v>387</v>
      </c>
      <c r="B2407">
        <v>14697041</v>
      </c>
      <c r="C2407">
        <v>128408</v>
      </c>
      <c r="D2407">
        <v>11267242</v>
      </c>
      <c r="E2407">
        <v>98726</v>
      </c>
      <c r="F2407">
        <v>8969</v>
      </c>
      <c r="G2407">
        <v>101058212857</v>
      </c>
      <c r="H2407">
        <v>1.3</v>
      </c>
      <c r="M2407" t="s">
        <v>684</v>
      </c>
    </row>
    <row r="2409" spans="1:13">
      <c r="M2409" t="s">
        <v>685</v>
      </c>
    </row>
    <row r="2410" spans="1:13">
      <c r="A2410" t="s">
        <v>373</v>
      </c>
      <c r="B2410" t="s">
        <v>389</v>
      </c>
      <c r="C2410" t="s">
        <v>390</v>
      </c>
      <c r="D2410" t="s">
        <v>391</v>
      </c>
      <c r="M2410" t="s">
        <v>685</v>
      </c>
    </row>
    <row r="2411" spans="1:13">
      <c r="A2411" t="s">
        <v>382</v>
      </c>
      <c r="B2411">
        <v>2677875</v>
      </c>
      <c r="C2411">
        <v>22425</v>
      </c>
      <c r="D2411">
        <v>25.7</v>
      </c>
      <c r="M2411" t="s">
        <v>685</v>
      </c>
    </row>
    <row r="2412" spans="1:13">
      <c r="A2412" t="s">
        <v>383</v>
      </c>
      <c r="B2412">
        <v>3305126</v>
      </c>
      <c r="C2412">
        <v>28115</v>
      </c>
      <c r="D2412">
        <v>36.700000000000003</v>
      </c>
      <c r="M2412" t="s">
        <v>685</v>
      </c>
    </row>
    <row r="2413" spans="1:13">
      <c r="A2413" t="s">
        <v>384</v>
      </c>
      <c r="B2413">
        <v>3205457</v>
      </c>
      <c r="C2413">
        <v>26953</v>
      </c>
      <c r="D2413">
        <v>18.3</v>
      </c>
      <c r="M2413" t="s">
        <v>685</v>
      </c>
    </row>
    <row r="2415" spans="1:13">
      <c r="M2415" t="s">
        <v>686</v>
      </c>
    </row>
    <row r="2416" spans="1:13">
      <c r="A2416" t="s">
        <v>373</v>
      </c>
      <c r="B2416" t="s">
        <v>374</v>
      </c>
      <c r="C2416" t="s">
        <v>375</v>
      </c>
      <c r="D2416" t="s">
        <v>376</v>
      </c>
      <c r="E2416" t="s">
        <v>377</v>
      </c>
      <c r="F2416" t="s">
        <v>378</v>
      </c>
      <c r="G2416" t="s">
        <v>379</v>
      </c>
      <c r="H2416" t="s">
        <v>380</v>
      </c>
      <c r="M2416" t="s">
        <v>686</v>
      </c>
    </row>
    <row r="2417" spans="1:13">
      <c r="A2417" t="s">
        <v>381</v>
      </c>
      <c r="B2417">
        <v>625051</v>
      </c>
      <c r="C2417">
        <v>4255</v>
      </c>
      <c r="D2417">
        <v>759692</v>
      </c>
      <c r="E2417">
        <v>5537</v>
      </c>
      <c r="F2417">
        <v>19108</v>
      </c>
      <c r="G2417">
        <v>14516384276</v>
      </c>
      <c r="H2417">
        <v>0.82</v>
      </c>
      <c r="M2417" t="s">
        <v>686</v>
      </c>
    </row>
    <row r="2418" spans="1:13">
      <c r="A2418" t="s">
        <v>382</v>
      </c>
      <c r="B2418">
        <v>10813001</v>
      </c>
      <c r="C2418">
        <v>81773</v>
      </c>
      <c r="D2418">
        <v>10635690</v>
      </c>
      <c r="E2418">
        <v>78994</v>
      </c>
      <c r="F2418">
        <v>18151</v>
      </c>
      <c r="G2418">
        <v>193052890999</v>
      </c>
      <c r="H2418">
        <v>1.02</v>
      </c>
      <c r="M2418" t="s">
        <v>686</v>
      </c>
    </row>
    <row r="2419" spans="1:13">
      <c r="A2419" t="s">
        <v>383</v>
      </c>
      <c r="B2419">
        <v>10687324</v>
      </c>
      <c r="C2419">
        <v>80447</v>
      </c>
      <c r="D2419">
        <v>9135616</v>
      </c>
      <c r="E2419">
        <v>68170</v>
      </c>
      <c r="F2419">
        <v>16934</v>
      </c>
      <c r="G2419">
        <v>154699498529</v>
      </c>
      <c r="H2419">
        <v>1.17</v>
      </c>
      <c r="M2419" t="s">
        <v>686</v>
      </c>
    </row>
    <row r="2420" spans="1:13">
      <c r="A2420" t="s">
        <v>384</v>
      </c>
      <c r="B2420">
        <v>12206623</v>
      </c>
      <c r="C2420">
        <v>94183</v>
      </c>
      <c r="D2420">
        <v>13034627</v>
      </c>
      <c r="E2420">
        <v>101824</v>
      </c>
      <c r="F2420">
        <v>14364</v>
      </c>
      <c r="G2420">
        <v>187229611355</v>
      </c>
      <c r="H2420">
        <v>0.94</v>
      </c>
      <c r="M2420" t="s">
        <v>686</v>
      </c>
    </row>
    <row r="2421" spans="1:13">
      <c r="A2421" t="s">
        <v>385</v>
      </c>
      <c r="B2421">
        <v>9885045</v>
      </c>
      <c r="C2421">
        <v>80203</v>
      </c>
      <c r="D2421">
        <v>10471904</v>
      </c>
      <c r="E2421">
        <v>84427</v>
      </c>
      <c r="F2421">
        <v>15205</v>
      </c>
      <c r="G2421">
        <v>159224056222</v>
      </c>
      <c r="H2421">
        <v>0.94</v>
      </c>
      <c r="M2421" t="s">
        <v>686</v>
      </c>
    </row>
    <row r="2422" spans="1:13">
      <c r="A2422" t="s">
        <v>386</v>
      </c>
      <c r="B2422">
        <v>11394587</v>
      </c>
      <c r="C2422">
        <v>90678</v>
      </c>
      <c r="D2422">
        <v>12555808</v>
      </c>
      <c r="E2422">
        <v>101777</v>
      </c>
      <c r="F2422">
        <v>13968</v>
      </c>
      <c r="G2422">
        <v>175374779110</v>
      </c>
      <c r="H2422">
        <v>0.91</v>
      </c>
      <c r="M2422" t="s">
        <v>686</v>
      </c>
    </row>
    <row r="2423" spans="1:13">
      <c r="A2423" t="s">
        <v>387</v>
      </c>
      <c r="B2423">
        <v>55611630</v>
      </c>
      <c r="C2423">
        <v>431539</v>
      </c>
      <c r="D2423">
        <v>56593336</v>
      </c>
      <c r="E2423">
        <v>440729</v>
      </c>
      <c r="F2423">
        <v>15622</v>
      </c>
      <c r="G2423">
        <v>884097220491</v>
      </c>
      <c r="H2423">
        <v>0.98</v>
      </c>
      <c r="M2423" t="s">
        <v>686</v>
      </c>
    </row>
    <row r="2425" spans="1:13">
      <c r="M2425" t="s">
        <v>687</v>
      </c>
    </row>
    <row r="2426" spans="1:13">
      <c r="A2426" t="s">
        <v>373</v>
      </c>
      <c r="B2426" t="s">
        <v>389</v>
      </c>
      <c r="C2426" t="s">
        <v>390</v>
      </c>
      <c r="D2426" t="s">
        <v>391</v>
      </c>
      <c r="E2426" t="s">
        <v>406</v>
      </c>
      <c r="M2426" t="s">
        <v>687</v>
      </c>
    </row>
    <row r="2427" spans="1:13">
      <c r="A2427" t="s">
        <v>381</v>
      </c>
      <c r="B2427">
        <v>10776416</v>
      </c>
      <c r="C2427">
        <v>84520</v>
      </c>
      <c r="D2427">
        <v>13.6</v>
      </c>
      <c r="E2427">
        <v>14.7</v>
      </c>
      <c r="M2427" t="s">
        <v>687</v>
      </c>
    </row>
    <row r="2428" spans="1:13">
      <c r="A2428" t="s">
        <v>382</v>
      </c>
      <c r="B2428">
        <v>6853100</v>
      </c>
      <c r="C2428">
        <v>53852</v>
      </c>
      <c r="D2428">
        <v>8.8000000000000007</v>
      </c>
      <c r="E2428">
        <v>9.5</v>
      </c>
      <c r="M2428" t="s">
        <v>687</v>
      </c>
    </row>
    <row r="2429" spans="1:13">
      <c r="A2429" t="s">
        <v>383</v>
      </c>
      <c r="B2429">
        <v>9699649</v>
      </c>
      <c r="C2429">
        <v>78670</v>
      </c>
      <c r="D2429">
        <v>14.8</v>
      </c>
      <c r="E2429">
        <v>13.6</v>
      </c>
      <c r="M2429" t="s">
        <v>687</v>
      </c>
    </row>
    <row r="2430" spans="1:13">
      <c r="A2430" t="s">
        <v>384</v>
      </c>
      <c r="B2430">
        <v>8238867</v>
      </c>
      <c r="C2430">
        <v>67227</v>
      </c>
      <c r="D2430">
        <v>10.6</v>
      </c>
      <c r="E2430">
        <v>10</v>
      </c>
      <c r="M2430" t="s">
        <v>687</v>
      </c>
    </row>
    <row r="2431" spans="1:13">
      <c r="A2431" t="s">
        <v>385</v>
      </c>
      <c r="B2431">
        <v>6895403</v>
      </c>
      <c r="C2431">
        <v>57286</v>
      </c>
      <c r="D2431">
        <v>7.9</v>
      </c>
      <c r="E2431">
        <v>7.2</v>
      </c>
      <c r="M2431" t="s">
        <v>687</v>
      </c>
    </row>
    <row r="2432" spans="1:13">
      <c r="A2432" t="s">
        <v>386</v>
      </c>
      <c r="B2432">
        <v>7485390</v>
      </c>
      <c r="C2432">
        <v>64416</v>
      </c>
      <c r="D2432">
        <v>7.2</v>
      </c>
      <c r="E2432">
        <v>6.2</v>
      </c>
      <c r="M2432" t="s">
        <v>687</v>
      </c>
    </row>
    <row r="2434" spans="1:13">
      <c r="M2434" t="s">
        <v>688</v>
      </c>
    </row>
    <row r="2435" spans="1:13">
      <c r="A2435" t="s">
        <v>373</v>
      </c>
      <c r="B2435" t="s">
        <v>374</v>
      </c>
      <c r="C2435" t="s">
        <v>375</v>
      </c>
      <c r="D2435" t="s">
        <v>376</v>
      </c>
      <c r="E2435" t="s">
        <v>377</v>
      </c>
      <c r="F2435" t="s">
        <v>378</v>
      </c>
      <c r="G2435" t="s">
        <v>379</v>
      </c>
      <c r="H2435" t="s">
        <v>380</v>
      </c>
      <c r="M2435" t="s">
        <v>688</v>
      </c>
    </row>
    <row r="2436" spans="1:13">
      <c r="A2436" t="s">
        <v>382</v>
      </c>
      <c r="B2436">
        <v>872119</v>
      </c>
      <c r="C2436">
        <v>8896</v>
      </c>
      <c r="D2436">
        <v>3333504</v>
      </c>
      <c r="E2436">
        <v>32016</v>
      </c>
      <c r="F2436">
        <v>11137</v>
      </c>
      <c r="G2436">
        <v>37124677404</v>
      </c>
      <c r="H2436">
        <v>0.26</v>
      </c>
      <c r="M2436" t="s">
        <v>688</v>
      </c>
    </row>
    <row r="2437" spans="1:13">
      <c r="A2437" t="s">
        <v>383</v>
      </c>
      <c r="B2437">
        <v>2736527</v>
      </c>
      <c r="C2437">
        <v>21991</v>
      </c>
      <c r="D2437">
        <v>5991813</v>
      </c>
      <c r="E2437">
        <v>55396</v>
      </c>
      <c r="F2437">
        <v>11321</v>
      </c>
      <c r="G2437">
        <v>67835439402</v>
      </c>
      <c r="H2437">
        <v>0.46</v>
      </c>
      <c r="M2437" t="s">
        <v>688</v>
      </c>
    </row>
    <row r="2438" spans="1:13">
      <c r="A2438" t="s">
        <v>384</v>
      </c>
      <c r="B2438">
        <v>8756002</v>
      </c>
      <c r="C2438">
        <v>75819</v>
      </c>
      <c r="D2438">
        <v>5142237</v>
      </c>
      <c r="E2438">
        <v>55255</v>
      </c>
      <c r="F2438">
        <v>11307</v>
      </c>
      <c r="G2438">
        <v>58144760956</v>
      </c>
      <c r="H2438">
        <v>1.7</v>
      </c>
      <c r="M2438" t="s">
        <v>688</v>
      </c>
    </row>
    <row r="2439" spans="1:13">
      <c r="A2439" t="s">
        <v>385</v>
      </c>
      <c r="B2439">
        <v>11550761</v>
      </c>
      <c r="C2439">
        <v>103630</v>
      </c>
      <c r="D2439">
        <v>11108964</v>
      </c>
      <c r="E2439">
        <v>108693</v>
      </c>
      <c r="F2439">
        <v>10869</v>
      </c>
      <c r="G2439">
        <v>120741615129</v>
      </c>
      <c r="H2439">
        <v>1.04</v>
      </c>
      <c r="M2439" t="s">
        <v>688</v>
      </c>
    </row>
    <row r="2440" spans="1:13">
      <c r="A2440" t="s">
        <v>386</v>
      </c>
      <c r="B2440">
        <v>14271925</v>
      </c>
      <c r="C2440">
        <v>125670</v>
      </c>
      <c r="D2440">
        <v>7104076</v>
      </c>
      <c r="E2440">
        <v>74165</v>
      </c>
      <c r="F2440">
        <v>11480</v>
      </c>
      <c r="G2440">
        <v>81552655057</v>
      </c>
      <c r="H2440">
        <v>2.0099999999999998</v>
      </c>
      <c r="M2440" t="s">
        <v>688</v>
      </c>
    </row>
    <row r="2441" spans="1:13">
      <c r="A2441" t="s">
        <v>393</v>
      </c>
      <c r="B2441">
        <v>15915132</v>
      </c>
      <c r="C2441">
        <v>150739</v>
      </c>
      <c r="D2441">
        <v>6507510</v>
      </c>
      <c r="E2441">
        <v>69698</v>
      </c>
      <c r="F2441">
        <v>10645</v>
      </c>
      <c r="G2441">
        <v>69271653708</v>
      </c>
      <c r="H2441">
        <v>2.4500000000000002</v>
      </c>
      <c r="M2441" t="s">
        <v>688</v>
      </c>
    </row>
    <row r="2442" spans="1:13">
      <c r="A2442" t="s">
        <v>387</v>
      </c>
      <c r="B2442">
        <v>54102465</v>
      </c>
      <c r="C2442">
        <v>486745</v>
      </c>
      <c r="D2442">
        <v>39188104</v>
      </c>
      <c r="E2442">
        <v>395223</v>
      </c>
      <c r="F2442">
        <v>11092</v>
      </c>
      <c r="G2442">
        <v>434670801657</v>
      </c>
      <c r="H2442">
        <v>1.38</v>
      </c>
      <c r="M2442" t="s">
        <v>688</v>
      </c>
    </row>
    <row r="2444" spans="1:13">
      <c r="M2444" t="s">
        <v>689</v>
      </c>
    </row>
    <row r="2445" spans="1:13">
      <c r="A2445" t="s">
        <v>373</v>
      </c>
      <c r="B2445" t="s">
        <v>374</v>
      </c>
      <c r="C2445" t="s">
        <v>375</v>
      </c>
      <c r="D2445" t="s">
        <v>376</v>
      </c>
      <c r="E2445" t="s">
        <v>377</v>
      </c>
      <c r="F2445" t="s">
        <v>378</v>
      </c>
      <c r="G2445" t="s">
        <v>379</v>
      </c>
      <c r="H2445" t="s">
        <v>380</v>
      </c>
      <c r="M2445" t="s">
        <v>689</v>
      </c>
    </row>
    <row r="2446" spans="1:13">
      <c r="A2446" t="s">
        <v>381</v>
      </c>
      <c r="B2446">
        <v>69940</v>
      </c>
      <c r="C2446">
        <v>1347</v>
      </c>
      <c r="D2446">
        <v>55395</v>
      </c>
      <c r="E2446">
        <v>511</v>
      </c>
      <c r="F2446">
        <v>7083</v>
      </c>
      <c r="G2446">
        <v>392358656</v>
      </c>
      <c r="H2446">
        <v>1.26</v>
      </c>
      <c r="M2446" t="s">
        <v>689</v>
      </c>
    </row>
    <row r="2447" spans="1:13">
      <c r="A2447" t="s">
        <v>382</v>
      </c>
      <c r="B2447">
        <v>544875</v>
      </c>
      <c r="C2447">
        <v>6747</v>
      </c>
      <c r="D2447">
        <v>574302</v>
      </c>
      <c r="E2447">
        <v>5426</v>
      </c>
      <c r="F2447">
        <v>7408</v>
      </c>
      <c r="G2447">
        <v>4254549453</v>
      </c>
      <c r="H2447">
        <v>0.95</v>
      </c>
      <c r="M2447" t="s">
        <v>689</v>
      </c>
    </row>
    <row r="2448" spans="1:13">
      <c r="A2448" t="s">
        <v>383</v>
      </c>
      <c r="B2448">
        <v>785100</v>
      </c>
      <c r="C2448">
        <v>8423</v>
      </c>
      <c r="D2448">
        <v>608044</v>
      </c>
      <c r="E2448">
        <v>5841</v>
      </c>
      <c r="F2448">
        <v>7352</v>
      </c>
      <c r="G2448">
        <v>4470143414</v>
      </c>
      <c r="H2448">
        <v>1.29</v>
      </c>
      <c r="M2448" t="s">
        <v>689</v>
      </c>
    </row>
    <row r="2449" spans="1:13">
      <c r="A2449" t="s">
        <v>384</v>
      </c>
      <c r="B2449">
        <v>1370620</v>
      </c>
      <c r="C2449">
        <v>13308</v>
      </c>
      <c r="D2449">
        <v>1440142</v>
      </c>
      <c r="E2449">
        <v>13743</v>
      </c>
      <c r="F2449">
        <v>7605</v>
      </c>
      <c r="G2449">
        <v>10952936890</v>
      </c>
      <c r="H2449">
        <v>0.95</v>
      </c>
      <c r="M2449" t="s">
        <v>689</v>
      </c>
    </row>
    <row r="2450" spans="1:13">
      <c r="A2450" t="s">
        <v>385</v>
      </c>
      <c r="B2450">
        <v>1347499</v>
      </c>
      <c r="C2450">
        <v>13997</v>
      </c>
      <c r="D2450">
        <v>597382</v>
      </c>
      <c r="E2450">
        <v>5658</v>
      </c>
      <c r="F2450">
        <v>7275</v>
      </c>
      <c r="G2450">
        <v>4345666146</v>
      </c>
      <c r="H2450">
        <v>2.2599999999999998</v>
      </c>
      <c r="M2450" t="s">
        <v>689</v>
      </c>
    </row>
    <row r="2451" spans="1:13">
      <c r="A2451" t="s">
        <v>386</v>
      </c>
      <c r="B2451">
        <v>1677331</v>
      </c>
      <c r="C2451">
        <v>15154</v>
      </c>
      <c r="D2451">
        <v>1243401</v>
      </c>
      <c r="E2451">
        <v>11776</v>
      </c>
      <c r="F2451">
        <v>7334</v>
      </c>
      <c r="G2451">
        <v>9118613296</v>
      </c>
      <c r="H2451">
        <v>1.35</v>
      </c>
      <c r="M2451" t="s">
        <v>689</v>
      </c>
    </row>
    <row r="2452" spans="1:13">
      <c r="A2452" t="s">
        <v>387</v>
      </c>
      <c r="B2452">
        <v>5795364</v>
      </c>
      <c r="C2452">
        <v>58976</v>
      </c>
      <c r="D2452">
        <v>4518667</v>
      </c>
      <c r="E2452">
        <v>42955</v>
      </c>
      <c r="F2452">
        <v>7421</v>
      </c>
      <c r="G2452">
        <v>33534267856</v>
      </c>
      <c r="H2452">
        <v>1.28</v>
      </c>
      <c r="M2452" t="s">
        <v>689</v>
      </c>
    </row>
    <row r="2454" spans="1:13">
      <c r="M2454" t="s">
        <v>690</v>
      </c>
    </row>
    <row r="2455" spans="1:13">
      <c r="A2455" t="s">
        <v>373</v>
      </c>
      <c r="B2455" t="s">
        <v>389</v>
      </c>
      <c r="C2455" t="s">
        <v>390</v>
      </c>
      <c r="D2455" t="s">
        <v>391</v>
      </c>
      <c r="M2455" t="s">
        <v>690</v>
      </c>
    </row>
    <row r="2456" spans="1:13">
      <c r="A2456" t="s">
        <v>381</v>
      </c>
      <c r="B2456">
        <v>831135</v>
      </c>
      <c r="C2456">
        <v>7769</v>
      </c>
      <c r="D2456">
        <v>16.600000000000001</v>
      </c>
      <c r="M2456" t="s">
        <v>690</v>
      </c>
    </row>
    <row r="2457" spans="1:13">
      <c r="A2457" t="s">
        <v>382</v>
      </c>
      <c r="B2457">
        <v>888028</v>
      </c>
      <c r="C2457">
        <v>8262</v>
      </c>
      <c r="D2457">
        <v>18.600000000000001</v>
      </c>
      <c r="M2457" t="s">
        <v>690</v>
      </c>
    </row>
    <row r="2458" spans="1:13">
      <c r="A2458" t="s">
        <v>383</v>
      </c>
      <c r="B2458">
        <v>893444</v>
      </c>
      <c r="C2458">
        <v>8093</v>
      </c>
      <c r="D2458">
        <v>17.600000000000001</v>
      </c>
      <c r="M2458" t="s">
        <v>690</v>
      </c>
    </row>
    <row r="2459" spans="1:13">
      <c r="A2459" t="s">
        <v>384</v>
      </c>
      <c r="B2459">
        <v>942116</v>
      </c>
      <c r="C2459">
        <v>8483</v>
      </c>
      <c r="D2459">
        <v>7.9</v>
      </c>
      <c r="M2459" t="s">
        <v>690</v>
      </c>
    </row>
    <row r="2461" spans="1:13">
      <c r="M2461" t="s">
        <v>691</v>
      </c>
    </row>
    <row r="2462" spans="1:13">
      <c r="A2462" t="s">
        <v>373</v>
      </c>
      <c r="B2462" t="s">
        <v>374</v>
      </c>
      <c r="C2462" t="s">
        <v>375</v>
      </c>
      <c r="D2462" t="s">
        <v>376</v>
      </c>
      <c r="E2462" t="s">
        <v>377</v>
      </c>
      <c r="F2462" t="s">
        <v>378</v>
      </c>
      <c r="G2462" t="s">
        <v>379</v>
      </c>
      <c r="H2462" t="s">
        <v>380</v>
      </c>
      <c r="M2462" t="s">
        <v>691</v>
      </c>
    </row>
    <row r="2463" spans="1:13">
      <c r="A2463" t="s">
        <v>382</v>
      </c>
      <c r="B2463">
        <v>4513224</v>
      </c>
      <c r="C2463">
        <v>35311</v>
      </c>
      <c r="D2463">
        <v>3814590</v>
      </c>
      <c r="E2463">
        <v>30724</v>
      </c>
      <c r="F2463">
        <v>7092</v>
      </c>
      <c r="G2463">
        <v>27054600581</v>
      </c>
      <c r="H2463">
        <v>1.18</v>
      </c>
      <c r="M2463" t="s">
        <v>691</v>
      </c>
    </row>
    <row r="2464" spans="1:13">
      <c r="A2464" t="s">
        <v>383</v>
      </c>
      <c r="B2464">
        <v>5426295</v>
      </c>
      <c r="C2464">
        <v>44237</v>
      </c>
      <c r="D2464">
        <v>1349018</v>
      </c>
      <c r="E2464">
        <v>10856</v>
      </c>
      <c r="F2464">
        <v>7177</v>
      </c>
      <c r="G2464">
        <v>9681288898</v>
      </c>
      <c r="H2464">
        <v>4.0199999999999996</v>
      </c>
      <c r="M2464" t="s">
        <v>691</v>
      </c>
    </row>
    <row r="2465" spans="1:13">
      <c r="A2465" t="s">
        <v>384</v>
      </c>
      <c r="B2465">
        <v>8487525</v>
      </c>
      <c r="C2465">
        <v>69872</v>
      </c>
      <c r="D2465">
        <v>0</v>
      </c>
      <c r="E2465">
        <v>0</v>
      </c>
      <c r="F2465">
        <v>0</v>
      </c>
      <c r="G2465">
        <v>0</v>
      </c>
      <c r="H2465">
        <v>0</v>
      </c>
      <c r="M2465" t="s">
        <v>691</v>
      </c>
    </row>
    <row r="2466" spans="1:13">
      <c r="A2466" t="s">
        <v>385</v>
      </c>
      <c r="B2466">
        <v>9601736</v>
      </c>
      <c r="C2466">
        <v>78726</v>
      </c>
      <c r="D2466">
        <v>0</v>
      </c>
      <c r="E2466">
        <v>0</v>
      </c>
      <c r="F2466">
        <v>0</v>
      </c>
      <c r="G2466">
        <v>0</v>
      </c>
      <c r="H2466">
        <v>0</v>
      </c>
      <c r="M2466" t="s">
        <v>691</v>
      </c>
    </row>
    <row r="2467" spans="1:13">
      <c r="A2467" t="s">
        <v>387</v>
      </c>
      <c r="B2467">
        <v>28028781</v>
      </c>
      <c r="C2467">
        <v>228146</v>
      </c>
      <c r="D2467">
        <v>5163608</v>
      </c>
      <c r="E2467">
        <v>41580</v>
      </c>
      <c r="F2467">
        <v>7114</v>
      </c>
      <c r="G2467">
        <v>36735889479</v>
      </c>
      <c r="H2467">
        <v>5.43</v>
      </c>
      <c r="M2467" t="s">
        <v>691</v>
      </c>
    </row>
    <row r="2469" spans="1:13">
      <c r="M2469" t="s">
        <v>692</v>
      </c>
    </row>
    <row r="2470" spans="1:13">
      <c r="A2470" t="s">
        <v>373</v>
      </c>
      <c r="B2470" t="s">
        <v>389</v>
      </c>
      <c r="C2470" t="s">
        <v>390</v>
      </c>
      <c r="D2470" t="s">
        <v>391</v>
      </c>
      <c r="E2470" t="s">
        <v>406</v>
      </c>
      <c r="M2470" t="s">
        <v>692</v>
      </c>
    </row>
    <row r="2471" spans="1:13">
      <c r="A2471" t="s">
        <v>382</v>
      </c>
      <c r="B2471">
        <v>5728968</v>
      </c>
      <c r="C2471">
        <v>49162</v>
      </c>
      <c r="D2471">
        <v>18</v>
      </c>
      <c r="E2471">
        <v>26.6</v>
      </c>
      <c r="M2471" t="s">
        <v>692</v>
      </c>
    </row>
    <row r="2472" spans="1:13">
      <c r="A2472" t="s">
        <v>383</v>
      </c>
      <c r="B2472">
        <v>5497043</v>
      </c>
      <c r="C2472">
        <v>48255</v>
      </c>
      <c r="D2472">
        <v>48.9</v>
      </c>
      <c r="E2472">
        <v>97.8</v>
      </c>
      <c r="M2472" t="s">
        <v>692</v>
      </c>
    </row>
    <row r="2474" spans="1:13">
      <c r="M2474" t="s">
        <v>693</v>
      </c>
    </row>
    <row r="2475" spans="1:13">
      <c r="A2475" t="s">
        <v>373</v>
      </c>
      <c r="B2475" t="s">
        <v>374</v>
      </c>
      <c r="C2475" t="s">
        <v>375</v>
      </c>
      <c r="D2475" t="s">
        <v>376</v>
      </c>
      <c r="E2475" t="s">
        <v>377</v>
      </c>
      <c r="F2475" t="s">
        <v>378</v>
      </c>
      <c r="G2475" t="s">
        <v>379</v>
      </c>
      <c r="H2475" t="s">
        <v>380</v>
      </c>
      <c r="M2475" t="s">
        <v>693</v>
      </c>
    </row>
    <row r="2476" spans="1:13">
      <c r="A2476" t="s">
        <v>382</v>
      </c>
      <c r="B2476">
        <v>777928</v>
      </c>
      <c r="C2476">
        <v>7175</v>
      </c>
      <c r="D2476">
        <v>964855</v>
      </c>
      <c r="E2476">
        <v>8242</v>
      </c>
      <c r="F2476">
        <v>9239</v>
      </c>
      <c r="G2476">
        <v>8914021538</v>
      </c>
      <c r="H2476">
        <v>0.81</v>
      </c>
      <c r="M2476" t="s">
        <v>693</v>
      </c>
    </row>
    <row r="2477" spans="1:13">
      <c r="A2477" t="s">
        <v>383</v>
      </c>
      <c r="B2477">
        <v>672589</v>
      </c>
      <c r="C2477">
        <v>6168</v>
      </c>
      <c r="D2477">
        <v>1365896</v>
      </c>
      <c r="E2477">
        <v>11867</v>
      </c>
      <c r="F2477">
        <v>9546</v>
      </c>
      <c r="G2477">
        <v>13038676244</v>
      </c>
      <c r="H2477">
        <v>0.49</v>
      </c>
      <c r="M2477" t="s">
        <v>693</v>
      </c>
    </row>
    <row r="2478" spans="1:13">
      <c r="A2478" t="s">
        <v>384</v>
      </c>
      <c r="B2478">
        <v>1535240</v>
      </c>
      <c r="C2478">
        <v>13237</v>
      </c>
      <c r="D2478">
        <v>817259</v>
      </c>
      <c r="E2478">
        <v>7249</v>
      </c>
      <c r="F2478">
        <v>10109</v>
      </c>
      <c r="G2478">
        <v>8261654880</v>
      </c>
      <c r="H2478">
        <v>1.88</v>
      </c>
      <c r="M2478" t="s">
        <v>693</v>
      </c>
    </row>
    <row r="2479" spans="1:13">
      <c r="A2479" t="s">
        <v>385</v>
      </c>
      <c r="B2479">
        <v>3687409</v>
      </c>
      <c r="C2479">
        <v>32506</v>
      </c>
      <c r="D2479">
        <v>0</v>
      </c>
      <c r="E2479">
        <v>0</v>
      </c>
      <c r="F2479">
        <v>0</v>
      </c>
      <c r="G2479">
        <v>0</v>
      </c>
      <c r="H2479">
        <v>0</v>
      </c>
      <c r="M2479" t="s">
        <v>693</v>
      </c>
    </row>
    <row r="2480" spans="1:13">
      <c r="A2480" t="s">
        <v>386</v>
      </c>
      <c r="B2480">
        <v>2567210</v>
      </c>
      <c r="C2480">
        <v>23305</v>
      </c>
      <c r="D2480">
        <v>0</v>
      </c>
      <c r="E2480">
        <v>0</v>
      </c>
      <c r="F2480">
        <v>0</v>
      </c>
      <c r="G2480">
        <v>0</v>
      </c>
      <c r="H2480">
        <v>0</v>
      </c>
      <c r="M2480" t="s">
        <v>693</v>
      </c>
    </row>
    <row r="2481" spans="1:13">
      <c r="A2481" t="s">
        <v>387</v>
      </c>
      <c r="B2481">
        <v>9240376</v>
      </c>
      <c r="C2481">
        <v>82391</v>
      </c>
      <c r="D2481">
        <v>3148011</v>
      </c>
      <c r="E2481">
        <v>27358</v>
      </c>
      <c r="F2481">
        <v>9598</v>
      </c>
      <c r="G2481">
        <v>30214352661</v>
      </c>
      <c r="H2481">
        <v>2.94</v>
      </c>
      <c r="M2481" t="s">
        <v>693</v>
      </c>
    </row>
    <row r="2483" spans="1:13">
      <c r="M2483" t="s">
        <v>694</v>
      </c>
    </row>
    <row r="2484" spans="1:13">
      <c r="A2484" t="s">
        <v>373</v>
      </c>
      <c r="B2484" t="s">
        <v>389</v>
      </c>
      <c r="C2484" t="s">
        <v>390</v>
      </c>
      <c r="D2484" t="s">
        <v>391</v>
      </c>
      <c r="E2484" t="s">
        <v>406</v>
      </c>
      <c r="M2484" t="s">
        <v>694</v>
      </c>
    </row>
    <row r="2485" spans="1:13">
      <c r="A2485" t="s">
        <v>381</v>
      </c>
      <c r="B2485">
        <v>2103310</v>
      </c>
      <c r="C2485">
        <v>18637</v>
      </c>
      <c r="D2485">
        <v>26.2</v>
      </c>
      <c r="E2485">
        <v>22.5</v>
      </c>
      <c r="M2485" t="s">
        <v>694</v>
      </c>
    </row>
    <row r="2486" spans="1:13">
      <c r="A2486" t="s">
        <v>382</v>
      </c>
      <c r="B2486">
        <v>2045121</v>
      </c>
      <c r="C2486">
        <v>17945</v>
      </c>
      <c r="D2486">
        <v>25.4</v>
      </c>
      <c r="E2486">
        <v>21.1</v>
      </c>
      <c r="M2486" t="s">
        <v>694</v>
      </c>
    </row>
    <row r="2487" spans="1:13">
      <c r="A2487" t="s">
        <v>383</v>
      </c>
      <c r="B2487">
        <v>2271464</v>
      </c>
      <c r="C2487">
        <v>19663</v>
      </c>
      <c r="D2487">
        <v>20</v>
      </c>
      <c r="E2487">
        <v>25</v>
      </c>
      <c r="M2487" t="s">
        <v>694</v>
      </c>
    </row>
    <row r="2488" spans="1:13">
      <c r="A2488" t="s">
        <v>384</v>
      </c>
      <c r="B2488">
        <v>2913228</v>
      </c>
      <c r="C2488">
        <v>24936</v>
      </c>
      <c r="D2488">
        <v>42.8</v>
      </c>
      <c r="E2488">
        <v>85.6</v>
      </c>
      <c r="M2488" t="s">
        <v>694</v>
      </c>
    </row>
    <row r="2490" spans="1:13">
      <c r="M2490" t="s">
        <v>695</v>
      </c>
    </row>
    <row r="2491" spans="1:13">
      <c r="A2491" t="s">
        <v>373</v>
      </c>
      <c r="B2491" t="s">
        <v>374</v>
      </c>
      <c r="C2491" t="s">
        <v>375</v>
      </c>
      <c r="D2491" t="s">
        <v>376</v>
      </c>
      <c r="E2491" t="s">
        <v>377</v>
      </c>
      <c r="F2491" t="s">
        <v>378</v>
      </c>
      <c r="G2491" t="s">
        <v>379</v>
      </c>
      <c r="H2491" t="s">
        <v>380</v>
      </c>
      <c r="M2491" t="s">
        <v>695</v>
      </c>
    </row>
    <row r="2492" spans="1:13">
      <c r="A2492" t="s">
        <v>381</v>
      </c>
      <c r="B2492">
        <v>0</v>
      </c>
      <c r="C2492">
        <v>0</v>
      </c>
      <c r="D2492">
        <v>96426</v>
      </c>
      <c r="E2492">
        <v>745</v>
      </c>
      <c r="F2492">
        <v>6664</v>
      </c>
      <c r="G2492">
        <v>642586835</v>
      </c>
      <c r="H2492">
        <v>0</v>
      </c>
      <c r="M2492" t="s">
        <v>695</v>
      </c>
    </row>
    <row r="2493" spans="1:13">
      <c r="A2493" t="s">
        <v>382</v>
      </c>
      <c r="B2493">
        <v>1237027</v>
      </c>
      <c r="C2493">
        <v>9397</v>
      </c>
      <c r="D2493">
        <v>1343756</v>
      </c>
      <c r="E2493">
        <v>10795</v>
      </c>
      <c r="F2493">
        <v>6363</v>
      </c>
      <c r="G2493">
        <v>8550783530</v>
      </c>
      <c r="H2493">
        <v>0.92</v>
      </c>
      <c r="M2493" t="s">
        <v>695</v>
      </c>
    </row>
    <row r="2494" spans="1:13">
      <c r="A2494" t="s">
        <v>383</v>
      </c>
      <c r="B2494">
        <v>1123570</v>
      </c>
      <c r="C2494">
        <v>8814</v>
      </c>
      <c r="D2494">
        <v>1180740</v>
      </c>
      <c r="E2494">
        <v>9367</v>
      </c>
      <c r="F2494">
        <v>6250</v>
      </c>
      <c r="G2494">
        <v>7379548726</v>
      </c>
      <c r="H2494">
        <v>0.95</v>
      </c>
      <c r="M2494" t="s">
        <v>695</v>
      </c>
    </row>
    <row r="2495" spans="1:13">
      <c r="A2495" t="s">
        <v>384</v>
      </c>
      <c r="B2495">
        <v>2219978</v>
      </c>
      <c r="C2495">
        <v>17634</v>
      </c>
      <c r="D2495">
        <v>1906475</v>
      </c>
      <c r="E2495">
        <v>15487</v>
      </c>
      <c r="F2495">
        <v>6119</v>
      </c>
      <c r="G2495">
        <v>11665752890</v>
      </c>
      <c r="H2495">
        <v>1.1599999999999999</v>
      </c>
      <c r="M2495" t="s">
        <v>695</v>
      </c>
    </row>
    <row r="2496" spans="1:13">
      <c r="A2496" t="s">
        <v>385</v>
      </c>
      <c r="B2496">
        <v>2466503</v>
      </c>
      <c r="C2496">
        <v>19920</v>
      </c>
      <c r="D2496">
        <v>2348516</v>
      </c>
      <c r="E2496">
        <v>19322</v>
      </c>
      <c r="F2496">
        <v>5674</v>
      </c>
      <c r="G2496">
        <v>13325983212</v>
      </c>
      <c r="H2496">
        <v>1.05</v>
      </c>
      <c r="M2496" t="s">
        <v>695</v>
      </c>
    </row>
    <row r="2497" spans="1:13">
      <c r="A2497" t="s">
        <v>386</v>
      </c>
      <c r="B2497">
        <v>1778142</v>
      </c>
      <c r="C2497">
        <v>13585</v>
      </c>
      <c r="D2497">
        <v>1110686</v>
      </c>
      <c r="E2497">
        <v>9051</v>
      </c>
      <c r="F2497">
        <v>5464</v>
      </c>
      <c r="G2497">
        <v>6068884155</v>
      </c>
      <c r="H2497">
        <v>1.6</v>
      </c>
      <c r="M2497" t="s">
        <v>695</v>
      </c>
    </row>
    <row r="2498" spans="1:13">
      <c r="A2498" t="s">
        <v>387</v>
      </c>
      <c r="B2498">
        <v>8825220</v>
      </c>
      <c r="C2498">
        <v>69350</v>
      </c>
      <c r="D2498">
        <v>7986600</v>
      </c>
      <c r="E2498">
        <v>64767</v>
      </c>
      <c r="F2498">
        <v>5964</v>
      </c>
      <c r="G2498">
        <v>47633539349</v>
      </c>
      <c r="H2498">
        <v>1.1100000000000001</v>
      </c>
      <c r="M2498" t="s">
        <v>695</v>
      </c>
    </row>
    <row r="2500" spans="1:13">
      <c r="M2500" t="s">
        <v>696</v>
      </c>
    </row>
    <row r="2501" spans="1:13">
      <c r="A2501" t="s">
        <v>373</v>
      </c>
      <c r="B2501" t="s">
        <v>389</v>
      </c>
      <c r="C2501" t="s">
        <v>390</v>
      </c>
      <c r="D2501" t="s">
        <v>391</v>
      </c>
      <c r="E2501" t="s">
        <v>406</v>
      </c>
      <c r="M2501" t="s">
        <v>696</v>
      </c>
    </row>
    <row r="2502" spans="1:13">
      <c r="A2502" t="s">
        <v>381</v>
      </c>
      <c r="B2502">
        <v>3252332</v>
      </c>
      <c r="C2502">
        <v>24624</v>
      </c>
      <c r="D2502">
        <v>29.3</v>
      </c>
      <c r="E2502">
        <v>30.8</v>
      </c>
      <c r="M2502" t="s">
        <v>696</v>
      </c>
    </row>
    <row r="2503" spans="1:13">
      <c r="A2503" t="s">
        <v>382</v>
      </c>
      <c r="B2503">
        <v>3318457</v>
      </c>
      <c r="C2503">
        <v>25166</v>
      </c>
      <c r="D2503">
        <v>29.6</v>
      </c>
      <c r="E2503">
        <v>31.5</v>
      </c>
      <c r="M2503" t="s">
        <v>696</v>
      </c>
    </row>
    <row r="2504" spans="1:13">
      <c r="A2504" t="s">
        <v>383</v>
      </c>
      <c r="B2504">
        <v>3136214</v>
      </c>
      <c r="C2504">
        <v>24246</v>
      </c>
      <c r="D2504">
        <v>31.9</v>
      </c>
      <c r="E2504">
        <v>24.4</v>
      </c>
      <c r="M2504" t="s">
        <v>696</v>
      </c>
    </row>
    <row r="2505" spans="1:13">
      <c r="A2505" t="s">
        <v>384</v>
      </c>
      <c r="B2505">
        <v>3136351</v>
      </c>
      <c r="C2505">
        <v>24440</v>
      </c>
      <c r="D2505">
        <v>19.7</v>
      </c>
      <c r="E2505">
        <v>17.7</v>
      </c>
      <c r="M2505" t="s">
        <v>696</v>
      </c>
    </row>
    <row r="2506" spans="1:13">
      <c r="A2506" t="s">
        <v>385</v>
      </c>
      <c r="B2506">
        <v>2672387</v>
      </c>
      <c r="C2506">
        <v>21105</v>
      </c>
      <c r="D2506">
        <v>13.7</v>
      </c>
      <c r="E2506">
        <v>18.5</v>
      </c>
      <c r="M2506" t="s">
        <v>696</v>
      </c>
    </row>
    <row r="2507" spans="1:13">
      <c r="A2507" t="s">
        <v>386</v>
      </c>
      <c r="B2507">
        <v>1980548</v>
      </c>
      <c r="C2507">
        <v>15872</v>
      </c>
      <c r="D2507">
        <v>21.4</v>
      </c>
      <c r="E2507">
        <v>42.8</v>
      </c>
      <c r="M2507" t="s">
        <v>696</v>
      </c>
    </row>
    <row r="2509" spans="1:13">
      <c r="M2509" t="s">
        <v>697</v>
      </c>
    </row>
    <row r="2510" spans="1:13">
      <c r="A2510" t="s">
        <v>373</v>
      </c>
      <c r="B2510" t="s">
        <v>374</v>
      </c>
      <c r="C2510" t="s">
        <v>375</v>
      </c>
      <c r="D2510" t="s">
        <v>376</v>
      </c>
      <c r="E2510" t="s">
        <v>377</v>
      </c>
      <c r="F2510" t="s">
        <v>378</v>
      </c>
      <c r="G2510" t="s">
        <v>379</v>
      </c>
      <c r="H2510" t="s">
        <v>380</v>
      </c>
      <c r="M2510" t="s">
        <v>697</v>
      </c>
    </row>
    <row r="2511" spans="1:13">
      <c r="A2511" t="s">
        <v>383</v>
      </c>
      <c r="B2511">
        <v>1562444</v>
      </c>
      <c r="C2511">
        <v>12140</v>
      </c>
      <c r="D2511">
        <v>1410923</v>
      </c>
      <c r="E2511">
        <v>11043</v>
      </c>
      <c r="F2511">
        <v>11053</v>
      </c>
      <c r="G2511">
        <v>15594515682</v>
      </c>
      <c r="H2511">
        <v>1.1100000000000001</v>
      </c>
      <c r="M2511" t="s">
        <v>697</v>
      </c>
    </row>
    <row r="2512" spans="1:13">
      <c r="A2512" t="s">
        <v>384</v>
      </c>
      <c r="B2512">
        <v>2301922</v>
      </c>
      <c r="C2512">
        <v>18916</v>
      </c>
      <c r="D2512">
        <v>2652402</v>
      </c>
      <c r="E2512">
        <v>21676</v>
      </c>
      <c r="F2512">
        <v>9580</v>
      </c>
      <c r="G2512">
        <v>25411202212</v>
      </c>
      <c r="H2512">
        <v>0.87</v>
      </c>
      <c r="M2512" t="s">
        <v>697</v>
      </c>
    </row>
    <row r="2513" spans="1:13">
      <c r="A2513" t="s">
        <v>385</v>
      </c>
      <c r="B2513">
        <v>2207081</v>
      </c>
      <c r="C2513">
        <v>18101</v>
      </c>
      <c r="D2513">
        <v>3575623</v>
      </c>
      <c r="E2513">
        <v>29156</v>
      </c>
      <c r="F2513">
        <v>9046</v>
      </c>
      <c r="G2513">
        <v>32346226863</v>
      </c>
      <c r="H2513">
        <v>0.62</v>
      </c>
      <c r="M2513" t="s">
        <v>697</v>
      </c>
    </row>
    <row r="2514" spans="1:13">
      <c r="A2514" t="s">
        <v>386</v>
      </c>
      <c r="B2514">
        <v>2382051</v>
      </c>
      <c r="C2514">
        <v>19373</v>
      </c>
      <c r="D2514">
        <v>1887623</v>
      </c>
      <c r="E2514">
        <v>15609</v>
      </c>
      <c r="F2514">
        <v>8725</v>
      </c>
      <c r="G2514">
        <v>16470231266</v>
      </c>
      <c r="H2514">
        <v>1.26</v>
      </c>
      <c r="M2514" t="s">
        <v>697</v>
      </c>
    </row>
    <row r="2515" spans="1:13">
      <c r="A2515" t="s">
        <v>393</v>
      </c>
      <c r="B2515">
        <v>60728</v>
      </c>
      <c r="C2515">
        <v>480</v>
      </c>
      <c r="D2515">
        <v>0</v>
      </c>
      <c r="E2515">
        <v>0</v>
      </c>
      <c r="F2515">
        <v>0</v>
      </c>
      <c r="G2515">
        <v>0</v>
      </c>
      <c r="H2515">
        <v>0</v>
      </c>
      <c r="M2515" t="s">
        <v>697</v>
      </c>
    </row>
    <row r="2516" spans="1:13">
      <c r="A2516" t="s">
        <v>435</v>
      </c>
      <c r="B2516">
        <v>14612</v>
      </c>
      <c r="C2516">
        <v>120</v>
      </c>
      <c r="D2516">
        <v>0</v>
      </c>
      <c r="E2516">
        <v>0</v>
      </c>
      <c r="F2516">
        <v>0</v>
      </c>
      <c r="G2516">
        <v>0</v>
      </c>
      <c r="H2516">
        <v>0</v>
      </c>
      <c r="M2516" t="s">
        <v>697</v>
      </c>
    </row>
    <row r="2517" spans="1:13">
      <c r="A2517" t="s">
        <v>387</v>
      </c>
      <c r="B2517">
        <v>8528837</v>
      </c>
      <c r="C2517">
        <v>69130</v>
      </c>
      <c r="D2517">
        <v>9526571</v>
      </c>
      <c r="E2517">
        <v>77484</v>
      </c>
      <c r="F2517">
        <v>9429</v>
      </c>
      <c r="G2517">
        <v>89822176023</v>
      </c>
      <c r="H2517">
        <v>0.9</v>
      </c>
      <c r="M2517" t="s">
        <v>697</v>
      </c>
    </row>
    <row r="2519" spans="1:13">
      <c r="M2519" t="s">
        <v>698</v>
      </c>
    </row>
    <row r="2520" spans="1:13">
      <c r="A2520" t="s">
        <v>373</v>
      </c>
      <c r="B2520" t="s">
        <v>374</v>
      </c>
      <c r="C2520" t="s">
        <v>375</v>
      </c>
      <c r="D2520" t="s">
        <v>376</v>
      </c>
      <c r="E2520" t="s">
        <v>377</v>
      </c>
      <c r="F2520" t="s">
        <v>378</v>
      </c>
      <c r="G2520" t="s">
        <v>380</v>
      </c>
      <c r="M2520" t="s">
        <v>698</v>
      </c>
    </row>
    <row r="2521" spans="1:13">
      <c r="A2521" t="s">
        <v>382</v>
      </c>
      <c r="B2521">
        <v>3904200</v>
      </c>
      <c r="C2521">
        <v>31965</v>
      </c>
      <c r="D2521">
        <v>6126061</v>
      </c>
      <c r="E2521">
        <v>50829</v>
      </c>
      <c r="F2521">
        <v>15086</v>
      </c>
      <c r="G2521">
        <v>0.64</v>
      </c>
      <c r="M2521" t="s">
        <v>698</v>
      </c>
    </row>
    <row r="2522" spans="1:13">
      <c r="A2522" t="s">
        <v>383</v>
      </c>
      <c r="B2522">
        <v>3802910</v>
      </c>
      <c r="C2522">
        <v>32083</v>
      </c>
      <c r="D2522">
        <v>4940566</v>
      </c>
      <c r="E2522">
        <v>41527</v>
      </c>
      <c r="F2522">
        <v>15419</v>
      </c>
      <c r="G2522">
        <v>0.77</v>
      </c>
      <c r="M2522" t="s">
        <v>698</v>
      </c>
    </row>
    <row r="2523" spans="1:13">
      <c r="A2523" t="s">
        <v>384</v>
      </c>
      <c r="B2523">
        <v>10975227</v>
      </c>
      <c r="C2523">
        <v>98824</v>
      </c>
      <c r="D2523">
        <v>8994709</v>
      </c>
      <c r="E2523">
        <v>79794</v>
      </c>
      <c r="F2523">
        <v>15098</v>
      </c>
      <c r="G2523">
        <v>1.22</v>
      </c>
      <c r="M2523" t="s">
        <v>698</v>
      </c>
    </row>
    <row r="2524" spans="1:13">
      <c r="A2524" t="s">
        <v>385</v>
      </c>
      <c r="B2524">
        <v>14115040</v>
      </c>
      <c r="C2524">
        <v>126468</v>
      </c>
      <c r="D2524">
        <v>11887193</v>
      </c>
      <c r="E2524">
        <v>103885</v>
      </c>
      <c r="F2524">
        <v>14076</v>
      </c>
      <c r="G2524">
        <v>1.19</v>
      </c>
      <c r="M2524" t="s">
        <v>698</v>
      </c>
    </row>
    <row r="2525" spans="1:13">
      <c r="A2525" t="s">
        <v>386</v>
      </c>
      <c r="B2525">
        <v>14981863</v>
      </c>
      <c r="C2525">
        <v>132023</v>
      </c>
      <c r="D2525">
        <v>11884767</v>
      </c>
      <c r="E2525">
        <v>107947</v>
      </c>
      <c r="F2525">
        <v>13862</v>
      </c>
      <c r="G2525">
        <v>1.26</v>
      </c>
      <c r="M2525" t="s">
        <v>698</v>
      </c>
    </row>
    <row r="2526" spans="1:13">
      <c r="A2526" t="s">
        <v>393</v>
      </c>
      <c r="B2526">
        <v>14123487</v>
      </c>
      <c r="C2526">
        <v>125440</v>
      </c>
      <c r="D2526">
        <v>11450718</v>
      </c>
      <c r="E2526">
        <v>105394</v>
      </c>
      <c r="F2526">
        <v>13555</v>
      </c>
      <c r="G2526">
        <v>1.23</v>
      </c>
      <c r="M2526" t="s">
        <v>698</v>
      </c>
    </row>
    <row r="2527" spans="1:13">
      <c r="A2527" t="s">
        <v>387</v>
      </c>
      <c r="B2527">
        <v>61902727</v>
      </c>
      <c r="C2527">
        <v>546803</v>
      </c>
      <c r="D2527">
        <v>55284014</v>
      </c>
      <c r="E2527">
        <v>489376</v>
      </c>
      <c r="F2527">
        <v>14320</v>
      </c>
      <c r="G2527">
        <v>1.1200000000000001</v>
      </c>
      <c r="M2527" t="s">
        <v>698</v>
      </c>
    </row>
    <row r="2529" spans="1:13">
      <c r="M2529" t="s">
        <v>699</v>
      </c>
    </row>
    <row r="2530" spans="1:13">
      <c r="A2530" t="s">
        <v>373</v>
      </c>
      <c r="B2530" t="s">
        <v>389</v>
      </c>
      <c r="C2530" t="s">
        <v>390</v>
      </c>
      <c r="D2530" t="s">
        <v>391</v>
      </c>
      <c r="E2530" t="s">
        <v>406</v>
      </c>
      <c r="M2530" t="s">
        <v>699</v>
      </c>
    </row>
    <row r="2531" spans="1:13">
      <c r="A2531" t="s">
        <v>382</v>
      </c>
      <c r="B2531">
        <v>9011951</v>
      </c>
      <c r="C2531">
        <v>76451</v>
      </c>
      <c r="D2531">
        <v>17.7</v>
      </c>
      <c r="E2531">
        <v>19.5</v>
      </c>
      <c r="M2531" t="s">
        <v>699</v>
      </c>
    </row>
    <row r="2532" spans="1:13">
      <c r="A2532" t="s">
        <v>383</v>
      </c>
      <c r="B2532">
        <v>10528001</v>
      </c>
      <c r="C2532">
        <v>90419</v>
      </c>
      <c r="D2532">
        <v>25.6</v>
      </c>
      <c r="E2532">
        <v>18.100000000000001</v>
      </c>
      <c r="M2532" t="s">
        <v>699</v>
      </c>
    </row>
    <row r="2533" spans="1:13">
      <c r="A2533" t="s">
        <v>384</v>
      </c>
      <c r="B2533">
        <v>11147452</v>
      </c>
      <c r="C2533">
        <v>96514</v>
      </c>
      <c r="D2533">
        <v>14.9</v>
      </c>
      <c r="E2533">
        <v>12.8</v>
      </c>
      <c r="M2533" t="s">
        <v>699</v>
      </c>
    </row>
    <row r="2534" spans="1:13">
      <c r="A2534" t="s">
        <v>385</v>
      </c>
      <c r="B2534">
        <v>11187746</v>
      </c>
      <c r="C2534">
        <v>95106</v>
      </c>
      <c r="D2534">
        <v>11.3</v>
      </c>
      <c r="E2534">
        <v>11.3</v>
      </c>
      <c r="M2534" t="s">
        <v>699</v>
      </c>
    </row>
    <row r="2535" spans="1:13">
      <c r="A2535" t="s">
        <v>386</v>
      </c>
      <c r="B2535">
        <v>8187049</v>
      </c>
      <c r="C2535">
        <v>67268</v>
      </c>
      <c r="D2535">
        <v>8.3000000000000007</v>
      </c>
      <c r="E2535">
        <v>8.4</v>
      </c>
      <c r="M2535" t="s">
        <v>699</v>
      </c>
    </row>
    <row r="2536" spans="1:13">
      <c r="A2536" t="s">
        <v>393</v>
      </c>
      <c r="B2536">
        <v>4954994</v>
      </c>
      <c r="C2536">
        <v>41476</v>
      </c>
      <c r="D2536">
        <v>5.2</v>
      </c>
      <c r="E2536">
        <v>5.7</v>
      </c>
      <c r="M2536" t="s">
        <v>699</v>
      </c>
    </row>
    <row r="2538" spans="1:13">
      <c r="M2538" t="s">
        <v>700</v>
      </c>
    </row>
    <row r="2539" spans="1:13">
      <c r="A2539" t="s">
        <v>373</v>
      </c>
      <c r="B2539" t="s">
        <v>374</v>
      </c>
      <c r="C2539" t="s">
        <v>375</v>
      </c>
      <c r="D2539" t="s">
        <v>376</v>
      </c>
      <c r="E2539" t="s">
        <v>377</v>
      </c>
      <c r="F2539" t="s">
        <v>378</v>
      </c>
      <c r="G2539" t="s">
        <v>380</v>
      </c>
      <c r="M2539" t="s">
        <v>700</v>
      </c>
    </row>
    <row r="2540" spans="1:13">
      <c r="A2540" t="s">
        <v>381</v>
      </c>
      <c r="B2540">
        <v>263341</v>
      </c>
      <c r="C2540">
        <v>2529</v>
      </c>
      <c r="D2540">
        <v>344507</v>
      </c>
      <c r="E2540">
        <v>3190</v>
      </c>
      <c r="F2540">
        <v>14193</v>
      </c>
      <c r="G2540">
        <v>0.76</v>
      </c>
      <c r="M2540" t="s">
        <v>700</v>
      </c>
    </row>
    <row r="2541" spans="1:13">
      <c r="A2541" t="s">
        <v>382</v>
      </c>
      <c r="B2541">
        <v>4262029</v>
      </c>
      <c r="C2541">
        <v>41153</v>
      </c>
      <c r="D2541">
        <v>5633180</v>
      </c>
      <c r="E2541">
        <v>53435</v>
      </c>
      <c r="F2541">
        <v>14805</v>
      </c>
      <c r="G2541">
        <v>0.76</v>
      </c>
      <c r="M2541" t="s">
        <v>700</v>
      </c>
    </row>
    <row r="2542" spans="1:13">
      <c r="A2542" t="s">
        <v>383</v>
      </c>
      <c r="B2542">
        <v>5046180</v>
      </c>
      <c r="C2542">
        <v>49248</v>
      </c>
      <c r="D2542">
        <v>5067002</v>
      </c>
      <c r="E2542">
        <v>47002</v>
      </c>
      <c r="F2542">
        <v>14498</v>
      </c>
      <c r="G2542">
        <v>1</v>
      </c>
      <c r="M2542" t="s">
        <v>700</v>
      </c>
    </row>
    <row r="2543" spans="1:13">
      <c r="A2543" t="s">
        <v>384</v>
      </c>
      <c r="B2543">
        <v>15047115</v>
      </c>
      <c r="C2543">
        <v>143251</v>
      </c>
      <c r="D2543">
        <v>17888938</v>
      </c>
      <c r="E2543">
        <v>166874</v>
      </c>
      <c r="F2543">
        <v>14165</v>
      </c>
      <c r="G2543">
        <v>0.84</v>
      </c>
      <c r="M2543" t="s">
        <v>700</v>
      </c>
    </row>
    <row r="2544" spans="1:13">
      <c r="A2544" t="s">
        <v>385</v>
      </c>
      <c r="B2544">
        <v>18228155</v>
      </c>
      <c r="C2544">
        <v>170226</v>
      </c>
      <c r="D2544">
        <v>17622609</v>
      </c>
      <c r="E2544">
        <v>161823</v>
      </c>
      <c r="F2544">
        <v>12683</v>
      </c>
      <c r="G2544">
        <v>1.03</v>
      </c>
      <c r="M2544" t="s">
        <v>700</v>
      </c>
    </row>
    <row r="2545" spans="1:13">
      <c r="A2545" t="s">
        <v>386</v>
      </c>
      <c r="B2545">
        <v>23185989</v>
      </c>
      <c r="C2545">
        <v>211548</v>
      </c>
      <c r="D2545">
        <v>20995327</v>
      </c>
      <c r="E2545">
        <v>192827</v>
      </c>
      <c r="F2545">
        <v>11758</v>
      </c>
      <c r="G2545">
        <v>1.1000000000000001</v>
      </c>
      <c r="M2545" t="s">
        <v>700</v>
      </c>
    </row>
    <row r="2546" spans="1:13">
      <c r="A2546" t="s">
        <v>387</v>
      </c>
      <c r="B2546">
        <v>66032808</v>
      </c>
      <c r="C2546">
        <v>617955</v>
      </c>
      <c r="D2546">
        <v>67551564</v>
      </c>
      <c r="E2546">
        <v>625151</v>
      </c>
      <c r="F2546">
        <v>13109</v>
      </c>
      <c r="G2546">
        <v>0.98</v>
      </c>
      <c r="M2546" t="s">
        <v>700</v>
      </c>
    </row>
    <row r="2548" spans="1:13">
      <c r="M2548" t="s">
        <v>701</v>
      </c>
    </row>
    <row r="2549" spans="1:13">
      <c r="A2549" t="s">
        <v>373</v>
      </c>
      <c r="B2549" t="s">
        <v>389</v>
      </c>
      <c r="C2549" t="s">
        <v>390</v>
      </c>
      <c r="D2549" t="s">
        <v>391</v>
      </c>
      <c r="E2549" t="s">
        <v>406</v>
      </c>
      <c r="M2549" t="s">
        <v>701</v>
      </c>
    </row>
    <row r="2550" spans="1:13">
      <c r="A2550" t="s">
        <v>382</v>
      </c>
      <c r="B2550">
        <v>7115453</v>
      </c>
      <c r="C2550">
        <v>0</v>
      </c>
      <c r="D2550">
        <v>15.2</v>
      </c>
      <c r="E2550">
        <v>16</v>
      </c>
      <c r="M2550" t="s">
        <v>701</v>
      </c>
    </row>
    <row r="2551" spans="1:13">
      <c r="A2551" t="s">
        <v>383</v>
      </c>
      <c r="B2551">
        <v>7599811</v>
      </c>
      <c r="C2551">
        <v>0</v>
      </c>
      <c r="D2551">
        <v>18</v>
      </c>
      <c r="E2551">
        <v>7.9</v>
      </c>
      <c r="M2551" t="s">
        <v>701</v>
      </c>
    </row>
    <row r="2552" spans="1:13">
      <c r="A2552" t="s">
        <v>384</v>
      </c>
      <c r="B2552">
        <v>7012585</v>
      </c>
      <c r="C2552">
        <v>0</v>
      </c>
      <c r="D2552">
        <v>4.7</v>
      </c>
      <c r="E2552">
        <v>4.7</v>
      </c>
      <c r="M2552" t="s">
        <v>701</v>
      </c>
    </row>
    <row r="2553" spans="1:13">
      <c r="A2553" t="s">
        <v>385</v>
      </c>
      <c r="B2553">
        <v>4619537</v>
      </c>
      <c r="C2553">
        <v>0</v>
      </c>
      <c r="D2553">
        <v>3.1</v>
      </c>
      <c r="E2553">
        <v>2.9</v>
      </c>
      <c r="M2553" t="s">
        <v>701</v>
      </c>
    </row>
    <row r="2554" spans="1:13">
      <c r="A2554" t="s">
        <v>386</v>
      </c>
      <c r="B2554">
        <v>7525844</v>
      </c>
      <c r="C2554">
        <v>0</v>
      </c>
      <c r="D2554">
        <v>4.3</v>
      </c>
      <c r="E2554">
        <v>4</v>
      </c>
      <c r="M2554" t="s">
        <v>701</v>
      </c>
    </row>
    <row r="2556" spans="1:13">
      <c r="M2556" t="s">
        <v>702</v>
      </c>
    </row>
    <row r="2557" spans="1:13">
      <c r="A2557" t="s">
        <v>373</v>
      </c>
      <c r="B2557" t="s">
        <v>374</v>
      </c>
      <c r="C2557" t="s">
        <v>375</v>
      </c>
      <c r="D2557" t="s">
        <v>376</v>
      </c>
      <c r="E2557" t="s">
        <v>377</v>
      </c>
      <c r="F2557" t="s">
        <v>378</v>
      </c>
      <c r="G2557" t="s">
        <v>379</v>
      </c>
      <c r="H2557" t="s">
        <v>380</v>
      </c>
      <c r="M2557" t="s">
        <v>702</v>
      </c>
    </row>
    <row r="2558" spans="1:13">
      <c r="A2558" t="s">
        <v>382</v>
      </c>
      <c r="B2558">
        <v>842824</v>
      </c>
      <c r="C2558">
        <v>7121</v>
      </c>
      <c r="D2558">
        <v>1189870</v>
      </c>
      <c r="E2558">
        <v>11015</v>
      </c>
      <c r="F2558">
        <v>18894</v>
      </c>
      <c r="G2558">
        <v>22481453155</v>
      </c>
      <c r="H2558">
        <v>0.71</v>
      </c>
      <c r="M2558" t="s">
        <v>702</v>
      </c>
    </row>
    <row r="2559" spans="1:13">
      <c r="A2559" t="s">
        <v>383</v>
      </c>
      <c r="B2559">
        <v>1080818</v>
      </c>
      <c r="C2559">
        <v>11320</v>
      </c>
      <c r="D2559">
        <v>1302616</v>
      </c>
      <c r="E2559">
        <v>13157</v>
      </c>
      <c r="F2559">
        <v>19430</v>
      </c>
      <c r="G2559">
        <v>25309894586</v>
      </c>
      <c r="H2559">
        <v>0.83</v>
      </c>
      <c r="M2559" t="s">
        <v>702</v>
      </c>
    </row>
    <row r="2560" spans="1:13">
      <c r="A2560" t="s">
        <v>384</v>
      </c>
      <c r="B2560">
        <v>1965502</v>
      </c>
      <c r="C2560">
        <v>19803</v>
      </c>
      <c r="D2560">
        <v>1541067</v>
      </c>
      <c r="E2560">
        <v>15246</v>
      </c>
      <c r="F2560">
        <v>18411</v>
      </c>
      <c r="G2560">
        <v>28373229369</v>
      </c>
      <c r="H2560">
        <v>1.28</v>
      </c>
      <c r="M2560" t="s">
        <v>702</v>
      </c>
    </row>
    <row r="2561" spans="1:13">
      <c r="A2561" t="s">
        <v>385</v>
      </c>
      <c r="B2561">
        <v>2290999</v>
      </c>
      <c r="C2561">
        <v>23345</v>
      </c>
      <c r="D2561">
        <v>1997684</v>
      </c>
      <c r="E2561">
        <v>19841</v>
      </c>
      <c r="F2561">
        <v>16882</v>
      </c>
      <c r="G2561">
        <v>33724859966</v>
      </c>
      <c r="H2561">
        <v>1.1499999999999999</v>
      </c>
      <c r="M2561" t="s">
        <v>702</v>
      </c>
    </row>
    <row r="2562" spans="1:13">
      <c r="A2562" t="s">
        <v>386</v>
      </c>
      <c r="B2562">
        <v>1750242</v>
      </c>
      <c r="C2562">
        <v>16211</v>
      </c>
      <c r="D2562">
        <v>1582926</v>
      </c>
      <c r="E2562">
        <v>15133</v>
      </c>
      <c r="F2562">
        <v>13205</v>
      </c>
      <c r="G2562">
        <v>20903111652</v>
      </c>
      <c r="H2562">
        <v>1.1100000000000001</v>
      </c>
      <c r="M2562" t="s">
        <v>702</v>
      </c>
    </row>
    <row r="2563" spans="1:13">
      <c r="A2563" t="s">
        <v>387</v>
      </c>
      <c r="B2563">
        <v>7930385</v>
      </c>
      <c r="C2563">
        <v>77800</v>
      </c>
      <c r="D2563">
        <v>7614163</v>
      </c>
      <c r="E2563">
        <v>74392</v>
      </c>
      <c r="F2563">
        <v>17178</v>
      </c>
      <c r="G2563">
        <v>130792548728</v>
      </c>
      <c r="H2563">
        <v>1.04</v>
      </c>
      <c r="M2563" t="s">
        <v>702</v>
      </c>
    </row>
    <row r="2565" spans="1:13">
      <c r="M2565" t="s">
        <v>703</v>
      </c>
    </row>
    <row r="2566" spans="1:13">
      <c r="A2566" t="s">
        <v>373</v>
      </c>
      <c r="B2566" t="s">
        <v>389</v>
      </c>
      <c r="C2566" t="s">
        <v>390</v>
      </c>
      <c r="D2566" t="s">
        <v>391</v>
      </c>
      <c r="E2566" t="s">
        <v>406</v>
      </c>
      <c r="M2566" t="s">
        <v>703</v>
      </c>
    </row>
    <row r="2567" spans="1:13">
      <c r="A2567" t="s">
        <v>382</v>
      </c>
      <c r="B2567">
        <v>1735136</v>
      </c>
      <c r="C2567">
        <v>16069</v>
      </c>
      <c r="D2567">
        <v>17.5</v>
      </c>
      <c r="E2567">
        <v>16.7</v>
      </c>
      <c r="M2567" t="s">
        <v>703</v>
      </c>
    </row>
    <row r="2568" spans="1:13">
      <c r="A2568" t="s">
        <v>383</v>
      </c>
      <c r="B2568">
        <v>2059466</v>
      </c>
      <c r="C2568">
        <v>20289</v>
      </c>
      <c r="D2568">
        <v>19</v>
      </c>
      <c r="E2568">
        <v>17.399999999999999</v>
      </c>
      <c r="M2568" t="s">
        <v>703</v>
      </c>
    </row>
    <row r="2569" spans="1:13">
      <c r="A2569" t="s">
        <v>384</v>
      </c>
      <c r="B2569">
        <v>2177123</v>
      </c>
      <c r="C2569">
        <v>21537</v>
      </c>
      <c r="D2569">
        <v>17</v>
      </c>
      <c r="E2569">
        <v>14.8</v>
      </c>
      <c r="M2569" t="s">
        <v>703</v>
      </c>
    </row>
    <row r="2570" spans="1:13">
      <c r="A2570" t="s">
        <v>385</v>
      </c>
      <c r="B2570">
        <v>1655111</v>
      </c>
      <c r="C2570">
        <v>15901</v>
      </c>
      <c r="D2570">
        <v>9.9</v>
      </c>
      <c r="E2570">
        <v>11.1</v>
      </c>
      <c r="M2570" t="s">
        <v>703</v>
      </c>
    </row>
    <row r="2571" spans="1:13">
      <c r="A2571" t="s">
        <v>386</v>
      </c>
      <c r="B2571">
        <v>2052027</v>
      </c>
      <c r="C2571">
        <v>17816</v>
      </c>
      <c r="D2571">
        <v>15.6</v>
      </c>
      <c r="E2571">
        <v>15.3</v>
      </c>
      <c r="M2571" t="s">
        <v>703</v>
      </c>
    </row>
    <row r="2573" spans="1:13">
      <c r="M2573" t="s">
        <v>704</v>
      </c>
    </row>
    <row r="2574" spans="1:13">
      <c r="A2574" t="s">
        <v>373</v>
      </c>
      <c r="B2574" t="s">
        <v>374</v>
      </c>
      <c r="C2574" t="s">
        <v>375</v>
      </c>
      <c r="D2574" t="s">
        <v>376</v>
      </c>
      <c r="E2574" t="s">
        <v>377</v>
      </c>
      <c r="F2574" t="s">
        <v>378</v>
      </c>
      <c r="G2574" t="s">
        <v>379</v>
      </c>
      <c r="H2574" t="s">
        <v>380</v>
      </c>
      <c r="M2574" t="s">
        <v>704</v>
      </c>
    </row>
    <row r="2575" spans="1:13">
      <c r="A2575" t="s">
        <v>382</v>
      </c>
      <c r="B2575">
        <v>303299</v>
      </c>
      <c r="C2575">
        <v>2275</v>
      </c>
      <c r="D2575">
        <v>425751</v>
      </c>
      <c r="E2575">
        <v>3434</v>
      </c>
      <c r="F2575">
        <v>5532</v>
      </c>
      <c r="G2575">
        <v>2355354550</v>
      </c>
      <c r="H2575">
        <v>0.71</v>
      </c>
      <c r="M2575" t="s">
        <v>704</v>
      </c>
    </row>
    <row r="2576" spans="1:13">
      <c r="A2576" t="s">
        <v>383</v>
      </c>
      <c r="B2576">
        <v>369229</v>
      </c>
      <c r="C2576">
        <v>3095</v>
      </c>
      <c r="D2576">
        <v>524872</v>
      </c>
      <c r="E2576">
        <v>4433</v>
      </c>
      <c r="F2576">
        <v>5421</v>
      </c>
      <c r="G2576">
        <v>2845370458</v>
      </c>
      <c r="H2576">
        <v>0.7</v>
      </c>
      <c r="M2576" t="s">
        <v>704</v>
      </c>
    </row>
    <row r="2577" spans="1:13">
      <c r="A2577" t="s">
        <v>384</v>
      </c>
      <c r="B2577">
        <v>1193572</v>
      </c>
      <c r="C2577">
        <v>9765</v>
      </c>
      <c r="D2577">
        <v>524996</v>
      </c>
      <c r="E2577">
        <v>4391</v>
      </c>
      <c r="F2577">
        <v>5608</v>
      </c>
      <c r="G2577">
        <v>2944032779</v>
      </c>
      <c r="H2577">
        <v>2.27</v>
      </c>
      <c r="M2577" t="s">
        <v>704</v>
      </c>
    </row>
    <row r="2578" spans="1:13">
      <c r="A2578" t="s">
        <v>385</v>
      </c>
      <c r="B2578">
        <v>1918477</v>
      </c>
      <c r="C2578">
        <v>15966</v>
      </c>
      <c r="D2578">
        <v>0</v>
      </c>
      <c r="E2578">
        <v>0</v>
      </c>
      <c r="F2578">
        <v>0</v>
      </c>
      <c r="G2578">
        <v>0</v>
      </c>
      <c r="H2578">
        <v>0</v>
      </c>
      <c r="M2578" t="s">
        <v>704</v>
      </c>
    </row>
    <row r="2579" spans="1:13">
      <c r="A2579" t="s">
        <v>386</v>
      </c>
      <c r="B2579">
        <v>1379897</v>
      </c>
      <c r="C2579">
        <v>11983</v>
      </c>
      <c r="D2579">
        <v>0</v>
      </c>
      <c r="E2579">
        <v>0</v>
      </c>
      <c r="F2579">
        <v>0</v>
      </c>
      <c r="G2579">
        <v>0</v>
      </c>
      <c r="H2579">
        <v>0</v>
      </c>
      <c r="M2579" t="s">
        <v>704</v>
      </c>
    </row>
    <row r="2580" spans="1:13">
      <c r="A2580" t="s">
        <v>387</v>
      </c>
      <c r="B2580">
        <v>5164474</v>
      </c>
      <c r="C2580">
        <v>43084</v>
      </c>
      <c r="D2580">
        <v>1475620</v>
      </c>
      <c r="E2580">
        <v>12258</v>
      </c>
      <c r="F2580">
        <v>5520</v>
      </c>
      <c r="G2580">
        <v>8144757787</v>
      </c>
      <c r="H2580">
        <v>3.5</v>
      </c>
      <c r="M2580" t="s">
        <v>704</v>
      </c>
    </row>
    <row r="2582" spans="1:13">
      <c r="M2582" t="s">
        <v>705</v>
      </c>
    </row>
    <row r="2583" spans="1:13">
      <c r="A2583" t="s">
        <v>373</v>
      </c>
      <c r="B2583" t="s">
        <v>389</v>
      </c>
      <c r="C2583" t="s">
        <v>390</v>
      </c>
      <c r="D2583" t="s">
        <v>391</v>
      </c>
      <c r="M2583" t="s">
        <v>705</v>
      </c>
    </row>
    <row r="2584" spans="1:13">
      <c r="A2584" t="s">
        <v>381</v>
      </c>
      <c r="B2584">
        <v>2000960</v>
      </c>
      <c r="C2584">
        <v>17038</v>
      </c>
      <c r="D2584">
        <v>56.8</v>
      </c>
      <c r="M2584" t="s">
        <v>705</v>
      </c>
    </row>
    <row r="2585" spans="1:13">
      <c r="A2585" t="s">
        <v>382</v>
      </c>
      <c r="B2585">
        <v>2025185</v>
      </c>
      <c r="C2585">
        <v>17226</v>
      </c>
      <c r="D2585">
        <v>57.1</v>
      </c>
      <c r="M2585" t="s">
        <v>705</v>
      </c>
    </row>
    <row r="2586" spans="1:13">
      <c r="A2586" t="s">
        <v>383</v>
      </c>
      <c r="B2586">
        <v>1933836</v>
      </c>
      <c r="C2586">
        <v>16589</v>
      </c>
      <c r="D2586">
        <v>44.2</v>
      </c>
      <c r="M2586" t="s">
        <v>705</v>
      </c>
    </row>
    <row r="2587" spans="1:13">
      <c r="A2587" t="s">
        <v>384</v>
      </c>
      <c r="B2587">
        <v>2102216</v>
      </c>
      <c r="C2587">
        <v>18036</v>
      </c>
      <c r="D2587">
        <v>48.1</v>
      </c>
      <c r="M2587" t="s">
        <v>705</v>
      </c>
    </row>
    <row r="2589" spans="1:13">
      <c r="M2589" t="s">
        <v>706</v>
      </c>
    </row>
    <row r="2590" spans="1:13">
      <c r="A2590" t="s">
        <v>373</v>
      </c>
      <c r="B2590" t="s">
        <v>374</v>
      </c>
      <c r="C2590" t="s">
        <v>375</v>
      </c>
      <c r="D2590" t="s">
        <v>376</v>
      </c>
      <c r="E2590" t="s">
        <v>377</v>
      </c>
      <c r="F2590" t="s">
        <v>378</v>
      </c>
      <c r="G2590" t="s">
        <v>379</v>
      </c>
      <c r="H2590" t="s">
        <v>380</v>
      </c>
      <c r="M2590" t="s">
        <v>706</v>
      </c>
    </row>
    <row r="2591" spans="1:13">
      <c r="A2591" t="s">
        <v>381</v>
      </c>
      <c r="B2591">
        <v>107457</v>
      </c>
      <c r="C2591">
        <v>1092</v>
      </c>
      <c r="D2591">
        <v>43079</v>
      </c>
      <c r="E2591">
        <v>375</v>
      </c>
      <c r="F2591">
        <v>7711</v>
      </c>
      <c r="G2591">
        <v>332184627</v>
      </c>
      <c r="H2591">
        <v>2.4900000000000002</v>
      </c>
      <c r="M2591" t="s">
        <v>706</v>
      </c>
    </row>
    <row r="2592" spans="1:13">
      <c r="A2592" t="s">
        <v>382</v>
      </c>
      <c r="B2592">
        <v>580580</v>
      </c>
      <c r="C2592">
        <v>5049</v>
      </c>
      <c r="D2592">
        <v>427095</v>
      </c>
      <c r="E2592">
        <v>3660</v>
      </c>
      <c r="F2592">
        <v>7565</v>
      </c>
      <c r="G2592">
        <v>3230779893</v>
      </c>
      <c r="H2592">
        <v>1.36</v>
      </c>
      <c r="M2592" t="s">
        <v>706</v>
      </c>
    </row>
    <row r="2593" spans="1:13">
      <c r="A2593" t="s">
        <v>383</v>
      </c>
      <c r="B2593">
        <v>500505</v>
      </c>
      <c r="C2593">
        <v>4616</v>
      </c>
      <c r="D2593">
        <v>361129</v>
      </c>
      <c r="E2593">
        <v>3113</v>
      </c>
      <c r="F2593">
        <v>7665</v>
      </c>
      <c r="G2593">
        <v>2767949135</v>
      </c>
      <c r="H2593">
        <v>1.39</v>
      </c>
      <c r="M2593" t="s">
        <v>706</v>
      </c>
    </row>
    <row r="2594" spans="1:13">
      <c r="A2594" t="s">
        <v>384</v>
      </c>
      <c r="B2594">
        <v>837385</v>
      </c>
      <c r="C2594">
        <v>7229</v>
      </c>
      <c r="D2594">
        <v>818817</v>
      </c>
      <c r="E2594">
        <v>6865</v>
      </c>
      <c r="F2594">
        <v>7354</v>
      </c>
      <c r="G2594">
        <v>6021443276</v>
      </c>
      <c r="H2594">
        <v>1.02</v>
      </c>
      <c r="M2594" t="s">
        <v>706</v>
      </c>
    </row>
    <row r="2595" spans="1:13">
      <c r="A2595" t="s">
        <v>385</v>
      </c>
      <c r="B2595">
        <v>932964</v>
      </c>
      <c r="C2595">
        <v>8162</v>
      </c>
      <c r="D2595">
        <v>926538</v>
      </c>
      <c r="E2595">
        <v>7823</v>
      </c>
      <c r="F2595">
        <v>7186</v>
      </c>
      <c r="G2595">
        <v>6658353622</v>
      </c>
      <c r="H2595">
        <v>1.01</v>
      </c>
      <c r="M2595" t="s">
        <v>706</v>
      </c>
    </row>
    <row r="2596" spans="1:13">
      <c r="A2596" t="s">
        <v>386</v>
      </c>
      <c r="B2596">
        <v>1560780</v>
      </c>
      <c r="C2596">
        <v>14128</v>
      </c>
      <c r="D2596">
        <v>1286547</v>
      </c>
      <c r="E2596">
        <v>11448</v>
      </c>
      <c r="F2596">
        <v>6409</v>
      </c>
      <c r="G2596">
        <v>8245898243</v>
      </c>
      <c r="H2596">
        <v>1.21</v>
      </c>
      <c r="M2596" t="s">
        <v>706</v>
      </c>
    </row>
    <row r="2597" spans="1:13">
      <c r="A2597" t="s">
        <v>387</v>
      </c>
      <c r="B2597">
        <v>4519671</v>
      </c>
      <c r="C2597">
        <v>40276</v>
      </c>
      <c r="D2597">
        <v>3863205</v>
      </c>
      <c r="E2597">
        <v>33284</v>
      </c>
      <c r="F2597">
        <v>7055</v>
      </c>
      <c r="G2597">
        <v>27256608795</v>
      </c>
      <c r="H2597">
        <v>1.17</v>
      </c>
      <c r="M2597" t="s">
        <v>706</v>
      </c>
    </row>
    <row r="2599" spans="1:13">
      <c r="M2599" t="s">
        <v>707</v>
      </c>
    </row>
    <row r="2600" spans="1:13">
      <c r="A2600" t="s">
        <v>373</v>
      </c>
      <c r="B2600" t="s">
        <v>389</v>
      </c>
      <c r="C2600" t="s">
        <v>390</v>
      </c>
      <c r="D2600" t="s">
        <v>391</v>
      </c>
      <c r="M2600" t="s">
        <v>707</v>
      </c>
    </row>
    <row r="2601" spans="1:13">
      <c r="A2601" t="s">
        <v>381</v>
      </c>
      <c r="B2601">
        <v>1775803</v>
      </c>
      <c r="C2601">
        <v>17224</v>
      </c>
      <c r="D2601">
        <v>47</v>
      </c>
      <c r="M2601" t="s">
        <v>707</v>
      </c>
    </row>
    <row r="2602" spans="1:13">
      <c r="A2602" t="s">
        <v>382</v>
      </c>
      <c r="B2602">
        <v>1684943</v>
      </c>
      <c r="C2602">
        <v>16268</v>
      </c>
      <c r="D2602">
        <v>47.3</v>
      </c>
      <c r="M2602" t="s">
        <v>707</v>
      </c>
    </row>
    <row r="2603" spans="1:13">
      <c r="A2603" t="s">
        <v>383</v>
      </c>
      <c r="B2603">
        <v>1769511</v>
      </c>
      <c r="C2603">
        <v>17362</v>
      </c>
      <c r="D2603">
        <v>58.8</v>
      </c>
      <c r="M2603" t="s">
        <v>707</v>
      </c>
    </row>
    <row r="2604" spans="1:13">
      <c r="A2604" t="s">
        <v>384</v>
      </c>
      <c r="B2604">
        <v>1773455</v>
      </c>
      <c r="C2604">
        <v>17321</v>
      </c>
      <c r="D2604">
        <v>26</v>
      </c>
      <c r="M2604" t="s">
        <v>707</v>
      </c>
    </row>
    <row r="2605" spans="1:13">
      <c r="A2605" t="s">
        <v>385</v>
      </c>
      <c r="B2605">
        <v>1741211</v>
      </c>
      <c r="C2605">
        <v>16832</v>
      </c>
      <c r="D2605">
        <v>22.6</v>
      </c>
      <c r="M2605" t="s">
        <v>707</v>
      </c>
    </row>
    <row r="2606" spans="1:13">
      <c r="A2606" t="s">
        <v>386</v>
      </c>
      <c r="B2606">
        <v>1807335</v>
      </c>
      <c r="C2606">
        <v>17228</v>
      </c>
      <c r="D2606">
        <v>16.899999999999999</v>
      </c>
      <c r="M2606" t="s">
        <v>707</v>
      </c>
    </row>
    <row r="2608" spans="1:13">
      <c r="M2608" t="s">
        <v>708</v>
      </c>
    </row>
    <row r="2609" spans="1:13">
      <c r="A2609" t="s">
        <v>373</v>
      </c>
      <c r="B2609" t="s">
        <v>374</v>
      </c>
      <c r="C2609" t="s">
        <v>375</v>
      </c>
      <c r="D2609" t="s">
        <v>376</v>
      </c>
      <c r="E2609" t="s">
        <v>377</v>
      </c>
      <c r="F2609" t="s">
        <v>378</v>
      </c>
      <c r="G2609" t="s">
        <v>379</v>
      </c>
      <c r="H2609" t="s">
        <v>380</v>
      </c>
      <c r="M2609" t="s">
        <v>708</v>
      </c>
    </row>
    <row r="2610" spans="1:13">
      <c r="A2610" t="s">
        <v>381</v>
      </c>
      <c r="B2610">
        <v>26849</v>
      </c>
      <c r="C2610">
        <v>200</v>
      </c>
      <c r="D2610">
        <v>150450</v>
      </c>
      <c r="E2610">
        <v>1154</v>
      </c>
      <c r="F2610">
        <v>8468</v>
      </c>
      <c r="G2610">
        <v>1274006855</v>
      </c>
      <c r="H2610">
        <v>0.18</v>
      </c>
      <c r="M2610" t="s">
        <v>708</v>
      </c>
    </row>
    <row r="2611" spans="1:13">
      <c r="A2611" t="s">
        <v>382</v>
      </c>
      <c r="B2611">
        <v>3509384</v>
      </c>
      <c r="C2611">
        <v>26033</v>
      </c>
      <c r="D2611">
        <v>3125308</v>
      </c>
      <c r="E2611">
        <v>24447</v>
      </c>
      <c r="F2611">
        <v>8194</v>
      </c>
      <c r="G2611">
        <v>25608913115</v>
      </c>
      <c r="H2611">
        <v>1.1200000000000001</v>
      </c>
      <c r="M2611" t="s">
        <v>708</v>
      </c>
    </row>
    <row r="2612" spans="1:13">
      <c r="A2612" t="s">
        <v>383</v>
      </c>
      <c r="B2612">
        <v>3956190</v>
      </c>
      <c r="C2612">
        <v>29884</v>
      </c>
      <c r="D2612">
        <v>3885820</v>
      </c>
      <c r="E2612">
        <v>29990</v>
      </c>
      <c r="F2612">
        <v>8332</v>
      </c>
      <c r="G2612">
        <v>32375256117</v>
      </c>
      <c r="H2612">
        <v>1.02</v>
      </c>
      <c r="M2612" t="s">
        <v>708</v>
      </c>
    </row>
    <row r="2613" spans="1:13">
      <c r="A2613" t="s">
        <v>384</v>
      </c>
      <c r="B2613">
        <v>5363617</v>
      </c>
      <c r="C2613">
        <v>42410</v>
      </c>
      <c r="D2613">
        <v>2663659</v>
      </c>
      <c r="E2613">
        <v>21586</v>
      </c>
      <c r="F2613">
        <v>7457</v>
      </c>
      <c r="G2613">
        <v>19863845438</v>
      </c>
      <c r="H2613">
        <v>2.0099999999999998</v>
      </c>
      <c r="M2613" t="s">
        <v>708</v>
      </c>
    </row>
    <row r="2614" spans="1:13">
      <c r="A2614" t="s">
        <v>385</v>
      </c>
      <c r="B2614">
        <v>5889073</v>
      </c>
      <c r="C2614">
        <v>46641</v>
      </c>
      <c r="D2614">
        <v>0</v>
      </c>
      <c r="E2614">
        <v>0</v>
      </c>
      <c r="F2614">
        <v>0</v>
      </c>
      <c r="G2614">
        <v>0</v>
      </c>
      <c r="H2614">
        <v>0</v>
      </c>
      <c r="M2614" t="s">
        <v>708</v>
      </c>
    </row>
    <row r="2615" spans="1:13">
      <c r="A2615" t="s">
        <v>386</v>
      </c>
      <c r="B2615">
        <v>5739271</v>
      </c>
      <c r="C2615">
        <v>44399</v>
      </c>
      <c r="D2615">
        <v>0</v>
      </c>
      <c r="E2615">
        <v>0</v>
      </c>
      <c r="F2615">
        <v>0</v>
      </c>
      <c r="G2615">
        <v>0</v>
      </c>
      <c r="H2615">
        <v>0</v>
      </c>
      <c r="M2615" t="s">
        <v>708</v>
      </c>
    </row>
    <row r="2616" spans="1:13">
      <c r="A2616" t="s">
        <v>387</v>
      </c>
      <c r="B2616">
        <v>24484384</v>
      </c>
      <c r="C2616">
        <v>189567</v>
      </c>
      <c r="D2616">
        <v>9825237</v>
      </c>
      <c r="E2616">
        <v>77177</v>
      </c>
      <c r="F2616">
        <v>8053</v>
      </c>
      <c r="G2616">
        <v>79122021525</v>
      </c>
      <c r="H2616">
        <v>2.4900000000000002</v>
      </c>
      <c r="M2616" t="s">
        <v>708</v>
      </c>
    </row>
    <row r="2618" spans="1:13">
      <c r="M2618" t="s">
        <v>709</v>
      </c>
    </row>
    <row r="2619" spans="1:13">
      <c r="A2619" t="s">
        <v>373</v>
      </c>
      <c r="B2619" t="s">
        <v>389</v>
      </c>
      <c r="C2619" t="s">
        <v>390</v>
      </c>
      <c r="D2619" t="s">
        <v>391</v>
      </c>
      <c r="M2619" t="s">
        <v>709</v>
      </c>
    </row>
    <row r="2620" spans="1:13">
      <c r="A2620" t="s">
        <v>381</v>
      </c>
      <c r="B2620">
        <v>18352316</v>
      </c>
      <c r="C2620">
        <v>151198</v>
      </c>
      <c r="D2620">
        <v>70.900000000000006</v>
      </c>
      <c r="M2620" t="s">
        <v>709</v>
      </c>
    </row>
    <row r="2621" spans="1:13">
      <c r="A2621" t="s">
        <v>382</v>
      </c>
      <c r="B2621">
        <v>18121523</v>
      </c>
      <c r="C2621">
        <v>149473</v>
      </c>
      <c r="D2621">
        <v>69.599999999999994</v>
      </c>
      <c r="M2621" t="s">
        <v>709</v>
      </c>
    </row>
    <row r="2622" spans="1:13">
      <c r="A2622" t="s">
        <v>383</v>
      </c>
      <c r="B2622">
        <v>17779256</v>
      </c>
      <c r="C2622">
        <v>148075</v>
      </c>
      <c r="D2622">
        <v>54.9</v>
      </c>
      <c r="M2622" t="s">
        <v>709</v>
      </c>
    </row>
    <row r="2624" spans="1:13">
      <c r="M2624" t="s">
        <v>710</v>
      </c>
    </row>
    <row r="2625" spans="1:13">
      <c r="A2625" t="s">
        <v>373</v>
      </c>
      <c r="B2625" t="s">
        <v>376</v>
      </c>
      <c r="C2625" t="s">
        <v>377</v>
      </c>
      <c r="M2625" t="s">
        <v>710</v>
      </c>
    </row>
    <row r="2626" spans="1:13">
      <c r="A2626" t="s">
        <v>381</v>
      </c>
      <c r="B2626">
        <v>0</v>
      </c>
      <c r="C2626">
        <v>0</v>
      </c>
      <c r="M2626" t="s">
        <v>710</v>
      </c>
    </row>
    <row r="2627" spans="1:13">
      <c r="A2627" t="s">
        <v>382</v>
      </c>
      <c r="B2627">
        <v>0</v>
      </c>
      <c r="C2627">
        <v>0</v>
      </c>
      <c r="M2627" t="s">
        <v>710</v>
      </c>
    </row>
    <row r="2628" spans="1:13">
      <c r="A2628" t="s">
        <v>383</v>
      </c>
      <c r="B2628">
        <v>3562732</v>
      </c>
      <c r="C2628">
        <v>32062</v>
      </c>
      <c r="M2628" t="s">
        <v>710</v>
      </c>
    </row>
    <row r="2629" spans="1:13">
      <c r="A2629" t="s">
        <v>384</v>
      </c>
      <c r="B2629">
        <v>5798845</v>
      </c>
      <c r="C2629">
        <v>51669</v>
      </c>
      <c r="M2629" t="s">
        <v>710</v>
      </c>
    </row>
    <row r="2630" spans="1:13">
      <c r="A2630" t="s">
        <v>385</v>
      </c>
      <c r="B2630">
        <v>6309631</v>
      </c>
      <c r="C2630">
        <v>55037</v>
      </c>
      <c r="M2630" t="s">
        <v>710</v>
      </c>
    </row>
    <row r="2631" spans="1:13">
      <c r="A2631" t="s">
        <v>386</v>
      </c>
      <c r="B2631">
        <v>7205121</v>
      </c>
      <c r="C2631">
        <v>61704</v>
      </c>
      <c r="M2631" t="s">
        <v>710</v>
      </c>
    </row>
    <row r="2632" spans="1:13">
      <c r="A2632" t="s">
        <v>387</v>
      </c>
      <c r="B2632">
        <v>22876328</v>
      </c>
      <c r="C2632">
        <v>200472</v>
      </c>
      <c r="M2632" t="s">
        <v>710</v>
      </c>
    </row>
    <row r="2634" spans="1:13">
      <c r="M2634" t="s">
        <v>711</v>
      </c>
    </row>
    <row r="2635" spans="1:13">
      <c r="A2635" t="s">
        <v>373</v>
      </c>
      <c r="B2635" t="s">
        <v>374</v>
      </c>
      <c r="C2635" t="s">
        <v>375</v>
      </c>
      <c r="D2635" t="s">
        <v>376</v>
      </c>
      <c r="E2635" t="s">
        <v>377</v>
      </c>
      <c r="F2635" t="s">
        <v>378</v>
      </c>
      <c r="G2635" t="s">
        <v>379</v>
      </c>
      <c r="H2635" t="s">
        <v>380</v>
      </c>
      <c r="M2635" t="s">
        <v>711</v>
      </c>
    </row>
    <row r="2636" spans="1:13">
      <c r="A2636" t="s">
        <v>381</v>
      </c>
      <c r="B2636">
        <v>15422</v>
      </c>
      <c r="C2636">
        <v>88</v>
      </c>
      <c r="D2636">
        <v>248836</v>
      </c>
      <c r="E2636">
        <v>2072</v>
      </c>
      <c r="F2636">
        <v>10080</v>
      </c>
      <c r="G2636">
        <v>2508308722</v>
      </c>
      <c r="H2636">
        <v>0.06</v>
      </c>
      <c r="M2636" t="s">
        <v>711</v>
      </c>
    </row>
    <row r="2637" spans="1:13">
      <c r="A2637" t="s">
        <v>382</v>
      </c>
      <c r="B2637">
        <v>1078274</v>
      </c>
      <c r="C2637">
        <v>9027</v>
      </c>
      <c r="D2637">
        <v>2196263</v>
      </c>
      <c r="E2637">
        <v>17902</v>
      </c>
      <c r="F2637">
        <v>10072</v>
      </c>
      <c r="G2637">
        <v>22121262965</v>
      </c>
      <c r="H2637">
        <v>0.49</v>
      </c>
      <c r="M2637" t="s">
        <v>711</v>
      </c>
    </row>
    <row r="2638" spans="1:13">
      <c r="A2638" t="s">
        <v>383</v>
      </c>
      <c r="B2638">
        <v>1764680</v>
      </c>
      <c r="C2638">
        <v>14072</v>
      </c>
      <c r="D2638">
        <v>2450932</v>
      </c>
      <c r="E2638">
        <v>19937</v>
      </c>
      <c r="F2638">
        <v>9739</v>
      </c>
      <c r="G2638">
        <v>23870846187</v>
      </c>
      <c r="H2638">
        <v>0.72</v>
      </c>
      <c r="M2638" t="s">
        <v>711</v>
      </c>
    </row>
    <row r="2639" spans="1:13">
      <c r="A2639" t="s">
        <v>384</v>
      </c>
      <c r="B2639">
        <v>4029937</v>
      </c>
      <c r="C2639">
        <v>33729</v>
      </c>
      <c r="D2639">
        <v>4297055</v>
      </c>
      <c r="E2639">
        <v>35023</v>
      </c>
      <c r="F2639">
        <v>10854</v>
      </c>
      <c r="G2639">
        <v>46641394705</v>
      </c>
      <c r="H2639">
        <v>0.94</v>
      </c>
      <c r="M2639" t="s">
        <v>711</v>
      </c>
    </row>
    <row r="2640" spans="1:13">
      <c r="A2640" t="s">
        <v>385</v>
      </c>
      <c r="B2640">
        <v>4160587</v>
      </c>
      <c r="C2640">
        <v>35186</v>
      </c>
      <c r="D2640">
        <v>4375779</v>
      </c>
      <c r="E2640">
        <v>35936</v>
      </c>
      <c r="F2640">
        <v>10727</v>
      </c>
      <c r="G2640">
        <v>46938849224</v>
      </c>
      <c r="H2640">
        <v>0.95</v>
      </c>
      <c r="M2640" t="s">
        <v>711</v>
      </c>
    </row>
    <row r="2641" spans="1:13">
      <c r="A2641" t="s">
        <v>386</v>
      </c>
      <c r="B2641">
        <v>5384464</v>
      </c>
      <c r="C2641">
        <v>43668</v>
      </c>
      <c r="D2641">
        <v>4703228</v>
      </c>
      <c r="E2641">
        <v>38721</v>
      </c>
      <c r="F2641">
        <v>10780</v>
      </c>
      <c r="G2641">
        <v>50698492396</v>
      </c>
      <c r="H2641">
        <v>1.1399999999999999</v>
      </c>
      <c r="M2641" t="s">
        <v>711</v>
      </c>
    </row>
    <row r="2642" spans="1:13">
      <c r="A2642" t="s">
        <v>387</v>
      </c>
      <c r="B2642">
        <v>16433363</v>
      </c>
      <c r="C2642">
        <v>135770</v>
      </c>
      <c r="D2642">
        <v>18272093</v>
      </c>
      <c r="E2642">
        <v>149591</v>
      </c>
      <c r="F2642">
        <v>10550</v>
      </c>
      <c r="G2642">
        <v>192779154198</v>
      </c>
      <c r="H2642">
        <v>0.9</v>
      </c>
      <c r="M2642" t="s">
        <v>711</v>
      </c>
    </row>
    <row r="2644" spans="1:13">
      <c r="M2644" t="s">
        <v>712</v>
      </c>
    </row>
    <row r="2645" spans="1:13">
      <c r="A2645" t="s">
        <v>373</v>
      </c>
      <c r="B2645" t="s">
        <v>374</v>
      </c>
      <c r="C2645" t="s">
        <v>375</v>
      </c>
      <c r="D2645" t="s">
        <v>376</v>
      </c>
      <c r="E2645" t="s">
        <v>377</v>
      </c>
      <c r="F2645" t="s">
        <v>378</v>
      </c>
      <c r="G2645" t="s">
        <v>380</v>
      </c>
      <c r="M2645" t="s">
        <v>712</v>
      </c>
    </row>
    <row r="2646" spans="1:13">
      <c r="A2646" t="s">
        <v>382</v>
      </c>
      <c r="B2646">
        <v>3138716</v>
      </c>
      <c r="C2646">
        <v>29759</v>
      </c>
      <c r="D2646">
        <v>5010269</v>
      </c>
      <c r="E2646">
        <v>47240</v>
      </c>
      <c r="F2646">
        <v>8924</v>
      </c>
      <c r="G2646">
        <v>0.63</v>
      </c>
      <c r="M2646" t="s">
        <v>712</v>
      </c>
    </row>
    <row r="2647" spans="1:13">
      <c r="A2647" t="s">
        <v>383</v>
      </c>
      <c r="B2647">
        <v>2114732</v>
      </c>
      <c r="C2647">
        <v>19695</v>
      </c>
      <c r="D2647">
        <v>4538367</v>
      </c>
      <c r="E2647">
        <v>42682</v>
      </c>
      <c r="F2647">
        <v>9111</v>
      </c>
      <c r="G2647">
        <v>0.47</v>
      </c>
      <c r="M2647" t="s">
        <v>712</v>
      </c>
    </row>
    <row r="2648" spans="1:13">
      <c r="A2648" t="s">
        <v>384</v>
      </c>
      <c r="B2648">
        <v>7304584</v>
      </c>
      <c r="C2648">
        <v>68874</v>
      </c>
      <c r="D2648">
        <v>6923169</v>
      </c>
      <c r="E2648">
        <v>65528</v>
      </c>
      <c r="F2648">
        <v>9147</v>
      </c>
      <c r="G2648">
        <v>1.06</v>
      </c>
      <c r="M2648" t="s">
        <v>712</v>
      </c>
    </row>
    <row r="2649" spans="1:13">
      <c r="A2649" t="s">
        <v>385</v>
      </c>
      <c r="B2649">
        <v>8203042</v>
      </c>
      <c r="C2649">
        <v>77266</v>
      </c>
      <c r="D2649">
        <v>7901538</v>
      </c>
      <c r="E2649">
        <v>75547</v>
      </c>
      <c r="F2649">
        <v>9494</v>
      </c>
      <c r="G2649">
        <v>1.04</v>
      </c>
      <c r="M2649" t="s">
        <v>712</v>
      </c>
    </row>
    <row r="2650" spans="1:13">
      <c r="A2650" t="s">
        <v>386</v>
      </c>
      <c r="B2650">
        <v>9305015</v>
      </c>
      <c r="C2650">
        <v>87213</v>
      </c>
      <c r="D2650">
        <v>9424767</v>
      </c>
      <c r="E2650">
        <v>88801</v>
      </c>
      <c r="F2650">
        <v>9667</v>
      </c>
      <c r="G2650">
        <v>0.99</v>
      </c>
      <c r="M2650" t="s">
        <v>712</v>
      </c>
    </row>
    <row r="2651" spans="1:13">
      <c r="A2651" t="s">
        <v>387</v>
      </c>
      <c r="B2651">
        <v>30066089</v>
      </c>
      <c r="C2651">
        <v>282807</v>
      </c>
      <c r="D2651">
        <v>33798109</v>
      </c>
      <c r="E2651">
        <v>319798</v>
      </c>
      <c r="F2651">
        <v>9335</v>
      </c>
      <c r="G2651">
        <v>0.89</v>
      </c>
      <c r="M2651" t="s">
        <v>712</v>
      </c>
    </row>
    <row r="2653" spans="1:13">
      <c r="M2653" t="s">
        <v>713</v>
      </c>
    </row>
    <row r="2654" spans="1:13">
      <c r="A2654" t="s">
        <v>373</v>
      </c>
      <c r="B2654" t="s">
        <v>389</v>
      </c>
      <c r="C2654" t="s">
        <v>409</v>
      </c>
      <c r="D2654" t="s">
        <v>410</v>
      </c>
      <c r="E2654" t="s">
        <v>390</v>
      </c>
      <c r="F2654" t="s">
        <v>411</v>
      </c>
      <c r="G2654" t="s">
        <v>412</v>
      </c>
      <c r="H2654" t="s">
        <v>413</v>
      </c>
      <c r="I2654" t="s">
        <v>414</v>
      </c>
      <c r="J2654" t="s">
        <v>391</v>
      </c>
      <c r="K2654" t="s">
        <v>406</v>
      </c>
      <c r="L2654" t="s">
        <v>415</v>
      </c>
      <c r="M2654" t="s">
        <v>713</v>
      </c>
    </row>
    <row r="2655" spans="1:13">
      <c r="A2655" t="s">
        <v>382</v>
      </c>
      <c r="B2655">
        <v>9669045</v>
      </c>
      <c r="C2655">
        <v>-21.87</v>
      </c>
      <c r="D2655">
        <v>-21.87</v>
      </c>
      <c r="E2655">
        <v>86973</v>
      </c>
      <c r="F2655">
        <v>-20.83</v>
      </c>
      <c r="G2655">
        <v>-20.83</v>
      </c>
      <c r="H2655">
        <v>23.8</v>
      </c>
      <c r="I2655">
        <v>24.8</v>
      </c>
      <c r="J2655">
        <v>24.8</v>
      </c>
      <c r="K2655">
        <v>25.5</v>
      </c>
      <c r="L2655">
        <v>22.5</v>
      </c>
      <c r="M2655" t="s">
        <v>713</v>
      </c>
    </row>
    <row r="2656" spans="1:13">
      <c r="A2656" t="s">
        <v>383</v>
      </c>
      <c r="B2656">
        <v>12376064</v>
      </c>
      <c r="C2656">
        <v>-13.91</v>
      </c>
      <c r="D2656">
        <v>-13.91</v>
      </c>
      <c r="E2656">
        <v>109855</v>
      </c>
      <c r="F2656">
        <v>-14.48</v>
      </c>
      <c r="G2656">
        <v>-14.48</v>
      </c>
      <c r="H2656">
        <v>31.7</v>
      </c>
      <c r="I2656">
        <v>25.1</v>
      </c>
      <c r="J2656">
        <v>33.799999999999997</v>
      </c>
      <c r="K2656">
        <v>27.5</v>
      </c>
      <c r="L2656">
        <v>23.8</v>
      </c>
      <c r="M2656" t="s">
        <v>713</v>
      </c>
    </row>
    <row r="2657" spans="1:13">
      <c r="A2657" t="s">
        <v>384</v>
      </c>
      <c r="B2657">
        <v>14375983</v>
      </c>
      <c r="C2657">
        <v>5.21</v>
      </c>
      <c r="D2657">
        <v>5.21</v>
      </c>
      <c r="E2657">
        <v>128459</v>
      </c>
      <c r="F2657">
        <v>5.57</v>
      </c>
      <c r="G2657">
        <v>5.57</v>
      </c>
      <c r="H2657">
        <v>27.2</v>
      </c>
      <c r="I2657">
        <v>26.7</v>
      </c>
      <c r="J2657">
        <v>26.9</v>
      </c>
      <c r="K2657">
        <v>24.1</v>
      </c>
      <c r="L2657">
        <v>21.8</v>
      </c>
      <c r="M2657" t="s">
        <v>713</v>
      </c>
    </row>
    <row r="2658" spans="1:13">
      <c r="A2658" t="s">
        <v>385</v>
      </c>
      <c r="B2658">
        <v>13664418</v>
      </c>
      <c r="C2658">
        <v>7.21</v>
      </c>
      <c r="D2658">
        <v>7.21</v>
      </c>
      <c r="E2658">
        <v>121678</v>
      </c>
      <c r="F2658">
        <v>7.56</v>
      </c>
      <c r="G2658">
        <v>7.56</v>
      </c>
      <c r="H2658">
        <v>21.1</v>
      </c>
      <c r="I2658">
        <v>17.3</v>
      </c>
      <c r="J2658">
        <v>20.8</v>
      </c>
      <c r="K2658">
        <v>18.899999999999999</v>
      </c>
      <c r="L2658">
        <v>18.5</v>
      </c>
      <c r="M2658" t="s">
        <v>713</v>
      </c>
    </row>
    <row r="2659" spans="1:13">
      <c r="A2659" t="s">
        <v>386</v>
      </c>
      <c r="B2659">
        <v>12745431</v>
      </c>
      <c r="C2659">
        <v>19.12</v>
      </c>
      <c r="D2659">
        <v>19.12</v>
      </c>
      <c r="E2659">
        <v>113122</v>
      </c>
      <c r="F2659">
        <v>17.760000000000002</v>
      </c>
      <c r="G2659">
        <v>17.760000000000002</v>
      </c>
      <c r="H2659">
        <v>17.899999999999999</v>
      </c>
      <c r="I2659">
        <v>15.7</v>
      </c>
      <c r="J2659">
        <v>16.2</v>
      </c>
      <c r="K2659">
        <v>16.3</v>
      </c>
      <c r="L2659">
        <v>17</v>
      </c>
      <c r="M2659" t="s">
        <v>713</v>
      </c>
    </row>
    <row r="2660" spans="1:13">
      <c r="A2660" t="s">
        <v>393</v>
      </c>
      <c r="B2660">
        <v>10699821</v>
      </c>
      <c r="C2660">
        <v>30</v>
      </c>
      <c r="D2660">
        <v>30</v>
      </c>
      <c r="E2660">
        <v>96064</v>
      </c>
      <c r="F2660">
        <v>26.64</v>
      </c>
      <c r="G2660">
        <v>26.64</v>
      </c>
      <c r="H2660">
        <v>12.2</v>
      </c>
      <c r="I2660">
        <v>11.6</v>
      </c>
      <c r="J2660">
        <v>13.8</v>
      </c>
      <c r="K2660">
        <v>14.7</v>
      </c>
      <c r="L2660">
        <v>14.9</v>
      </c>
      <c r="M2660" t="s">
        <v>713</v>
      </c>
    </row>
    <row r="2662" spans="1:13">
      <c r="M2662" t="s">
        <v>714</v>
      </c>
    </row>
    <row r="2663" spans="1:13">
      <c r="A2663" t="s">
        <v>373</v>
      </c>
      <c r="B2663" t="s">
        <v>374</v>
      </c>
      <c r="C2663" t="s">
        <v>375</v>
      </c>
      <c r="D2663" t="s">
        <v>376</v>
      </c>
      <c r="E2663" t="s">
        <v>377</v>
      </c>
      <c r="F2663" t="s">
        <v>378</v>
      </c>
      <c r="G2663" t="s">
        <v>380</v>
      </c>
      <c r="M2663" t="s">
        <v>714</v>
      </c>
    </row>
    <row r="2664" spans="1:13">
      <c r="A2664" t="s">
        <v>382</v>
      </c>
      <c r="B2664">
        <v>8107332</v>
      </c>
      <c r="C2664">
        <v>54304</v>
      </c>
      <c r="D2664">
        <v>9581628</v>
      </c>
      <c r="E2664">
        <v>67419</v>
      </c>
      <c r="F2664">
        <v>12589</v>
      </c>
      <c r="G2664">
        <v>0.85</v>
      </c>
      <c r="M2664" t="s">
        <v>714</v>
      </c>
    </row>
    <row r="2665" spans="1:13">
      <c r="A2665" t="s">
        <v>383</v>
      </c>
      <c r="B2665">
        <v>10386603</v>
      </c>
      <c r="C2665">
        <v>72995</v>
      </c>
      <c r="D2665">
        <v>10910470</v>
      </c>
      <c r="E2665">
        <v>79553</v>
      </c>
      <c r="F2665">
        <v>11336</v>
      </c>
      <c r="G2665">
        <v>0.95</v>
      </c>
      <c r="M2665" t="s">
        <v>714</v>
      </c>
    </row>
    <row r="2666" spans="1:13">
      <c r="A2666" t="s">
        <v>384</v>
      </c>
      <c r="B2666">
        <v>16172395</v>
      </c>
      <c r="C2666">
        <v>122371</v>
      </c>
      <c r="D2666">
        <v>18903371</v>
      </c>
      <c r="E2666">
        <v>145903</v>
      </c>
      <c r="F2666">
        <v>10506</v>
      </c>
      <c r="G2666">
        <v>0.86</v>
      </c>
      <c r="M2666" t="s">
        <v>714</v>
      </c>
    </row>
    <row r="2667" spans="1:13">
      <c r="A2667" t="s">
        <v>385</v>
      </c>
      <c r="B2667">
        <v>16998478</v>
      </c>
      <c r="C2667">
        <v>133174</v>
      </c>
      <c r="D2667">
        <v>19641030</v>
      </c>
      <c r="E2667">
        <v>155874</v>
      </c>
      <c r="F2667">
        <v>9316</v>
      </c>
      <c r="G2667">
        <v>0.87</v>
      </c>
      <c r="M2667" t="s">
        <v>714</v>
      </c>
    </row>
    <row r="2668" spans="1:13">
      <c r="A2668" t="s">
        <v>386</v>
      </c>
      <c r="B2668">
        <v>10507854</v>
      </c>
      <c r="C2668">
        <v>81283</v>
      </c>
      <c r="D2668">
        <v>18670121</v>
      </c>
      <c r="E2668">
        <v>150855</v>
      </c>
      <c r="F2668">
        <v>8552</v>
      </c>
      <c r="G2668">
        <v>0.56000000000000005</v>
      </c>
      <c r="M2668" t="s">
        <v>714</v>
      </c>
    </row>
    <row r="2669" spans="1:13">
      <c r="A2669" t="s">
        <v>387</v>
      </c>
      <c r="B2669">
        <v>62172662</v>
      </c>
      <c r="C2669">
        <v>464127</v>
      </c>
      <c r="D2669">
        <v>77706619</v>
      </c>
      <c r="E2669">
        <v>599604</v>
      </c>
      <c r="F2669">
        <v>10109</v>
      </c>
      <c r="G2669">
        <v>0.8</v>
      </c>
      <c r="M2669" t="s">
        <v>714</v>
      </c>
    </row>
    <row r="2671" spans="1:13">
      <c r="M2671" t="s">
        <v>715</v>
      </c>
    </row>
    <row r="2672" spans="1:13">
      <c r="A2672" t="s">
        <v>373</v>
      </c>
      <c r="B2672" t="s">
        <v>389</v>
      </c>
      <c r="C2672" t="s">
        <v>390</v>
      </c>
      <c r="D2672" t="s">
        <v>391</v>
      </c>
      <c r="E2672" t="s">
        <v>406</v>
      </c>
      <c r="M2672" t="s">
        <v>715</v>
      </c>
    </row>
    <row r="2673" spans="1:13">
      <c r="A2673" t="s">
        <v>381</v>
      </c>
      <c r="B2673">
        <v>5181446</v>
      </c>
      <c r="C2673">
        <v>34272</v>
      </c>
      <c r="D2673">
        <v>10.3</v>
      </c>
      <c r="E2673">
        <v>10.3</v>
      </c>
      <c r="M2673" t="s">
        <v>715</v>
      </c>
    </row>
    <row r="2674" spans="1:13">
      <c r="A2674" t="s">
        <v>382</v>
      </c>
      <c r="B2674">
        <v>5228067</v>
      </c>
      <c r="C2674">
        <v>34893</v>
      </c>
      <c r="D2674">
        <v>10.3</v>
      </c>
      <c r="E2674">
        <v>10.199999999999999</v>
      </c>
      <c r="M2674" t="s">
        <v>715</v>
      </c>
    </row>
    <row r="2675" spans="1:13">
      <c r="A2675" t="s">
        <v>383</v>
      </c>
      <c r="B2675">
        <v>5970191</v>
      </c>
      <c r="C2675">
        <v>42132</v>
      </c>
      <c r="D2675">
        <v>11.5</v>
      </c>
      <c r="E2675">
        <v>8.6999999999999993</v>
      </c>
      <c r="M2675" t="s">
        <v>715</v>
      </c>
    </row>
    <row r="2676" spans="1:13">
      <c r="A2676" t="s">
        <v>384</v>
      </c>
      <c r="B2676">
        <v>4861262</v>
      </c>
      <c r="C2676">
        <v>36003</v>
      </c>
      <c r="D2676">
        <v>5.7</v>
      </c>
      <c r="E2676">
        <v>5.8</v>
      </c>
      <c r="M2676" t="s">
        <v>715</v>
      </c>
    </row>
    <row r="2677" spans="1:13">
      <c r="A2677" t="s">
        <v>385</v>
      </c>
      <c r="B2677">
        <v>5309481</v>
      </c>
      <c r="C2677">
        <v>42070</v>
      </c>
      <c r="D2677">
        <v>6.4</v>
      </c>
      <c r="E2677">
        <v>6.5</v>
      </c>
      <c r="M2677" t="s">
        <v>715</v>
      </c>
    </row>
    <row r="2678" spans="1:13">
      <c r="A2678" t="s">
        <v>386</v>
      </c>
      <c r="B2678">
        <v>6179179</v>
      </c>
      <c r="C2678">
        <v>49522</v>
      </c>
      <c r="D2678">
        <v>7.7</v>
      </c>
      <c r="E2678">
        <v>8.3000000000000007</v>
      </c>
      <c r="M2678" t="s">
        <v>715</v>
      </c>
    </row>
    <row r="2680" spans="1:13">
      <c r="M2680" t="s">
        <v>716</v>
      </c>
    </row>
    <row r="2681" spans="1:13">
      <c r="A2681" t="s">
        <v>373</v>
      </c>
      <c r="B2681" t="s">
        <v>374</v>
      </c>
      <c r="C2681" t="s">
        <v>375</v>
      </c>
      <c r="D2681" t="s">
        <v>376</v>
      </c>
      <c r="E2681" t="s">
        <v>377</v>
      </c>
      <c r="F2681" t="s">
        <v>378</v>
      </c>
      <c r="G2681" t="s">
        <v>379</v>
      </c>
      <c r="H2681" t="s">
        <v>380</v>
      </c>
      <c r="M2681" t="s">
        <v>716</v>
      </c>
    </row>
    <row r="2682" spans="1:13">
      <c r="A2682" t="s">
        <v>382</v>
      </c>
      <c r="B2682">
        <v>346421</v>
      </c>
      <c r="C2682">
        <v>3140</v>
      </c>
      <c r="D2682">
        <v>596292</v>
      </c>
      <c r="E2682">
        <v>5725</v>
      </c>
      <c r="F2682">
        <v>4002</v>
      </c>
      <c r="G2682">
        <v>2386190401</v>
      </c>
      <c r="H2682">
        <v>0.57999999999999996</v>
      </c>
      <c r="M2682" t="s">
        <v>716</v>
      </c>
    </row>
    <row r="2683" spans="1:13">
      <c r="A2683" t="s">
        <v>383</v>
      </c>
      <c r="B2683">
        <v>316052</v>
      </c>
      <c r="C2683">
        <v>2777</v>
      </c>
      <c r="D2683">
        <v>608027</v>
      </c>
      <c r="E2683">
        <v>5563</v>
      </c>
      <c r="F2683">
        <v>4192</v>
      </c>
      <c r="G2683">
        <v>2549007590</v>
      </c>
      <c r="H2683">
        <v>0.52</v>
      </c>
      <c r="M2683" t="s">
        <v>716</v>
      </c>
    </row>
    <row r="2684" spans="1:13">
      <c r="A2684" t="s">
        <v>384</v>
      </c>
      <c r="B2684">
        <v>476973</v>
      </c>
      <c r="C2684">
        <v>4173</v>
      </c>
      <c r="D2684">
        <v>713423</v>
      </c>
      <c r="E2684">
        <v>6643</v>
      </c>
      <c r="F2684">
        <v>4274</v>
      </c>
      <c r="G2684">
        <v>3049082526</v>
      </c>
      <c r="H2684">
        <v>0.67</v>
      </c>
      <c r="M2684" t="s">
        <v>716</v>
      </c>
    </row>
    <row r="2685" spans="1:13">
      <c r="A2685" t="s">
        <v>385</v>
      </c>
      <c r="B2685">
        <v>610369</v>
      </c>
      <c r="C2685">
        <v>5415</v>
      </c>
      <c r="D2685">
        <v>737060</v>
      </c>
      <c r="E2685">
        <v>7045</v>
      </c>
      <c r="F2685">
        <v>4432</v>
      </c>
      <c r="G2685">
        <v>3266429994</v>
      </c>
      <c r="H2685">
        <v>0.83</v>
      </c>
      <c r="M2685" t="s">
        <v>716</v>
      </c>
    </row>
    <row r="2686" spans="1:13">
      <c r="A2686" t="s">
        <v>386</v>
      </c>
      <c r="B2686">
        <v>612574</v>
      </c>
      <c r="C2686">
        <v>5889</v>
      </c>
      <c r="D2686">
        <v>201075</v>
      </c>
      <c r="E2686">
        <v>1849</v>
      </c>
      <c r="F2686">
        <v>4672</v>
      </c>
      <c r="G2686">
        <v>939354565</v>
      </c>
      <c r="H2686">
        <v>3.05</v>
      </c>
      <c r="M2686" t="s">
        <v>716</v>
      </c>
    </row>
    <row r="2687" spans="1:13">
      <c r="A2687" t="s">
        <v>387</v>
      </c>
      <c r="B2687">
        <v>2362389</v>
      </c>
      <c r="C2687">
        <v>21394</v>
      </c>
      <c r="D2687">
        <v>2855877</v>
      </c>
      <c r="E2687">
        <v>26825</v>
      </c>
      <c r="F2687">
        <v>4268</v>
      </c>
      <c r="G2687">
        <v>12190065075</v>
      </c>
      <c r="H2687">
        <v>0.83</v>
      </c>
      <c r="M2687" t="s">
        <v>716</v>
      </c>
    </row>
    <row r="2689" spans="1:13">
      <c r="M2689" t="s">
        <v>717</v>
      </c>
    </row>
    <row r="2690" spans="1:13">
      <c r="A2690" t="s">
        <v>373</v>
      </c>
      <c r="B2690" t="s">
        <v>389</v>
      </c>
      <c r="C2690" t="s">
        <v>390</v>
      </c>
      <c r="D2690" t="s">
        <v>391</v>
      </c>
      <c r="M2690" t="s">
        <v>717</v>
      </c>
    </row>
    <row r="2691" spans="1:13">
      <c r="A2691" t="s">
        <v>382</v>
      </c>
      <c r="B2691">
        <v>2447598</v>
      </c>
      <c r="C2691">
        <v>26448</v>
      </c>
      <c r="D2691">
        <v>49.3</v>
      </c>
      <c r="M2691" t="s">
        <v>717</v>
      </c>
    </row>
    <row r="2692" spans="1:13">
      <c r="A2692" t="s">
        <v>383</v>
      </c>
      <c r="B2692">
        <v>2646860</v>
      </c>
      <c r="C2692">
        <v>28326</v>
      </c>
      <c r="D2692">
        <v>52.2</v>
      </c>
      <c r="M2692" t="s">
        <v>717</v>
      </c>
    </row>
    <row r="2693" spans="1:13">
      <c r="A2693" t="s">
        <v>384</v>
      </c>
      <c r="B2693">
        <v>2823687</v>
      </c>
      <c r="C2693">
        <v>30075</v>
      </c>
      <c r="D2693">
        <v>47.5</v>
      </c>
      <c r="M2693" t="s">
        <v>717</v>
      </c>
    </row>
    <row r="2694" spans="1:13">
      <c r="A2694" t="s">
        <v>385</v>
      </c>
      <c r="B2694">
        <v>3093036</v>
      </c>
      <c r="C2694">
        <v>32854</v>
      </c>
      <c r="D2694">
        <v>50.4</v>
      </c>
      <c r="M2694" t="s">
        <v>717</v>
      </c>
    </row>
    <row r="2695" spans="1:13">
      <c r="A2695" t="s">
        <v>386</v>
      </c>
      <c r="B2695">
        <v>3088439</v>
      </c>
      <c r="C2695">
        <v>33204</v>
      </c>
      <c r="D2695">
        <v>184.3</v>
      </c>
      <c r="M2695" t="s">
        <v>717</v>
      </c>
    </row>
    <row r="2697" spans="1:13">
      <c r="M2697" t="s">
        <v>718</v>
      </c>
    </row>
    <row r="2698" spans="1:13">
      <c r="A2698" t="s">
        <v>373</v>
      </c>
      <c r="B2698" t="s">
        <v>374</v>
      </c>
      <c r="C2698" t="s">
        <v>375</v>
      </c>
      <c r="D2698" t="s">
        <v>376</v>
      </c>
      <c r="E2698" t="s">
        <v>377</v>
      </c>
      <c r="F2698" t="s">
        <v>378</v>
      </c>
      <c r="G2698" t="s">
        <v>379</v>
      </c>
      <c r="H2698" t="s">
        <v>380</v>
      </c>
      <c r="M2698" t="s">
        <v>718</v>
      </c>
    </row>
    <row r="2699" spans="1:13">
      <c r="A2699" t="s">
        <v>381</v>
      </c>
      <c r="B2699">
        <v>65182</v>
      </c>
      <c r="C2699">
        <v>654</v>
      </c>
      <c r="D2699">
        <v>18994</v>
      </c>
      <c r="E2699">
        <v>223</v>
      </c>
      <c r="F2699">
        <v>20869</v>
      </c>
      <c r="G2699">
        <v>396384579</v>
      </c>
      <c r="H2699">
        <v>3.43</v>
      </c>
      <c r="M2699" t="s">
        <v>718</v>
      </c>
    </row>
    <row r="2700" spans="1:13">
      <c r="A2700" t="s">
        <v>382</v>
      </c>
      <c r="B2700">
        <v>331274</v>
      </c>
      <c r="C2700">
        <v>3189</v>
      </c>
      <c r="D2700">
        <v>623915</v>
      </c>
      <c r="E2700">
        <v>5019</v>
      </c>
      <c r="F2700">
        <v>19437</v>
      </c>
      <c r="G2700">
        <v>12126925232</v>
      </c>
      <c r="H2700">
        <v>0.53</v>
      </c>
      <c r="M2700" t="s">
        <v>718</v>
      </c>
    </row>
    <row r="2701" spans="1:13">
      <c r="A2701" t="s">
        <v>383</v>
      </c>
      <c r="B2701">
        <v>341246</v>
      </c>
      <c r="C2701">
        <v>3134</v>
      </c>
      <c r="D2701">
        <v>812287</v>
      </c>
      <c r="E2701">
        <v>6732</v>
      </c>
      <c r="F2701">
        <v>19613</v>
      </c>
      <c r="G2701">
        <v>15931353331</v>
      </c>
      <c r="H2701">
        <v>0.42</v>
      </c>
      <c r="M2701" t="s">
        <v>718</v>
      </c>
    </row>
    <row r="2702" spans="1:13">
      <c r="A2702" t="s">
        <v>384</v>
      </c>
      <c r="B2702">
        <v>213374</v>
      </c>
      <c r="C2702">
        <v>1815</v>
      </c>
      <c r="D2702">
        <v>116905</v>
      </c>
      <c r="E2702">
        <v>1087</v>
      </c>
      <c r="F2702">
        <v>21378</v>
      </c>
      <c r="G2702">
        <v>2499151560</v>
      </c>
      <c r="H2702">
        <v>1.83</v>
      </c>
      <c r="M2702" t="s">
        <v>718</v>
      </c>
    </row>
    <row r="2703" spans="1:13">
      <c r="A2703" t="s">
        <v>385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M2703" t="s">
        <v>718</v>
      </c>
    </row>
    <row r="2704" spans="1:13">
      <c r="A2704" t="s">
        <v>386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M2704" t="s">
        <v>718</v>
      </c>
    </row>
    <row r="2705" spans="1:13">
      <c r="A2705" t="s">
        <v>387</v>
      </c>
      <c r="B2705">
        <v>951076</v>
      </c>
      <c r="C2705">
        <v>8792</v>
      </c>
      <c r="D2705">
        <v>1572100</v>
      </c>
      <c r="E2705">
        <v>13061</v>
      </c>
      <c r="F2705">
        <v>19689</v>
      </c>
      <c r="G2705">
        <v>30953814702</v>
      </c>
      <c r="H2705">
        <v>0.6</v>
      </c>
      <c r="M2705" t="s">
        <v>718</v>
      </c>
    </row>
    <row r="2707" spans="1:13">
      <c r="M2707" t="s">
        <v>719</v>
      </c>
    </row>
    <row r="2708" spans="1:13">
      <c r="A2708" t="s">
        <v>373</v>
      </c>
      <c r="B2708" t="s">
        <v>389</v>
      </c>
      <c r="C2708" t="s">
        <v>390</v>
      </c>
      <c r="D2708" t="s">
        <v>391</v>
      </c>
      <c r="M2708" t="s">
        <v>719</v>
      </c>
    </row>
    <row r="2709" spans="1:13">
      <c r="A2709" t="s">
        <v>381</v>
      </c>
      <c r="B2709">
        <v>1362481</v>
      </c>
      <c r="C2709">
        <v>12822</v>
      </c>
      <c r="D2709">
        <v>28</v>
      </c>
      <c r="M2709" t="s">
        <v>719</v>
      </c>
    </row>
    <row r="2710" spans="1:13">
      <c r="A2710" t="s">
        <v>382</v>
      </c>
      <c r="B2710">
        <v>1318722</v>
      </c>
      <c r="C2710">
        <v>12426</v>
      </c>
      <c r="D2710">
        <v>25.4</v>
      </c>
      <c r="M2710" t="s">
        <v>719</v>
      </c>
    </row>
    <row r="2711" spans="1:13">
      <c r="A2711" t="s">
        <v>383</v>
      </c>
      <c r="B2711">
        <v>1580218</v>
      </c>
      <c r="C2711">
        <v>13986</v>
      </c>
      <c r="D2711">
        <v>23.3</v>
      </c>
      <c r="M2711" t="s">
        <v>719</v>
      </c>
    </row>
    <row r="2712" spans="1:13">
      <c r="A2712" t="s">
        <v>384</v>
      </c>
      <c r="B2712">
        <v>1839990</v>
      </c>
      <c r="C2712">
        <v>15743</v>
      </c>
      <c r="D2712">
        <v>188.9</v>
      </c>
      <c r="M2712" t="s">
        <v>719</v>
      </c>
    </row>
    <row r="2714" spans="1:13">
      <c r="M2714" t="s">
        <v>720</v>
      </c>
    </row>
    <row r="2715" spans="1:13">
      <c r="A2715" t="s">
        <v>373</v>
      </c>
      <c r="B2715" t="s">
        <v>374</v>
      </c>
      <c r="C2715" t="s">
        <v>375</v>
      </c>
      <c r="D2715" t="s">
        <v>376</v>
      </c>
      <c r="E2715" t="s">
        <v>377</v>
      </c>
      <c r="F2715" t="s">
        <v>378</v>
      </c>
      <c r="G2715" t="s">
        <v>380</v>
      </c>
      <c r="M2715" t="s">
        <v>720</v>
      </c>
    </row>
    <row r="2716" spans="1:13">
      <c r="A2716" t="s">
        <v>382</v>
      </c>
      <c r="B2716">
        <v>5823900</v>
      </c>
      <c r="C2716">
        <v>46377</v>
      </c>
      <c r="D2716">
        <v>9036994</v>
      </c>
      <c r="E2716">
        <v>74977</v>
      </c>
      <c r="F2716">
        <v>14796</v>
      </c>
      <c r="G2716">
        <v>0.64</v>
      </c>
      <c r="M2716" t="s">
        <v>720</v>
      </c>
    </row>
    <row r="2717" spans="1:13">
      <c r="A2717" t="s">
        <v>383</v>
      </c>
      <c r="B2717">
        <v>7511397</v>
      </c>
      <c r="C2717">
        <v>60024</v>
      </c>
      <c r="D2717">
        <v>9272945</v>
      </c>
      <c r="E2717">
        <v>77020</v>
      </c>
      <c r="F2717">
        <v>15503</v>
      </c>
      <c r="G2717">
        <v>0.81</v>
      </c>
      <c r="M2717" t="s">
        <v>720</v>
      </c>
    </row>
    <row r="2718" spans="1:13">
      <c r="A2718" t="s">
        <v>384</v>
      </c>
      <c r="B2718">
        <v>12853419</v>
      </c>
      <c r="C2718">
        <v>111127</v>
      </c>
      <c r="D2718">
        <v>12880617</v>
      </c>
      <c r="E2718">
        <v>110239</v>
      </c>
      <c r="F2718">
        <v>14296</v>
      </c>
      <c r="G2718">
        <v>1</v>
      </c>
      <c r="M2718" t="s">
        <v>720</v>
      </c>
    </row>
    <row r="2719" spans="1:13">
      <c r="A2719" t="s">
        <v>385</v>
      </c>
      <c r="B2719">
        <v>16436997</v>
      </c>
      <c r="C2719">
        <v>142108</v>
      </c>
      <c r="D2719">
        <v>13234307</v>
      </c>
      <c r="E2719">
        <v>113530</v>
      </c>
      <c r="F2719">
        <v>14260</v>
      </c>
      <c r="G2719">
        <v>1.24</v>
      </c>
      <c r="M2719" t="s">
        <v>720</v>
      </c>
    </row>
    <row r="2720" spans="1:13">
      <c r="A2720" t="s">
        <v>386</v>
      </c>
      <c r="B2720">
        <v>17612901</v>
      </c>
      <c r="C2720">
        <v>148202</v>
      </c>
      <c r="D2720">
        <v>12161467</v>
      </c>
      <c r="E2720">
        <v>102987</v>
      </c>
      <c r="F2720">
        <v>14250</v>
      </c>
      <c r="G2720">
        <v>1.45</v>
      </c>
      <c r="M2720" t="s">
        <v>720</v>
      </c>
    </row>
    <row r="2721" spans="1:13">
      <c r="A2721" t="s">
        <v>387</v>
      </c>
      <c r="B2721">
        <v>60238614</v>
      </c>
      <c r="C2721">
        <v>507838</v>
      </c>
      <c r="D2721">
        <v>56586329</v>
      </c>
      <c r="E2721">
        <v>478753</v>
      </c>
      <c r="F2721">
        <v>14555</v>
      </c>
      <c r="G2721">
        <v>1.06</v>
      </c>
      <c r="M2721" t="s">
        <v>720</v>
      </c>
    </row>
    <row r="2723" spans="1:13">
      <c r="M2723" t="s">
        <v>721</v>
      </c>
    </row>
    <row r="2724" spans="1:13">
      <c r="A2724" t="s">
        <v>373</v>
      </c>
      <c r="B2724" t="s">
        <v>389</v>
      </c>
      <c r="C2724" t="s">
        <v>390</v>
      </c>
      <c r="D2724" t="s">
        <v>391</v>
      </c>
      <c r="M2724" t="s">
        <v>721</v>
      </c>
    </row>
    <row r="2725" spans="1:13">
      <c r="A2725" t="s">
        <v>382</v>
      </c>
      <c r="B2725">
        <v>11086297</v>
      </c>
      <c r="C2725">
        <v>88748</v>
      </c>
      <c r="D2725">
        <v>14.7</v>
      </c>
      <c r="M2725" t="s">
        <v>721</v>
      </c>
    </row>
    <row r="2726" spans="1:13">
      <c r="A2726" t="s">
        <v>383</v>
      </c>
      <c r="B2726">
        <v>18270969</v>
      </c>
      <c r="C2726">
        <v>150736</v>
      </c>
      <c r="D2726">
        <v>23.6</v>
      </c>
      <c r="M2726" t="s">
        <v>721</v>
      </c>
    </row>
    <row r="2727" spans="1:13">
      <c r="A2727" t="s">
        <v>384</v>
      </c>
      <c r="B2727">
        <v>21163467</v>
      </c>
      <c r="C2727">
        <v>178802</v>
      </c>
      <c r="D2727">
        <v>19.7</v>
      </c>
      <c r="M2727" t="s">
        <v>721</v>
      </c>
    </row>
    <row r="2728" spans="1:13">
      <c r="A2728" t="s">
        <v>385</v>
      </c>
      <c r="B2728">
        <v>20029928</v>
      </c>
      <c r="C2728">
        <v>168780</v>
      </c>
      <c r="D2728">
        <v>18.2</v>
      </c>
      <c r="M2728" t="s">
        <v>721</v>
      </c>
    </row>
    <row r="2729" spans="1:13">
      <c r="A2729" t="s">
        <v>386</v>
      </c>
      <c r="B2729">
        <v>15951554</v>
      </c>
      <c r="C2729">
        <v>132824</v>
      </c>
      <c r="D2729">
        <v>15.7</v>
      </c>
      <c r="M2729" t="s">
        <v>721</v>
      </c>
    </row>
    <row r="2731" spans="1:13">
      <c r="M2731" t="s">
        <v>722</v>
      </c>
    </row>
    <row r="2732" spans="1:13">
      <c r="A2732" t="s">
        <v>373</v>
      </c>
      <c r="B2732" t="s">
        <v>374</v>
      </c>
      <c r="C2732" t="s">
        <v>375</v>
      </c>
      <c r="D2732" t="s">
        <v>376</v>
      </c>
      <c r="E2732" t="s">
        <v>377</v>
      </c>
      <c r="F2732" t="s">
        <v>378</v>
      </c>
      <c r="G2732" t="s">
        <v>379</v>
      </c>
      <c r="H2732" t="s">
        <v>380</v>
      </c>
      <c r="M2732" t="s">
        <v>722</v>
      </c>
    </row>
    <row r="2733" spans="1:13">
      <c r="A2733" t="s">
        <v>384</v>
      </c>
      <c r="B2733">
        <v>713179</v>
      </c>
      <c r="C2733">
        <v>7199</v>
      </c>
      <c r="D2733">
        <v>1142976</v>
      </c>
      <c r="E2733">
        <v>11076</v>
      </c>
      <c r="F2733">
        <v>6876</v>
      </c>
      <c r="G2733">
        <v>7859284968</v>
      </c>
      <c r="H2733">
        <v>0.62</v>
      </c>
      <c r="M2733" t="s">
        <v>722</v>
      </c>
    </row>
    <row r="2734" spans="1:13">
      <c r="A2734" t="s">
        <v>385</v>
      </c>
      <c r="B2734">
        <v>1446459</v>
      </c>
      <c r="C2734">
        <v>13879</v>
      </c>
      <c r="D2734">
        <v>1428598</v>
      </c>
      <c r="E2734">
        <v>13946</v>
      </c>
      <c r="F2734">
        <v>6358</v>
      </c>
      <c r="G2734">
        <v>9083339475</v>
      </c>
      <c r="H2734">
        <v>1.01</v>
      </c>
      <c r="M2734" t="s">
        <v>722</v>
      </c>
    </row>
    <row r="2735" spans="1:13">
      <c r="A2735" t="s">
        <v>386</v>
      </c>
      <c r="B2735">
        <v>0</v>
      </c>
      <c r="C2735">
        <v>0</v>
      </c>
      <c r="D2735">
        <v>305080</v>
      </c>
      <c r="E2735">
        <v>3079</v>
      </c>
      <c r="F2735">
        <v>5779</v>
      </c>
      <c r="G2735">
        <v>1763092240</v>
      </c>
      <c r="H2735">
        <v>0</v>
      </c>
      <c r="M2735" t="s">
        <v>722</v>
      </c>
    </row>
    <row r="2736" spans="1:13">
      <c r="A2736" t="s">
        <v>393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M2736" t="s">
        <v>722</v>
      </c>
    </row>
    <row r="2737" spans="1:13">
      <c r="A2737" t="s">
        <v>435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M2737" t="s">
        <v>722</v>
      </c>
    </row>
    <row r="2738" spans="1:13">
      <c r="A2738" t="s">
        <v>505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M2738" t="s">
        <v>722</v>
      </c>
    </row>
    <row r="2739" spans="1:13">
      <c r="A2739" t="s">
        <v>387</v>
      </c>
      <c r="B2739">
        <v>2159638</v>
      </c>
      <c r="C2739">
        <v>21078</v>
      </c>
      <c r="D2739">
        <v>2876654</v>
      </c>
      <c r="E2739">
        <v>28101</v>
      </c>
      <c r="F2739">
        <v>6503</v>
      </c>
      <c r="G2739">
        <v>18705716684</v>
      </c>
      <c r="H2739">
        <v>0.75</v>
      </c>
      <c r="M2739" t="s">
        <v>722</v>
      </c>
    </row>
    <row r="2741" spans="1:13">
      <c r="M2741" t="s">
        <v>723</v>
      </c>
    </row>
    <row r="2742" spans="1:13">
      <c r="A2742" t="s">
        <v>373</v>
      </c>
      <c r="B2742" t="s">
        <v>389</v>
      </c>
      <c r="C2742" t="s">
        <v>390</v>
      </c>
      <c r="D2742" t="s">
        <v>391</v>
      </c>
      <c r="M2742" t="s">
        <v>723</v>
      </c>
    </row>
    <row r="2743" spans="1:13">
      <c r="A2743" t="s">
        <v>384</v>
      </c>
      <c r="B2743">
        <v>2202617</v>
      </c>
      <c r="C2743">
        <v>23892</v>
      </c>
      <c r="D2743">
        <v>21.8</v>
      </c>
      <c r="M2743" t="s">
        <v>723</v>
      </c>
    </row>
    <row r="2744" spans="1:13">
      <c r="A2744" t="s">
        <v>385</v>
      </c>
      <c r="B2744">
        <v>2475807</v>
      </c>
      <c r="C2744">
        <v>26390</v>
      </c>
      <c r="D2744">
        <v>20.8</v>
      </c>
      <c r="M2744" t="s">
        <v>723</v>
      </c>
    </row>
    <row r="2745" spans="1:13">
      <c r="A2745" t="s">
        <v>386</v>
      </c>
      <c r="B2745">
        <v>2687190</v>
      </c>
      <c r="C2745">
        <v>28398</v>
      </c>
      <c r="D2745">
        <v>105.7</v>
      </c>
      <c r="M2745" t="s">
        <v>723</v>
      </c>
    </row>
    <row r="2747" spans="1:13">
      <c r="M2747" t="s">
        <v>724</v>
      </c>
    </row>
    <row r="2748" spans="1:13">
      <c r="A2748" t="s">
        <v>373</v>
      </c>
      <c r="B2748" t="s">
        <v>376</v>
      </c>
      <c r="C2748" t="s">
        <v>377</v>
      </c>
      <c r="D2748" t="s">
        <v>523</v>
      </c>
      <c r="E2748" t="s">
        <v>379</v>
      </c>
      <c r="M2748" t="s">
        <v>724</v>
      </c>
    </row>
    <row r="2749" spans="1:13">
      <c r="A2749" t="s">
        <v>381</v>
      </c>
      <c r="B2749">
        <v>343446</v>
      </c>
      <c r="C2749">
        <v>2699</v>
      </c>
      <c r="D2749">
        <v>6146</v>
      </c>
      <c r="E2749">
        <v>2110868230</v>
      </c>
      <c r="M2749" t="s">
        <v>724</v>
      </c>
    </row>
    <row r="2750" spans="1:13">
      <c r="A2750" t="s">
        <v>382</v>
      </c>
      <c r="B2750">
        <v>2205082</v>
      </c>
      <c r="C2750">
        <v>18169</v>
      </c>
      <c r="D2750">
        <v>6003</v>
      </c>
      <c r="E2750">
        <v>13236306641</v>
      </c>
      <c r="M2750" t="s">
        <v>724</v>
      </c>
    </row>
    <row r="2751" spans="1:13">
      <c r="A2751" t="s">
        <v>383</v>
      </c>
      <c r="B2751">
        <v>1064938</v>
      </c>
      <c r="C2751">
        <v>8639</v>
      </c>
      <c r="D2751">
        <v>6162</v>
      </c>
      <c r="E2751">
        <v>6561876108</v>
      </c>
      <c r="M2751" t="s">
        <v>724</v>
      </c>
    </row>
    <row r="2752" spans="1:13">
      <c r="A2752" t="s">
        <v>384</v>
      </c>
      <c r="B2752">
        <v>99493</v>
      </c>
      <c r="C2752">
        <v>879</v>
      </c>
      <c r="D2752">
        <v>5603</v>
      </c>
      <c r="E2752">
        <v>557477787</v>
      </c>
      <c r="M2752" t="s">
        <v>724</v>
      </c>
    </row>
    <row r="2753" spans="1:13">
      <c r="A2753" t="s">
        <v>385</v>
      </c>
      <c r="B2753">
        <v>86122</v>
      </c>
      <c r="C2753">
        <v>711</v>
      </c>
      <c r="D2753">
        <v>6731</v>
      </c>
      <c r="E2753">
        <v>579724226</v>
      </c>
      <c r="M2753" t="s">
        <v>724</v>
      </c>
    </row>
    <row r="2754" spans="1:13">
      <c r="A2754" t="s">
        <v>386</v>
      </c>
      <c r="B2754">
        <v>784705</v>
      </c>
      <c r="C2754">
        <v>6466</v>
      </c>
      <c r="D2754">
        <v>6463</v>
      </c>
      <c r="E2754">
        <v>5071839136</v>
      </c>
      <c r="M2754" t="s">
        <v>724</v>
      </c>
    </row>
    <row r="2755" spans="1:13">
      <c r="A2755" t="s">
        <v>387</v>
      </c>
      <c r="B2755">
        <v>4583787</v>
      </c>
      <c r="C2755">
        <v>37563</v>
      </c>
      <c r="D2755">
        <v>6134</v>
      </c>
      <c r="E2755">
        <v>28118092128</v>
      </c>
      <c r="M2755" t="s">
        <v>724</v>
      </c>
    </row>
    <row r="2757" spans="1:13">
      <c r="M2757" t="s">
        <v>725</v>
      </c>
    </row>
    <row r="2758" spans="1:13">
      <c r="A2758" t="s">
        <v>373</v>
      </c>
      <c r="B2758" t="s">
        <v>374</v>
      </c>
      <c r="C2758" t="s">
        <v>375</v>
      </c>
      <c r="D2758" t="s">
        <v>376</v>
      </c>
      <c r="E2758" t="s">
        <v>377</v>
      </c>
      <c r="F2758" t="s">
        <v>378</v>
      </c>
      <c r="G2758" t="s">
        <v>379</v>
      </c>
      <c r="H2758" t="s">
        <v>380</v>
      </c>
      <c r="M2758" t="s">
        <v>725</v>
      </c>
    </row>
    <row r="2759" spans="1:13">
      <c r="A2759" t="s">
        <v>382</v>
      </c>
      <c r="B2759">
        <v>916267</v>
      </c>
      <c r="C2759">
        <v>7304</v>
      </c>
      <c r="D2759">
        <v>547739</v>
      </c>
      <c r="E2759">
        <v>4429</v>
      </c>
      <c r="F2759">
        <v>6205</v>
      </c>
      <c r="G2759">
        <v>3398477741</v>
      </c>
      <c r="H2759">
        <v>1.67</v>
      </c>
      <c r="M2759" t="s">
        <v>725</v>
      </c>
    </row>
    <row r="2760" spans="1:13">
      <c r="A2760" t="s">
        <v>383</v>
      </c>
      <c r="B2760">
        <v>605469</v>
      </c>
      <c r="C2760">
        <v>4651</v>
      </c>
      <c r="D2760">
        <v>1034474</v>
      </c>
      <c r="E2760">
        <v>8306</v>
      </c>
      <c r="F2760">
        <v>6266</v>
      </c>
      <c r="G2760">
        <v>6481975544</v>
      </c>
      <c r="H2760">
        <v>0.59</v>
      </c>
      <c r="M2760" t="s">
        <v>725</v>
      </c>
    </row>
    <row r="2761" spans="1:13">
      <c r="A2761" t="s">
        <v>384</v>
      </c>
      <c r="B2761">
        <v>1667271</v>
      </c>
      <c r="C2761">
        <v>13830</v>
      </c>
      <c r="D2761">
        <v>1227350</v>
      </c>
      <c r="E2761">
        <v>10088</v>
      </c>
      <c r="F2761">
        <v>6624</v>
      </c>
      <c r="G2761">
        <v>8130564566</v>
      </c>
      <c r="H2761">
        <v>1.36</v>
      </c>
      <c r="M2761" t="s">
        <v>725</v>
      </c>
    </row>
    <row r="2762" spans="1:13">
      <c r="A2762" t="s">
        <v>385</v>
      </c>
      <c r="B2762">
        <v>1879014</v>
      </c>
      <c r="C2762">
        <v>16282</v>
      </c>
      <c r="D2762">
        <v>2149049</v>
      </c>
      <c r="E2762">
        <v>18358</v>
      </c>
      <c r="F2762">
        <v>6752</v>
      </c>
      <c r="G2762">
        <v>14511331421</v>
      </c>
      <c r="H2762">
        <v>0.87</v>
      </c>
      <c r="M2762" t="s">
        <v>725</v>
      </c>
    </row>
    <row r="2763" spans="1:13">
      <c r="A2763" t="s">
        <v>386</v>
      </c>
      <c r="B2763">
        <v>1626225</v>
      </c>
      <c r="C2763">
        <v>13174</v>
      </c>
      <c r="D2763">
        <v>1670632</v>
      </c>
      <c r="E2763">
        <v>14014</v>
      </c>
      <c r="F2763">
        <v>6682</v>
      </c>
      <c r="G2763">
        <v>11162752338</v>
      </c>
      <c r="H2763">
        <v>0.97</v>
      </c>
      <c r="M2763" t="s">
        <v>725</v>
      </c>
    </row>
    <row r="2764" spans="1:13">
      <c r="A2764" t="s">
        <v>387</v>
      </c>
      <c r="B2764">
        <v>6694245</v>
      </c>
      <c r="C2764">
        <v>55241</v>
      </c>
      <c r="D2764">
        <v>6629244</v>
      </c>
      <c r="E2764">
        <v>55195</v>
      </c>
      <c r="F2764">
        <v>6590</v>
      </c>
      <c r="G2764">
        <v>43685101611</v>
      </c>
      <c r="H2764">
        <v>1.01</v>
      </c>
      <c r="M2764" t="s">
        <v>725</v>
      </c>
    </row>
    <row r="2766" spans="1:13">
      <c r="M2766" t="s">
        <v>726</v>
      </c>
    </row>
    <row r="2767" spans="1:13">
      <c r="A2767" t="s">
        <v>373</v>
      </c>
      <c r="B2767" t="s">
        <v>374</v>
      </c>
      <c r="C2767" t="s">
        <v>375</v>
      </c>
      <c r="D2767" t="s">
        <v>376</v>
      </c>
      <c r="E2767" t="s">
        <v>377</v>
      </c>
      <c r="F2767" t="s">
        <v>378</v>
      </c>
      <c r="G2767" t="s">
        <v>379</v>
      </c>
      <c r="H2767" t="s">
        <v>380</v>
      </c>
      <c r="M2767" t="s">
        <v>726</v>
      </c>
    </row>
    <row r="2768" spans="1:13">
      <c r="A2768" t="s">
        <v>382</v>
      </c>
      <c r="B2768">
        <v>0</v>
      </c>
      <c r="C2768">
        <v>0</v>
      </c>
      <c r="D2768">
        <v>173729</v>
      </c>
      <c r="E2768">
        <v>1671</v>
      </c>
      <c r="F2768">
        <v>11774</v>
      </c>
      <c r="G2768">
        <v>2045517201</v>
      </c>
      <c r="H2768">
        <v>0</v>
      </c>
      <c r="M2768" t="s">
        <v>726</v>
      </c>
    </row>
    <row r="2769" spans="1:13">
      <c r="A2769" t="s">
        <v>383</v>
      </c>
      <c r="B2769">
        <v>0</v>
      </c>
      <c r="C2769">
        <v>0</v>
      </c>
      <c r="D2769">
        <v>539765</v>
      </c>
      <c r="E2769">
        <v>5586</v>
      </c>
      <c r="F2769">
        <v>11746</v>
      </c>
      <c r="G2769">
        <v>6340296304</v>
      </c>
      <c r="H2769">
        <v>0</v>
      </c>
      <c r="M2769" t="s">
        <v>726</v>
      </c>
    </row>
    <row r="2770" spans="1:13">
      <c r="A2770" t="s">
        <v>384</v>
      </c>
      <c r="B2770">
        <v>0</v>
      </c>
      <c r="C2770">
        <v>0</v>
      </c>
      <c r="D2770">
        <v>782393</v>
      </c>
      <c r="E2770">
        <v>8032</v>
      </c>
      <c r="F2770">
        <v>14729</v>
      </c>
      <c r="G2770">
        <v>11524226090</v>
      </c>
      <c r="H2770">
        <v>0</v>
      </c>
      <c r="M2770" t="s">
        <v>726</v>
      </c>
    </row>
    <row r="2771" spans="1:13">
      <c r="A2771" t="s">
        <v>385</v>
      </c>
      <c r="B2771">
        <v>0</v>
      </c>
      <c r="C2771">
        <v>0</v>
      </c>
      <c r="D2771">
        <v>531987</v>
      </c>
      <c r="E2771">
        <v>5536</v>
      </c>
      <c r="F2771">
        <v>14651</v>
      </c>
      <c r="G2771">
        <v>7793992461</v>
      </c>
      <c r="H2771">
        <v>0</v>
      </c>
      <c r="M2771" t="s">
        <v>726</v>
      </c>
    </row>
    <row r="2772" spans="1:13">
      <c r="A2772" t="s">
        <v>386</v>
      </c>
      <c r="B2772">
        <v>0</v>
      </c>
      <c r="C2772">
        <v>0</v>
      </c>
      <c r="D2772">
        <v>311851</v>
      </c>
      <c r="E2772">
        <v>3278</v>
      </c>
      <c r="F2772">
        <v>14750</v>
      </c>
      <c r="G2772">
        <v>4599863465</v>
      </c>
      <c r="H2772">
        <v>0</v>
      </c>
      <c r="M2772" t="s">
        <v>726</v>
      </c>
    </row>
    <row r="2773" spans="1:13">
      <c r="A2773" t="s">
        <v>393</v>
      </c>
      <c r="B2773">
        <v>0</v>
      </c>
      <c r="C2773">
        <v>0</v>
      </c>
      <c r="D2773">
        <v>239190</v>
      </c>
      <c r="E2773">
        <v>2495</v>
      </c>
      <c r="F2773">
        <v>12578</v>
      </c>
      <c r="G2773">
        <v>3008437642</v>
      </c>
      <c r="H2773">
        <v>0</v>
      </c>
      <c r="M2773" t="s">
        <v>726</v>
      </c>
    </row>
    <row r="2774" spans="1:13">
      <c r="A2774" t="s">
        <v>387</v>
      </c>
      <c r="B2774">
        <v>0</v>
      </c>
      <c r="C2774">
        <v>0</v>
      </c>
      <c r="D2774">
        <v>2578914</v>
      </c>
      <c r="E2774">
        <v>26598</v>
      </c>
      <c r="F2774">
        <v>13693</v>
      </c>
      <c r="G2774">
        <v>35312333163</v>
      </c>
      <c r="H2774">
        <v>0</v>
      </c>
      <c r="M2774" t="s">
        <v>726</v>
      </c>
    </row>
    <row r="2776" spans="1:13">
      <c r="M2776" t="s">
        <v>727</v>
      </c>
    </row>
    <row r="2777" spans="1:13">
      <c r="A2777" t="s">
        <v>373</v>
      </c>
      <c r="B2777" t="s">
        <v>374</v>
      </c>
      <c r="C2777" t="s">
        <v>375</v>
      </c>
      <c r="D2777" t="s">
        <v>376</v>
      </c>
      <c r="E2777" t="s">
        <v>377</v>
      </c>
      <c r="F2777" t="s">
        <v>378</v>
      </c>
      <c r="G2777" t="s">
        <v>379</v>
      </c>
      <c r="H2777" t="s">
        <v>380</v>
      </c>
      <c r="M2777" t="s">
        <v>727</v>
      </c>
    </row>
    <row r="2778" spans="1:13">
      <c r="A2778" t="s">
        <v>381</v>
      </c>
      <c r="B2778">
        <v>21984</v>
      </c>
      <c r="C2778">
        <v>170</v>
      </c>
      <c r="D2778">
        <v>14193</v>
      </c>
      <c r="E2778">
        <v>119</v>
      </c>
      <c r="F2778">
        <v>10850</v>
      </c>
      <c r="G2778">
        <v>154000480</v>
      </c>
      <c r="H2778">
        <v>1.55</v>
      </c>
      <c r="M2778" t="s">
        <v>727</v>
      </c>
    </row>
    <row r="2779" spans="1:13">
      <c r="A2779" t="s">
        <v>382</v>
      </c>
      <c r="B2779">
        <v>459066</v>
      </c>
      <c r="C2779">
        <v>3896</v>
      </c>
      <c r="D2779">
        <v>255730</v>
      </c>
      <c r="E2779">
        <v>2162</v>
      </c>
      <c r="F2779">
        <v>10831</v>
      </c>
      <c r="G2779">
        <v>2769900289</v>
      </c>
      <c r="H2779">
        <v>1.8</v>
      </c>
      <c r="M2779" t="s">
        <v>727</v>
      </c>
    </row>
    <row r="2780" spans="1:13">
      <c r="A2780" t="s">
        <v>383</v>
      </c>
      <c r="B2780">
        <v>543497</v>
      </c>
      <c r="C2780">
        <v>4717</v>
      </c>
      <c r="D2780">
        <v>488558</v>
      </c>
      <c r="E2780">
        <v>4131</v>
      </c>
      <c r="F2780">
        <v>11793</v>
      </c>
      <c r="G2780">
        <v>5761476234</v>
      </c>
      <c r="H2780">
        <v>1.1100000000000001</v>
      </c>
      <c r="M2780" t="s">
        <v>727</v>
      </c>
    </row>
    <row r="2781" spans="1:13">
      <c r="A2781" t="s">
        <v>384</v>
      </c>
      <c r="B2781">
        <v>1011810</v>
      </c>
      <c r="C2781">
        <v>8616</v>
      </c>
      <c r="D2781">
        <v>1320119</v>
      </c>
      <c r="E2781">
        <v>11235</v>
      </c>
      <c r="F2781">
        <v>11208</v>
      </c>
      <c r="G2781">
        <v>14796375782</v>
      </c>
      <c r="H2781">
        <v>0.77</v>
      </c>
      <c r="M2781" t="s">
        <v>727</v>
      </c>
    </row>
    <row r="2782" spans="1:13">
      <c r="A2782" t="s">
        <v>385</v>
      </c>
      <c r="B2782">
        <v>1121832</v>
      </c>
      <c r="C2782">
        <v>9600</v>
      </c>
      <c r="D2782">
        <v>844042</v>
      </c>
      <c r="E2782">
        <v>6914</v>
      </c>
      <c r="F2782">
        <v>10149</v>
      </c>
      <c r="G2782">
        <v>8565883576</v>
      </c>
      <c r="H2782">
        <v>1.33</v>
      </c>
      <c r="M2782" t="s">
        <v>727</v>
      </c>
    </row>
    <row r="2783" spans="1:13">
      <c r="A2783" t="s">
        <v>386</v>
      </c>
      <c r="B2783">
        <v>4135719</v>
      </c>
      <c r="C2783">
        <v>37360</v>
      </c>
      <c r="D2783">
        <v>513188</v>
      </c>
      <c r="E2783">
        <v>4212</v>
      </c>
      <c r="F2783">
        <v>10128</v>
      </c>
      <c r="G2783">
        <v>5197581933</v>
      </c>
      <c r="H2783">
        <v>8.06</v>
      </c>
      <c r="M2783" t="s">
        <v>727</v>
      </c>
    </row>
    <row r="2784" spans="1:13">
      <c r="A2784" t="s">
        <v>387</v>
      </c>
      <c r="B2784">
        <v>7293908</v>
      </c>
      <c r="C2784">
        <v>64359</v>
      </c>
      <c r="D2784">
        <v>3435831</v>
      </c>
      <c r="E2784">
        <v>28773</v>
      </c>
      <c r="F2784">
        <v>10840</v>
      </c>
      <c r="G2784">
        <v>37245218295</v>
      </c>
      <c r="H2784">
        <v>2.12</v>
      </c>
      <c r="M2784" t="s">
        <v>727</v>
      </c>
    </row>
    <row r="2786" spans="1:13">
      <c r="M2786" t="s">
        <v>728</v>
      </c>
    </row>
    <row r="2787" spans="1:13">
      <c r="A2787" t="s">
        <v>373</v>
      </c>
      <c r="B2787" t="s">
        <v>374</v>
      </c>
      <c r="C2787" t="s">
        <v>375</v>
      </c>
      <c r="D2787" t="s">
        <v>376</v>
      </c>
      <c r="E2787" t="s">
        <v>377</v>
      </c>
      <c r="F2787" t="s">
        <v>378</v>
      </c>
      <c r="G2787" t="s">
        <v>379</v>
      </c>
      <c r="H2787" t="s">
        <v>380</v>
      </c>
      <c r="M2787" t="s">
        <v>728</v>
      </c>
    </row>
    <row r="2788" spans="1:13">
      <c r="A2788" t="s">
        <v>381</v>
      </c>
      <c r="B2788">
        <v>283920</v>
      </c>
      <c r="C2788">
        <v>2202</v>
      </c>
      <c r="D2788">
        <v>64743</v>
      </c>
      <c r="E2788">
        <v>534</v>
      </c>
      <c r="F2788">
        <v>6147</v>
      </c>
      <c r="G2788">
        <v>397947912</v>
      </c>
      <c r="H2788">
        <v>4.3899999999999997</v>
      </c>
      <c r="M2788" t="s">
        <v>728</v>
      </c>
    </row>
    <row r="2789" spans="1:13">
      <c r="A2789" t="s">
        <v>382</v>
      </c>
      <c r="B2789">
        <v>849925</v>
      </c>
      <c r="C2789">
        <v>7704</v>
      </c>
      <c r="D2789">
        <v>1090596</v>
      </c>
      <c r="E2789">
        <v>9159</v>
      </c>
      <c r="F2789">
        <v>6354</v>
      </c>
      <c r="G2789">
        <v>6930136171</v>
      </c>
      <c r="H2789">
        <v>0.78</v>
      </c>
      <c r="M2789" t="s">
        <v>728</v>
      </c>
    </row>
    <row r="2790" spans="1:13">
      <c r="A2790" t="s">
        <v>383</v>
      </c>
      <c r="B2790">
        <v>966757</v>
      </c>
      <c r="C2790">
        <v>8127</v>
      </c>
      <c r="D2790">
        <v>1525302</v>
      </c>
      <c r="E2790">
        <v>12203</v>
      </c>
      <c r="F2790">
        <v>6632</v>
      </c>
      <c r="G2790">
        <v>10115768106</v>
      </c>
      <c r="H2790">
        <v>0.63</v>
      </c>
      <c r="M2790" t="s">
        <v>728</v>
      </c>
    </row>
    <row r="2791" spans="1:13">
      <c r="A2791" t="s">
        <v>384</v>
      </c>
      <c r="B2791">
        <v>2985169</v>
      </c>
      <c r="C2791">
        <v>25153</v>
      </c>
      <c r="D2791">
        <v>2382208</v>
      </c>
      <c r="E2791">
        <v>19279</v>
      </c>
      <c r="F2791">
        <v>6580</v>
      </c>
      <c r="G2791">
        <v>15674734849</v>
      </c>
      <c r="H2791">
        <v>1.25</v>
      </c>
      <c r="M2791" t="s">
        <v>728</v>
      </c>
    </row>
    <row r="2792" spans="1:13">
      <c r="A2792" t="s">
        <v>385</v>
      </c>
      <c r="B2792">
        <v>3291719</v>
      </c>
      <c r="C2792">
        <v>26629</v>
      </c>
      <c r="D2792">
        <v>2683983</v>
      </c>
      <c r="E2792">
        <v>21863</v>
      </c>
      <c r="F2792">
        <v>6409</v>
      </c>
      <c r="G2792">
        <v>17201448602</v>
      </c>
      <c r="H2792">
        <v>1.23</v>
      </c>
      <c r="M2792" t="s">
        <v>728</v>
      </c>
    </row>
    <row r="2793" spans="1:13">
      <c r="A2793" t="s">
        <v>386</v>
      </c>
      <c r="B2793">
        <v>3875390</v>
      </c>
      <c r="C2793">
        <v>31537</v>
      </c>
      <c r="D2793">
        <v>234732</v>
      </c>
      <c r="E2793">
        <v>1909</v>
      </c>
      <c r="F2793">
        <v>6431</v>
      </c>
      <c r="G2793">
        <v>1509635202</v>
      </c>
      <c r="H2793">
        <v>16.510000000000002</v>
      </c>
      <c r="M2793" t="s">
        <v>728</v>
      </c>
    </row>
    <row r="2794" spans="1:13">
      <c r="A2794" t="s">
        <v>387</v>
      </c>
      <c r="B2794">
        <v>12252880</v>
      </c>
      <c r="C2794">
        <v>101352</v>
      </c>
      <c r="D2794">
        <v>7981564</v>
      </c>
      <c r="E2794">
        <v>64947</v>
      </c>
      <c r="F2794">
        <v>6494</v>
      </c>
      <c r="G2794">
        <v>51829670841</v>
      </c>
      <c r="H2794">
        <v>1.54</v>
      </c>
      <c r="M2794" t="s">
        <v>728</v>
      </c>
    </row>
    <row r="2796" spans="1:13">
      <c r="M2796" t="s">
        <v>729</v>
      </c>
    </row>
    <row r="2797" spans="1:13">
      <c r="A2797" t="s">
        <v>373</v>
      </c>
      <c r="B2797" t="s">
        <v>389</v>
      </c>
      <c r="C2797" t="s">
        <v>390</v>
      </c>
      <c r="D2797" t="s">
        <v>391</v>
      </c>
      <c r="E2797" t="s">
        <v>406</v>
      </c>
      <c r="M2797" t="s">
        <v>729</v>
      </c>
    </row>
    <row r="2798" spans="1:13">
      <c r="A2798" t="s">
        <v>381</v>
      </c>
      <c r="B2798">
        <v>4871958</v>
      </c>
      <c r="C2798">
        <v>44493</v>
      </c>
      <c r="D2798">
        <v>54.4</v>
      </c>
      <c r="E2798">
        <v>46</v>
      </c>
      <c r="M2798" t="s">
        <v>729</v>
      </c>
    </row>
    <row r="2799" spans="1:13">
      <c r="A2799" t="s">
        <v>382</v>
      </c>
      <c r="B2799">
        <v>4650446</v>
      </c>
      <c r="C2799">
        <v>42806</v>
      </c>
      <c r="D2799">
        <v>51.2</v>
      </c>
      <c r="E2799">
        <v>42.7</v>
      </c>
      <c r="M2799" t="s">
        <v>729</v>
      </c>
    </row>
    <row r="2800" spans="1:13">
      <c r="A2800" t="s">
        <v>383</v>
      </c>
      <c r="B2800">
        <v>4854469</v>
      </c>
      <c r="C2800">
        <v>43879</v>
      </c>
      <c r="D2800">
        <v>38.200000000000003</v>
      </c>
      <c r="E2800">
        <v>29.8</v>
      </c>
      <c r="M2800" t="s">
        <v>729</v>
      </c>
    </row>
    <row r="2801" spans="1:13">
      <c r="A2801" t="s">
        <v>384</v>
      </c>
      <c r="B2801">
        <v>5383622</v>
      </c>
      <c r="C2801">
        <v>47644</v>
      </c>
      <c r="D2801">
        <v>27.1</v>
      </c>
      <c r="E2801">
        <v>25.5</v>
      </c>
      <c r="M2801" t="s">
        <v>729</v>
      </c>
    </row>
    <row r="2802" spans="1:13">
      <c r="A2802" t="s">
        <v>385</v>
      </c>
      <c r="B2802">
        <v>4271810</v>
      </c>
      <c r="C2802">
        <v>35420</v>
      </c>
      <c r="D2802">
        <v>19.100000000000001</v>
      </c>
      <c r="E2802">
        <v>35.1</v>
      </c>
      <c r="M2802" t="s">
        <v>729</v>
      </c>
    </row>
    <row r="2803" spans="1:13">
      <c r="A2803" t="s">
        <v>386</v>
      </c>
      <c r="B2803">
        <v>3659687</v>
      </c>
      <c r="C2803">
        <v>30661</v>
      </c>
      <c r="D2803">
        <v>187.1</v>
      </c>
      <c r="E2803">
        <v>374.2</v>
      </c>
      <c r="M2803" t="s">
        <v>729</v>
      </c>
    </row>
    <row r="2805" spans="1:13">
      <c r="M2805" t="s">
        <v>730</v>
      </c>
    </row>
    <row r="2806" spans="1:13">
      <c r="A2806" t="s">
        <v>373</v>
      </c>
      <c r="B2806" t="s">
        <v>374</v>
      </c>
      <c r="C2806" t="s">
        <v>375</v>
      </c>
      <c r="D2806" t="s">
        <v>376</v>
      </c>
      <c r="E2806" t="s">
        <v>377</v>
      </c>
      <c r="F2806" t="s">
        <v>378</v>
      </c>
      <c r="G2806" t="s">
        <v>379</v>
      </c>
      <c r="H2806" t="s">
        <v>380</v>
      </c>
      <c r="M2806" t="s">
        <v>730</v>
      </c>
    </row>
    <row r="2807" spans="1:13">
      <c r="A2807" t="s">
        <v>382</v>
      </c>
      <c r="B2807">
        <v>877366</v>
      </c>
      <c r="C2807">
        <v>8190</v>
      </c>
      <c r="D2807">
        <v>687159</v>
      </c>
      <c r="E2807">
        <v>6160</v>
      </c>
      <c r="F2807">
        <v>6016</v>
      </c>
      <c r="G2807">
        <v>4133811009</v>
      </c>
      <c r="H2807">
        <v>1.28</v>
      </c>
      <c r="M2807" t="s">
        <v>730</v>
      </c>
    </row>
    <row r="2808" spans="1:13">
      <c r="A2808" t="s">
        <v>383</v>
      </c>
      <c r="B2808">
        <v>1111549</v>
      </c>
      <c r="C2808">
        <v>10008</v>
      </c>
      <c r="D2808">
        <v>1216527</v>
      </c>
      <c r="E2808">
        <v>10737</v>
      </c>
      <c r="F2808">
        <v>5704</v>
      </c>
      <c r="G2808">
        <v>6939339671</v>
      </c>
      <c r="H2808">
        <v>0.91</v>
      </c>
      <c r="M2808" t="s">
        <v>730</v>
      </c>
    </row>
    <row r="2809" spans="1:13">
      <c r="A2809" t="s">
        <v>384</v>
      </c>
      <c r="B2809">
        <v>1497701</v>
      </c>
      <c r="C2809">
        <v>13223</v>
      </c>
      <c r="D2809">
        <v>505425</v>
      </c>
      <c r="E2809">
        <v>4340</v>
      </c>
      <c r="F2809">
        <v>5962</v>
      </c>
      <c r="G2809">
        <v>3013245084</v>
      </c>
      <c r="H2809">
        <v>2.96</v>
      </c>
      <c r="M2809" t="s">
        <v>730</v>
      </c>
    </row>
    <row r="2810" spans="1:13">
      <c r="A2810" t="s">
        <v>385</v>
      </c>
      <c r="B2810">
        <v>1630322</v>
      </c>
      <c r="C2810">
        <v>14446</v>
      </c>
      <c r="D2810">
        <v>0</v>
      </c>
      <c r="E2810">
        <v>0</v>
      </c>
      <c r="F2810">
        <v>0</v>
      </c>
      <c r="G2810">
        <v>0</v>
      </c>
      <c r="H2810">
        <v>0</v>
      </c>
      <c r="M2810" t="s">
        <v>730</v>
      </c>
    </row>
    <row r="2811" spans="1:13">
      <c r="A2811" t="s">
        <v>386</v>
      </c>
      <c r="B2811">
        <v>1782829</v>
      </c>
      <c r="C2811">
        <v>14823</v>
      </c>
      <c r="D2811">
        <v>0</v>
      </c>
      <c r="E2811">
        <v>0</v>
      </c>
      <c r="F2811">
        <v>0</v>
      </c>
      <c r="G2811">
        <v>0</v>
      </c>
      <c r="H2811">
        <v>0</v>
      </c>
      <c r="M2811" t="s">
        <v>730</v>
      </c>
    </row>
    <row r="2812" spans="1:13">
      <c r="A2812" t="s">
        <v>387</v>
      </c>
      <c r="B2812">
        <v>6899767</v>
      </c>
      <c r="C2812">
        <v>60690</v>
      </c>
      <c r="D2812">
        <v>2409111</v>
      </c>
      <c r="E2812">
        <v>21237</v>
      </c>
      <c r="F2812">
        <v>5847</v>
      </c>
      <c r="G2812">
        <v>14086395764</v>
      </c>
      <c r="H2812">
        <v>2.86</v>
      </c>
      <c r="M2812" t="s">
        <v>730</v>
      </c>
    </row>
    <row r="2814" spans="1:13">
      <c r="M2814" t="s">
        <v>731</v>
      </c>
    </row>
    <row r="2815" spans="1:13">
      <c r="A2815" t="s">
        <v>373</v>
      </c>
      <c r="B2815" t="s">
        <v>389</v>
      </c>
      <c r="C2815" t="s">
        <v>390</v>
      </c>
      <c r="D2815" t="s">
        <v>391</v>
      </c>
      <c r="M2815" t="s">
        <v>731</v>
      </c>
    </row>
    <row r="2816" spans="1:13">
      <c r="A2816" t="s">
        <v>382</v>
      </c>
      <c r="B2816">
        <v>2086992</v>
      </c>
      <c r="C2816">
        <v>18867</v>
      </c>
      <c r="D2816">
        <v>36.4</v>
      </c>
      <c r="M2816" t="s">
        <v>731</v>
      </c>
    </row>
    <row r="2817" spans="1:13">
      <c r="A2817" t="s">
        <v>383</v>
      </c>
      <c r="B2817">
        <v>1734952</v>
      </c>
      <c r="C2817">
        <v>15439</v>
      </c>
      <c r="D2817">
        <v>17.100000000000001</v>
      </c>
      <c r="M2817" t="s">
        <v>731</v>
      </c>
    </row>
    <row r="2818" spans="1:13">
      <c r="A2818" t="s">
        <v>384</v>
      </c>
      <c r="B2818">
        <v>1546895</v>
      </c>
      <c r="C2818">
        <v>13435</v>
      </c>
      <c r="D2818">
        <v>36.700000000000003</v>
      </c>
      <c r="M2818" t="s">
        <v>731</v>
      </c>
    </row>
    <row r="2820" spans="1:13">
      <c r="M2820" t="s">
        <v>732</v>
      </c>
    </row>
    <row r="2821" spans="1:13">
      <c r="A2821" t="s">
        <v>373</v>
      </c>
      <c r="B2821" t="s">
        <v>374</v>
      </c>
      <c r="C2821" t="s">
        <v>375</v>
      </c>
      <c r="D2821" t="s">
        <v>376</v>
      </c>
      <c r="E2821" t="s">
        <v>377</v>
      </c>
      <c r="F2821" t="s">
        <v>378</v>
      </c>
      <c r="G2821" t="s">
        <v>379</v>
      </c>
      <c r="H2821" t="s">
        <v>380</v>
      </c>
      <c r="M2821" t="s">
        <v>732</v>
      </c>
    </row>
    <row r="2822" spans="1:13">
      <c r="A2822" t="s">
        <v>382</v>
      </c>
      <c r="B2822">
        <v>1118111</v>
      </c>
      <c r="C2822">
        <v>9112</v>
      </c>
      <c r="D2822">
        <v>1085234</v>
      </c>
      <c r="E2822">
        <v>9044</v>
      </c>
      <c r="F2822">
        <v>7221</v>
      </c>
      <c r="G2822">
        <v>7835988066</v>
      </c>
      <c r="H2822">
        <v>1.03</v>
      </c>
      <c r="M2822" t="s">
        <v>732</v>
      </c>
    </row>
    <row r="2823" spans="1:13">
      <c r="A2823" t="s">
        <v>383</v>
      </c>
      <c r="B2823">
        <v>692976</v>
      </c>
      <c r="C2823">
        <v>5797</v>
      </c>
      <c r="D2823">
        <v>582936</v>
      </c>
      <c r="E2823">
        <v>4909</v>
      </c>
      <c r="F2823">
        <v>6285</v>
      </c>
      <c r="G2823">
        <v>3663500234</v>
      </c>
      <c r="H2823">
        <v>1.19</v>
      </c>
      <c r="M2823" t="s">
        <v>732</v>
      </c>
    </row>
    <row r="2824" spans="1:13">
      <c r="A2824" t="s">
        <v>384</v>
      </c>
      <c r="B2824">
        <v>981557</v>
      </c>
      <c r="C2824">
        <v>8076</v>
      </c>
      <c r="D2824">
        <v>161499</v>
      </c>
      <c r="E2824">
        <v>1324</v>
      </c>
      <c r="F2824">
        <v>6461</v>
      </c>
      <c r="G2824">
        <v>1043426890</v>
      </c>
      <c r="H2824">
        <v>6.08</v>
      </c>
      <c r="M2824" t="s">
        <v>732</v>
      </c>
    </row>
    <row r="2825" spans="1:13">
      <c r="A2825" t="s">
        <v>385</v>
      </c>
      <c r="B2825">
        <v>1282658</v>
      </c>
      <c r="C2825">
        <v>11260</v>
      </c>
      <c r="D2825">
        <v>0</v>
      </c>
      <c r="E2825">
        <v>0</v>
      </c>
      <c r="F2825">
        <v>0</v>
      </c>
      <c r="G2825">
        <v>0</v>
      </c>
      <c r="H2825">
        <v>0</v>
      </c>
      <c r="M2825" t="s">
        <v>732</v>
      </c>
    </row>
    <row r="2826" spans="1:13">
      <c r="A2826" t="s">
        <v>386</v>
      </c>
      <c r="B2826">
        <v>1243474</v>
      </c>
      <c r="C2826">
        <v>10739</v>
      </c>
      <c r="D2826">
        <v>0</v>
      </c>
      <c r="E2826">
        <v>0</v>
      </c>
      <c r="F2826">
        <v>0</v>
      </c>
      <c r="G2826">
        <v>0</v>
      </c>
      <c r="H2826">
        <v>0</v>
      </c>
      <c r="M2826" t="s">
        <v>732</v>
      </c>
    </row>
    <row r="2827" spans="1:13">
      <c r="A2827" t="s">
        <v>393</v>
      </c>
      <c r="B2827">
        <v>1940275</v>
      </c>
      <c r="C2827">
        <v>17695</v>
      </c>
      <c r="D2827">
        <v>0</v>
      </c>
      <c r="E2827">
        <v>0</v>
      </c>
      <c r="F2827">
        <v>0</v>
      </c>
      <c r="G2827">
        <v>0</v>
      </c>
      <c r="H2827">
        <v>0</v>
      </c>
      <c r="M2827" t="s">
        <v>732</v>
      </c>
    </row>
    <row r="2828" spans="1:13">
      <c r="A2828" t="s">
        <v>387</v>
      </c>
      <c r="B2828">
        <v>7259051</v>
      </c>
      <c r="C2828">
        <v>62679</v>
      </c>
      <c r="D2828">
        <v>1829668</v>
      </c>
      <c r="E2828">
        <v>15277</v>
      </c>
      <c r="F2828">
        <v>6855</v>
      </c>
      <c r="G2828">
        <v>12542915191</v>
      </c>
      <c r="H2828">
        <v>3.97</v>
      </c>
      <c r="M2828" t="s">
        <v>732</v>
      </c>
    </row>
    <row r="2830" spans="1:13">
      <c r="M2830" t="s">
        <v>733</v>
      </c>
    </row>
    <row r="2831" spans="1:13">
      <c r="A2831" t="s">
        <v>373</v>
      </c>
      <c r="B2831" t="s">
        <v>389</v>
      </c>
      <c r="C2831" t="s">
        <v>390</v>
      </c>
      <c r="D2831" t="s">
        <v>391</v>
      </c>
      <c r="M2831" t="s">
        <v>733</v>
      </c>
    </row>
    <row r="2832" spans="1:13">
      <c r="A2832" t="s">
        <v>383</v>
      </c>
      <c r="B2832">
        <v>280334</v>
      </c>
      <c r="C2832">
        <v>2489</v>
      </c>
      <c r="D2832">
        <v>7.3</v>
      </c>
      <c r="M2832" t="s">
        <v>733</v>
      </c>
    </row>
    <row r="2833" spans="1:13">
      <c r="A2833" t="s">
        <v>384</v>
      </c>
      <c r="B2833">
        <v>297805</v>
      </c>
      <c r="C2833">
        <v>2636</v>
      </c>
      <c r="D2833">
        <v>22.1</v>
      </c>
      <c r="M2833" t="s">
        <v>733</v>
      </c>
    </row>
    <row r="2835" spans="1:13">
      <c r="M2835" t="s">
        <v>734</v>
      </c>
    </row>
    <row r="2836" spans="1:13">
      <c r="A2836" t="s">
        <v>373</v>
      </c>
      <c r="B2836" t="s">
        <v>374</v>
      </c>
      <c r="C2836" t="s">
        <v>375</v>
      </c>
      <c r="D2836" t="s">
        <v>376</v>
      </c>
      <c r="E2836" t="s">
        <v>377</v>
      </c>
      <c r="F2836" t="s">
        <v>378</v>
      </c>
      <c r="G2836" t="s">
        <v>379</v>
      </c>
      <c r="H2836" t="s">
        <v>380</v>
      </c>
      <c r="M2836" t="s">
        <v>734</v>
      </c>
    </row>
    <row r="2837" spans="1:13">
      <c r="A2837" t="s">
        <v>382</v>
      </c>
      <c r="B2837">
        <v>159909</v>
      </c>
      <c r="C2837">
        <v>1097</v>
      </c>
      <c r="D2837">
        <v>74660</v>
      </c>
      <c r="E2837">
        <v>508</v>
      </c>
      <c r="F2837">
        <v>5551</v>
      </c>
      <c r="G2837">
        <v>414422679</v>
      </c>
      <c r="H2837">
        <v>2.14</v>
      </c>
      <c r="M2837" t="s">
        <v>734</v>
      </c>
    </row>
    <row r="2838" spans="1:13">
      <c r="A2838" t="s">
        <v>383</v>
      </c>
      <c r="B2838">
        <v>60340</v>
      </c>
      <c r="C2838">
        <v>399</v>
      </c>
      <c r="D2838">
        <v>10383</v>
      </c>
      <c r="E2838">
        <v>70</v>
      </c>
      <c r="F2838">
        <v>6013</v>
      </c>
      <c r="G2838">
        <v>62433827</v>
      </c>
      <c r="H2838">
        <v>5.81</v>
      </c>
      <c r="M2838" t="s">
        <v>734</v>
      </c>
    </row>
    <row r="2839" spans="1:13">
      <c r="A2839" t="s">
        <v>384</v>
      </c>
      <c r="B2839">
        <v>67268</v>
      </c>
      <c r="C2839">
        <v>448</v>
      </c>
      <c r="D2839">
        <v>0</v>
      </c>
      <c r="E2839">
        <v>0</v>
      </c>
      <c r="F2839">
        <v>0</v>
      </c>
      <c r="G2839">
        <v>0</v>
      </c>
      <c r="H2839">
        <v>0</v>
      </c>
      <c r="M2839" t="s">
        <v>734</v>
      </c>
    </row>
    <row r="2840" spans="1:13">
      <c r="A2840" t="s">
        <v>385</v>
      </c>
      <c r="B2840">
        <v>157143</v>
      </c>
      <c r="C2840">
        <v>1017</v>
      </c>
      <c r="D2840">
        <v>0</v>
      </c>
      <c r="E2840">
        <v>0</v>
      </c>
      <c r="F2840">
        <v>0</v>
      </c>
      <c r="G2840">
        <v>0</v>
      </c>
      <c r="H2840">
        <v>0</v>
      </c>
      <c r="M2840" t="s">
        <v>734</v>
      </c>
    </row>
    <row r="2841" spans="1:13">
      <c r="A2841" t="s">
        <v>386</v>
      </c>
      <c r="B2841">
        <v>25232</v>
      </c>
      <c r="C2841">
        <v>176</v>
      </c>
      <c r="D2841">
        <v>0</v>
      </c>
      <c r="E2841">
        <v>0</v>
      </c>
      <c r="F2841">
        <v>0</v>
      </c>
      <c r="G2841">
        <v>0</v>
      </c>
      <c r="H2841">
        <v>0</v>
      </c>
      <c r="M2841" t="s">
        <v>734</v>
      </c>
    </row>
    <row r="2842" spans="1:13">
      <c r="A2842" t="s">
        <v>387</v>
      </c>
      <c r="B2842">
        <v>469892</v>
      </c>
      <c r="C2842">
        <v>3137</v>
      </c>
      <c r="D2842">
        <v>85043</v>
      </c>
      <c r="E2842">
        <v>578</v>
      </c>
      <c r="F2842">
        <v>5607</v>
      </c>
      <c r="G2842">
        <v>476856507</v>
      </c>
      <c r="H2842">
        <v>5.53</v>
      </c>
      <c r="M2842" t="s">
        <v>734</v>
      </c>
    </row>
    <row r="2844" spans="1:13">
      <c r="M2844" t="s">
        <v>735</v>
      </c>
    </row>
    <row r="2845" spans="1:13">
      <c r="A2845" t="s">
        <v>373</v>
      </c>
      <c r="B2845" t="s">
        <v>389</v>
      </c>
      <c r="C2845" t="s">
        <v>390</v>
      </c>
      <c r="D2845" t="s">
        <v>391</v>
      </c>
      <c r="E2845" t="s">
        <v>406</v>
      </c>
      <c r="M2845" t="s">
        <v>735</v>
      </c>
    </row>
    <row r="2846" spans="1:13">
      <c r="A2846" t="s">
        <v>381</v>
      </c>
      <c r="B2846">
        <v>192813</v>
      </c>
      <c r="C2846">
        <v>1439</v>
      </c>
      <c r="D2846">
        <v>26.9</v>
      </c>
      <c r="E2846">
        <v>45.6</v>
      </c>
      <c r="M2846" t="s">
        <v>735</v>
      </c>
    </row>
    <row r="2847" spans="1:13">
      <c r="A2847" t="s">
        <v>382</v>
      </c>
      <c r="B2847">
        <v>208740</v>
      </c>
      <c r="C2847">
        <v>1544</v>
      </c>
      <c r="D2847">
        <v>33.6</v>
      </c>
      <c r="E2847">
        <v>58.9</v>
      </c>
      <c r="M2847" t="s">
        <v>735</v>
      </c>
    </row>
    <row r="2848" spans="1:13">
      <c r="A2848" t="s">
        <v>383</v>
      </c>
      <c r="B2848">
        <v>144518</v>
      </c>
      <c r="C2848">
        <v>1147</v>
      </c>
      <c r="D2848">
        <v>167</v>
      </c>
      <c r="E2848">
        <v>334.1</v>
      </c>
      <c r="M2848" t="s">
        <v>735</v>
      </c>
    </row>
    <row r="2850" spans="1:13">
      <c r="M2850" t="s">
        <v>736</v>
      </c>
    </row>
    <row r="2851" spans="1:13">
      <c r="A2851" t="s">
        <v>373</v>
      </c>
      <c r="B2851" t="s">
        <v>374</v>
      </c>
      <c r="C2851" t="s">
        <v>375</v>
      </c>
      <c r="D2851" t="s">
        <v>376</v>
      </c>
      <c r="E2851" t="s">
        <v>377</v>
      </c>
      <c r="F2851" t="s">
        <v>378</v>
      </c>
      <c r="G2851" t="s">
        <v>379</v>
      </c>
      <c r="H2851" t="s">
        <v>380</v>
      </c>
      <c r="M2851" t="s">
        <v>736</v>
      </c>
    </row>
    <row r="2852" spans="1:13">
      <c r="A2852" t="s">
        <v>382</v>
      </c>
      <c r="B2852">
        <v>452859</v>
      </c>
      <c r="C2852">
        <v>3650</v>
      </c>
      <c r="D2852">
        <v>1338044</v>
      </c>
      <c r="E2852">
        <v>11185</v>
      </c>
      <c r="F2852">
        <v>7247</v>
      </c>
      <c r="G2852">
        <v>9696694110</v>
      </c>
      <c r="H2852">
        <v>0.34</v>
      </c>
      <c r="M2852" t="s">
        <v>736</v>
      </c>
    </row>
    <row r="2853" spans="1:13">
      <c r="A2853" t="s">
        <v>383</v>
      </c>
      <c r="B2853">
        <v>707982</v>
      </c>
      <c r="C2853">
        <v>5837</v>
      </c>
      <c r="D2853">
        <v>993029</v>
      </c>
      <c r="E2853">
        <v>8388</v>
      </c>
      <c r="F2853">
        <v>7085</v>
      </c>
      <c r="G2853">
        <v>7035326287</v>
      </c>
      <c r="H2853">
        <v>0.71</v>
      </c>
      <c r="M2853" t="s">
        <v>736</v>
      </c>
    </row>
    <row r="2854" spans="1:13">
      <c r="A2854" t="s">
        <v>384</v>
      </c>
      <c r="B2854">
        <v>1275396</v>
      </c>
      <c r="C2854">
        <v>10822</v>
      </c>
      <c r="D2854">
        <v>671737</v>
      </c>
      <c r="E2854">
        <v>5528</v>
      </c>
      <c r="F2854">
        <v>7235</v>
      </c>
      <c r="G2854">
        <v>4860352552</v>
      </c>
      <c r="H2854">
        <v>1.9</v>
      </c>
      <c r="M2854" t="s">
        <v>736</v>
      </c>
    </row>
    <row r="2855" spans="1:13">
      <c r="A2855" t="s">
        <v>385</v>
      </c>
      <c r="B2855">
        <v>1529017</v>
      </c>
      <c r="C2855">
        <v>13048</v>
      </c>
      <c r="D2855">
        <v>0</v>
      </c>
      <c r="E2855">
        <v>0</v>
      </c>
      <c r="F2855">
        <v>0</v>
      </c>
      <c r="G2855">
        <v>0</v>
      </c>
      <c r="H2855">
        <v>0</v>
      </c>
      <c r="M2855" t="s">
        <v>736</v>
      </c>
    </row>
    <row r="2856" spans="1:13">
      <c r="A2856" t="s">
        <v>386</v>
      </c>
      <c r="B2856">
        <v>2261703</v>
      </c>
      <c r="C2856">
        <v>19048</v>
      </c>
      <c r="D2856">
        <v>189305</v>
      </c>
      <c r="E2856">
        <v>1570</v>
      </c>
      <c r="F2856">
        <v>7691</v>
      </c>
      <c r="G2856">
        <v>1456003312</v>
      </c>
      <c r="H2856">
        <v>11.95</v>
      </c>
      <c r="M2856" t="s">
        <v>736</v>
      </c>
    </row>
    <row r="2857" spans="1:13">
      <c r="A2857" t="s">
        <v>387</v>
      </c>
      <c r="B2857">
        <v>6226957</v>
      </c>
      <c r="C2857">
        <v>52405</v>
      </c>
      <c r="D2857">
        <v>3192115</v>
      </c>
      <c r="E2857">
        <v>26671</v>
      </c>
      <c r="F2857">
        <v>7220</v>
      </c>
      <c r="G2857">
        <v>23048376261</v>
      </c>
      <c r="H2857">
        <v>1.95</v>
      </c>
      <c r="M2857" t="s">
        <v>736</v>
      </c>
    </row>
    <row r="2859" spans="1:13">
      <c r="M2859" t="s">
        <v>737</v>
      </c>
    </row>
    <row r="2860" spans="1:13">
      <c r="A2860" t="s">
        <v>373</v>
      </c>
      <c r="B2860" t="s">
        <v>389</v>
      </c>
      <c r="C2860" t="s">
        <v>390</v>
      </c>
      <c r="D2860" t="s">
        <v>391</v>
      </c>
      <c r="E2860" t="s">
        <v>406</v>
      </c>
      <c r="M2860" t="s">
        <v>737</v>
      </c>
    </row>
    <row r="2861" spans="1:13">
      <c r="A2861" t="s">
        <v>381</v>
      </c>
      <c r="B2861">
        <v>1555161</v>
      </c>
      <c r="C2861">
        <v>13185</v>
      </c>
      <c r="D2861">
        <v>14</v>
      </c>
      <c r="E2861">
        <v>16.2</v>
      </c>
      <c r="M2861" t="s">
        <v>737</v>
      </c>
    </row>
    <row r="2862" spans="1:13">
      <c r="A2862" t="s">
        <v>382</v>
      </c>
      <c r="B2862">
        <v>1534730</v>
      </c>
      <c r="C2862">
        <v>13095</v>
      </c>
      <c r="D2862">
        <v>13.8</v>
      </c>
      <c r="E2862">
        <v>15.8</v>
      </c>
      <c r="M2862" t="s">
        <v>737</v>
      </c>
    </row>
    <row r="2863" spans="1:13">
      <c r="A2863" t="s">
        <v>383</v>
      </c>
      <c r="B2863">
        <v>1792448</v>
      </c>
      <c r="C2863">
        <v>15274</v>
      </c>
      <c r="D2863">
        <v>21.7</v>
      </c>
      <c r="E2863">
        <v>25.8</v>
      </c>
      <c r="M2863" t="s">
        <v>737</v>
      </c>
    </row>
    <row r="2864" spans="1:13">
      <c r="A2864" t="s">
        <v>384</v>
      </c>
      <c r="B2864">
        <v>1961667</v>
      </c>
      <c r="C2864">
        <v>16971</v>
      </c>
      <c r="D2864">
        <v>35</v>
      </c>
      <c r="E2864">
        <v>70.099999999999994</v>
      </c>
      <c r="M2864" t="s">
        <v>737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889"/>
  <sheetViews>
    <sheetView workbookViewId="0"/>
  </sheetViews>
  <sheetFormatPr defaultRowHeight="13.8"/>
  <sheetData>
    <row r="1" spans="1:9">
      <c r="A1" t="str">
        <f>IF(VIPcric_1!A3="","",VIPcric_1!A3)</f>
        <v>时间(年)</v>
      </c>
      <c r="B1" t="str">
        <f>IF(VIPcric_1!B3="","",VIPcric_1!B3)</f>
        <v>供应面积(㎡)</v>
      </c>
      <c r="C1" t="str">
        <f>IF(VIPcric_1!C3="","",VIPcric_1!C3)</f>
        <v>供应套数(套)</v>
      </c>
      <c r="D1" t="str">
        <f>IF(VIPcric_1!D3="","",VIPcric_1!D3)</f>
        <v>成交面积(㎡)</v>
      </c>
      <c r="E1" t="str">
        <f>IF(VIPcric_1!E3="","",VIPcric_1!E3)</f>
        <v>成交套数(套)</v>
      </c>
      <c r="F1" t="str">
        <f>IF(VIPcric_1!F3="","",VIPcric_1!F3)</f>
        <v>成交均价(元/㎡)</v>
      </c>
      <c r="G1" t="str">
        <f>IF(VIPcric_1!G3="","",VIPcric_1!G3)</f>
        <v>成交金额(元)</v>
      </c>
      <c r="H1" t="str">
        <f>IF(VIPcric_1!H3="","",VIPcric_1!H3)</f>
        <v>供求比</v>
      </c>
      <c r="I1" t="s">
        <v>764</v>
      </c>
    </row>
    <row r="2" spans="1:9">
      <c r="A2" t="str">
        <f>IF(VIPcric_1!A4="","",VIPcric_1!A4)</f>
        <v>2024年</v>
      </c>
      <c r="B2">
        <f>IF(VIPcric_1!B4="","",VIPcric_1!B4)</f>
        <v>13274</v>
      </c>
      <c r="C2">
        <f>IF(VIPcric_1!C4="","",VIPcric_1!C4)</f>
        <v>146</v>
      </c>
      <c r="D2">
        <f>IF(VIPcric_1!D4="","",VIPcric_1!D4)</f>
        <v>7451</v>
      </c>
      <c r="E2">
        <f>IF(VIPcric_1!E4="","",VIPcric_1!E4)</f>
        <v>75</v>
      </c>
      <c r="F2">
        <f>IF(VIPcric_1!F4="","",VIPcric_1!F4)</f>
        <v>16623</v>
      </c>
      <c r="G2">
        <f>IF(VIPcric_1!G4="","",VIPcric_1!G4)</f>
        <v>123862588</v>
      </c>
      <c r="H2">
        <f>IF(VIPcric_1!H4="","",VIPcric_1!H4)</f>
        <v>1.78</v>
      </c>
      <c r="I2" t="str">
        <f>IF(VIPcric_1!M4="","",VIPcric_1!M4)</f>
        <v>CRIC-万宁-市场监测.商品房市场.项目累计.供求.xlsx</v>
      </c>
    </row>
    <row r="3" spans="1:9">
      <c r="A3" t="str">
        <f>IF(VIPcric_1!A5="","",VIPcric_1!A5)</f>
        <v>2023年</v>
      </c>
      <c r="B3">
        <f>IF(VIPcric_1!B5="","",VIPcric_1!B5)</f>
        <v>262195</v>
      </c>
      <c r="C3">
        <f>IF(VIPcric_1!C5="","",VIPcric_1!C5)</f>
        <v>2349</v>
      </c>
      <c r="D3">
        <f>IF(VIPcric_1!D5="","",VIPcric_1!D5)</f>
        <v>234882</v>
      </c>
      <c r="E3">
        <f>IF(VIPcric_1!E5="","",VIPcric_1!E5)</f>
        <v>2494</v>
      </c>
      <c r="F3">
        <f>IF(VIPcric_1!F5="","",VIPcric_1!F5)</f>
        <v>16309</v>
      </c>
      <c r="G3">
        <f>IF(VIPcric_1!G5="","",VIPcric_1!G5)</f>
        <v>3830728567</v>
      </c>
      <c r="H3">
        <f>IF(VIPcric_1!H5="","",VIPcric_1!H5)</f>
        <v>1.1200000000000001</v>
      </c>
      <c r="I3" t="str">
        <f>IF(VIPcric_1!M5="","",VIPcric_1!M5)</f>
        <v>CRIC-万宁-市场监测.商品房市场.项目累计.供求.xlsx</v>
      </c>
    </row>
    <row r="4" spans="1:9">
      <c r="A4" t="str">
        <f>IF(VIPcric_1!A6="","",VIPcric_1!A6)</f>
        <v>2022年</v>
      </c>
      <c r="B4">
        <f>IF(VIPcric_1!B6="","",VIPcric_1!B6)</f>
        <v>218718</v>
      </c>
      <c r="C4">
        <f>IF(VIPcric_1!C6="","",VIPcric_1!C6)</f>
        <v>2268</v>
      </c>
      <c r="D4">
        <f>IF(VIPcric_1!D6="","",VIPcric_1!D6)</f>
        <v>345964</v>
      </c>
      <c r="E4">
        <f>IF(VIPcric_1!E6="","",VIPcric_1!E6)</f>
        <v>3441</v>
      </c>
      <c r="F4">
        <f>IF(VIPcric_1!F6="","",VIPcric_1!F6)</f>
        <v>14794</v>
      </c>
      <c r="G4">
        <f>IF(VIPcric_1!G6="","",VIPcric_1!G6)</f>
        <v>5118298089</v>
      </c>
      <c r="H4">
        <f>IF(VIPcric_1!H6="","",VIPcric_1!H6)</f>
        <v>0.63</v>
      </c>
      <c r="I4" t="str">
        <f>IF(VIPcric_1!M6="","",VIPcric_1!M6)</f>
        <v>CRIC-万宁-市场监测.商品房市场.项目累计.供求.xlsx</v>
      </c>
    </row>
    <row r="5" spans="1:9">
      <c r="A5" t="str">
        <f>IF(VIPcric_1!A7="","",VIPcric_1!A7)</f>
        <v>2021年</v>
      </c>
      <c r="B5">
        <f>IF(VIPcric_1!B7="","",VIPcric_1!B7)</f>
        <v>0</v>
      </c>
      <c r="C5">
        <f>IF(VIPcric_1!C7="","",VIPcric_1!C7)</f>
        <v>0</v>
      </c>
      <c r="D5">
        <f>IF(VIPcric_1!D7="","",VIPcric_1!D7)</f>
        <v>31792</v>
      </c>
      <c r="E5">
        <f>IF(VIPcric_1!E7="","",VIPcric_1!E7)</f>
        <v>375</v>
      </c>
      <c r="F5">
        <f>IF(VIPcric_1!F7="","",VIPcric_1!F7)</f>
        <v>16807</v>
      </c>
      <c r="G5">
        <f>IF(VIPcric_1!G7="","",VIPcric_1!G7)</f>
        <v>534324608</v>
      </c>
      <c r="H5">
        <f>IF(VIPcric_1!H7="","",VIPcric_1!H7)</f>
        <v>0</v>
      </c>
      <c r="I5" t="str">
        <f>IF(VIPcric_1!M7="","",VIPcric_1!M7)</f>
        <v>CRIC-万宁-市场监测.商品房市场.项目累计.供求.xlsx</v>
      </c>
    </row>
    <row r="6" spans="1:9">
      <c r="A6" t="str">
        <f>IF(VIPcric_1!A8="","",VIPcric_1!A8)</f>
        <v>2020年</v>
      </c>
      <c r="B6">
        <f>IF(VIPcric_1!B8="","",VIPcric_1!B8)</f>
        <v>0</v>
      </c>
      <c r="C6">
        <f>IF(VIPcric_1!C8="","",VIPcric_1!C8)</f>
        <v>0</v>
      </c>
      <c r="D6">
        <f>IF(VIPcric_1!D8="","",VIPcric_1!D8)</f>
        <v>0</v>
      </c>
      <c r="E6">
        <f>IF(VIPcric_1!E8="","",VIPcric_1!E8)</f>
        <v>0</v>
      </c>
      <c r="F6">
        <f>IF(VIPcric_1!F8="","",VIPcric_1!F8)</f>
        <v>0</v>
      </c>
      <c r="G6">
        <f>IF(VIPcric_1!G8="","",VIPcric_1!G8)</f>
        <v>0</v>
      </c>
      <c r="H6">
        <f>IF(VIPcric_1!H8="","",VIPcric_1!H8)</f>
        <v>0</v>
      </c>
      <c r="I6" t="str">
        <f>IF(VIPcric_1!M8="","",VIPcric_1!M8)</f>
        <v>CRIC-万宁-市场监测.商品房市场.项目累计.供求.xlsx</v>
      </c>
    </row>
    <row r="7" spans="1:9">
      <c r="A7" t="str">
        <f>IF(VIPcric_1!A9="","",VIPcric_1!A9)</f>
        <v>2019年</v>
      </c>
      <c r="B7">
        <f>IF(VIPcric_1!B9="","",VIPcric_1!B9)</f>
        <v>0</v>
      </c>
      <c r="C7">
        <f>IF(VIPcric_1!C9="","",VIPcric_1!C9)</f>
        <v>0</v>
      </c>
      <c r="D7">
        <f>IF(VIPcric_1!D9="","",VIPcric_1!D9)</f>
        <v>0</v>
      </c>
      <c r="E7">
        <f>IF(VIPcric_1!E9="","",VIPcric_1!E9)</f>
        <v>0</v>
      </c>
      <c r="F7">
        <f>IF(VIPcric_1!F9="","",VIPcric_1!F9)</f>
        <v>0</v>
      </c>
      <c r="G7">
        <f>IF(VIPcric_1!G9="","",VIPcric_1!G9)</f>
        <v>0</v>
      </c>
      <c r="H7">
        <f>IF(VIPcric_1!H9="","",VIPcric_1!H9)</f>
        <v>0</v>
      </c>
      <c r="I7" t="str">
        <f>IF(VIPcric_1!M9="","",VIPcric_1!M9)</f>
        <v>CRIC-万宁-市场监测.商品房市场.项目累计.供求.xlsx</v>
      </c>
    </row>
    <row r="8" spans="1:9">
      <c r="A8" t="str">
        <f>IF(VIPcric_1!A10="","",VIPcric_1!A10)</f>
        <v>汇总</v>
      </c>
      <c r="B8">
        <f>IF(VIPcric_1!B10="","",VIPcric_1!B10)</f>
        <v>494186</v>
      </c>
      <c r="C8">
        <f>IF(VIPcric_1!C10="","",VIPcric_1!C10)</f>
        <v>4763</v>
      </c>
      <c r="D8">
        <f>IF(VIPcric_1!D10="","",VIPcric_1!D10)</f>
        <v>620089</v>
      </c>
      <c r="E8">
        <f>IF(VIPcric_1!E10="","",VIPcric_1!E10)</f>
        <v>6385</v>
      </c>
      <c r="F8">
        <f>IF(VIPcric_1!F10="","",VIPcric_1!F10)</f>
        <v>15493</v>
      </c>
      <c r="G8">
        <f>IF(VIPcric_1!G10="","",VIPcric_1!G10)</f>
        <v>9607213852</v>
      </c>
      <c r="H8">
        <f>IF(VIPcric_1!H10="","",VIPcric_1!H10)</f>
        <v>0.8</v>
      </c>
      <c r="I8" t="str">
        <f>IF(VIPcric_1!M10="","",VIPcric_1!M10)</f>
        <v>CRIC-万宁-市场监测.商品房市场.项目累计.供求.xlsx</v>
      </c>
    </row>
    <row r="9" spans="1:9">
      <c r="A9" t="str">
        <f>IF(VIPcric_1!A11="","",VIPcric_1!A11)</f>
        <v/>
      </c>
      <c r="B9" t="str">
        <f>IF(VIPcric_1!B11="","",VIPcric_1!B11)</f>
        <v/>
      </c>
      <c r="C9" t="str">
        <f>IF(VIPcric_1!C11="","",VIPcric_1!C11)</f>
        <v/>
      </c>
      <c r="D9" t="str">
        <f>IF(VIPcric_1!D11="","",VIPcric_1!D11)</f>
        <v/>
      </c>
      <c r="E9" t="str">
        <f>IF(VIPcric_1!E11="","",VIPcric_1!E11)</f>
        <v/>
      </c>
      <c r="F9" t="str">
        <f>IF(VIPcric_1!F11="","",VIPcric_1!F11)</f>
        <v/>
      </c>
      <c r="G9" t="str">
        <f>IF(VIPcric_1!G11="","",VIPcric_1!G11)</f>
        <v/>
      </c>
      <c r="H9" t="str">
        <f>IF(VIPcric_1!H11="","",VIPcric_1!H11)</f>
        <v/>
      </c>
      <c r="I9" t="str">
        <f>IF(VIPcric_1!M11="","",VIPcric_1!M11)</f>
        <v>CRIC-万宁-市场监测.商品房市场.项目累计.库存.xlsx</v>
      </c>
    </row>
    <row r="10" spans="1:9">
      <c r="A10" t="str">
        <f>IF(VIPcric_1!A12="","",VIPcric_1!A12)</f>
        <v>时间(年)</v>
      </c>
      <c r="B10" t="str">
        <f>IF(VIPcric_1!B12="","",VIPcric_1!B12)</f>
        <v>库存面积(㎡)</v>
      </c>
      <c r="C10" t="str">
        <f>IF(VIPcric_1!C12="","",VIPcric_1!C12)</f>
        <v>库存套数(套)</v>
      </c>
      <c r="D10" t="str">
        <f>IF(VIPcric_1!D12="","",VIPcric_1!D12)</f>
        <v>去化周期12'(月)</v>
      </c>
      <c r="E10" t="str">
        <f>IF(VIPcric_1!E12="","",VIPcric_1!E12)</f>
        <v/>
      </c>
      <c r="F10" t="str">
        <f>IF(VIPcric_1!F12="","",VIPcric_1!F12)</f>
        <v/>
      </c>
      <c r="G10" t="str">
        <f>IF(VIPcric_1!G12="","",VIPcric_1!G12)</f>
        <v/>
      </c>
      <c r="H10" t="str">
        <f>IF(VIPcric_1!H12="","",VIPcric_1!H12)</f>
        <v/>
      </c>
      <c r="I10" t="str">
        <f>IF(VIPcric_1!M12="","",VIPcric_1!M12)</f>
        <v>CRIC-万宁-市场监测.商品房市场.项目累计.库存.xlsx</v>
      </c>
    </row>
    <row r="11" spans="1:9">
      <c r="A11" t="str">
        <f>IF(VIPcric_1!A13="","",VIPcric_1!A13)</f>
        <v>2024年</v>
      </c>
      <c r="B11">
        <f>IF(VIPcric_1!B13="","",VIPcric_1!B13)</f>
        <v>1177236</v>
      </c>
      <c r="C11">
        <f>IF(VIPcric_1!C13="","",VIPcric_1!C13)</f>
        <v>11995</v>
      </c>
      <c r="D11">
        <f>IF(VIPcric_1!D13="","",VIPcric_1!D13)</f>
        <v>65.7</v>
      </c>
      <c r="E11" t="str">
        <f>IF(VIPcric_1!E13="","",VIPcric_1!E13)</f>
        <v/>
      </c>
      <c r="F11" t="str">
        <f>IF(VIPcric_1!F13="","",VIPcric_1!F13)</f>
        <v/>
      </c>
      <c r="G11" t="str">
        <f>IF(VIPcric_1!G13="","",VIPcric_1!G13)</f>
        <v/>
      </c>
      <c r="H11" t="str">
        <f>IF(VIPcric_1!H13="","",VIPcric_1!H13)</f>
        <v/>
      </c>
      <c r="I11" t="str">
        <f>IF(VIPcric_1!M13="","",VIPcric_1!M13)</f>
        <v>CRIC-万宁-市场监测.商品房市场.项目累计.库存.xlsx</v>
      </c>
    </row>
    <row r="12" spans="1:9">
      <c r="A12" t="str">
        <f>IF(VIPcric_1!A14="","",VIPcric_1!A14)</f>
        <v>2023年</v>
      </c>
      <c r="B12">
        <f>IF(VIPcric_1!B14="","",VIPcric_1!B14)</f>
        <v>1171297</v>
      </c>
      <c r="C12">
        <f>IF(VIPcric_1!C14="","",VIPcric_1!C14)</f>
        <v>11923</v>
      </c>
      <c r="D12">
        <f>IF(VIPcric_1!D14="","",VIPcric_1!D14)</f>
        <v>59.8</v>
      </c>
      <c r="E12" t="str">
        <f>IF(VIPcric_1!E14="","",VIPcric_1!E14)</f>
        <v/>
      </c>
      <c r="F12" t="str">
        <f>IF(VIPcric_1!F14="","",VIPcric_1!F14)</f>
        <v/>
      </c>
      <c r="G12" t="str">
        <f>IF(VIPcric_1!G14="","",VIPcric_1!G14)</f>
        <v/>
      </c>
      <c r="H12" t="str">
        <f>IF(VIPcric_1!H14="","",VIPcric_1!H14)</f>
        <v/>
      </c>
      <c r="I12" t="str">
        <f>IF(VIPcric_1!M14="","",VIPcric_1!M14)</f>
        <v>CRIC-万宁-市场监测.商品房市场.项目累计.库存.xlsx</v>
      </c>
    </row>
    <row r="13" spans="1:9">
      <c r="A13" t="str">
        <f>IF(VIPcric_1!A15="","",VIPcric_1!A15)</f>
        <v>2022年</v>
      </c>
      <c r="B13">
        <f>IF(VIPcric_1!B15="","",VIPcric_1!B15)</f>
        <v>1141432</v>
      </c>
      <c r="C13">
        <f>IF(VIPcric_1!C15="","",VIPcric_1!C15)</f>
        <v>12041</v>
      </c>
      <c r="D13">
        <f>IF(VIPcric_1!D15="","",VIPcric_1!D15)</f>
        <v>39.6</v>
      </c>
      <c r="E13" t="str">
        <f>IF(VIPcric_1!E15="","",VIPcric_1!E15)</f>
        <v/>
      </c>
      <c r="F13" t="str">
        <f>IF(VIPcric_1!F15="","",VIPcric_1!F15)</f>
        <v/>
      </c>
      <c r="G13" t="str">
        <f>IF(VIPcric_1!G15="","",VIPcric_1!G15)</f>
        <v/>
      </c>
      <c r="H13" t="str">
        <f>IF(VIPcric_1!H15="","",VIPcric_1!H15)</f>
        <v/>
      </c>
      <c r="I13" t="str">
        <f>IF(VIPcric_1!M15="","",VIPcric_1!M15)</f>
        <v>CRIC-万宁-市场监测.商品房市场.项目累计.库存.xlsx</v>
      </c>
    </row>
    <row r="14" spans="1:9">
      <c r="A14" t="str">
        <f>IF(VIPcric_1!A16="","",VIPcric_1!A16)</f>
        <v>2021年</v>
      </c>
      <c r="B14">
        <f>IF(VIPcric_1!B16="","",VIPcric_1!B16)</f>
        <v>1353015</v>
      </c>
      <c r="C14">
        <f>IF(VIPcric_1!C16="","",VIPcric_1!C16)</f>
        <v>14336</v>
      </c>
      <c r="D14">
        <f>IF(VIPcric_1!D16="","",VIPcric_1!D16)</f>
        <v>510.7</v>
      </c>
      <c r="E14" t="str">
        <f>IF(VIPcric_1!E16="","",VIPcric_1!E16)</f>
        <v/>
      </c>
      <c r="F14" t="str">
        <f>IF(VIPcric_1!F16="","",VIPcric_1!F16)</f>
        <v/>
      </c>
      <c r="G14" t="str">
        <f>IF(VIPcric_1!G16="","",VIPcric_1!G16)</f>
        <v/>
      </c>
      <c r="H14" t="str">
        <f>IF(VIPcric_1!H16="","",VIPcric_1!H16)</f>
        <v/>
      </c>
      <c r="I14" t="str">
        <f>IF(VIPcric_1!M16="","",VIPcric_1!M16)</f>
        <v>CRIC-万宁-市场监测.商品房市场.项目累计.库存.xlsx</v>
      </c>
    </row>
    <row r="15" spans="1:9">
      <c r="A15" t="str">
        <f>IF(VIPcric_1!A17="","",VIPcric_1!A17)</f>
        <v/>
      </c>
      <c r="B15" t="str">
        <f>IF(VIPcric_1!B17="","",VIPcric_1!B17)</f>
        <v/>
      </c>
      <c r="C15" t="str">
        <f>IF(VIPcric_1!C17="","",VIPcric_1!C17)</f>
        <v/>
      </c>
      <c r="D15" t="str">
        <f>IF(VIPcric_1!D17="","",VIPcric_1!D17)</f>
        <v/>
      </c>
      <c r="E15" t="str">
        <f>IF(VIPcric_1!E17="","",VIPcric_1!E17)</f>
        <v/>
      </c>
      <c r="F15" t="str">
        <f>IF(VIPcric_1!F17="","",VIPcric_1!F17)</f>
        <v/>
      </c>
      <c r="G15" t="str">
        <f>IF(VIPcric_1!G17="","",VIPcric_1!G17)</f>
        <v/>
      </c>
      <c r="H15" t="str">
        <f>IF(VIPcric_1!H17="","",VIPcric_1!H17)</f>
        <v/>
      </c>
      <c r="I15" t="str">
        <f>IF(VIPcric_1!M17="","",VIPcric_1!M17)</f>
        <v/>
      </c>
    </row>
    <row r="16" spans="1:9">
      <c r="A16" s="17" t="str">
        <f>IF(VIPcric_1!A18="","",VIPcric_1!A18)</f>
        <v/>
      </c>
      <c r="B16" s="17" t="str">
        <f>IF(VIPcric_1!B18="","",VIPcric_1!B18)</f>
        <v/>
      </c>
      <c r="C16" s="17" t="str">
        <f>IF(VIPcric_1!C18="","",VIPcric_1!C18)</f>
        <v/>
      </c>
      <c r="D16" s="17" t="str">
        <f>IF(VIPcric_1!D18="","",VIPcric_1!D18)</f>
        <v/>
      </c>
      <c r="E16" s="17" t="str">
        <f>IF(VIPcric_1!E18="","",VIPcric_1!E18)</f>
        <v/>
      </c>
      <c r="F16" s="17" t="str">
        <f>IF(VIPcric_1!F18="","",VIPcric_1!F18)</f>
        <v/>
      </c>
      <c r="G16" s="17" t="str">
        <f>IF(VIPcric_1!G18="","",VIPcric_1!G18)</f>
        <v/>
      </c>
      <c r="H16" s="17" t="str">
        <f>IF(VIPcric_1!H18="","",VIPcric_1!H18)</f>
        <v/>
      </c>
      <c r="I16" s="17" t="str">
        <f>IF(VIPcric_1!M18="","",VIPcric_1!M18)</f>
        <v>CRIC-三亚-市场监测.商品房市场.项目累计.供求.xlsx</v>
      </c>
    </row>
    <row r="17" spans="1:9">
      <c r="A17" s="17" t="str">
        <f>IF(VIPcric_1!A19="","",VIPcric_1!A19)</f>
        <v>时间(年)</v>
      </c>
      <c r="B17" s="17" t="str">
        <f>IF(VIPcric_1!B19="","",VIPcric_1!B19)</f>
        <v>供应面积(㎡)</v>
      </c>
      <c r="C17" s="17" t="str">
        <f>IF(VIPcric_1!C19="","",VIPcric_1!C19)</f>
        <v>供应套数(套)</v>
      </c>
      <c r="D17" s="17" t="str">
        <f>IF(VIPcric_1!D19="","",VIPcric_1!D19)</f>
        <v>成交面积(㎡)</v>
      </c>
      <c r="E17" s="17" t="str">
        <f>IF(VIPcric_1!E19="","",VIPcric_1!E19)</f>
        <v>成交套数(套)</v>
      </c>
      <c r="F17" s="17" t="str">
        <f>IF(VIPcric_1!F19="","",VIPcric_1!F19)</f>
        <v>成交均价(元/㎡)</v>
      </c>
      <c r="G17" s="17" t="str">
        <f>IF(VIPcric_1!G19="","",VIPcric_1!G19)</f>
        <v>成交金额(元)</v>
      </c>
      <c r="H17" s="17" t="str">
        <f>IF(VIPcric_1!H19="","",VIPcric_1!H19)</f>
        <v>供求比</v>
      </c>
      <c r="I17" s="17" t="str">
        <f>IF(VIPcric_1!M19="","",VIPcric_1!M19)</f>
        <v>CRIC-三亚-市场监测.商品房市场.项目累计.供求.xlsx</v>
      </c>
    </row>
    <row r="18" spans="1:9">
      <c r="A18" s="17" t="str">
        <f>IF(VIPcric_1!A20="","",VIPcric_1!A20)</f>
        <v>2023年</v>
      </c>
      <c r="B18" s="17">
        <f>IF(VIPcric_1!B20="","",VIPcric_1!B20)</f>
        <v>0</v>
      </c>
      <c r="C18" s="17">
        <f>IF(VIPcric_1!C20="","",VIPcric_1!C20)</f>
        <v>0</v>
      </c>
      <c r="D18" s="17">
        <f>IF(VIPcric_1!D20="","",VIPcric_1!D20)</f>
        <v>2128925</v>
      </c>
      <c r="E18" s="17">
        <f>IF(VIPcric_1!E20="","",VIPcric_1!E20)</f>
        <v>18654</v>
      </c>
      <c r="F18" s="17">
        <f>IF(VIPcric_1!F20="","",VIPcric_1!F20)</f>
        <v>20992</v>
      </c>
      <c r="G18" s="17">
        <f>IF(VIPcric_1!G20="","",VIPcric_1!G20)</f>
        <v>44690402503</v>
      </c>
      <c r="H18" s="17">
        <f>IF(VIPcric_1!H20="","",VIPcric_1!H20)</f>
        <v>0</v>
      </c>
      <c r="I18" s="17" t="str">
        <f>IF(VIPcric_1!M20="","",VIPcric_1!M20)</f>
        <v>CRIC-三亚-市场监测.商品房市场.项目累计.供求.xlsx</v>
      </c>
    </row>
    <row r="19" spans="1:9">
      <c r="A19" s="17" t="str">
        <f>IF(VIPcric_1!A21="","",VIPcric_1!A21)</f>
        <v>2022年</v>
      </c>
      <c r="B19" s="17">
        <f>IF(VIPcric_1!B21="","",VIPcric_1!B21)</f>
        <v>0</v>
      </c>
      <c r="C19" s="17">
        <f>IF(VIPcric_1!C21="","",VIPcric_1!C21)</f>
        <v>0</v>
      </c>
      <c r="D19" s="17">
        <f>IF(VIPcric_1!D21="","",VIPcric_1!D21)</f>
        <v>1321697</v>
      </c>
      <c r="E19" s="17">
        <f>IF(VIPcric_1!E21="","",VIPcric_1!E21)</f>
        <v>11720</v>
      </c>
      <c r="F19" s="17">
        <f>IF(VIPcric_1!F21="","",VIPcric_1!F21)</f>
        <v>27240</v>
      </c>
      <c r="G19" s="17">
        <f>IF(VIPcric_1!G21="","",VIPcric_1!G21)</f>
        <v>36002622595</v>
      </c>
      <c r="H19" s="17">
        <f>IF(VIPcric_1!H21="","",VIPcric_1!H21)</f>
        <v>0</v>
      </c>
      <c r="I19" s="17" t="str">
        <f>IF(VIPcric_1!M21="","",VIPcric_1!M21)</f>
        <v>CRIC-三亚-市场监测.商品房市场.项目累计.供求.xlsx</v>
      </c>
    </row>
    <row r="20" spans="1:9">
      <c r="A20" s="17" t="str">
        <f>IF(VIPcric_1!A22="","",VIPcric_1!A22)</f>
        <v>2021年</v>
      </c>
      <c r="B20" s="17">
        <f>IF(VIPcric_1!B22="","",VIPcric_1!B22)</f>
        <v>0</v>
      </c>
      <c r="C20" s="17">
        <f>IF(VIPcric_1!C22="","",VIPcric_1!C22)</f>
        <v>0</v>
      </c>
      <c r="D20" s="17">
        <f>IF(VIPcric_1!D22="","",VIPcric_1!D22)</f>
        <v>1094572</v>
      </c>
      <c r="E20" s="17">
        <f>IF(VIPcric_1!E22="","",VIPcric_1!E22)</f>
        <v>10202</v>
      </c>
      <c r="F20" s="17">
        <f>IF(VIPcric_1!F22="","",VIPcric_1!F22)</f>
        <v>29547</v>
      </c>
      <c r="G20" s="17">
        <f>IF(VIPcric_1!G22="","",VIPcric_1!G22)</f>
        <v>32340981576</v>
      </c>
      <c r="H20" s="17">
        <f>IF(VIPcric_1!H22="","",VIPcric_1!H22)</f>
        <v>0</v>
      </c>
      <c r="I20" s="17" t="str">
        <f>IF(VIPcric_1!M22="","",VIPcric_1!M22)</f>
        <v>CRIC-三亚-市场监测.商品房市场.项目累计.供求.xlsx</v>
      </c>
    </row>
    <row r="21" spans="1:9">
      <c r="A21" s="17" t="str">
        <f>IF(VIPcric_1!A23="","",VIPcric_1!A23)</f>
        <v>2020年</v>
      </c>
      <c r="B21" s="17">
        <f>IF(VIPcric_1!B23="","",VIPcric_1!B23)</f>
        <v>0</v>
      </c>
      <c r="C21" s="17">
        <f>IF(VIPcric_1!C23="","",VIPcric_1!C23)</f>
        <v>0</v>
      </c>
      <c r="D21" s="17">
        <f>IF(VIPcric_1!D23="","",VIPcric_1!D23)</f>
        <v>527705</v>
      </c>
      <c r="E21" s="17">
        <f>IF(VIPcric_1!E23="","",VIPcric_1!E23)</f>
        <v>4988</v>
      </c>
      <c r="F21" s="17">
        <f>IF(VIPcric_1!F23="","",VIPcric_1!F23)</f>
        <v>28247</v>
      </c>
      <c r="G21" s="17">
        <f>IF(VIPcric_1!G23="","",VIPcric_1!G23)</f>
        <v>14906332741</v>
      </c>
      <c r="H21" s="17">
        <f>IF(VIPcric_1!H23="","",VIPcric_1!H23)</f>
        <v>0</v>
      </c>
      <c r="I21" s="17" t="str">
        <f>IF(VIPcric_1!M23="","",VIPcric_1!M23)</f>
        <v>CRIC-三亚-市场监测.商品房市场.项目累计.供求.xlsx</v>
      </c>
    </row>
    <row r="22" spans="1:9">
      <c r="A22" s="17" t="str">
        <f>IF(VIPcric_1!A24="","",VIPcric_1!A24)</f>
        <v>2019年</v>
      </c>
      <c r="B22" s="17">
        <f>IF(VIPcric_1!B24="","",VIPcric_1!B24)</f>
        <v>0</v>
      </c>
      <c r="C22" s="17">
        <f>IF(VIPcric_1!C24="","",VIPcric_1!C24)</f>
        <v>0</v>
      </c>
      <c r="D22" s="17">
        <f>IF(VIPcric_1!D24="","",VIPcric_1!D24)</f>
        <v>889350</v>
      </c>
      <c r="E22" s="17">
        <f>IF(VIPcric_1!E24="","",VIPcric_1!E24)</f>
        <v>8434</v>
      </c>
      <c r="F22" s="17">
        <f>IF(VIPcric_1!F24="","",VIPcric_1!F24)</f>
        <v>26872</v>
      </c>
      <c r="G22" s="17">
        <f>IF(VIPcric_1!G24="","",VIPcric_1!G24)</f>
        <v>23898179823</v>
      </c>
      <c r="H22" s="17">
        <f>IF(VIPcric_1!H24="","",VIPcric_1!H24)</f>
        <v>0</v>
      </c>
      <c r="I22" s="17" t="str">
        <f>IF(VIPcric_1!M24="","",VIPcric_1!M24)</f>
        <v>CRIC-三亚-市场监测.商品房市场.项目累计.供求.xlsx</v>
      </c>
    </row>
    <row r="23" spans="1:9">
      <c r="A23" s="17" t="str">
        <f>IF(VIPcric_1!A25="","",VIPcric_1!A25)</f>
        <v>2018年</v>
      </c>
      <c r="B23" s="17">
        <f>IF(VIPcric_1!B25="","",VIPcric_1!B25)</f>
        <v>0</v>
      </c>
      <c r="C23" s="17">
        <f>IF(VIPcric_1!C25="","",VIPcric_1!C25)</f>
        <v>0</v>
      </c>
      <c r="D23" s="17">
        <f>IF(VIPcric_1!D25="","",VIPcric_1!D25)</f>
        <v>1132113</v>
      </c>
      <c r="E23" s="17">
        <f>IF(VIPcric_1!E25="","",VIPcric_1!E25)</f>
        <v>11596</v>
      </c>
      <c r="F23" s="17">
        <f>IF(VIPcric_1!F25="","",VIPcric_1!F25)</f>
        <v>28402</v>
      </c>
      <c r="G23" s="17">
        <f>IF(VIPcric_1!G25="","",VIPcric_1!G25)</f>
        <v>32153958532</v>
      </c>
      <c r="H23" s="17">
        <f>IF(VIPcric_1!H25="","",VIPcric_1!H25)</f>
        <v>0</v>
      </c>
      <c r="I23" s="17" t="str">
        <f>IF(VIPcric_1!M25="","",VIPcric_1!M25)</f>
        <v>CRIC-三亚-市场监测.商品房市场.项目累计.供求.xlsx</v>
      </c>
    </row>
    <row r="24" spans="1:9">
      <c r="A24" s="17" t="str">
        <f>IF(VIPcric_1!A26="","",VIPcric_1!A26)</f>
        <v>汇总</v>
      </c>
      <c r="B24" s="17">
        <f>IF(VIPcric_1!B26="","",VIPcric_1!B26)</f>
        <v>0</v>
      </c>
      <c r="C24" s="17">
        <f>IF(VIPcric_1!C26="","",VIPcric_1!C26)</f>
        <v>0</v>
      </c>
      <c r="D24" s="17">
        <f>IF(VIPcric_1!D26="","",VIPcric_1!D26)</f>
        <v>7094361</v>
      </c>
      <c r="E24" s="17">
        <f>IF(VIPcric_1!E26="","",VIPcric_1!E26)</f>
        <v>65594</v>
      </c>
      <c r="F24" s="17">
        <f>IF(VIPcric_1!F26="","",VIPcric_1!F26)</f>
        <v>25935</v>
      </c>
      <c r="G24" s="17">
        <f>IF(VIPcric_1!G26="","",VIPcric_1!G26)</f>
        <v>183992477771</v>
      </c>
      <c r="H24" s="17">
        <f>IF(VIPcric_1!H26="","",VIPcric_1!H26)</f>
        <v>0</v>
      </c>
      <c r="I24" s="17" t="str">
        <f>IF(VIPcric_1!M26="","",VIPcric_1!M26)</f>
        <v>CRIC-三亚-市场监测.商品房市场.项目累计.供求.xlsx</v>
      </c>
    </row>
    <row r="25" spans="1:9">
      <c r="A25" t="str">
        <f>IF(VIPcric_1!A27="","",VIPcric_1!A27)</f>
        <v/>
      </c>
      <c r="B25" t="str">
        <f>IF(VIPcric_1!B27="","",VIPcric_1!B27)</f>
        <v/>
      </c>
      <c r="C25" t="str">
        <f>IF(VIPcric_1!C27="","",VIPcric_1!C27)</f>
        <v/>
      </c>
      <c r="D25" t="str">
        <f>IF(VIPcric_1!D27="","",VIPcric_1!D27)</f>
        <v/>
      </c>
      <c r="E25" t="str">
        <f>IF(VIPcric_1!E27="","",VIPcric_1!E27)</f>
        <v/>
      </c>
      <c r="F25" t="str">
        <f>IF(VIPcric_1!F27="","",VIPcric_1!F27)</f>
        <v/>
      </c>
      <c r="G25" t="str">
        <f>IF(VIPcric_1!G27="","",VIPcric_1!G27)</f>
        <v/>
      </c>
      <c r="H25" t="str">
        <f>IF(VIPcric_1!H27="","",VIPcric_1!H27)</f>
        <v/>
      </c>
      <c r="I25" t="str">
        <f>IF(VIPcric_1!M27="","",VIPcric_1!M27)</f>
        <v/>
      </c>
    </row>
    <row r="26" spans="1:9">
      <c r="A26" t="str">
        <f>IF(VIPcric_1!A28="","",VIPcric_1!A28)</f>
        <v/>
      </c>
      <c r="B26" t="str">
        <f>IF(VIPcric_1!B28="","",VIPcric_1!B28)</f>
        <v/>
      </c>
      <c r="C26" t="str">
        <f>IF(VIPcric_1!C28="","",VIPcric_1!C28)</f>
        <v/>
      </c>
      <c r="D26" t="str">
        <f>IF(VIPcric_1!D28="","",VIPcric_1!D28)</f>
        <v/>
      </c>
      <c r="E26" t="str">
        <f>IF(VIPcric_1!E28="","",VIPcric_1!E28)</f>
        <v/>
      </c>
      <c r="F26" t="str">
        <f>IF(VIPcric_1!F28="","",VIPcric_1!F28)</f>
        <v/>
      </c>
      <c r="G26" t="str">
        <f>IF(VIPcric_1!G28="","",VIPcric_1!G28)</f>
        <v/>
      </c>
      <c r="H26" t="str">
        <f>IF(VIPcric_1!H28="","",VIPcric_1!H28)</f>
        <v/>
      </c>
      <c r="I26" t="str">
        <f>IF(VIPcric_1!M28="","",VIPcric_1!M28)</f>
        <v>CRIC-上海-市场监测.商品房市场.项目累计.供求.xlsx</v>
      </c>
    </row>
    <row r="27" spans="1:9">
      <c r="A27" t="str">
        <f>IF(VIPcric_1!A29="","",VIPcric_1!A29)</f>
        <v>时间(年)</v>
      </c>
      <c r="B27" t="str">
        <f>IF(VIPcric_1!B29="","",VIPcric_1!B29)</f>
        <v>供应面积(㎡)</v>
      </c>
      <c r="C27" t="str">
        <f>IF(VIPcric_1!C29="","",VIPcric_1!C29)</f>
        <v>供应套数(套)</v>
      </c>
      <c r="D27" t="str">
        <f>IF(VIPcric_1!D29="","",VIPcric_1!D29)</f>
        <v>成交面积(㎡)</v>
      </c>
      <c r="E27" t="str">
        <f>IF(VIPcric_1!E29="","",VIPcric_1!E29)</f>
        <v>成交套数(套)</v>
      </c>
      <c r="F27" t="str">
        <f>IF(VIPcric_1!F29="","",VIPcric_1!F29)</f>
        <v>成交均价(元/㎡)</v>
      </c>
      <c r="G27" t="str">
        <f>IF(VIPcric_1!G29="","",VIPcric_1!G29)</f>
        <v>成交金额(元)</v>
      </c>
      <c r="H27" t="str">
        <f>IF(VIPcric_1!H29="","",VIPcric_1!H29)</f>
        <v>供求比</v>
      </c>
      <c r="I27" t="str">
        <f>IF(VIPcric_1!M29="","",VIPcric_1!M29)</f>
        <v>CRIC-上海-市场监测.商品房市场.项目累计.供求.xlsx</v>
      </c>
    </row>
    <row r="28" spans="1:9">
      <c r="A28" t="str">
        <f>IF(VIPcric_1!A30="","",VIPcric_1!A30)</f>
        <v>2023年</v>
      </c>
      <c r="B28">
        <f>IF(VIPcric_1!B30="","",VIPcric_1!B30)</f>
        <v>9472869</v>
      </c>
      <c r="C28">
        <f>IF(VIPcric_1!C30="","",VIPcric_1!C30)</f>
        <v>85900</v>
      </c>
      <c r="D28">
        <f>IF(VIPcric_1!D30="","",VIPcric_1!D30)</f>
        <v>8272987</v>
      </c>
      <c r="E28">
        <f>IF(VIPcric_1!E30="","",VIPcric_1!E30)</f>
        <v>75015</v>
      </c>
      <c r="F28">
        <f>IF(VIPcric_1!F30="","",VIPcric_1!F30)</f>
        <v>66494</v>
      </c>
      <c r="G28">
        <f>IF(VIPcric_1!G30="","",VIPcric_1!G30)</f>
        <v>550105561723</v>
      </c>
      <c r="H28">
        <f>IF(VIPcric_1!H30="","",VIPcric_1!H30)</f>
        <v>1.1499999999999999</v>
      </c>
      <c r="I28" t="str">
        <f>IF(VIPcric_1!M30="","",VIPcric_1!M30)</f>
        <v>CRIC-上海-市场监测.商品房市场.项目累计.供求.xlsx</v>
      </c>
    </row>
    <row r="29" spans="1:9">
      <c r="A29" t="str">
        <f>IF(VIPcric_1!A31="","",VIPcric_1!A31)</f>
        <v>2022年</v>
      </c>
      <c r="B29">
        <f>IF(VIPcric_1!B31="","",VIPcric_1!B31)</f>
        <v>10275105</v>
      </c>
      <c r="C29">
        <f>IF(VIPcric_1!C31="","",VIPcric_1!C31)</f>
        <v>95629</v>
      </c>
      <c r="D29">
        <f>IF(VIPcric_1!D31="","",VIPcric_1!D31)</f>
        <v>8912467</v>
      </c>
      <c r="E29">
        <f>IF(VIPcric_1!E31="","",VIPcric_1!E31)</f>
        <v>81511</v>
      </c>
      <c r="F29">
        <f>IF(VIPcric_1!F31="","",VIPcric_1!F31)</f>
        <v>63623</v>
      </c>
      <c r="G29">
        <f>IF(VIPcric_1!G31="","",VIPcric_1!G31)</f>
        <v>567033669349</v>
      </c>
      <c r="H29">
        <f>IF(VIPcric_1!H31="","",VIPcric_1!H31)</f>
        <v>1.1499999999999999</v>
      </c>
      <c r="I29" t="str">
        <f>IF(VIPcric_1!M31="","",VIPcric_1!M31)</f>
        <v>CRIC-上海-市场监测.商品房市场.项目累计.供求.xlsx</v>
      </c>
    </row>
    <row r="30" spans="1:9">
      <c r="A30" t="str">
        <f>IF(VIPcric_1!A32="","",VIPcric_1!A32)</f>
        <v>2021年</v>
      </c>
      <c r="B30">
        <f>IF(VIPcric_1!B32="","",VIPcric_1!B32)</f>
        <v>7042950</v>
      </c>
      <c r="C30">
        <f>IF(VIPcric_1!C32="","",VIPcric_1!C32)</f>
        <v>67256</v>
      </c>
      <c r="D30">
        <f>IF(VIPcric_1!D32="","",VIPcric_1!D32)</f>
        <v>8783542</v>
      </c>
      <c r="E30">
        <f>IF(VIPcric_1!E32="","",VIPcric_1!E32)</f>
        <v>82642</v>
      </c>
      <c r="F30">
        <f>IF(VIPcric_1!F32="","",VIPcric_1!F32)</f>
        <v>55386</v>
      </c>
      <c r="G30">
        <f>IF(VIPcric_1!G32="","",VIPcric_1!G32)</f>
        <v>486482020192</v>
      </c>
      <c r="H30">
        <f>IF(VIPcric_1!H32="","",VIPcric_1!H32)</f>
        <v>0.8</v>
      </c>
      <c r="I30" t="str">
        <f>IF(VIPcric_1!M32="","",VIPcric_1!M32)</f>
        <v>CRIC-上海-市场监测.商品房市场.项目累计.供求.xlsx</v>
      </c>
    </row>
    <row r="31" spans="1:9">
      <c r="A31" t="str">
        <f>IF(VIPcric_1!A33="","",VIPcric_1!A33)</f>
        <v>2020年</v>
      </c>
      <c r="B31">
        <f>IF(VIPcric_1!B33="","",VIPcric_1!B33)</f>
        <v>6738974</v>
      </c>
      <c r="C31">
        <f>IF(VIPcric_1!C33="","",VIPcric_1!C33)</f>
        <v>62818</v>
      </c>
      <c r="D31">
        <f>IF(VIPcric_1!D33="","",VIPcric_1!D33)</f>
        <v>7364723</v>
      </c>
      <c r="E31">
        <f>IF(VIPcric_1!E33="","",VIPcric_1!E33)</f>
        <v>67627</v>
      </c>
      <c r="F31">
        <f>IF(VIPcric_1!F33="","",VIPcric_1!F33)</f>
        <v>56134</v>
      </c>
      <c r="G31">
        <f>IF(VIPcric_1!G33="","",VIPcric_1!G33)</f>
        <v>413413433424</v>
      </c>
      <c r="H31">
        <f>IF(VIPcric_1!H33="","",VIPcric_1!H33)</f>
        <v>0.92</v>
      </c>
      <c r="I31" t="str">
        <f>IF(VIPcric_1!M33="","",VIPcric_1!M33)</f>
        <v>CRIC-上海-市场监测.商品房市场.项目累计.供求.xlsx</v>
      </c>
    </row>
    <row r="32" spans="1:9">
      <c r="A32" t="str">
        <f>IF(VIPcric_1!A34="","",VIPcric_1!A34)</f>
        <v>2019年</v>
      </c>
      <c r="B32">
        <f>IF(VIPcric_1!B34="","",VIPcric_1!B34)</f>
        <v>6280488</v>
      </c>
      <c r="C32">
        <f>IF(VIPcric_1!C34="","",VIPcric_1!C34)</f>
        <v>58213</v>
      </c>
      <c r="D32">
        <f>IF(VIPcric_1!D34="","",VIPcric_1!D34)</f>
        <v>5992144</v>
      </c>
      <c r="E32">
        <f>IF(VIPcric_1!E34="","",VIPcric_1!E34)</f>
        <v>54210</v>
      </c>
      <c r="F32">
        <f>IF(VIPcric_1!F34="","",VIPcric_1!F34)</f>
        <v>54761</v>
      </c>
      <c r="G32">
        <f>IF(VIPcric_1!G34="","",VIPcric_1!G34)</f>
        <v>328136667526</v>
      </c>
      <c r="H32">
        <f>IF(VIPcric_1!H34="","",VIPcric_1!H34)</f>
        <v>1.05</v>
      </c>
      <c r="I32" t="str">
        <f>IF(VIPcric_1!M34="","",VIPcric_1!M34)</f>
        <v>CRIC-上海-市场监测.商品房市场.项目累计.供求.xlsx</v>
      </c>
    </row>
    <row r="33" spans="1:9">
      <c r="A33" t="str">
        <f>IF(VIPcric_1!A35="","",VIPcric_1!A35)</f>
        <v>汇总</v>
      </c>
      <c r="B33">
        <f>IF(VIPcric_1!B35="","",VIPcric_1!B35)</f>
        <v>39810387</v>
      </c>
      <c r="C33">
        <f>IF(VIPcric_1!C35="","",VIPcric_1!C35)</f>
        <v>369816</v>
      </c>
      <c r="D33">
        <f>IF(VIPcric_1!D35="","",VIPcric_1!D35)</f>
        <v>39325863</v>
      </c>
      <c r="E33">
        <f>IF(VIPcric_1!E35="","",VIPcric_1!E35)</f>
        <v>361005</v>
      </c>
      <c r="F33">
        <f>IF(VIPcric_1!F35="","",VIPcric_1!F35)</f>
        <v>59634</v>
      </c>
      <c r="G33">
        <f>IF(VIPcric_1!G35="","",VIPcric_1!G35)</f>
        <v>2345171352215</v>
      </c>
      <c r="H33">
        <f>IF(VIPcric_1!H35="","",VIPcric_1!H35)</f>
        <v>1.01</v>
      </c>
      <c r="I33" t="str">
        <f>IF(VIPcric_1!M35="","",VIPcric_1!M35)</f>
        <v>CRIC-上海-市场监测.商品房市场.项目累计.供求.xlsx</v>
      </c>
    </row>
    <row r="34" spans="1:9">
      <c r="A34" t="str">
        <f>IF(VIPcric_1!A36="","",VIPcric_1!A36)</f>
        <v/>
      </c>
      <c r="B34" t="str">
        <f>IF(VIPcric_1!B36="","",VIPcric_1!B36)</f>
        <v/>
      </c>
      <c r="C34" t="str">
        <f>IF(VIPcric_1!C36="","",VIPcric_1!C36)</f>
        <v/>
      </c>
      <c r="D34" t="str">
        <f>IF(VIPcric_1!D36="","",VIPcric_1!D36)</f>
        <v/>
      </c>
      <c r="E34" t="str">
        <f>IF(VIPcric_1!E36="","",VIPcric_1!E36)</f>
        <v/>
      </c>
      <c r="F34" t="str">
        <f>IF(VIPcric_1!F36="","",VIPcric_1!F36)</f>
        <v/>
      </c>
      <c r="G34" t="str">
        <f>IF(VIPcric_1!G36="","",VIPcric_1!G36)</f>
        <v/>
      </c>
      <c r="H34" t="str">
        <f>IF(VIPcric_1!H36="","",VIPcric_1!H36)</f>
        <v/>
      </c>
      <c r="I34" t="str">
        <f>IF(VIPcric_1!M36="","",VIPcric_1!M36)</f>
        <v/>
      </c>
    </row>
    <row r="35" spans="1:9">
      <c r="A35" t="str">
        <f>IF(VIPcric_1!A37="","",VIPcric_1!A37)</f>
        <v/>
      </c>
      <c r="B35" t="str">
        <f>IF(VIPcric_1!B37="","",VIPcric_1!B37)</f>
        <v/>
      </c>
      <c r="C35" t="str">
        <f>IF(VIPcric_1!C37="","",VIPcric_1!C37)</f>
        <v/>
      </c>
      <c r="D35" t="str">
        <f>IF(VIPcric_1!D37="","",VIPcric_1!D37)</f>
        <v/>
      </c>
      <c r="E35" t="str">
        <f>IF(VIPcric_1!E37="","",VIPcric_1!E37)</f>
        <v/>
      </c>
      <c r="F35" t="str">
        <f>IF(VIPcric_1!F37="","",VIPcric_1!F37)</f>
        <v/>
      </c>
      <c r="G35" t="str">
        <f>IF(VIPcric_1!G37="","",VIPcric_1!G37)</f>
        <v/>
      </c>
      <c r="H35" t="str">
        <f>IF(VIPcric_1!H37="","",VIPcric_1!H37)</f>
        <v/>
      </c>
      <c r="I35" t="str">
        <f>IF(VIPcric_1!M37="","",VIPcric_1!M37)</f>
        <v>CRIC-上海-市场监测.商品房市场.项目累计.库存.xlsx</v>
      </c>
    </row>
    <row r="36" spans="1:9">
      <c r="A36" t="str">
        <f>IF(VIPcric_1!A38="","",VIPcric_1!A38)</f>
        <v>时间(年)</v>
      </c>
      <c r="B36" t="str">
        <f>IF(VIPcric_1!B38="","",VIPcric_1!B38)</f>
        <v>库存面积(㎡)</v>
      </c>
      <c r="C36" t="str">
        <f>IF(VIPcric_1!C38="","",VIPcric_1!C38)</f>
        <v>库存套数(套)</v>
      </c>
      <c r="D36" t="str">
        <f>IF(VIPcric_1!D38="","",VIPcric_1!D38)</f>
        <v>去化周期12'(月)</v>
      </c>
      <c r="E36" t="str">
        <f>IF(VIPcric_1!E38="","",VIPcric_1!E38)</f>
        <v/>
      </c>
      <c r="F36" t="str">
        <f>IF(VIPcric_1!F38="","",VIPcric_1!F38)</f>
        <v/>
      </c>
      <c r="G36" t="str">
        <f>IF(VIPcric_1!G38="","",VIPcric_1!G38)</f>
        <v/>
      </c>
      <c r="H36" t="str">
        <f>IF(VIPcric_1!H38="","",VIPcric_1!H38)</f>
        <v/>
      </c>
      <c r="I36" t="str">
        <f>IF(VIPcric_1!M38="","",VIPcric_1!M38)</f>
        <v>CRIC-上海-市场监测.商品房市场.项目累计.库存.xlsx</v>
      </c>
    </row>
    <row r="37" spans="1:9">
      <c r="A37" t="str">
        <f>IF(VIPcric_1!A39="","",VIPcric_1!A39)</f>
        <v>2023年</v>
      </c>
      <c r="B37">
        <f>IF(VIPcric_1!B39="","",VIPcric_1!B39)</f>
        <v>23926148</v>
      </c>
      <c r="C37">
        <f>IF(VIPcric_1!C39="","",VIPcric_1!C39)</f>
        <v>131579</v>
      </c>
      <c r="D37">
        <f>IF(VIPcric_1!D39="","",VIPcric_1!D39)</f>
        <v>26.4</v>
      </c>
      <c r="E37" t="str">
        <f>IF(VIPcric_1!E39="","",VIPcric_1!E39)</f>
        <v/>
      </c>
      <c r="F37" t="str">
        <f>IF(VIPcric_1!F39="","",VIPcric_1!F39)</f>
        <v/>
      </c>
      <c r="G37" t="str">
        <f>IF(VIPcric_1!G39="","",VIPcric_1!G39)</f>
        <v/>
      </c>
      <c r="H37" t="str">
        <f>IF(VIPcric_1!H39="","",VIPcric_1!H39)</f>
        <v/>
      </c>
      <c r="I37" t="str">
        <f>IF(VIPcric_1!M39="","",VIPcric_1!M39)</f>
        <v>CRIC-上海-市场监测.商品房市场.项目累计.库存.xlsx</v>
      </c>
    </row>
    <row r="38" spans="1:9">
      <c r="A38" t="str">
        <f>IF(VIPcric_1!A40="","",VIPcric_1!A40)</f>
        <v>2022年</v>
      </c>
      <c r="B38">
        <f>IF(VIPcric_1!B40="","",VIPcric_1!B40)</f>
        <v>21869214</v>
      </c>
      <c r="C38">
        <f>IF(VIPcric_1!C40="","",VIPcric_1!C40)</f>
        <v>116870</v>
      </c>
      <c r="D38">
        <f>IF(VIPcric_1!D40="","",VIPcric_1!D40)</f>
        <v>22.4</v>
      </c>
      <c r="E38" t="str">
        <f>IF(VIPcric_1!E40="","",VIPcric_1!E40)</f>
        <v/>
      </c>
      <c r="F38" t="str">
        <f>IF(VIPcric_1!F40="","",VIPcric_1!F40)</f>
        <v/>
      </c>
      <c r="G38" t="str">
        <f>IF(VIPcric_1!G40="","",VIPcric_1!G40)</f>
        <v/>
      </c>
      <c r="H38" t="str">
        <f>IF(VIPcric_1!H40="","",VIPcric_1!H40)</f>
        <v/>
      </c>
      <c r="I38" t="str">
        <f>IF(VIPcric_1!M40="","",VIPcric_1!M40)</f>
        <v>CRIC-上海-市场监测.商品房市场.项目累计.库存.xlsx</v>
      </c>
    </row>
    <row r="39" spans="1:9">
      <c r="A39" t="str">
        <f>IF(VIPcric_1!A41="","",VIPcric_1!A41)</f>
        <v>2021年</v>
      </c>
      <c r="B39">
        <f>IF(VIPcric_1!B41="","",VIPcric_1!B41)</f>
        <v>21104930</v>
      </c>
      <c r="C39">
        <f>IF(VIPcric_1!C41="","",VIPcric_1!C41)</f>
        <v>107483</v>
      </c>
      <c r="D39">
        <f>IF(VIPcric_1!D41="","",VIPcric_1!D41)</f>
        <v>20.3</v>
      </c>
      <c r="E39" t="str">
        <f>IF(VIPcric_1!E41="","",VIPcric_1!E41)</f>
        <v/>
      </c>
      <c r="F39" t="str">
        <f>IF(VIPcric_1!F41="","",VIPcric_1!F41)</f>
        <v/>
      </c>
      <c r="G39" t="str">
        <f>IF(VIPcric_1!G41="","",VIPcric_1!G41)</f>
        <v/>
      </c>
      <c r="H39" t="str">
        <f>IF(VIPcric_1!H41="","",VIPcric_1!H41)</f>
        <v/>
      </c>
      <c r="I39" t="str">
        <f>IF(VIPcric_1!M41="","",VIPcric_1!M41)</f>
        <v>CRIC-上海-市场监测.商品房市场.项目累计.库存.xlsx</v>
      </c>
    </row>
    <row r="40" spans="1:9">
      <c r="A40" t="str">
        <f>IF(VIPcric_1!A42="","",VIPcric_1!A42)</f>
        <v>2020年</v>
      </c>
      <c r="B40">
        <f>IF(VIPcric_1!B42="","",VIPcric_1!B42)</f>
        <v>23237423</v>
      </c>
      <c r="C40">
        <f>IF(VIPcric_1!C42="","",VIPcric_1!C42)</f>
        <v>127581</v>
      </c>
      <c r="D40">
        <f>IF(VIPcric_1!D42="","",VIPcric_1!D42)</f>
        <v>25</v>
      </c>
      <c r="E40" t="str">
        <f>IF(VIPcric_1!E42="","",VIPcric_1!E42)</f>
        <v/>
      </c>
      <c r="F40" t="str">
        <f>IF(VIPcric_1!F42="","",VIPcric_1!F42)</f>
        <v/>
      </c>
      <c r="G40" t="str">
        <f>IF(VIPcric_1!G42="","",VIPcric_1!G42)</f>
        <v/>
      </c>
      <c r="H40" t="str">
        <f>IF(VIPcric_1!H42="","",VIPcric_1!H42)</f>
        <v/>
      </c>
      <c r="I40" t="str">
        <f>IF(VIPcric_1!M42="","",VIPcric_1!M42)</f>
        <v>CRIC-上海-市场监测.商品房市场.项目累计.库存.xlsx</v>
      </c>
    </row>
    <row r="41" spans="1:9">
      <c r="A41" t="str">
        <f>IF(VIPcric_1!A43="","",VIPcric_1!A43)</f>
        <v>2019年</v>
      </c>
      <c r="B41">
        <f>IF(VIPcric_1!B43="","",VIPcric_1!B43)</f>
        <v>23229057</v>
      </c>
      <c r="C41">
        <f>IF(VIPcric_1!C43="","",VIPcric_1!C43)</f>
        <v>133562</v>
      </c>
      <c r="D41">
        <f>IF(VIPcric_1!D43="","",VIPcric_1!D43)</f>
        <v>29.1</v>
      </c>
      <c r="E41" t="str">
        <f>IF(VIPcric_1!E43="","",VIPcric_1!E43)</f>
        <v/>
      </c>
      <c r="F41" t="str">
        <f>IF(VIPcric_1!F43="","",VIPcric_1!F43)</f>
        <v/>
      </c>
      <c r="G41" t="str">
        <f>IF(VIPcric_1!G43="","",VIPcric_1!G43)</f>
        <v/>
      </c>
      <c r="H41" t="str">
        <f>IF(VIPcric_1!H43="","",VIPcric_1!H43)</f>
        <v/>
      </c>
      <c r="I41" t="str">
        <f>IF(VIPcric_1!M43="","",VIPcric_1!M43)</f>
        <v>CRIC-上海-市场监测.商品房市场.项目累计.库存.xlsx</v>
      </c>
    </row>
    <row r="42" spans="1:9">
      <c r="A42" t="str">
        <f>IF(VIPcric_1!A44="","",VIPcric_1!A44)</f>
        <v/>
      </c>
      <c r="B42" t="str">
        <f>IF(VIPcric_1!B44="","",VIPcric_1!B44)</f>
        <v/>
      </c>
      <c r="C42" t="str">
        <f>IF(VIPcric_1!C44="","",VIPcric_1!C44)</f>
        <v/>
      </c>
      <c r="D42" t="str">
        <f>IF(VIPcric_1!D44="","",VIPcric_1!D44)</f>
        <v/>
      </c>
      <c r="E42" t="str">
        <f>IF(VIPcric_1!E44="","",VIPcric_1!E44)</f>
        <v/>
      </c>
      <c r="F42" t="str">
        <f>IF(VIPcric_1!F44="","",VIPcric_1!F44)</f>
        <v/>
      </c>
      <c r="G42" t="str">
        <f>IF(VIPcric_1!G44="","",VIPcric_1!G44)</f>
        <v/>
      </c>
      <c r="H42" t="str">
        <f>IF(VIPcric_1!H44="","",VIPcric_1!H44)</f>
        <v/>
      </c>
      <c r="I42" t="str">
        <f>IF(VIPcric_1!M44="","",VIPcric_1!M44)</f>
        <v/>
      </c>
    </row>
    <row r="43" spans="1:9">
      <c r="A43" t="str">
        <f>IF(VIPcric_1!A45="","",VIPcric_1!A45)</f>
        <v/>
      </c>
      <c r="B43" t="str">
        <f>IF(VIPcric_1!B45="","",VIPcric_1!B45)</f>
        <v/>
      </c>
      <c r="C43" t="str">
        <f>IF(VIPcric_1!C45="","",VIPcric_1!C45)</f>
        <v/>
      </c>
      <c r="D43" t="str">
        <f>IF(VIPcric_1!D45="","",VIPcric_1!D45)</f>
        <v/>
      </c>
      <c r="E43" t="str">
        <f>IF(VIPcric_1!E45="","",VIPcric_1!E45)</f>
        <v/>
      </c>
      <c r="F43" t="str">
        <f>IF(VIPcric_1!F45="","",VIPcric_1!F45)</f>
        <v/>
      </c>
      <c r="G43" t="str">
        <f>IF(VIPcric_1!G45="","",VIPcric_1!G45)</f>
        <v/>
      </c>
      <c r="H43" t="str">
        <f>IF(VIPcric_1!H45="","",VIPcric_1!H45)</f>
        <v/>
      </c>
      <c r="I43" t="str">
        <f>IF(VIPcric_1!M45="","",VIPcric_1!M45)</f>
        <v>CRIC-上饶-市场监测.商品房市场.项目累计.供求.xlsx</v>
      </c>
    </row>
    <row r="44" spans="1:9">
      <c r="A44" t="str">
        <f>IF(VIPcric_1!A46="","",VIPcric_1!A46)</f>
        <v>时间(年)</v>
      </c>
      <c r="B44" t="str">
        <f>IF(VIPcric_1!B46="","",VIPcric_1!B46)</f>
        <v>供应面积(㎡)</v>
      </c>
      <c r="C44" t="str">
        <f>IF(VIPcric_1!C46="","",VIPcric_1!C46)</f>
        <v>供应套数(套)</v>
      </c>
      <c r="D44" t="str">
        <f>IF(VIPcric_1!D46="","",VIPcric_1!D46)</f>
        <v>成交面积(㎡)</v>
      </c>
      <c r="E44" t="str">
        <f>IF(VIPcric_1!E46="","",VIPcric_1!E46)</f>
        <v>成交套数(套)</v>
      </c>
      <c r="F44" t="str">
        <f>IF(VIPcric_1!F46="","",VIPcric_1!F46)</f>
        <v>成交均价(元/㎡)</v>
      </c>
      <c r="G44" t="str">
        <f>IF(VIPcric_1!G46="","",VIPcric_1!G46)</f>
        <v>成交金额(元)</v>
      </c>
      <c r="H44" t="str">
        <f>IF(VIPcric_1!H46="","",VIPcric_1!H46)</f>
        <v>供求比</v>
      </c>
      <c r="I44" t="str">
        <f>IF(VIPcric_1!M46="","",VIPcric_1!M46)</f>
        <v>CRIC-上饶-市场监测.商品房市场.项目累计.供求.xlsx</v>
      </c>
    </row>
    <row r="45" spans="1:9">
      <c r="A45" t="str">
        <f>IF(VIPcric_1!A47="","",VIPcric_1!A47)</f>
        <v>2023年</v>
      </c>
      <c r="B45">
        <f>IF(VIPcric_1!B47="","",VIPcric_1!B47)</f>
        <v>1124939</v>
      </c>
      <c r="C45">
        <f>IF(VIPcric_1!C47="","",VIPcric_1!C47)</f>
        <v>9104</v>
      </c>
      <c r="D45">
        <f>IF(VIPcric_1!D47="","",VIPcric_1!D47)</f>
        <v>1003867</v>
      </c>
      <c r="E45">
        <f>IF(VIPcric_1!E47="","",VIPcric_1!E47)</f>
        <v>8439</v>
      </c>
      <c r="F45">
        <f>IF(VIPcric_1!F47="","",VIPcric_1!F47)</f>
        <v>7893</v>
      </c>
      <c r="G45">
        <f>IF(VIPcric_1!G47="","",VIPcric_1!G47)</f>
        <v>7923535408</v>
      </c>
      <c r="H45">
        <f>IF(VIPcric_1!H47="","",VIPcric_1!H47)</f>
        <v>1.1200000000000001</v>
      </c>
      <c r="I45" t="str">
        <f>IF(VIPcric_1!M47="","",VIPcric_1!M47)</f>
        <v>CRIC-上饶-市场监测.商品房市场.项目累计.供求.xlsx</v>
      </c>
    </row>
    <row r="46" spans="1:9">
      <c r="A46" t="str">
        <f>IF(VIPcric_1!A48="","",VIPcric_1!A48)</f>
        <v>2022年</v>
      </c>
      <c r="B46">
        <f>IF(VIPcric_1!B48="","",VIPcric_1!B48)</f>
        <v>1032546</v>
      </c>
      <c r="C46">
        <f>IF(VIPcric_1!C48="","",VIPcric_1!C48)</f>
        <v>8749</v>
      </c>
      <c r="D46">
        <f>IF(VIPcric_1!D48="","",VIPcric_1!D48)</f>
        <v>1101472</v>
      </c>
      <c r="E46">
        <f>IF(VIPcric_1!E48="","",VIPcric_1!E48)</f>
        <v>9333</v>
      </c>
      <c r="F46">
        <f>IF(VIPcric_1!F48="","",VIPcric_1!F48)</f>
        <v>7889</v>
      </c>
      <c r="G46">
        <f>IF(VIPcric_1!G48="","",VIPcric_1!G48)</f>
        <v>8689254980</v>
      </c>
      <c r="H46">
        <f>IF(VIPcric_1!H48="","",VIPcric_1!H48)</f>
        <v>0.94</v>
      </c>
      <c r="I46" t="str">
        <f>IF(VIPcric_1!M48="","",VIPcric_1!M48)</f>
        <v>CRIC-上饶-市场监测.商品房市场.项目累计.供求.xlsx</v>
      </c>
    </row>
    <row r="47" spans="1:9">
      <c r="A47" t="str">
        <f>IF(VIPcric_1!A49="","",VIPcric_1!A49)</f>
        <v>2021年</v>
      </c>
      <c r="B47">
        <f>IF(VIPcric_1!B49="","",VIPcric_1!B49)</f>
        <v>1652918</v>
      </c>
      <c r="C47">
        <f>IF(VIPcric_1!C49="","",VIPcric_1!C49)</f>
        <v>14172</v>
      </c>
      <c r="D47">
        <f>IF(VIPcric_1!D49="","",VIPcric_1!D49)</f>
        <v>1246814</v>
      </c>
      <c r="E47">
        <f>IF(VIPcric_1!E49="","",VIPcric_1!E49)</f>
        <v>10699</v>
      </c>
      <c r="F47">
        <f>IF(VIPcric_1!F49="","",VIPcric_1!F49)</f>
        <v>8021</v>
      </c>
      <c r="G47">
        <f>IF(VIPcric_1!G49="","",VIPcric_1!G49)</f>
        <v>10000357453</v>
      </c>
      <c r="H47">
        <f>IF(VIPcric_1!H49="","",VIPcric_1!H49)</f>
        <v>1.33</v>
      </c>
      <c r="I47" t="str">
        <f>IF(VIPcric_1!M49="","",VIPcric_1!M49)</f>
        <v>CRIC-上饶-市场监测.商品房市场.项目累计.供求.xlsx</v>
      </c>
    </row>
    <row r="48" spans="1:9">
      <c r="A48" t="str">
        <f>IF(VIPcric_1!A50="","",VIPcric_1!A50)</f>
        <v>2020年</v>
      </c>
      <c r="B48">
        <f>IF(VIPcric_1!B50="","",VIPcric_1!B50)</f>
        <v>1455595</v>
      </c>
      <c r="C48">
        <f>IF(VIPcric_1!C50="","",VIPcric_1!C50)</f>
        <v>12333</v>
      </c>
      <c r="D48">
        <f>IF(VIPcric_1!D50="","",VIPcric_1!D50)</f>
        <v>1803798</v>
      </c>
      <c r="E48">
        <f>IF(VIPcric_1!E50="","",VIPcric_1!E50)</f>
        <v>15208</v>
      </c>
      <c r="F48">
        <f>IF(VIPcric_1!F50="","",VIPcric_1!F50)</f>
        <v>7493</v>
      </c>
      <c r="G48">
        <f>IF(VIPcric_1!G50="","",VIPcric_1!G50)</f>
        <v>13515346923</v>
      </c>
      <c r="H48">
        <f>IF(VIPcric_1!H50="","",VIPcric_1!H50)</f>
        <v>0.81</v>
      </c>
      <c r="I48" t="str">
        <f>IF(VIPcric_1!M50="","",VIPcric_1!M50)</f>
        <v>CRIC-上饶-市场监测.商品房市场.项目累计.供求.xlsx</v>
      </c>
    </row>
    <row r="49" spans="1:9">
      <c r="A49" t="str">
        <f>IF(VIPcric_1!A51="","",VIPcric_1!A51)</f>
        <v>2019年</v>
      </c>
      <c r="B49">
        <f>IF(VIPcric_1!B51="","",VIPcric_1!B51)</f>
        <v>1020431</v>
      </c>
      <c r="C49">
        <f>IF(VIPcric_1!C51="","",VIPcric_1!C51)</f>
        <v>8630</v>
      </c>
      <c r="D49">
        <f>IF(VIPcric_1!D51="","",VIPcric_1!D51)</f>
        <v>1284700</v>
      </c>
      <c r="E49">
        <f>IF(VIPcric_1!E51="","",VIPcric_1!E51)</f>
        <v>10753</v>
      </c>
      <c r="F49">
        <f>IF(VIPcric_1!F51="","",VIPcric_1!F51)</f>
        <v>7601</v>
      </c>
      <c r="G49">
        <f>IF(VIPcric_1!G51="","",VIPcric_1!G51)</f>
        <v>9764760848</v>
      </c>
      <c r="H49">
        <f>IF(VIPcric_1!H51="","",VIPcric_1!H51)</f>
        <v>0.79</v>
      </c>
      <c r="I49" t="str">
        <f>IF(VIPcric_1!M51="","",VIPcric_1!M51)</f>
        <v>CRIC-上饶-市场监测.商品房市场.项目累计.供求.xlsx</v>
      </c>
    </row>
    <row r="50" spans="1:9">
      <c r="A50" t="str">
        <f>IF(VIPcric_1!A52="","",VIPcric_1!A52)</f>
        <v>汇总</v>
      </c>
      <c r="B50">
        <f>IF(VIPcric_1!B52="","",VIPcric_1!B52)</f>
        <v>6286429</v>
      </c>
      <c r="C50">
        <f>IF(VIPcric_1!C52="","",VIPcric_1!C52)</f>
        <v>52988</v>
      </c>
      <c r="D50">
        <f>IF(VIPcric_1!D52="","",VIPcric_1!D52)</f>
        <v>6440651</v>
      </c>
      <c r="E50">
        <f>IF(VIPcric_1!E52="","",VIPcric_1!E52)</f>
        <v>54432</v>
      </c>
      <c r="F50">
        <f>IF(VIPcric_1!F52="","",VIPcric_1!F52)</f>
        <v>7747</v>
      </c>
      <c r="G50">
        <f>IF(VIPcric_1!G52="","",VIPcric_1!G52)</f>
        <v>49893255612</v>
      </c>
      <c r="H50">
        <f>IF(VIPcric_1!H52="","",VIPcric_1!H52)</f>
        <v>0.98</v>
      </c>
      <c r="I50" t="str">
        <f>IF(VIPcric_1!M52="","",VIPcric_1!M52)</f>
        <v>CRIC-上饶-市场监测.商品房市场.项目累计.供求.xlsx</v>
      </c>
    </row>
    <row r="51" spans="1:9">
      <c r="A51" t="str">
        <f>IF(VIPcric_1!A53="","",VIPcric_1!A53)</f>
        <v/>
      </c>
      <c r="B51" t="str">
        <f>IF(VIPcric_1!B53="","",VIPcric_1!B53)</f>
        <v/>
      </c>
      <c r="C51" t="str">
        <f>IF(VIPcric_1!C53="","",VIPcric_1!C53)</f>
        <v/>
      </c>
      <c r="D51" t="str">
        <f>IF(VIPcric_1!D53="","",VIPcric_1!D53)</f>
        <v/>
      </c>
      <c r="E51" t="str">
        <f>IF(VIPcric_1!E53="","",VIPcric_1!E53)</f>
        <v/>
      </c>
      <c r="F51" t="str">
        <f>IF(VIPcric_1!F53="","",VIPcric_1!F53)</f>
        <v/>
      </c>
      <c r="G51" t="str">
        <f>IF(VIPcric_1!G53="","",VIPcric_1!G53)</f>
        <v/>
      </c>
      <c r="H51" t="str">
        <f>IF(VIPcric_1!H53="","",VIPcric_1!H53)</f>
        <v/>
      </c>
      <c r="I51" t="str">
        <f>IF(VIPcric_1!M53="","",VIPcric_1!M53)</f>
        <v/>
      </c>
    </row>
    <row r="52" spans="1:9">
      <c r="A52" t="str">
        <f>IF(VIPcric_1!A54="","",VIPcric_1!A54)</f>
        <v/>
      </c>
      <c r="B52" t="str">
        <f>IF(VIPcric_1!B54="","",VIPcric_1!B54)</f>
        <v/>
      </c>
      <c r="C52" t="str">
        <f>IF(VIPcric_1!C54="","",VIPcric_1!C54)</f>
        <v/>
      </c>
      <c r="D52" t="str">
        <f>IF(VIPcric_1!D54="","",VIPcric_1!D54)</f>
        <v/>
      </c>
      <c r="E52" t="str">
        <f>IF(VIPcric_1!E54="","",VIPcric_1!E54)</f>
        <v/>
      </c>
      <c r="F52" t="str">
        <f>IF(VIPcric_1!F54="","",VIPcric_1!F54)</f>
        <v/>
      </c>
      <c r="G52" t="str">
        <f>IF(VIPcric_1!G54="","",VIPcric_1!G54)</f>
        <v/>
      </c>
      <c r="H52" t="str">
        <f>IF(VIPcric_1!H54="","",VIPcric_1!H54)</f>
        <v/>
      </c>
      <c r="I52" t="str">
        <f>IF(VIPcric_1!M54="","",VIPcric_1!M54)</f>
        <v>CRIC-上饶-市场监测.商品房市场.项目累计.库存.xlsx</v>
      </c>
    </row>
    <row r="53" spans="1:9">
      <c r="A53" t="str">
        <f>IF(VIPcric_1!A55="","",VIPcric_1!A55)</f>
        <v>时间(年)</v>
      </c>
      <c r="B53" t="str">
        <f>IF(VIPcric_1!B55="","",VIPcric_1!B55)</f>
        <v>库存面积(㎡)</v>
      </c>
      <c r="C53" t="str">
        <f>IF(VIPcric_1!C55="","",VIPcric_1!C55)</f>
        <v>库存套数(套)</v>
      </c>
      <c r="D53" t="str">
        <f>IF(VIPcric_1!D55="","",VIPcric_1!D55)</f>
        <v>去化周期12'(月)</v>
      </c>
      <c r="E53" t="str">
        <f>IF(VIPcric_1!E55="","",VIPcric_1!E55)</f>
        <v/>
      </c>
      <c r="F53" t="str">
        <f>IF(VIPcric_1!F55="","",VIPcric_1!F55)</f>
        <v/>
      </c>
      <c r="G53" t="str">
        <f>IF(VIPcric_1!G55="","",VIPcric_1!G55)</f>
        <v/>
      </c>
      <c r="H53" t="str">
        <f>IF(VIPcric_1!H55="","",VIPcric_1!H55)</f>
        <v/>
      </c>
      <c r="I53" t="str">
        <f>IF(VIPcric_1!M55="","",VIPcric_1!M55)</f>
        <v>CRIC-上饶-市场监测.商品房市场.项目累计.库存.xlsx</v>
      </c>
    </row>
    <row r="54" spans="1:9">
      <c r="A54" t="str">
        <f>IF(VIPcric_1!A56="","",VIPcric_1!A56)</f>
        <v>2023年</v>
      </c>
      <c r="B54">
        <f>IF(VIPcric_1!B56="","",VIPcric_1!B56)</f>
        <v>961005</v>
      </c>
      <c r="C54">
        <f>IF(VIPcric_1!C56="","",VIPcric_1!C56)</f>
        <v>7641</v>
      </c>
      <c r="D54">
        <f>IF(VIPcric_1!D56="","",VIPcric_1!D56)</f>
        <v>11.5</v>
      </c>
      <c r="E54" t="str">
        <f>IF(VIPcric_1!E56="","",VIPcric_1!E56)</f>
        <v/>
      </c>
      <c r="F54" t="str">
        <f>IF(VIPcric_1!F56="","",VIPcric_1!F56)</f>
        <v/>
      </c>
      <c r="G54" t="str">
        <f>IF(VIPcric_1!G56="","",VIPcric_1!G56)</f>
        <v/>
      </c>
      <c r="H54" t="str">
        <f>IF(VIPcric_1!H56="","",VIPcric_1!H56)</f>
        <v/>
      </c>
      <c r="I54" t="str">
        <f>IF(VIPcric_1!M56="","",VIPcric_1!M56)</f>
        <v>CRIC-上饶-市场监测.商品房市场.项目累计.库存.xlsx</v>
      </c>
    </row>
    <row r="55" spans="1:9">
      <c r="A55" t="str">
        <f>IF(VIPcric_1!A57="","",VIPcric_1!A57)</f>
        <v>2022年</v>
      </c>
      <c r="B55">
        <f>IF(VIPcric_1!B57="","",VIPcric_1!B57)</f>
        <v>771389</v>
      </c>
      <c r="C55">
        <f>IF(VIPcric_1!C57="","",VIPcric_1!C57)</f>
        <v>6282</v>
      </c>
      <c r="D55">
        <f>IF(VIPcric_1!D57="","",VIPcric_1!D57)</f>
        <v>8.4</v>
      </c>
      <c r="E55" t="str">
        <f>IF(VIPcric_1!E57="","",VIPcric_1!E57)</f>
        <v/>
      </c>
      <c r="F55" t="str">
        <f>IF(VIPcric_1!F57="","",VIPcric_1!F57)</f>
        <v/>
      </c>
      <c r="G55" t="str">
        <f>IF(VIPcric_1!G57="","",VIPcric_1!G57)</f>
        <v/>
      </c>
      <c r="H55" t="str">
        <f>IF(VIPcric_1!H57="","",VIPcric_1!H57)</f>
        <v/>
      </c>
      <c r="I55" t="str">
        <f>IF(VIPcric_1!M57="","",VIPcric_1!M57)</f>
        <v>CRIC-上饶-市场监测.商品房市场.项目累计.库存.xlsx</v>
      </c>
    </row>
    <row r="56" spans="1:9">
      <c r="A56" t="str">
        <f>IF(VIPcric_1!A58="","",VIPcric_1!A58)</f>
        <v>2021年</v>
      </c>
      <c r="B56">
        <f>IF(VIPcric_1!B58="","",VIPcric_1!B58)</f>
        <v>982642</v>
      </c>
      <c r="C56">
        <f>IF(VIPcric_1!C58="","",VIPcric_1!C58)</f>
        <v>8181</v>
      </c>
      <c r="D56">
        <f>IF(VIPcric_1!D58="","",VIPcric_1!D58)</f>
        <v>9.5</v>
      </c>
      <c r="E56" t="str">
        <f>IF(VIPcric_1!E58="","",VIPcric_1!E58)</f>
        <v/>
      </c>
      <c r="F56" t="str">
        <f>IF(VIPcric_1!F58="","",VIPcric_1!F58)</f>
        <v/>
      </c>
      <c r="G56" t="str">
        <f>IF(VIPcric_1!G58="","",VIPcric_1!G58)</f>
        <v/>
      </c>
      <c r="H56" t="str">
        <f>IF(VIPcric_1!H58="","",VIPcric_1!H58)</f>
        <v/>
      </c>
      <c r="I56" t="str">
        <f>IF(VIPcric_1!M58="","",VIPcric_1!M58)</f>
        <v>CRIC-上饶-市场监测.商品房市场.项目累计.库存.xlsx</v>
      </c>
    </row>
    <row r="57" spans="1:9">
      <c r="A57" t="str">
        <f>IF(VIPcric_1!A59="","",VIPcric_1!A59)</f>
        <v>2020年</v>
      </c>
      <c r="B57">
        <f>IF(VIPcric_1!B59="","",VIPcric_1!B59)</f>
        <v>0</v>
      </c>
      <c r="C57">
        <f>IF(VIPcric_1!C59="","",VIPcric_1!C59)</f>
        <v>0</v>
      </c>
      <c r="D57">
        <f>IF(VIPcric_1!D59="","",VIPcric_1!D59)</f>
        <v>0</v>
      </c>
      <c r="E57" t="str">
        <f>IF(VIPcric_1!E59="","",VIPcric_1!E59)</f>
        <v/>
      </c>
      <c r="F57" t="str">
        <f>IF(VIPcric_1!F59="","",VIPcric_1!F59)</f>
        <v/>
      </c>
      <c r="G57" t="str">
        <f>IF(VIPcric_1!G59="","",VIPcric_1!G59)</f>
        <v/>
      </c>
      <c r="H57" t="str">
        <f>IF(VIPcric_1!H59="","",VIPcric_1!H59)</f>
        <v/>
      </c>
      <c r="I57" t="str">
        <f>IF(VIPcric_1!M59="","",VIPcric_1!M59)</f>
        <v>CRIC-上饶-市场监测.商品房市场.项目累计.库存.xlsx</v>
      </c>
    </row>
    <row r="58" spans="1:9">
      <c r="A58" t="str">
        <f>IF(VIPcric_1!A60="","",VIPcric_1!A60)</f>
        <v>2019年</v>
      </c>
      <c r="B58">
        <f>IF(VIPcric_1!B60="","",VIPcric_1!B60)</f>
        <v>740444</v>
      </c>
      <c r="C58">
        <f>IF(VIPcric_1!C60="","",VIPcric_1!C60)</f>
        <v>5989</v>
      </c>
      <c r="D58">
        <f>IF(VIPcric_1!D60="","",VIPcric_1!D60)</f>
        <v>6.9</v>
      </c>
      <c r="E58" t="str">
        <f>IF(VIPcric_1!E60="","",VIPcric_1!E60)</f>
        <v/>
      </c>
      <c r="F58" t="str">
        <f>IF(VIPcric_1!F60="","",VIPcric_1!F60)</f>
        <v/>
      </c>
      <c r="G58" t="str">
        <f>IF(VIPcric_1!G60="","",VIPcric_1!G60)</f>
        <v/>
      </c>
      <c r="H58" t="str">
        <f>IF(VIPcric_1!H60="","",VIPcric_1!H60)</f>
        <v/>
      </c>
      <c r="I58" t="str">
        <f>IF(VIPcric_1!M60="","",VIPcric_1!M60)</f>
        <v>CRIC-上饶-市场监测.商品房市场.项目累计.库存.xlsx</v>
      </c>
    </row>
    <row r="59" spans="1:9">
      <c r="A59" t="str">
        <f>IF(VIPcric_1!A61="","",VIPcric_1!A61)</f>
        <v/>
      </c>
      <c r="B59" t="str">
        <f>IF(VIPcric_1!B61="","",VIPcric_1!B61)</f>
        <v/>
      </c>
      <c r="C59" t="str">
        <f>IF(VIPcric_1!C61="","",VIPcric_1!C61)</f>
        <v/>
      </c>
      <c r="D59" t="str">
        <f>IF(VIPcric_1!D61="","",VIPcric_1!D61)</f>
        <v/>
      </c>
      <c r="E59" t="str">
        <f>IF(VIPcric_1!E61="","",VIPcric_1!E61)</f>
        <v/>
      </c>
      <c r="F59" t="str">
        <f>IF(VIPcric_1!F61="","",VIPcric_1!F61)</f>
        <v/>
      </c>
      <c r="G59" t="str">
        <f>IF(VIPcric_1!G61="","",VIPcric_1!G61)</f>
        <v/>
      </c>
      <c r="H59" t="str">
        <f>IF(VIPcric_1!H61="","",VIPcric_1!H61)</f>
        <v/>
      </c>
      <c r="I59" t="str">
        <f>IF(VIPcric_1!M61="","",VIPcric_1!M61)</f>
        <v/>
      </c>
    </row>
    <row r="60" spans="1:9">
      <c r="A60" t="str">
        <f>IF(VIPcric_1!A62="","",VIPcric_1!A62)</f>
        <v/>
      </c>
      <c r="B60" t="str">
        <f>IF(VIPcric_1!B62="","",VIPcric_1!B62)</f>
        <v/>
      </c>
      <c r="C60" t="str">
        <f>IF(VIPcric_1!C62="","",VIPcric_1!C62)</f>
        <v/>
      </c>
      <c r="D60" t="str">
        <f>IF(VIPcric_1!D62="","",VIPcric_1!D62)</f>
        <v/>
      </c>
      <c r="E60" t="str">
        <f>IF(VIPcric_1!E62="","",VIPcric_1!E62)</f>
        <v/>
      </c>
      <c r="F60" t="str">
        <f>IF(VIPcric_1!F62="","",VIPcric_1!F62)</f>
        <v/>
      </c>
      <c r="G60" t="str">
        <f>IF(VIPcric_1!G62="","",VIPcric_1!G62)</f>
        <v/>
      </c>
      <c r="H60" t="str">
        <f>IF(VIPcric_1!H62="","",VIPcric_1!H62)</f>
        <v/>
      </c>
      <c r="I60" t="str">
        <f>IF(VIPcric_1!M62="","",VIPcric_1!M62)</f>
        <v>CRIC-东方-市场监测.商品房市场.项目累计.供求.xlsx</v>
      </c>
    </row>
    <row r="61" spans="1:9">
      <c r="A61" t="str">
        <f>IF(VIPcric_1!A63="","",VIPcric_1!A63)</f>
        <v>时间(年)</v>
      </c>
      <c r="B61" t="str">
        <f>IF(VIPcric_1!B63="","",VIPcric_1!B63)</f>
        <v>供应面积(㎡)</v>
      </c>
      <c r="C61" t="str">
        <f>IF(VIPcric_1!C63="","",VIPcric_1!C63)</f>
        <v>供应套数(套)</v>
      </c>
      <c r="D61" t="str">
        <f>IF(VIPcric_1!D63="","",VIPcric_1!D63)</f>
        <v>成交面积(㎡)</v>
      </c>
      <c r="E61" t="str">
        <f>IF(VIPcric_1!E63="","",VIPcric_1!E63)</f>
        <v>成交套数(套)</v>
      </c>
      <c r="F61" t="str">
        <f>IF(VIPcric_1!F63="","",VIPcric_1!F63)</f>
        <v>成交均价(元/㎡)</v>
      </c>
      <c r="G61" t="str">
        <f>IF(VIPcric_1!G63="","",VIPcric_1!G63)</f>
        <v>成交金额(元)</v>
      </c>
      <c r="H61" t="str">
        <f>IF(VIPcric_1!H63="","",VIPcric_1!H63)</f>
        <v>供求比</v>
      </c>
      <c r="I61" t="str">
        <f>IF(VIPcric_1!M63="","",VIPcric_1!M63)</f>
        <v>CRIC-东方-市场监测.商品房市场.项目累计.供求.xlsx</v>
      </c>
    </row>
    <row r="62" spans="1:9">
      <c r="A62" t="str">
        <f>IF(VIPcric_1!A64="","",VIPcric_1!A64)</f>
        <v>2024年</v>
      </c>
      <c r="B62">
        <f>IF(VIPcric_1!B64="","",VIPcric_1!B64)</f>
        <v>0</v>
      </c>
      <c r="C62">
        <f>IF(VIPcric_1!C64="","",VIPcric_1!C64)</f>
        <v>0</v>
      </c>
      <c r="D62">
        <f>IF(VIPcric_1!D64="","",VIPcric_1!D64)</f>
        <v>44837</v>
      </c>
      <c r="E62">
        <f>IF(VIPcric_1!E64="","",VIPcric_1!E64)</f>
        <v>528</v>
      </c>
      <c r="F62">
        <f>IF(VIPcric_1!F64="","",VIPcric_1!F64)</f>
        <v>8110</v>
      </c>
      <c r="G62">
        <f>IF(VIPcric_1!G64="","",VIPcric_1!G64)</f>
        <v>363634868</v>
      </c>
      <c r="H62">
        <f>IF(VIPcric_1!H64="","",VIPcric_1!H64)</f>
        <v>0</v>
      </c>
      <c r="I62" t="str">
        <f>IF(VIPcric_1!M64="","",VIPcric_1!M64)</f>
        <v>CRIC-东方-市场监测.商品房市场.项目累计.供求.xlsx</v>
      </c>
    </row>
    <row r="63" spans="1:9">
      <c r="A63" t="str">
        <f>IF(VIPcric_1!A65="","",VIPcric_1!A65)</f>
        <v>2023年</v>
      </c>
      <c r="B63">
        <f>IF(VIPcric_1!B65="","",VIPcric_1!B65)</f>
        <v>0</v>
      </c>
      <c r="C63">
        <f>IF(VIPcric_1!C65="","",VIPcric_1!C65)</f>
        <v>0</v>
      </c>
      <c r="D63">
        <f>IF(VIPcric_1!D65="","",VIPcric_1!D65)</f>
        <v>92267</v>
      </c>
      <c r="E63">
        <f>IF(VIPcric_1!E65="","",VIPcric_1!E65)</f>
        <v>1221</v>
      </c>
      <c r="F63">
        <f>IF(VIPcric_1!F65="","",VIPcric_1!F65)</f>
        <v>12405</v>
      </c>
      <c r="G63">
        <f>IF(VIPcric_1!G65="","",VIPcric_1!G65)</f>
        <v>1144608667</v>
      </c>
      <c r="H63">
        <f>IF(VIPcric_1!H65="","",VIPcric_1!H65)</f>
        <v>0</v>
      </c>
      <c r="I63" t="str">
        <f>IF(VIPcric_1!M65="","",VIPcric_1!M65)</f>
        <v>CRIC-东方-市场监测.商品房市场.项目累计.供求.xlsx</v>
      </c>
    </row>
    <row r="64" spans="1:9">
      <c r="A64" t="str">
        <f>IF(VIPcric_1!A66="","",VIPcric_1!A66)</f>
        <v>2022年</v>
      </c>
      <c r="B64">
        <f>IF(VIPcric_1!B66="","",VIPcric_1!B66)</f>
        <v>0</v>
      </c>
      <c r="C64">
        <f>IF(VIPcric_1!C66="","",VIPcric_1!C66)</f>
        <v>0</v>
      </c>
      <c r="D64">
        <f>IF(VIPcric_1!D66="","",VIPcric_1!D66)</f>
        <v>51268</v>
      </c>
      <c r="E64">
        <f>IF(VIPcric_1!E66="","",VIPcric_1!E66)</f>
        <v>614</v>
      </c>
      <c r="F64">
        <f>IF(VIPcric_1!F66="","",VIPcric_1!F66)</f>
        <v>12560</v>
      </c>
      <c r="G64">
        <f>IF(VIPcric_1!G66="","",VIPcric_1!G66)</f>
        <v>643910056</v>
      </c>
      <c r="H64">
        <f>IF(VIPcric_1!H66="","",VIPcric_1!H66)</f>
        <v>0</v>
      </c>
      <c r="I64" t="str">
        <f>IF(VIPcric_1!M66="","",VIPcric_1!M66)</f>
        <v>CRIC-东方-市场监测.商品房市场.项目累计.供求.xlsx</v>
      </c>
    </row>
    <row r="65" spans="1:9">
      <c r="A65" t="str">
        <f>IF(VIPcric_1!A67="","",VIPcric_1!A67)</f>
        <v>2021年</v>
      </c>
      <c r="B65">
        <f>IF(VIPcric_1!B67="","",VIPcric_1!B67)</f>
        <v>0</v>
      </c>
      <c r="C65">
        <f>IF(VIPcric_1!C67="","",VIPcric_1!C67)</f>
        <v>0</v>
      </c>
      <c r="D65">
        <f>IF(VIPcric_1!D67="","",VIPcric_1!D67)</f>
        <v>5776</v>
      </c>
      <c r="E65">
        <f>IF(VIPcric_1!E67="","",VIPcric_1!E67)</f>
        <v>67</v>
      </c>
      <c r="F65">
        <f>IF(VIPcric_1!F67="","",VIPcric_1!F67)</f>
        <v>12971</v>
      </c>
      <c r="G65">
        <f>IF(VIPcric_1!G67="","",VIPcric_1!G67)</f>
        <v>74921563</v>
      </c>
      <c r="H65">
        <f>IF(VIPcric_1!H67="","",VIPcric_1!H67)</f>
        <v>0</v>
      </c>
      <c r="I65" t="str">
        <f>IF(VIPcric_1!M67="","",VIPcric_1!M67)</f>
        <v>CRIC-东方-市场监测.商品房市场.项目累计.供求.xlsx</v>
      </c>
    </row>
    <row r="66" spans="1:9">
      <c r="A66" t="str">
        <f>IF(VIPcric_1!A68="","",VIPcric_1!A68)</f>
        <v>汇总</v>
      </c>
      <c r="B66">
        <f>IF(VIPcric_1!B68="","",VIPcric_1!B68)</f>
        <v>0</v>
      </c>
      <c r="C66">
        <f>IF(VIPcric_1!C68="","",VIPcric_1!C68)</f>
        <v>0</v>
      </c>
      <c r="D66">
        <f>IF(VIPcric_1!D68="","",VIPcric_1!D68)</f>
        <v>194147</v>
      </c>
      <c r="E66">
        <f>IF(VIPcric_1!E68="","",VIPcric_1!E68)</f>
        <v>2430</v>
      </c>
      <c r="F66">
        <f>IF(VIPcric_1!F68="","",VIPcric_1!F68)</f>
        <v>11471</v>
      </c>
      <c r="G66">
        <f>IF(VIPcric_1!G68="","",VIPcric_1!G68)</f>
        <v>2227075154</v>
      </c>
      <c r="H66">
        <f>IF(VIPcric_1!H68="","",VIPcric_1!H68)</f>
        <v>0</v>
      </c>
      <c r="I66" t="str">
        <f>IF(VIPcric_1!M68="","",VIPcric_1!M68)</f>
        <v>CRIC-东方-市场监测.商品房市场.项目累计.供求.xlsx</v>
      </c>
    </row>
    <row r="67" spans="1:9">
      <c r="A67" t="str">
        <f>IF(VIPcric_1!A69="","",VIPcric_1!A69)</f>
        <v/>
      </c>
      <c r="B67" t="str">
        <f>IF(VIPcric_1!B69="","",VIPcric_1!B69)</f>
        <v/>
      </c>
      <c r="C67" t="str">
        <f>IF(VIPcric_1!C69="","",VIPcric_1!C69)</f>
        <v/>
      </c>
      <c r="D67" t="str">
        <f>IF(VIPcric_1!D69="","",VIPcric_1!D69)</f>
        <v/>
      </c>
      <c r="E67" t="str">
        <f>IF(VIPcric_1!E69="","",VIPcric_1!E69)</f>
        <v/>
      </c>
      <c r="F67" t="str">
        <f>IF(VIPcric_1!F69="","",VIPcric_1!F69)</f>
        <v/>
      </c>
      <c r="G67" t="str">
        <f>IF(VIPcric_1!G69="","",VIPcric_1!G69)</f>
        <v/>
      </c>
      <c r="H67" t="str">
        <f>IF(VIPcric_1!H69="","",VIPcric_1!H69)</f>
        <v/>
      </c>
      <c r="I67" t="str">
        <f>IF(VIPcric_1!M69="","",VIPcric_1!M69)</f>
        <v/>
      </c>
    </row>
    <row r="68" spans="1:9">
      <c r="A68" t="str">
        <f>IF(VIPcric_1!A70="","",VIPcric_1!A70)</f>
        <v/>
      </c>
      <c r="B68" t="str">
        <f>IF(VIPcric_1!B70="","",VIPcric_1!B70)</f>
        <v/>
      </c>
      <c r="C68" t="str">
        <f>IF(VIPcric_1!C70="","",VIPcric_1!C70)</f>
        <v/>
      </c>
      <c r="D68" t="str">
        <f>IF(VIPcric_1!D70="","",VIPcric_1!D70)</f>
        <v/>
      </c>
      <c r="E68" t="str">
        <f>IF(VIPcric_1!E70="","",VIPcric_1!E70)</f>
        <v/>
      </c>
      <c r="F68" t="str">
        <f>IF(VIPcric_1!F70="","",VIPcric_1!F70)</f>
        <v/>
      </c>
      <c r="G68" t="str">
        <f>IF(VIPcric_1!G70="","",VIPcric_1!G70)</f>
        <v/>
      </c>
      <c r="H68" t="str">
        <f>IF(VIPcric_1!H70="","",VIPcric_1!H70)</f>
        <v/>
      </c>
      <c r="I68" t="str">
        <f>IF(VIPcric_1!M70="","",VIPcric_1!M70)</f>
        <v>CRIC-东方-市场监测.商品房市场.项目累计.库存.xlsx</v>
      </c>
    </row>
    <row r="69" spans="1:9">
      <c r="A69" t="str">
        <f>IF(VIPcric_1!A71="","",VIPcric_1!A71)</f>
        <v>时间(年)</v>
      </c>
      <c r="B69" t="str">
        <f>IF(VIPcric_1!B71="","",VIPcric_1!B71)</f>
        <v>库存面积(㎡)</v>
      </c>
      <c r="C69" t="str">
        <f>IF(VIPcric_1!C71="","",VIPcric_1!C71)</f>
        <v>库存套数(套)</v>
      </c>
      <c r="D69" t="str">
        <f>IF(VIPcric_1!D71="","",VIPcric_1!D71)</f>
        <v>去化周期12'(月)</v>
      </c>
      <c r="E69" t="str">
        <f>IF(VIPcric_1!E71="","",VIPcric_1!E71)</f>
        <v/>
      </c>
      <c r="F69" t="str">
        <f>IF(VIPcric_1!F71="","",VIPcric_1!F71)</f>
        <v/>
      </c>
      <c r="G69" t="str">
        <f>IF(VIPcric_1!G71="","",VIPcric_1!G71)</f>
        <v/>
      </c>
      <c r="H69" t="str">
        <f>IF(VIPcric_1!H71="","",VIPcric_1!H71)</f>
        <v/>
      </c>
      <c r="I69" t="str">
        <f>IF(VIPcric_1!M71="","",VIPcric_1!M71)</f>
        <v>CRIC-东方-市场监测.商品房市场.项目累计.库存.xlsx</v>
      </c>
    </row>
    <row r="70" spans="1:9">
      <c r="A70" t="str">
        <f>IF(VIPcric_1!A72="","",VIPcric_1!A72)</f>
        <v>2024年</v>
      </c>
      <c r="B70">
        <f>IF(VIPcric_1!B72="","",VIPcric_1!B72)</f>
        <v>585255</v>
      </c>
      <c r="C70">
        <f>IF(VIPcric_1!C72="","",VIPcric_1!C72)</f>
        <v>7723</v>
      </c>
      <c r="D70">
        <f>IF(VIPcric_1!D72="","",VIPcric_1!D72)</f>
        <v>54.1</v>
      </c>
      <c r="E70" t="str">
        <f>IF(VIPcric_1!E72="","",VIPcric_1!E72)</f>
        <v/>
      </c>
      <c r="F70" t="str">
        <f>IF(VIPcric_1!F72="","",VIPcric_1!F72)</f>
        <v/>
      </c>
      <c r="G70" t="str">
        <f>IF(VIPcric_1!G72="","",VIPcric_1!G72)</f>
        <v/>
      </c>
      <c r="H70" t="str">
        <f>IF(VIPcric_1!H72="","",VIPcric_1!H72)</f>
        <v/>
      </c>
      <c r="I70" t="str">
        <f>IF(VIPcric_1!M72="","",VIPcric_1!M72)</f>
        <v>CRIC-东方-市场监测.商品房市场.项目累计.库存.xlsx</v>
      </c>
    </row>
    <row r="71" spans="1:9">
      <c r="A71" t="str">
        <f>IF(VIPcric_1!A73="","",VIPcric_1!A73)</f>
        <v>2023年</v>
      </c>
      <c r="B71">
        <f>IF(VIPcric_1!B73="","",VIPcric_1!B73)</f>
        <v>474751</v>
      </c>
      <c r="C71">
        <f>IF(VIPcric_1!C73="","",VIPcric_1!C73)</f>
        <v>6677</v>
      </c>
      <c r="D71">
        <f>IF(VIPcric_1!D73="","",VIPcric_1!D73)</f>
        <v>61.7</v>
      </c>
      <c r="E71" t="str">
        <f>IF(VIPcric_1!E73="","",VIPcric_1!E73)</f>
        <v/>
      </c>
      <c r="F71" t="str">
        <f>IF(VIPcric_1!F73="","",VIPcric_1!F73)</f>
        <v/>
      </c>
      <c r="G71" t="str">
        <f>IF(VIPcric_1!G73="","",VIPcric_1!G73)</f>
        <v/>
      </c>
      <c r="H71" t="str">
        <f>IF(VIPcric_1!H73="","",VIPcric_1!H73)</f>
        <v/>
      </c>
      <c r="I71" t="str">
        <f>IF(VIPcric_1!M73="","",VIPcric_1!M73)</f>
        <v>CRIC-东方-市场监测.商品房市场.项目累计.库存.xlsx</v>
      </c>
    </row>
    <row r="72" spans="1:9">
      <c r="A72" t="str">
        <f>IF(VIPcric_1!A74="","",VIPcric_1!A74)</f>
        <v>2022年</v>
      </c>
      <c r="B72">
        <f>IF(VIPcric_1!B74="","",VIPcric_1!B74)</f>
        <v>296143</v>
      </c>
      <c r="C72">
        <f>IF(VIPcric_1!C74="","",VIPcric_1!C74)</f>
        <v>4638</v>
      </c>
      <c r="D72">
        <f>IF(VIPcric_1!D74="","",VIPcric_1!D74)</f>
        <v>69.3</v>
      </c>
      <c r="E72" t="str">
        <f>IF(VIPcric_1!E74="","",VIPcric_1!E74)</f>
        <v/>
      </c>
      <c r="F72" t="str">
        <f>IF(VIPcric_1!F74="","",VIPcric_1!F74)</f>
        <v/>
      </c>
      <c r="G72" t="str">
        <f>IF(VIPcric_1!G74="","",VIPcric_1!G74)</f>
        <v/>
      </c>
      <c r="H72" t="str">
        <f>IF(VIPcric_1!H74="","",VIPcric_1!H74)</f>
        <v/>
      </c>
      <c r="I72" t="str">
        <f>IF(VIPcric_1!M74="","",VIPcric_1!M74)</f>
        <v>CRIC-东方-市场监测.商品房市场.项目累计.库存.xlsx</v>
      </c>
    </row>
    <row r="73" spans="1:9">
      <c r="A73" t="str">
        <f>IF(VIPcric_1!A75="","",VIPcric_1!A75)</f>
        <v>2021年</v>
      </c>
      <c r="B73">
        <f>IF(VIPcric_1!B75="","",VIPcric_1!B75)</f>
        <v>318351</v>
      </c>
      <c r="C73">
        <f>IF(VIPcric_1!C75="","",VIPcric_1!C75)</f>
        <v>4925</v>
      </c>
      <c r="D73">
        <f>IF(VIPcric_1!D75="","",VIPcric_1!D75)</f>
        <v>661.4</v>
      </c>
      <c r="E73" t="str">
        <f>IF(VIPcric_1!E75="","",VIPcric_1!E75)</f>
        <v/>
      </c>
      <c r="F73" t="str">
        <f>IF(VIPcric_1!F75="","",VIPcric_1!F75)</f>
        <v/>
      </c>
      <c r="G73" t="str">
        <f>IF(VIPcric_1!G75="","",VIPcric_1!G75)</f>
        <v/>
      </c>
      <c r="H73" t="str">
        <f>IF(VIPcric_1!H75="","",VIPcric_1!H75)</f>
        <v/>
      </c>
      <c r="I73" t="str">
        <f>IF(VIPcric_1!M75="","",VIPcric_1!M75)</f>
        <v>CRIC-东方-市场监测.商品房市场.项目累计.库存.xlsx</v>
      </c>
    </row>
    <row r="74" spans="1:9">
      <c r="A74" t="str">
        <f>IF(VIPcric_1!A76="","",VIPcric_1!A76)</f>
        <v/>
      </c>
      <c r="B74" t="str">
        <f>IF(VIPcric_1!B76="","",VIPcric_1!B76)</f>
        <v/>
      </c>
      <c r="C74" t="str">
        <f>IF(VIPcric_1!C76="","",VIPcric_1!C76)</f>
        <v/>
      </c>
      <c r="D74" t="str">
        <f>IF(VIPcric_1!D76="","",VIPcric_1!D76)</f>
        <v/>
      </c>
      <c r="E74" t="str">
        <f>IF(VIPcric_1!E76="","",VIPcric_1!E76)</f>
        <v/>
      </c>
      <c r="F74" t="str">
        <f>IF(VIPcric_1!F76="","",VIPcric_1!F76)</f>
        <v/>
      </c>
      <c r="G74" t="str">
        <f>IF(VIPcric_1!G76="","",VIPcric_1!G76)</f>
        <v/>
      </c>
      <c r="H74" t="str">
        <f>IF(VIPcric_1!H76="","",VIPcric_1!H76)</f>
        <v/>
      </c>
      <c r="I74" t="str">
        <f>IF(VIPcric_1!M76="","",VIPcric_1!M76)</f>
        <v/>
      </c>
    </row>
    <row r="75" spans="1:9">
      <c r="A75" t="str">
        <f>IF(VIPcric_1!A77="","",VIPcric_1!A77)</f>
        <v/>
      </c>
      <c r="B75" t="str">
        <f>IF(VIPcric_1!B77="","",VIPcric_1!B77)</f>
        <v/>
      </c>
      <c r="C75" t="str">
        <f>IF(VIPcric_1!C77="","",VIPcric_1!C77)</f>
        <v/>
      </c>
      <c r="D75" t="str">
        <f>IF(VIPcric_1!D77="","",VIPcric_1!D77)</f>
        <v/>
      </c>
      <c r="E75" t="str">
        <f>IF(VIPcric_1!E77="","",VIPcric_1!E77)</f>
        <v/>
      </c>
      <c r="F75" t="str">
        <f>IF(VIPcric_1!F77="","",VIPcric_1!F77)</f>
        <v/>
      </c>
      <c r="G75" t="str">
        <f>IF(VIPcric_1!G77="","",VIPcric_1!G77)</f>
        <v/>
      </c>
      <c r="H75" t="str">
        <f>IF(VIPcric_1!H77="","",VIPcric_1!H77)</f>
        <v/>
      </c>
      <c r="I75" t="str">
        <f>IF(VIPcric_1!M77="","",VIPcric_1!M77)</f>
        <v>CRIC-东莞-市场监测.商品房市场.项目累计.供求.xlsx</v>
      </c>
    </row>
    <row r="76" spans="1:9">
      <c r="A76" t="str">
        <f>IF(VIPcric_1!A78="","",VIPcric_1!A78)</f>
        <v>时间(年)</v>
      </c>
      <c r="B76" t="str">
        <f>IF(VIPcric_1!B78="","",VIPcric_1!B78)</f>
        <v>供应面积(㎡)</v>
      </c>
      <c r="C76" t="str">
        <f>IF(VIPcric_1!C78="","",VIPcric_1!C78)</f>
        <v>供应套数(套)</v>
      </c>
      <c r="D76" t="str">
        <f>IF(VIPcric_1!D78="","",VIPcric_1!D78)</f>
        <v>成交面积(㎡)</v>
      </c>
      <c r="E76" t="str">
        <f>IF(VIPcric_1!E78="","",VIPcric_1!E78)</f>
        <v>成交套数(套)</v>
      </c>
      <c r="F76" t="str">
        <f>IF(VIPcric_1!F78="","",VIPcric_1!F78)</f>
        <v>成交均价(元/㎡)</v>
      </c>
      <c r="G76" t="str">
        <f>IF(VIPcric_1!G78="","",VIPcric_1!G78)</f>
        <v>成交金额(元)</v>
      </c>
      <c r="H76" t="str">
        <f>IF(VIPcric_1!H78="","",VIPcric_1!H78)</f>
        <v>供求比</v>
      </c>
      <c r="I76" t="str">
        <f>IF(VIPcric_1!M78="","",VIPcric_1!M78)</f>
        <v>CRIC-东莞-市场监测.商品房市场.项目累计.供求.xlsx</v>
      </c>
    </row>
    <row r="77" spans="1:9">
      <c r="A77" t="str">
        <f>IF(VIPcric_1!A79="","",VIPcric_1!A79)</f>
        <v>2023年</v>
      </c>
      <c r="B77">
        <f>IF(VIPcric_1!B79="","",VIPcric_1!B79)</f>
        <v>2880697</v>
      </c>
      <c r="C77">
        <f>IF(VIPcric_1!C79="","",VIPcric_1!C79)</f>
        <v>23625</v>
      </c>
      <c r="D77">
        <f>IF(VIPcric_1!D79="","",VIPcric_1!D79)</f>
        <v>2272764</v>
      </c>
      <c r="E77">
        <f>IF(VIPcric_1!E79="","",VIPcric_1!E79)</f>
        <v>19003</v>
      </c>
      <c r="F77">
        <f>IF(VIPcric_1!F79="","",VIPcric_1!F79)</f>
        <v>36305</v>
      </c>
      <c r="G77">
        <f>IF(VIPcric_1!G79="","",VIPcric_1!G79)</f>
        <v>82512434318</v>
      </c>
      <c r="H77">
        <f>IF(VIPcric_1!H79="","",VIPcric_1!H79)</f>
        <v>1.27</v>
      </c>
      <c r="I77" t="str">
        <f>IF(VIPcric_1!M79="","",VIPcric_1!M79)</f>
        <v>CRIC-东莞-市场监测.商品房市场.项目累计.供求.xlsx</v>
      </c>
    </row>
    <row r="78" spans="1:9">
      <c r="A78" t="str">
        <f>IF(VIPcric_1!A80="","",VIPcric_1!A80)</f>
        <v>2022年</v>
      </c>
      <c r="B78">
        <f>IF(VIPcric_1!B80="","",VIPcric_1!B80)</f>
        <v>2958412</v>
      </c>
      <c r="C78">
        <f>IF(VIPcric_1!C80="","",VIPcric_1!C80)</f>
        <v>26904</v>
      </c>
      <c r="D78">
        <f>IF(VIPcric_1!D80="","",VIPcric_1!D80)</f>
        <v>2332563</v>
      </c>
      <c r="E78">
        <f>IF(VIPcric_1!E80="","",VIPcric_1!E80)</f>
        <v>20597</v>
      </c>
      <c r="F78">
        <f>IF(VIPcric_1!F80="","",VIPcric_1!F80)</f>
        <v>29692</v>
      </c>
      <c r="G78">
        <f>IF(VIPcric_1!G80="","",VIPcric_1!G80)</f>
        <v>69258212118</v>
      </c>
      <c r="H78">
        <f>IF(VIPcric_1!H80="","",VIPcric_1!H80)</f>
        <v>1.27</v>
      </c>
      <c r="I78" t="str">
        <f>IF(VIPcric_1!M80="","",VIPcric_1!M80)</f>
        <v>CRIC-东莞-市场监测.商品房市场.项目累计.供求.xlsx</v>
      </c>
    </row>
    <row r="79" spans="1:9">
      <c r="A79" t="str">
        <f>IF(VIPcric_1!A81="","",VIPcric_1!A81)</f>
        <v>2021年</v>
      </c>
      <c r="B79">
        <f>IF(VIPcric_1!B81="","",VIPcric_1!B81)</f>
        <v>5523397</v>
      </c>
      <c r="C79">
        <f>IF(VIPcric_1!C81="","",VIPcric_1!C81)</f>
        <v>50060</v>
      </c>
      <c r="D79">
        <f>IF(VIPcric_1!D81="","",VIPcric_1!D81)</f>
        <v>4268996</v>
      </c>
      <c r="E79">
        <f>IF(VIPcric_1!E81="","",VIPcric_1!E81)</f>
        <v>38848</v>
      </c>
      <c r="F79">
        <f>IF(VIPcric_1!F81="","",VIPcric_1!F81)</f>
        <v>28399</v>
      </c>
      <c r="G79">
        <f>IF(VIPcric_1!G81="","",VIPcric_1!G81)</f>
        <v>121235856663</v>
      </c>
      <c r="H79">
        <f>IF(VIPcric_1!H81="","",VIPcric_1!H81)</f>
        <v>1.29</v>
      </c>
      <c r="I79" t="str">
        <f>IF(VIPcric_1!M81="","",VIPcric_1!M81)</f>
        <v>CRIC-东莞-市场监测.商品房市场.项目累计.供求.xlsx</v>
      </c>
    </row>
    <row r="80" spans="1:9">
      <c r="A80" t="str">
        <f>IF(VIPcric_1!A82="","",VIPcric_1!A82)</f>
        <v>2020年</v>
      </c>
      <c r="B80">
        <f>IF(VIPcric_1!B82="","",VIPcric_1!B82)</f>
        <v>5385449</v>
      </c>
      <c r="C80">
        <f>IF(VIPcric_1!C82="","",VIPcric_1!C82)</f>
        <v>51096</v>
      </c>
      <c r="D80">
        <f>IF(VIPcric_1!D82="","",VIPcric_1!D82)</f>
        <v>6226989</v>
      </c>
      <c r="E80">
        <f>IF(VIPcric_1!E82="","",VIPcric_1!E82)</f>
        <v>58107</v>
      </c>
      <c r="F80">
        <f>IF(VIPcric_1!F82="","",VIPcric_1!F82)</f>
        <v>24187</v>
      </c>
      <c r="G80">
        <f>IF(VIPcric_1!G82="","",VIPcric_1!G82)</f>
        <v>150611708672</v>
      </c>
      <c r="H80">
        <f>IF(VIPcric_1!H82="","",VIPcric_1!H82)</f>
        <v>0.86</v>
      </c>
      <c r="I80" t="str">
        <f>IF(VIPcric_1!M82="","",VIPcric_1!M82)</f>
        <v>CRIC-东莞-市场监测.商品房市场.项目累计.供求.xlsx</v>
      </c>
    </row>
    <row r="81" spans="1:9">
      <c r="A81" t="str">
        <f>IF(VIPcric_1!A83="","",VIPcric_1!A83)</f>
        <v>2019年</v>
      </c>
      <c r="B81">
        <f>IF(VIPcric_1!B83="","",VIPcric_1!B83)</f>
        <v>3645459</v>
      </c>
      <c r="C81">
        <f>IF(VIPcric_1!C83="","",VIPcric_1!C83)</f>
        <v>33434</v>
      </c>
      <c r="D81">
        <f>IF(VIPcric_1!D83="","",VIPcric_1!D83)</f>
        <v>4686652</v>
      </c>
      <c r="E81">
        <f>IF(VIPcric_1!E83="","",VIPcric_1!E83)</f>
        <v>43841</v>
      </c>
      <c r="F81">
        <f>IF(VIPcric_1!F83="","",VIPcric_1!F83)</f>
        <v>20826</v>
      </c>
      <c r="G81">
        <f>IF(VIPcric_1!G83="","",VIPcric_1!G83)</f>
        <v>97603153232</v>
      </c>
      <c r="H81">
        <f>IF(VIPcric_1!H83="","",VIPcric_1!H83)</f>
        <v>0.78</v>
      </c>
      <c r="I81" t="str">
        <f>IF(VIPcric_1!M83="","",VIPcric_1!M83)</f>
        <v>CRIC-东莞-市场监测.商品房市场.项目累计.供求.xlsx</v>
      </c>
    </row>
    <row r="82" spans="1:9">
      <c r="A82" t="str">
        <f>IF(VIPcric_1!A84="","",VIPcric_1!A84)</f>
        <v>汇总</v>
      </c>
      <c r="B82">
        <f>IF(VIPcric_1!B84="","",VIPcric_1!B84)</f>
        <v>20393414</v>
      </c>
      <c r="C82">
        <f>IF(VIPcric_1!C84="","",VIPcric_1!C84)</f>
        <v>185119</v>
      </c>
      <c r="D82">
        <f>IF(VIPcric_1!D84="","",VIPcric_1!D84)</f>
        <v>19787963</v>
      </c>
      <c r="E82">
        <f>IF(VIPcric_1!E84="","",VIPcric_1!E84)</f>
        <v>180396</v>
      </c>
      <c r="F82">
        <f>IF(VIPcric_1!F84="","",VIPcric_1!F84)</f>
        <v>26340</v>
      </c>
      <c r="G82">
        <f>IF(VIPcric_1!G84="","",VIPcric_1!G84)</f>
        <v>521221365003</v>
      </c>
      <c r="H82">
        <f>IF(VIPcric_1!H84="","",VIPcric_1!H84)</f>
        <v>1.03</v>
      </c>
      <c r="I82" t="str">
        <f>IF(VIPcric_1!M84="","",VIPcric_1!M84)</f>
        <v>CRIC-东莞-市场监测.商品房市场.项目累计.供求.xlsx</v>
      </c>
    </row>
    <row r="83" spans="1:9">
      <c r="A83" t="str">
        <f>IF(VIPcric_1!A85="","",VIPcric_1!A85)</f>
        <v/>
      </c>
      <c r="B83" t="str">
        <f>IF(VIPcric_1!B85="","",VIPcric_1!B85)</f>
        <v/>
      </c>
      <c r="C83" t="str">
        <f>IF(VIPcric_1!C85="","",VIPcric_1!C85)</f>
        <v/>
      </c>
      <c r="D83" t="str">
        <f>IF(VIPcric_1!D85="","",VIPcric_1!D85)</f>
        <v/>
      </c>
      <c r="E83" t="str">
        <f>IF(VIPcric_1!E85="","",VIPcric_1!E85)</f>
        <v/>
      </c>
      <c r="F83" t="str">
        <f>IF(VIPcric_1!F85="","",VIPcric_1!F85)</f>
        <v/>
      </c>
      <c r="G83" t="str">
        <f>IF(VIPcric_1!G85="","",VIPcric_1!G85)</f>
        <v/>
      </c>
      <c r="H83" t="str">
        <f>IF(VIPcric_1!H85="","",VIPcric_1!H85)</f>
        <v/>
      </c>
      <c r="I83" t="str">
        <f>IF(VIPcric_1!M85="","",VIPcric_1!M85)</f>
        <v/>
      </c>
    </row>
    <row r="84" spans="1:9">
      <c r="A84" t="str">
        <f>IF(VIPcric_1!A86="","",VIPcric_1!A86)</f>
        <v/>
      </c>
      <c r="B84" t="str">
        <f>IF(VIPcric_1!B86="","",VIPcric_1!B86)</f>
        <v/>
      </c>
      <c r="C84" t="str">
        <f>IF(VIPcric_1!C86="","",VIPcric_1!C86)</f>
        <v/>
      </c>
      <c r="D84" t="str">
        <f>IF(VIPcric_1!D86="","",VIPcric_1!D86)</f>
        <v/>
      </c>
      <c r="E84" t="str">
        <f>IF(VIPcric_1!E86="","",VIPcric_1!E86)</f>
        <v/>
      </c>
      <c r="F84" t="str">
        <f>IF(VIPcric_1!F86="","",VIPcric_1!F86)</f>
        <v/>
      </c>
      <c r="G84" t="str">
        <f>IF(VIPcric_1!G86="","",VIPcric_1!G86)</f>
        <v/>
      </c>
      <c r="H84" t="str">
        <f>IF(VIPcric_1!H86="","",VIPcric_1!H86)</f>
        <v/>
      </c>
      <c r="I84" t="str">
        <f>IF(VIPcric_1!M86="","",VIPcric_1!M86)</f>
        <v>CRIC-东莞-市场监测.商品房市场.项目累计.库存.xlsx</v>
      </c>
    </row>
    <row r="85" spans="1:9">
      <c r="A85" t="str">
        <f>IF(VIPcric_1!A87="","",VIPcric_1!A87)</f>
        <v>时间(年)</v>
      </c>
      <c r="B85" t="str">
        <f>IF(VIPcric_1!B87="","",VIPcric_1!B87)</f>
        <v>库存面积(㎡)</v>
      </c>
      <c r="C85" t="str">
        <f>IF(VIPcric_1!C87="","",VIPcric_1!C87)</f>
        <v>库存套数(套)</v>
      </c>
      <c r="D85" t="str">
        <f>IF(VIPcric_1!D87="","",VIPcric_1!D87)</f>
        <v>去化周期12'(月)</v>
      </c>
      <c r="E85" t="str">
        <f>IF(VIPcric_1!E87="","",VIPcric_1!E87)</f>
        <v/>
      </c>
      <c r="F85" t="str">
        <f>IF(VIPcric_1!F87="","",VIPcric_1!F87)</f>
        <v/>
      </c>
      <c r="G85" t="str">
        <f>IF(VIPcric_1!G87="","",VIPcric_1!G87)</f>
        <v/>
      </c>
      <c r="H85" t="str">
        <f>IF(VIPcric_1!H87="","",VIPcric_1!H87)</f>
        <v/>
      </c>
      <c r="I85" t="str">
        <f>IF(VIPcric_1!M87="","",VIPcric_1!M87)</f>
        <v>CRIC-东莞-市场监测.商品房市场.项目累计.库存.xlsx</v>
      </c>
    </row>
    <row r="86" spans="1:9">
      <c r="A86" t="str">
        <f>IF(VIPcric_1!A88="","",VIPcric_1!A88)</f>
        <v>2023年</v>
      </c>
      <c r="B86">
        <f>IF(VIPcric_1!B88="","",VIPcric_1!B88)</f>
        <v>4845196</v>
      </c>
      <c r="C86">
        <f>IF(VIPcric_1!C88="","",VIPcric_1!C88)</f>
        <v>44151</v>
      </c>
      <c r="D86">
        <f>IF(VIPcric_1!D88="","",VIPcric_1!D88)</f>
        <v>25.6</v>
      </c>
      <c r="E86" t="str">
        <f>IF(VIPcric_1!E88="","",VIPcric_1!E88)</f>
        <v/>
      </c>
      <c r="F86" t="str">
        <f>IF(VIPcric_1!F88="","",VIPcric_1!F88)</f>
        <v/>
      </c>
      <c r="G86" t="str">
        <f>IF(VIPcric_1!G88="","",VIPcric_1!G88)</f>
        <v/>
      </c>
      <c r="H86" t="str">
        <f>IF(VIPcric_1!H88="","",VIPcric_1!H88)</f>
        <v/>
      </c>
      <c r="I86" t="str">
        <f>IF(VIPcric_1!M88="","",VIPcric_1!M88)</f>
        <v>CRIC-东莞-市场监测.商品房市场.项目累计.库存.xlsx</v>
      </c>
    </row>
    <row r="87" spans="1:9">
      <c r="A87" t="str">
        <f>IF(VIPcric_1!A89="","",VIPcric_1!A89)</f>
        <v>2022年</v>
      </c>
      <c r="B87">
        <f>IF(VIPcric_1!B89="","",VIPcric_1!B89)</f>
        <v>4231605</v>
      </c>
      <c r="C87">
        <f>IF(VIPcric_1!C89="","",VIPcric_1!C89)</f>
        <v>39341</v>
      </c>
      <c r="D87">
        <f>IF(VIPcric_1!D89="","",VIPcric_1!D89)</f>
        <v>21.8</v>
      </c>
      <c r="E87" t="str">
        <f>IF(VIPcric_1!E89="","",VIPcric_1!E89)</f>
        <v/>
      </c>
      <c r="F87" t="str">
        <f>IF(VIPcric_1!F89="","",VIPcric_1!F89)</f>
        <v/>
      </c>
      <c r="G87" t="str">
        <f>IF(VIPcric_1!G89="","",VIPcric_1!G89)</f>
        <v/>
      </c>
      <c r="H87" t="str">
        <f>IF(VIPcric_1!H89="","",VIPcric_1!H89)</f>
        <v/>
      </c>
      <c r="I87" t="str">
        <f>IF(VIPcric_1!M89="","",VIPcric_1!M89)</f>
        <v>CRIC-东莞-市场监测.商品房市场.项目累计.库存.xlsx</v>
      </c>
    </row>
    <row r="88" spans="1:9">
      <c r="A88" t="str">
        <f>IF(VIPcric_1!A90="","",VIPcric_1!A90)</f>
        <v>2021年</v>
      </c>
      <c r="B88">
        <f>IF(VIPcric_1!B90="","",VIPcric_1!B90)</f>
        <v>4001377</v>
      </c>
      <c r="C88">
        <f>IF(VIPcric_1!C90="","",VIPcric_1!C90)</f>
        <v>36797</v>
      </c>
      <c r="D88">
        <f>IF(VIPcric_1!D90="","",VIPcric_1!D90)</f>
        <v>11.2</v>
      </c>
      <c r="E88" t="str">
        <f>IF(VIPcric_1!E90="","",VIPcric_1!E90)</f>
        <v/>
      </c>
      <c r="F88" t="str">
        <f>IF(VIPcric_1!F90="","",VIPcric_1!F90)</f>
        <v/>
      </c>
      <c r="G88" t="str">
        <f>IF(VIPcric_1!G90="","",VIPcric_1!G90)</f>
        <v/>
      </c>
      <c r="H88" t="str">
        <f>IF(VIPcric_1!H90="","",VIPcric_1!H90)</f>
        <v/>
      </c>
      <c r="I88" t="str">
        <f>IF(VIPcric_1!M90="","",VIPcric_1!M90)</f>
        <v>CRIC-东莞-市场监测.商品房市场.项目累计.库存.xlsx</v>
      </c>
    </row>
    <row r="89" spans="1:9">
      <c r="A89" t="str">
        <f>IF(VIPcric_1!A91="","",VIPcric_1!A91)</f>
        <v>2020年</v>
      </c>
      <c r="B89">
        <f>IF(VIPcric_1!B91="","",VIPcric_1!B91)</f>
        <v>2927135</v>
      </c>
      <c r="C89">
        <f>IF(VIPcric_1!C91="","",VIPcric_1!C91)</f>
        <v>27034</v>
      </c>
      <c r="D89">
        <f>IF(VIPcric_1!D91="","",VIPcric_1!D91)</f>
        <v>5.6</v>
      </c>
      <c r="E89" t="str">
        <f>IF(VIPcric_1!E91="","",VIPcric_1!E91)</f>
        <v/>
      </c>
      <c r="F89" t="str">
        <f>IF(VIPcric_1!F91="","",VIPcric_1!F91)</f>
        <v/>
      </c>
      <c r="G89" t="str">
        <f>IF(VIPcric_1!G91="","",VIPcric_1!G91)</f>
        <v/>
      </c>
      <c r="H89" t="str">
        <f>IF(VIPcric_1!H91="","",VIPcric_1!H91)</f>
        <v/>
      </c>
      <c r="I89" t="str">
        <f>IF(VIPcric_1!M91="","",VIPcric_1!M91)</f>
        <v>CRIC-东莞-市场监测.商品房市场.项目累计.库存.xlsx</v>
      </c>
    </row>
    <row r="90" spans="1:9">
      <c r="A90" t="str">
        <f>IF(VIPcric_1!A92="","",VIPcric_1!A92)</f>
        <v>2019年</v>
      </c>
      <c r="B90">
        <f>IF(VIPcric_1!B92="","",VIPcric_1!B92)</f>
        <v>3451129</v>
      </c>
      <c r="C90">
        <f>IF(VIPcric_1!C92="","",VIPcric_1!C92)</f>
        <v>31032</v>
      </c>
      <c r="D90">
        <f>IF(VIPcric_1!D92="","",VIPcric_1!D92)</f>
        <v>8.8000000000000007</v>
      </c>
      <c r="E90" t="str">
        <f>IF(VIPcric_1!E92="","",VIPcric_1!E92)</f>
        <v/>
      </c>
      <c r="F90" t="str">
        <f>IF(VIPcric_1!F92="","",VIPcric_1!F92)</f>
        <v/>
      </c>
      <c r="G90" t="str">
        <f>IF(VIPcric_1!G92="","",VIPcric_1!G92)</f>
        <v/>
      </c>
      <c r="H90" t="str">
        <f>IF(VIPcric_1!H92="","",VIPcric_1!H92)</f>
        <v/>
      </c>
      <c r="I90" t="str">
        <f>IF(VIPcric_1!M92="","",VIPcric_1!M92)</f>
        <v>CRIC-东莞-市场监测.商品房市场.项目累计.库存.xlsx</v>
      </c>
    </row>
    <row r="91" spans="1:9">
      <c r="A91" t="str">
        <f>IF(VIPcric_1!A93="","",VIPcric_1!A93)</f>
        <v/>
      </c>
      <c r="B91" t="str">
        <f>IF(VIPcric_1!B93="","",VIPcric_1!B93)</f>
        <v/>
      </c>
      <c r="C91" t="str">
        <f>IF(VIPcric_1!C93="","",VIPcric_1!C93)</f>
        <v/>
      </c>
      <c r="D91" t="str">
        <f>IF(VIPcric_1!D93="","",VIPcric_1!D93)</f>
        <v/>
      </c>
      <c r="E91" t="str">
        <f>IF(VIPcric_1!E93="","",VIPcric_1!E93)</f>
        <v/>
      </c>
      <c r="F91" t="str">
        <f>IF(VIPcric_1!F93="","",VIPcric_1!F93)</f>
        <v/>
      </c>
      <c r="G91" t="str">
        <f>IF(VIPcric_1!G93="","",VIPcric_1!G93)</f>
        <v/>
      </c>
      <c r="H91" t="str">
        <f>IF(VIPcric_1!H93="","",VIPcric_1!H93)</f>
        <v/>
      </c>
      <c r="I91" t="str">
        <f>IF(VIPcric_1!M93="","",VIPcric_1!M93)</f>
        <v/>
      </c>
    </row>
    <row r="92" spans="1:9">
      <c r="A92" t="str">
        <f>IF(VIPcric_1!A94="","",VIPcric_1!A94)</f>
        <v/>
      </c>
      <c r="B92" t="str">
        <f>IF(VIPcric_1!B94="","",VIPcric_1!B94)</f>
        <v/>
      </c>
      <c r="C92" t="str">
        <f>IF(VIPcric_1!C94="","",VIPcric_1!C94)</f>
        <v/>
      </c>
      <c r="D92" t="str">
        <f>IF(VIPcric_1!D94="","",VIPcric_1!D94)</f>
        <v/>
      </c>
      <c r="E92" t="str">
        <f>IF(VIPcric_1!E94="","",VIPcric_1!E94)</f>
        <v/>
      </c>
      <c r="F92" t="str">
        <f>IF(VIPcric_1!F94="","",VIPcric_1!F94)</f>
        <v/>
      </c>
      <c r="G92" t="str">
        <f>IF(VIPcric_1!G94="","",VIPcric_1!G94)</f>
        <v/>
      </c>
      <c r="H92" t="str">
        <f>IF(VIPcric_1!H94="","",VIPcric_1!H94)</f>
        <v/>
      </c>
      <c r="I92" t="str">
        <f>IF(VIPcric_1!M94="","",VIPcric_1!M94)</f>
        <v>CRIC-东营-市场监测.商品房市场.项目累计.供求.xlsx</v>
      </c>
    </row>
    <row r="93" spans="1:9">
      <c r="A93" t="str">
        <f>IF(VIPcric_1!A95="","",VIPcric_1!A95)</f>
        <v>时间(年)</v>
      </c>
      <c r="B93" t="str">
        <f>IF(VIPcric_1!B95="","",VIPcric_1!B95)</f>
        <v>供应面积(㎡)</v>
      </c>
      <c r="C93" t="str">
        <f>IF(VIPcric_1!C95="","",VIPcric_1!C95)</f>
        <v>供应套数(套)</v>
      </c>
      <c r="D93" t="str">
        <f>IF(VIPcric_1!D95="","",VIPcric_1!D95)</f>
        <v>成交面积(㎡)</v>
      </c>
      <c r="E93" t="str">
        <f>IF(VIPcric_1!E95="","",VIPcric_1!E95)</f>
        <v>成交套数(套)</v>
      </c>
      <c r="F93" t="str">
        <f>IF(VIPcric_1!F95="","",VIPcric_1!F95)</f>
        <v>成交均价(元/㎡)</v>
      </c>
      <c r="G93" t="str">
        <f>IF(VIPcric_1!G95="","",VIPcric_1!G95)</f>
        <v>成交金额(元)</v>
      </c>
      <c r="H93" t="str">
        <f>IF(VIPcric_1!H95="","",VIPcric_1!H95)</f>
        <v>供求比</v>
      </c>
      <c r="I93" t="str">
        <f>IF(VIPcric_1!M95="","",VIPcric_1!M95)</f>
        <v>CRIC-东营-市场监测.商品房市场.项目累计.供求.xlsx</v>
      </c>
    </row>
    <row r="94" spans="1:9">
      <c r="A94" t="str">
        <f>IF(VIPcric_1!A96="","",VIPcric_1!A96)</f>
        <v>2023年</v>
      </c>
      <c r="B94">
        <f>IF(VIPcric_1!B96="","",VIPcric_1!B96)</f>
        <v>1339611</v>
      </c>
      <c r="C94">
        <f>IF(VIPcric_1!C96="","",VIPcric_1!C96)</f>
        <v>9745</v>
      </c>
      <c r="D94">
        <f>IF(VIPcric_1!D96="","",VIPcric_1!D96)</f>
        <v>963151</v>
      </c>
      <c r="E94">
        <f>IF(VIPcric_1!E96="","",VIPcric_1!E96)</f>
        <v>6744</v>
      </c>
      <c r="F94">
        <f>IF(VIPcric_1!F96="","",VIPcric_1!F96)</f>
        <v>8079</v>
      </c>
      <c r="G94">
        <f>IF(VIPcric_1!G96="","",VIPcric_1!G96)</f>
        <v>7781631469</v>
      </c>
      <c r="H94">
        <f>IF(VIPcric_1!H96="","",VIPcric_1!H96)</f>
        <v>1.39</v>
      </c>
      <c r="I94" t="str">
        <f>IF(VIPcric_1!M96="","",VIPcric_1!M96)</f>
        <v>CRIC-东营-市场监测.商品房市场.项目累计.供求.xlsx</v>
      </c>
    </row>
    <row r="95" spans="1:9">
      <c r="A95" t="str">
        <f>IF(VIPcric_1!A97="","",VIPcric_1!A97)</f>
        <v>2022年</v>
      </c>
      <c r="B95">
        <f>IF(VIPcric_1!B97="","",VIPcric_1!B97)</f>
        <v>977798</v>
      </c>
      <c r="C95">
        <f>IF(VIPcric_1!C97="","",VIPcric_1!C97)</f>
        <v>7142</v>
      </c>
      <c r="D95">
        <f>IF(VIPcric_1!D97="","",VIPcric_1!D97)</f>
        <v>1152393</v>
      </c>
      <c r="E95">
        <f>IF(VIPcric_1!E97="","",VIPcric_1!E97)</f>
        <v>8428</v>
      </c>
      <c r="F95">
        <f>IF(VIPcric_1!F97="","",VIPcric_1!F97)</f>
        <v>8096</v>
      </c>
      <c r="G95">
        <f>IF(VIPcric_1!G97="","",VIPcric_1!G97)</f>
        <v>9329807386</v>
      </c>
      <c r="H95">
        <f>IF(VIPcric_1!H97="","",VIPcric_1!H97)</f>
        <v>0.85</v>
      </c>
      <c r="I95" t="str">
        <f>IF(VIPcric_1!M97="","",VIPcric_1!M97)</f>
        <v>CRIC-东营-市场监测.商品房市场.项目累计.供求.xlsx</v>
      </c>
    </row>
    <row r="96" spans="1:9">
      <c r="A96" t="str">
        <f>IF(VIPcric_1!A98="","",VIPcric_1!A98)</f>
        <v>2021年</v>
      </c>
      <c r="B96">
        <f>IF(VIPcric_1!B98="","",VIPcric_1!B98)</f>
        <v>1526598</v>
      </c>
      <c r="C96">
        <f>IF(VIPcric_1!C98="","",VIPcric_1!C98)</f>
        <v>11671</v>
      </c>
      <c r="D96">
        <f>IF(VIPcric_1!D98="","",VIPcric_1!D98)</f>
        <v>2216393</v>
      </c>
      <c r="E96">
        <f>IF(VIPcric_1!E98="","",VIPcric_1!E98)</f>
        <v>15505</v>
      </c>
      <c r="F96">
        <f>IF(VIPcric_1!F98="","",VIPcric_1!F98)</f>
        <v>7702</v>
      </c>
      <c r="G96">
        <f>IF(VIPcric_1!G98="","",VIPcric_1!G98)</f>
        <v>17070850869</v>
      </c>
      <c r="H96">
        <f>IF(VIPcric_1!H98="","",VIPcric_1!H98)</f>
        <v>0.69</v>
      </c>
      <c r="I96" t="str">
        <f>IF(VIPcric_1!M98="","",VIPcric_1!M98)</f>
        <v>CRIC-东营-市场监测.商品房市场.项目累计.供求.xlsx</v>
      </c>
    </row>
    <row r="97" spans="1:9">
      <c r="A97" t="str">
        <f>IF(VIPcric_1!A99="","",VIPcric_1!A99)</f>
        <v>2020年</v>
      </c>
      <c r="B97">
        <f>IF(VIPcric_1!B99="","",VIPcric_1!B99)</f>
        <v>2515710</v>
      </c>
      <c r="C97">
        <f>IF(VIPcric_1!C99="","",VIPcric_1!C99)</f>
        <v>18238</v>
      </c>
      <c r="D97">
        <f>IF(VIPcric_1!D99="","",VIPcric_1!D99)</f>
        <v>2017135</v>
      </c>
      <c r="E97">
        <f>IF(VIPcric_1!E99="","",VIPcric_1!E99)</f>
        <v>14796</v>
      </c>
      <c r="F97">
        <f>IF(VIPcric_1!F99="","",VIPcric_1!F99)</f>
        <v>7936</v>
      </c>
      <c r="G97">
        <f>IF(VIPcric_1!G99="","",VIPcric_1!G99)</f>
        <v>16007154752</v>
      </c>
      <c r="H97">
        <f>IF(VIPcric_1!H99="","",VIPcric_1!H99)</f>
        <v>1.25</v>
      </c>
      <c r="I97" t="str">
        <f>IF(VIPcric_1!M99="","",VIPcric_1!M99)</f>
        <v>CRIC-东营-市场监测.商品房市场.项目累计.供求.xlsx</v>
      </c>
    </row>
    <row r="98" spans="1:9">
      <c r="A98" t="str">
        <f>IF(VIPcric_1!A100="","",VIPcric_1!A100)</f>
        <v>2019年</v>
      </c>
      <c r="B98">
        <f>IF(VIPcric_1!B100="","",VIPcric_1!B100)</f>
        <v>1880528</v>
      </c>
      <c r="C98">
        <f>IF(VIPcric_1!C100="","",VIPcric_1!C100)</f>
        <v>12687</v>
      </c>
      <c r="D98">
        <f>IF(VIPcric_1!D100="","",VIPcric_1!D100)</f>
        <v>1398216</v>
      </c>
      <c r="E98">
        <f>IF(VIPcric_1!E100="","",VIPcric_1!E100)</f>
        <v>9730</v>
      </c>
      <c r="F98">
        <f>IF(VIPcric_1!F100="","",VIPcric_1!F100)</f>
        <v>8383</v>
      </c>
      <c r="G98">
        <f>IF(VIPcric_1!G100="","",VIPcric_1!G100)</f>
        <v>11721390668</v>
      </c>
      <c r="H98">
        <f>IF(VIPcric_1!H100="","",VIPcric_1!H100)</f>
        <v>1.34</v>
      </c>
      <c r="I98" t="str">
        <f>IF(VIPcric_1!M100="","",VIPcric_1!M100)</f>
        <v>CRIC-东营-市场监测.商品房市场.项目累计.供求.xlsx</v>
      </c>
    </row>
    <row r="99" spans="1:9">
      <c r="A99" t="str">
        <f>IF(VIPcric_1!A101="","",VIPcric_1!A101)</f>
        <v>汇总</v>
      </c>
      <c r="B99">
        <f>IF(VIPcric_1!B101="","",VIPcric_1!B101)</f>
        <v>8240244</v>
      </c>
      <c r="C99">
        <f>IF(VIPcric_1!C101="","",VIPcric_1!C101)</f>
        <v>59483</v>
      </c>
      <c r="D99">
        <f>IF(VIPcric_1!D101="","",VIPcric_1!D101)</f>
        <v>7747287</v>
      </c>
      <c r="E99">
        <f>IF(VIPcric_1!E101="","",VIPcric_1!E101)</f>
        <v>55203</v>
      </c>
      <c r="F99">
        <f>IF(VIPcric_1!F101="","",VIPcric_1!F101)</f>
        <v>7991</v>
      </c>
      <c r="G99">
        <f>IF(VIPcric_1!G101="","",VIPcric_1!G101)</f>
        <v>61910835143</v>
      </c>
      <c r="H99">
        <f>IF(VIPcric_1!H101="","",VIPcric_1!H101)</f>
        <v>1.06</v>
      </c>
      <c r="I99" t="str">
        <f>IF(VIPcric_1!M101="","",VIPcric_1!M101)</f>
        <v>CRIC-东营-市场监测.商品房市场.项目累计.供求.xlsx</v>
      </c>
    </row>
    <row r="100" spans="1:9">
      <c r="A100" t="str">
        <f>IF(VIPcric_1!A102="","",VIPcric_1!A102)</f>
        <v/>
      </c>
      <c r="B100" t="str">
        <f>IF(VIPcric_1!B102="","",VIPcric_1!B102)</f>
        <v/>
      </c>
      <c r="C100" t="str">
        <f>IF(VIPcric_1!C102="","",VIPcric_1!C102)</f>
        <v/>
      </c>
      <c r="D100" t="str">
        <f>IF(VIPcric_1!D102="","",VIPcric_1!D102)</f>
        <v/>
      </c>
      <c r="E100" t="str">
        <f>IF(VIPcric_1!E102="","",VIPcric_1!E102)</f>
        <v/>
      </c>
      <c r="F100" t="str">
        <f>IF(VIPcric_1!F102="","",VIPcric_1!F102)</f>
        <v/>
      </c>
      <c r="G100" t="str">
        <f>IF(VIPcric_1!G102="","",VIPcric_1!G102)</f>
        <v/>
      </c>
      <c r="H100" t="str">
        <f>IF(VIPcric_1!H102="","",VIPcric_1!H102)</f>
        <v/>
      </c>
      <c r="I100" t="str">
        <f>IF(VIPcric_1!M102="","",VIPcric_1!M102)</f>
        <v/>
      </c>
    </row>
    <row r="101" spans="1:9">
      <c r="A101" t="str">
        <f>IF(VIPcric_1!A103="","",VIPcric_1!A103)</f>
        <v/>
      </c>
      <c r="B101" t="str">
        <f>IF(VIPcric_1!B103="","",VIPcric_1!B103)</f>
        <v/>
      </c>
      <c r="C101" t="str">
        <f>IF(VIPcric_1!C103="","",VIPcric_1!C103)</f>
        <v/>
      </c>
      <c r="D101" t="str">
        <f>IF(VIPcric_1!D103="","",VIPcric_1!D103)</f>
        <v/>
      </c>
      <c r="E101" t="str">
        <f>IF(VIPcric_1!E103="","",VIPcric_1!E103)</f>
        <v/>
      </c>
      <c r="F101" t="str">
        <f>IF(VIPcric_1!F103="","",VIPcric_1!F103)</f>
        <v/>
      </c>
      <c r="G101" t="str">
        <f>IF(VIPcric_1!G103="","",VIPcric_1!G103)</f>
        <v/>
      </c>
      <c r="H101" t="str">
        <f>IF(VIPcric_1!H103="","",VIPcric_1!H103)</f>
        <v/>
      </c>
      <c r="I101" t="str">
        <f>IF(VIPcric_1!M103="","",VIPcric_1!M103)</f>
        <v>CRIC-东营-市场监测.商品房市场.项目累计.库存.xlsx</v>
      </c>
    </row>
    <row r="102" spans="1:9">
      <c r="A102" t="str">
        <f>IF(VIPcric_1!A104="","",VIPcric_1!A104)</f>
        <v>时间(年)</v>
      </c>
      <c r="B102" t="str">
        <f>IF(VIPcric_1!B104="","",VIPcric_1!B104)</f>
        <v>库存面积(㎡)</v>
      </c>
      <c r="C102" t="str">
        <f>IF(VIPcric_1!C104="","",VIPcric_1!C104)</f>
        <v>库存套数(套)</v>
      </c>
      <c r="D102" t="str">
        <f>IF(VIPcric_1!D104="","",VIPcric_1!D104)</f>
        <v>去化周期12'(月)</v>
      </c>
      <c r="E102" t="str">
        <f>IF(VIPcric_1!E104="","",VIPcric_1!E104)</f>
        <v/>
      </c>
      <c r="F102" t="str">
        <f>IF(VIPcric_1!F104="","",VIPcric_1!F104)</f>
        <v/>
      </c>
      <c r="G102" t="str">
        <f>IF(VIPcric_1!G104="","",VIPcric_1!G104)</f>
        <v/>
      </c>
      <c r="H102" t="str">
        <f>IF(VIPcric_1!H104="","",VIPcric_1!H104)</f>
        <v/>
      </c>
      <c r="I102" t="str">
        <f>IF(VIPcric_1!M104="","",VIPcric_1!M104)</f>
        <v>CRIC-东营-市场监测.商品房市场.项目累计.库存.xlsx</v>
      </c>
    </row>
    <row r="103" spans="1:9">
      <c r="A103" t="str">
        <f>IF(VIPcric_1!A105="","",VIPcric_1!A105)</f>
        <v>2024年</v>
      </c>
      <c r="B103">
        <f>IF(VIPcric_1!B105="","",VIPcric_1!B105)</f>
        <v>4176935</v>
      </c>
      <c r="C103">
        <f>IF(VIPcric_1!C105="","",VIPcric_1!C105)</f>
        <v>30101</v>
      </c>
      <c r="D103">
        <f>IF(VIPcric_1!D105="","",VIPcric_1!D105)</f>
        <v>52.6</v>
      </c>
      <c r="E103" t="str">
        <f>IF(VIPcric_1!E105="","",VIPcric_1!E105)</f>
        <v/>
      </c>
      <c r="F103" t="str">
        <f>IF(VIPcric_1!F105="","",VIPcric_1!F105)</f>
        <v/>
      </c>
      <c r="G103" t="str">
        <f>IF(VIPcric_1!G105="","",VIPcric_1!G105)</f>
        <v/>
      </c>
      <c r="H103" t="str">
        <f>IF(VIPcric_1!H105="","",VIPcric_1!H105)</f>
        <v/>
      </c>
      <c r="I103" t="str">
        <f>IF(VIPcric_1!M105="","",VIPcric_1!M105)</f>
        <v>CRIC-东营-市场监测.商品房市场.项目累计.库存.xlsx</v>
      </c>
    </row>
    <row r="104" spans="1:9">
      <c r="A104" t="str">
        <f>IF(VIPcric_1!A106="","",VIPcric_1!A106)</f>
        <v>2023年</v>
      </c>
      <c r="B104">
        <f>IF(VIPcric_1!B106="","",VIPcric_1!B106)</f>
        <v>4198368</v>
      </c>
      <c r="C104">
        <f>IF(VIPcric_1!C106="","",VIPcric_1!C106)</f>
        <v>30245</v>
      </c>
      <c r="D104">
        <f>IF(VIPcric_1!D106="","",VIPcric_1!D106)</f>
        <v>52.3</v>
      </c>
      <c r="E104" t="str">
        <f>IF(VIPcric_1!E106="","",VIPcric_1!E106)</f>
        <v/>
      </c>
      <c r="F104" t="str">
        <f>IF(VIPcric_1!F106="","",VIPcric_1!F106)</f>
        <v/>
      </c>
      <c r="G104" t="str">
        <f>IF(VIPcric_1!G106="","",VIPcric_1!G106)</f>
        <v/>
      </c>
      <c r="H104" t="str">
        <f>IF(VIPcric_1!H106="","",VIPcric_1!H106)</f>
        <v/>
      </c>
      <c r="I104" t="str">
        <f>IF(VIPcric_1!M106="","",VIPcric_1!M106)</f>
        <v>CRIC-东营-市场监测.商品房市场.项目累计.库存.xlsx</v>
      </c>
    </row>
    <row r="105" spans="1:9">
      <c r="A105" t="str">
        <f>IF(VIPcric_1!A107="","",VIPcric_1!A107)</f>
        <v>2022年</v>
      </c>
      <c r="B105">
        <f>IF(VIPcric_1!B107="","",VIPcric_1!B107)</f>
        <v>2116339</v>
      </c>
      <c r="C105">
        <f>IF(VIPcric_1!C107="","",VIPcric_1!C107)</f>
        <v>15279</v>
      </c>
      <c r="D105">
        <f>IF(VIPcric_1!D107="","",VIPcric_1!D107)</f>
        <v>22</v>
      </c>
      <c r="E105" t="str">
        <f>IF(VIPcric_1!E107="","",VIPcric_1!E107)</f>
        <v/>
      </c>
      <c r="F105" t="str">
        <f>IF(VIPcric_1!F107="","",VIPcric_1!F107)</f>
        <v/>
      </c>
      <c r="G105" t="str">
        <f>IF(VIPcric_1!G107="","",VIPcric_1!G107)</f>
        <v/>
      </c>
      <c r="H105" t="str">
        <f>IF(VIPcric_1!H107="","",VIPcric_1!H107)</f>
        <v/>
      </c>
      <c r="I105" t="str">
        <f>IF(VIPcric_1!M107="","",VIPcric_1!M107)</f>
        <v>CRIC-东营-市场监测.商品房市场.项目累计.库存.xlsx</v>
      </c>
    </row>
    <row r="106" spans="1:9">
      <c r="A106" t="str">
        <f>IF(VIPcric_1!A108="","",VIPcric_1!A108)</f>
        <v>2021年</v>
      </c>
      <c r="B106">
        <f>IF(VIPcric_1!B108="","",VIPcric_1!B108)</f>
        <v>2122456</v>
      </c>
      <c r="C106">
        <f>IF(VIPcric_1!C108="","",VIPcric_1!C108)</f>
        <v>15312</v>
      </c>
      <c r="D106">
        <f>IF(VIPcric_1!D108="","",VIPcric_1!D108)</f>
        <v>11.5</v>
      </c>
      <c r="E106" t="str">
        <f>IF(VIPcric_1!E108="","",VIPcric_1!E108)</f>
        <v/>
      </c>
      <c r="F106" t="str">
        <f>IF(VIPcric_1!F108="","",VIPcric_1!F108)</f>
        <v/>
      </c>
      <c r="G106" t="str">
        <f>IF(VIPcric_1!G108="","",VIPcric_1!G108)</f>
        <v/>
      </c>
      <c r="H106" t="str">
        <f>IF(VIPcric_1!H108="","",VIPcric_1!H108)</f>
        <v/>
      </c>
      <c r="I106" t="str">
        <f>IF(VIPcric_1!M108="","",VIPcric_1!M108)</f>
        <v>CRIC-东营-市场监测.商品房市场.项目累计.库存.xlsx</v>
      </c>
    </row>
    <row r="107" spans="1:9">
      <c r="A107" t="str">
        <f>IF(VIPcric_1!A109="","",VIPcric_1!A109)</f>
        <v/>
      </c>
      <c r="B107" t="str">
        <f>IF(VIPcric_1!B109="","",VIPcric_1!B109)</f>
        <v/>
      </c>
      <c r="C107" t="str">
        <f>IF(VIPcric_1!C109="","",VIPcric_1!C109)</f>
        <v/>
      </c>
      <c r="D107" t="str">
        <f>IF(VIPcric_1!D109="","",VIPcric_1!D109)</f>
        <v/>
      </c>
      <c r="E107" t="str">
        <f>IF(VIPcric_1!E109="","",VIPcric_1!E109)</f>
        <v/>
      </c>
      <c r="F107" t="str">
        <f>IF(VIPcric_1!F109="","",VIPcric_1!F109)</f>
        <v/>
      </c>
      <c r="G107" t="str">
        <f>IF(VIPcric_1!G109="","",VIPcric_1!G109)</f>
        <v/>
      </c>
      <c r="H107" t="str">
        <f>IF(VIPcric_1!H109="","",VIPcric_1!H109)</f>
        <v/>
      </c>
      <c r="I107" t="str">
        <f>IF(VIPcric_1!M109="","",VIPcric_1!M109)</f>
        <v/>
      </c>
    </row>
    <row r="108" spans="1:9">
      <c r="A108" t="str">
        <f>IF(VIPcric_1!A110="","",VIPcric_1!A110)</f>
        <v/>
      </c>
      <c r="B108" t="str">
        <f>IF(VIPcric_1!B110="","",VIPcric_1!B110)</f>
        <v/>
      </c>
      <c r="C108" t="str">
        <f>IF(VIPcric_1!C110="","",VIPcric_1!C110)</f>
        <v/>
      </c>
      <c r="D108" t="str">
        <f>IF(VIPcric_1!D110="","",VIPcric_1!D110)</f>
        <v/>
      </c>
      <c r="E108" t="str">
        <f>IF(VIPcric_1!E110="","",VIPcric_1!E110)</f>
        <v/>
      </c>
      <c r="F108" t="str">
        <f>IF(VIPcric_1!F110="","",VIPcric_1!F110)</f>
        <v/>
      </c>
      <c r="G108" t="str">
        <f>IF(VIPcric_1!G110="","",VIPcric_1!G110)</f>
        <v/>
      </c>
      <c r="H108" t="str">
        <f>IF(VIPcric_1!H110="","",VIPcric_1!H110)</f>
        <v/>
      </c>
      <c r="I108" t="str">
        <f>IF(VIPcric_1!M110="","",VIPcric_1!M110)</f>
        <v>CRIC-中卫-市场监测.商品房市场.项目累计.供求.xlsx</v>
      </c>
    </row>
    <row r="109" spans="1:9">
      <c r="A109" t="str">
        <f>IF(VIPcric_1!A111="","",VIPcric_1!A111)</f>
        <v>时间(年)</v>
      </c>
      <c r="B109" t="str">
        <f>IF(VIPcric_1!B111="","",VIPcric_1!B111)</f>
        <v>供应面积(㎡)</v>
      </c>
      <c r="C109" t="str">
        <f>IF(VIPcric_1!C111="","",VIPcric_1!C111)</f>
        <v>供应套数(套)</v>
      </c>
      <c r="D109" t="str">
        <f>IF(VIPcric_1!D111="","",VIPcric_1!D111)</f>
        <v>成交面积(㎡)</v>
      </c>
      <c r="E109" t="str">
        <f>IF(VIPcric_1!E111="","",VIPcric_1!E111)</f>
        <v>成交套数(套)</v>
      </c>
      <c r="F109" t="str">
        <f>IF(VIPcric_1!F111="","",VIPcric_1!F111)</f>
        <v>成交均价(元/㎡)</v>
      </c>
      <c r="G109" t="str">
        <f>IF(VIPcric_1!G111="","",VIPcric_1!G111)</f>
        <v>成交金额(元)</v>
      </c>
      <c r="H109" t="str">
        <f>IF(VIPcric_1!H111="","",VIPcric_1!H111)</f>
        <v>供求比</v>
      </c>
      <c r="I109" t="str">
        <f>IF(VIPcric_1!M111="","",VIPcric_1!M111)</f>
        <v>CRIC-中卫-市场监测.商品房市场.项目累计.供求.xlsx</v>
      </c>
    </row>
    <row r="110" spans="1:9">
      <c r="A110" t="str">
        <f>IF(VIPcric_1!A112="","",VIPcric_1!A112)</f>
        <v>2024年</v>
      </c>
      <c r="B110">
        <f>IF(VIPcric_1!B112="","",VIPcric_1!B112)</f>
        <v>16220</v>
      </c>
      <c r="C110">
        <f>IF(VIPcric_1!C112="","",VIPcric_1!C112)</f>
        <v>126</v>
      </c>
      <c r="D110">
        <f>IF(VIPcric_1!D112="","",VIPcric_1!D112)</f>
        <v>21737</v>
      </c>
      <c r="E110">
        <f>IF(VIPcric_1!E112="","",VIPcric_1!E112)</f>
        <v>170</v>
      </c>
      <c r="F110">
        <f>IF(VIPcric_1!F112="","",VIPcric_1!F112)</f>
        <v>4556</v>
      </c>
      <c r="G110">
        <f>IF(VIPcric_1!G112="","",VIPcric_1!G112)</f>
        <v>99024867</v>
      </c>
      <c r="H110">
        <f>IF(VIPcric_1!H112="","",VIPcric_1!H112)</f>
        <v>0.75</v>
      </c>
      <c r="I110" t="str">
        <f>IF(VIPcric_1!M112="","",VIPcric_1!M112)</f>
        <v>CRIC-中卫-市场监测.商品房市场.项目累计.供求.xlsx</v>
      </c>
    </row>
    <row r="111" spans="1:9">
      <c r="A111" t="str">
        <f>IF(VIPcric_1!A113="","",VIPcric_1!A113)</f>
        <v>2023年</v>
      </c>
      <c r="B111">
        <f>IF(VIPcric_1!B113="","",VIPcric_1!B113)</f>
        <v>393527</v>
      </c>
      <c r="C111">
        <f>IF(VIPcric_1!C113="","",VIPcric_1!C113)</f>
        <v>2945</v>
      </c>
      <c r="D111">
        <f>IF(VIPcric_1!D113="","",VIPcric_1!D113)</f>
        <v>484575</v>
      </c>
      <c r="E111">
        <f>IF(VIPcric_1!E113="","",VIPcric_1!E113)</f>
        <v>3745</v>
      </c>
      <c r="F111">
        <f>IF(VIPcric_1!F113="","",VIPcric_1!F113)</f>
        <v>4898</v>
      </c>
      <c r="G111">
        <f>IF(VIPcric_1!G113="","",VIPcric_1!G113)</f>
        <v>2373608627</v>
      </c>
      <c r="H111">
        <f>IF(VIPcric_1!H113="","",VIPcric_1!H113)</f>
        <v>0.81</v>
      </c>
      <c r="I111" t="str">
        <f>IF(VIPcric_1!M113="","",VIPcric_1!M113)</f>
        <v>CRIC-中卫-市场监测.商品房市场.项目累计.供求.xlsx</v>
      </c>
    </row>
    <row r="112" spans="1:9">
      <c r="A112" t="str">
        <f>IF(VIPcric_1!A114="","",VIPcric_1!A114)</f>
        <v>2022年</v>
      </c>
      <c r="B112">
        <f>IF(VIPcric_1!B114="","",VIPcric_1!B114)</f>
        <v>575312</v>
      </c>
      <c r="C112">
        <f>IF(VIPcric_1!C114="","",VIPcric_1!C114)</f>
        <v>4383</v>
      </c>
      <c r="D112">
        <f>IF(VIPcric_1!D114="","",VIPcric_1!D114)</f>
        <v>509443</v>
      </c>
      <c r="E112">
        <f>IF(VIPcric_1!E114="","",VIPcric_1!E114)</f>
        <v>3898</v>
      </c>
      <c r="F112">
        <f>IF(VIPcric_1!F114="","",VIPcric_1!F114)</f>
        <v>4799</v>
      </c>
      <c r="G112">
        <f>IF(VIPcric_1!G114="","",VIPcric_1!G114)</f>
        <v>2444858025</v>
      </c>
      <c r="H112">
        <f>IF(VIPcric_1!H114="","",VIPcric_1!H114)</f>
        <v>1.1299999999999999</v>
      </c>
      <c r="I112" t="str">
        <f>IF(VIPcric_1!M114="","",VIPcric_1!M114)</f>
        <v>CRIC-中卫-市场监测.商品房市场.项目累计.供求.xlsx</v>
      </c>
    </row>
    <row r="113" spans="1:9">
      <c r="A113" t="str">
        <f>IF(VIPcric_1!A115="","",VIPcric_1!A115)</f>
        <v>2021年</v>
      </c>
      <c r="B113">
        <f>IF(VIPcric_1!B115="","",VIPcric_1!B115)</f>
        <v>1268480</v>
      </c>
      <c r="C113">
        <f>IF(VIPcric_1!C115="","",VIPcric_1!C115)</f>
        <v>9576</v>
      </c>
      <c r="D113">
        <f>IF(VIPcric_1!D115="","",VIPcric_1!D115)</f>
        <v>686746</v>
      </c>
      <c r="E113">
        <f>IF(VIPcric_1!E115="","",VIPcric_1!E115)</f>
        <v>5889</v>
      </c>
      <c r="F113">
        <f>IF(VIPcric_1!F115="","",VIPcric_1!F115)</f>
        <v>4686</v>
      </c>
      <c r="G113">
        <f>IF(VIPcric_1!G115="","",VIPcric_1!G115)</f>
        <v>3218331102</v>
      </c>
      <c r="H113">
        <f>IF(VIPcric_1!H115="","",VIPcric_1!H115)</f>
        <v>1.85</v>
      </c>
      <c r="I113" t="str">
        <f>IF(VIPcric_1!M115="","",VIPcric_1!M115)</f>
        <v>CRIC-中卫-市场监测.商品房市场.项目累计.供求.xlsx</v>
      </c>
    </row>
    <row r="114" spans="1:9">
      <c r="A114" t="str">
        <f>IF(VIPcric_1!A116="","",VIPcric_1!A116)</f>
        <v>2020年</v>
      </c>
      <c r="B114">
        <f>IF(VIPcric_1!B116="","",VIPcric_1!B116)</f>
        <v>451850</v>
      </c>
      <c r="C114">
        <f>IF(VIPcric_1!C116="","",VIPcric_1!C116)</f>
        <v>3435</v>
      </c>
      <c r="D114">
        <f>IF(VIPcric_1!D116="","",VIPcric_1!D116)</f>
        <v>0</v>
      </c>
      <c r="E114">
        <f>IF(VIPcric_1!E116="","",VIPcric_1!E116)</f>
        <v>0</v>
      </c>
      <c r="F114">
        <f>IF(VIPcric_1!F116="","",VIPcric_1!F116)</f>
        <v>0</v>
      </c>
      <c r="G114">
        <f>IF(VIPcric_1!G116="","",VIPcric_1!G116)</f>
        <v>0</v>
      </c>
      <c r="H114">
        <f>IF(VIPcric_1!H116="","",VIPcric_1!H116)</f>
        <v>0</v>
      </c>
      <c r="I114" t="str">
        <f>IF(VIPcric_1!M116="","",VIPcric_1!M116)</f>
        <v>CRIC-中卫-市场监测.商品房市场.项目累计.供求.xlsx</v>
      </c>
    </row>
    <row r="115" spans="1:9">
      <c r="A115" t="str">
        <f>IF(VIPcric_1!A117="","",VIPcric_1!A117)</f>
        <v>2019年</v>
      </c>
      <c r="B115">
        <f>IF(VIPcric_1!B117="","",VIPcric_1!B117)</f>
        <v>766504</v>
      </c>
      <c r="C115">
        <f>IF(VIPcric_1!C117="","",VIPcric_1!C117)</f>
        <v>6012</v>
      </c>
      <c r="D115">
        <f>IF(VIPcric_1!D117="","",VIPcric_1!D117)</f>
        <v>0</v>
      </c>
      <c r="E115">
        <f>IF(VIPcric_1!E117="","",VIPcric_1!E117)</f>
        <v>0</v>
      </c>
      <c r="F115">
        <f>IF(VIPcric_1!F117="","",VIPcric_1!F117)</f>
        <v>0</v>
      </c>
      <c r="G115">
        <f>IF(VIPcric_1!G117="","",VIPcric_1!G117)</f>
        <v>0</v>
      </c>
      <c r="H115">
        <f>IF(VIPcric_1!H117="","",VIPcric_1!H117)</f>
        <v>0</v>
      </c>
      <c r="I115" t="str">
        <f>IF(VIPcric_1!M117="","",VIPcric_1!M117)</f>
        <v>CRIC-中卫-市场监测.商品房市场.项目累计.供求.xlsx</v>
      </c>
    </row>
    <row r="116" spans="1:9">
      <c r="A116" t="str">
        <f>IF(VIPcric_1!A118="","",VIPcric_1!A118)</f>
        <v>汇总</v>
      </c>
      <c r="B116">
        <f>IF(VIPcric_1!B118="","",VIPcric_1!B118)</f>
        <v>3471894</v>
      </c>
      <c r="C116">
        <f>IF(VIPcric_1!C118="","",VIPcric_1!C118)</f>
        <v>26477</v>
      </c>
      <c r="D116">
        <f>IF(VIPcric_1!D118="","",VIPcric_1!D118)</f>
        <v>1702501</v>
      </c>
      <c r="E116">
        <f>IF(VIPcric_1!E118="","",VIPcric_1!E118)</f>
        <v>13702</v>
      </c>
      <c r="F116">
        <f>IF(VIPcric_1!F118="","",VIPcric_1!F118)</f>
        <v>4779</v>
      </c>
      <c r="G116">
        <f>IF(VIPcric_1!G118="","",VIPcric_1!G118)</f>
        <v>8135822622</v>
      </c>
      <c r="H116">
        <f>IF(VIPcric_1!H118="","",VIPcric_1!H118)</f>
        <v>2.04</v>
      </c>
      <c r="I116" t="str">
        <f>IF(VIPcric_1!M118="","",VIPcric_1!M118)</f>
        <v>CRIC-中卫-市场监测.商品房市场.项目累计.供求.xlsx</v>
      </c>
    </row>
    <row r="117" spans="1:9">
      <c r="A117" t="str">
        <f>IF(VIPcric_1!A119="","",VIPcric_1!A119)</f>
        <v/>
      </c>
      <c r="B117" t="str">
        <f>IF(VIPcric_1!B119="","",VIPcric_1!B119)</f>
        <v/>
      </c>
      <c r="C117" t="str">
        <f>IF(VIPcric_1!C119="","",VIPcric_1!C119)</f>
        <v/>
      </c>
      <c r="D117" t="str">
        <f>IF(VIPcric_1!D119="","",VIPcric_1!D119)</f>
        <v/>
      </c>
      <c r="E117" t="str">
        <f>IF(VIPcric_1!E119="","",VIPcric_1!E119)</f>
        <v/>
      </c>
      <c r="F117" t="str">
        <f>IF(VIPcric_1!F119="","",VIPcric_1!F119)</f>
        <v/>
      </c>
      <c r="G117" t="str">
        <f>IF(VIPcric_1!G119="","",VIPcric_1!G119)</f>
        <v/>
      </c>
      <c r="H117" t="str">
        <f>IF(VIPcric_1!H119="","",VIPcric_1!H119)</f>
        <v/>
      </c>
      <c r="I117" t="str">
        <f>IF(VIPcric_1!M119="","",VIPcric_1!M119)</f>
        <v/>
      </c>
    </row>
    <row r="118" spans="1:9">
      <c r="A118" t="str">
        <f>IF(VIPcric_1!A120="","",VIPcric_1!A120)</f>
        <v/>
      </c>
      <c r="B118" t="str">
        <f>IF(VIPcric_1!B120="","",VIPcric_1!B120)</f>
        <v/>
      </c>
      <c r="C118" t="str">
        <f>IF(VIPcric_1!C120="","",VIPcric_1!C120)</f>
        <v/>
      </c>
      <c r="D118" t="str">
        <f>IF(VIPcric_1!D120="","",VIPcric_1!D120)</f>
        <v/>
      </c>
      <c r="E118" t="str">
        <f>IF(VIPcric_1!E120="","",VIPcric_1!E120)</f>
        <v/>
      </c>
      <c r="F118" t="str">
        <f>IF(VIPcric_1!F120="","",VIPcric_1!F120)</f>
        <v/>
      </c>
      <c r="G118" t="str">
        <f>IF(VIPcric_1!G120="","",VIPcric_1!G120)</f>
        <v/>
      </c>
      <c r="H118" t="str">
        <f>IF(VIPcric_1!H120="","",VIPcric_1!H120)</f>
        <v/>
      </c>
      <c r="I118" t="str">
        <f>IF(VIPcric_1!M120="","",VIPcric_1!M120)</f>
        <v>CRIC-中卫-市场监测.商品房市场.项目累计.库存 (1).xlsx</v>
      </c>
    </row>
    <row r="119" spans="1:9">
      <c r="A119" t="str">
        <f>IF(VIPcric_1!A121="","",VIPcric_1!A121)</f>
        <v>时间(年)</v>
      </c>
      <c r="B119" t="str">
        <f>IF(VIPcric_1!B121="","",VIPcric_1!B121)</f>
        <v>库存面积(㎡)</v>
      </c>
      <c r="C119" t="str">
        <f>IF(VIPcric_1!C121="","",VIPcric_1!C121)</f>
        <v>库存套数(套)</v>
      </c>
      <c r="D119" t="str">
        <f>IF(VIPcric_1!D121="","",VIPcric_1!D121)</f>
        <v>去化周期12'(月)</v>
      </c>
      <c r="E119" t="str">
        <f>IF(VIPcric_1!E121="","",VIPcric_1!E121)</f>
        <v>去化周期24'(月)</v>
      </c>
      <c r="F119" t="str">
        <f>IF(VIPcric_1!F121="","",VIPcric_1!F121)</f>
        <v/>
      </c>
      <c r="G119" t="str">
        <f>IF(VIPcric_1!G121="","",VIPcric_1!G121)</f>
        <v/>
      </c>
      <c r="H119" t="str">
        <f>IF(VIPcric_1!H121="","",VIPcric_1!H121)</f>
        <v/>
      </c>
      <c r="I119" t="str">
        <f>IF(VIPcric_1!M121="","",VIPcric_1!M121)</f>
        <v>CRIC-中卫-市场监测.商品房市场.项目累计.库存 (1).xlsx</v>
      </c>
    </row>
    <row r="120" spans="1:9">
      <c r="A120" t="str">
        <f>IF(VIPcric_1!A122="","",VIPcric_1!A122)</f>
        <v>2024年</v>
      </c>
      <c r="B120">
        <f>IF(VIPcric_1!B122="","",VIPcric_1!B122)</f>
        <v>2276686</v>
      </c>
      <c r="C120">
        <f>IF(VIPcric_1!C122="","",VIPcric_1!C122)</f>
        <v>19250</v>
      </c>
      <c r="D120">
        <f>IF(VIPcric_1!D122="","",VIPcric_1!D122)</f>
        <v>58.4</v>
      </c>
      <c r="E120">
        <f>IF(VIPcric_1!E122="","",VIPcric_1!E122)</f>
        <v>57.4</v>
      </c>
      <c r="F120" t="str">
        <f>IF(VIPcric_1!F122="","",VIPcric_1!F122)</f>
        <v/>
      </c>
      <c r="G120" t="str">
        <f>IF(VIPcric_1!G122="","",VIPcric_1!G122)</f>
        <v/>
      </c>
      <c r="H120" t="str">
        <f>IF(VIPcric_1!H122="","",VIPcric_1!H122)</f>
        <v/>
      </c>
      <c r="I120" t="str">
        <f>IF(VIPcric_1!M122="","",VIPcric_1!M122)</f>
        <v>CRIC-中卫-市场监测.商品房市场.项目累计.库存 (1).xlsx</v>
      </c>
    </row>
    <row r="121" spans="1:9">
      <c r="A121" t="str">
        <f>IF(VIPcric_1!A123="","",VIPcric_1!A123)</f>
        <v>2023年</v>
      </c>
      <c r="B121">
        <f>IF(VIPcric_1!B123="","",VIPcric_1!B123)</f>
        <v>2281928</v>
      </c>
      <c r="C121">
        <f>IF(VIPcric_1!C123="","",VIPcric_1!C123)</f>
        <v>19292</v>
      </c>
      <c r="D121">
        <f>IF(VIPcric_1!D123="","",VIPcric_1!D123)</f>
        <v>56.5</v>
      </c>
      <c r="E121">
        <f>IF(VIPcric_1!E123="","",VIPcric_1!E123)</f>
        <v>55.1</v>
      </c>
      <c r="F121" t="str">
        <f>IF(VIPcric_1!F123="","",VIPcric_1!F123)</f>
        <v/>
      </c>
      <c r="G121" t="str">
        <f>IF(VIPcric_1!G123="","",VIPcric_1!G123)</f>
        <v/>
      </c>
      <c r="H121" t="str">
        <f>IF(VIPcric_1!H123="","",VIPcric_1!H123)</f>
        <v/>
      </c>
      <c r="I121" t="str">
        <f>IF(VIPcric_1!M123="","",VIPcric_1!M123)</f>
        <v>CRIC-中卫-市场监测.商品房市场.项目累计.库存 (1).xlsx</v>
      </c>
    </row>
    <row r="122" spans="1:9">
      <c r="A122" t="str">
        <f>IF(VIPcric_1!A124="","",VIPcric_1!A124)</f>
        <v>2022年</v>
      </c>
      <c r="B122">
        <f>IF(VIPcric_1!B124="","",VIPcric_1!B124)</f>
        <v>2321795</v>
      </c>
      <c r="C122">
        <f>IF(VIPcric_1!C124="","",VIPcric_1!C124)</f>
        <v>19683</v>
      </c>
      <c r="D122">
        <f>IF(VIPcric_1!D124="","",VIPcric_1!D124)</f>
        <v>54.7</v>
      </c>
      <c r="E122">
        <f>IF(VIPcric_1!E124="","",VIPcric_1!E124)</f>
        <v>46.6</v>
      </c>
      <c r="F122" t="str">
        <f>IF(VIPcric_1!F124="","",VIPcric_1!F124)</f>
        <v/>
      </c>
      <c r="G122" t="str">
        <f>IF(VIPcric_1!G124="","",VIPcric_1!G124)</f>
        <v/>
      </c>
      <c r="H122" t="str">
        <f>IF(VIPcric_1!H124="","",VIPcric_1!H124)</f>
        <v/>
      </c>
      <c r="I122" t="str">
        <f>IF(VIPcric_1!M124="","",VIPcric_1!M124)</f>
        <v>CRIC-中卫-市场监测.商品房市场.项目累计.库存 (1).xlsx</v>
      </c>
    </row>
    <row r="123" spans="1:9">
      <c r="A123" t="str">
        <f>IF(VIPcric_1!A125="","",VIPcric_1!A125)</f>
        <v/>
      </c>
      <c r="B123" t="str">
        <f>IF(VIPcric_1!B125="","",VIPcric_1!B125)</f>
        <v/>
      </c>
      <c r="C123" t="str">
        <f>IF(VIPcric_1!C125="","",VIPcric_1!C125)</f>
        <v/>
      </c>
      <c r="D123" t="str">
        <f>IF(VIPcric_1!D125="","",VIPcric_1!D125)</f>
        <v/>
      </c>
      <c r="E123" t="str">
        <f>IF(VIPcric_1!E125="","",VIPcric_1!E125)</f>
        <v/>
      </c>
      <c r="F123" t="str">
        <f>IF(VIPcric_1!F125="","",VIPcric_1!F125)</f>
        <v/>
      </c>
      <c r="G123" t="str">
        <f>IF(VIPcric_1!G125="","",VIPcric_1!G125)</f>
        <v/>
      </c>
      <c r="H123" t="str">
        <f>IF(VIPcric_1!H125="","",VIPcric_1!H125)</f>
        <v/>
      </c>
      <c r="I123" t="str">
        <f>IF(VIPcric_1!M125="","",VIPcric_1!M125)</f>
        <v/>
      </c>
    </row>
    <row r="124" spans="1:9">
      <c r="A124" t="str">
        <f>IF(VIPcric_1!A126="","",VIPcric_1!A126)</f>
        <v/>
      </c>
      <c r="B124" t="str">
        <f>IF(VIPcric_1!B126="","",VIPcric_1!B126)</f>
        <v/>
      </c>
      <c r="C124" t="str">
        <f>IF(VIPcric_1!C126="","",VIPcric_1!C126)</f>
        <v/>
      </c>
      <c r="D124" t="str">
        <f>IF(VIPcric_1!D126="","",VIPcric_1!D126)</f>
        <v/>
      </c>
      <c r="E124" t="str">
        <f>IF(VIPcric_1!E126="","",VIPcric_1!E126)</f>
        <v/>
      </c>
      <c r="F124" t="str">
        <f>IF(VIPcric_1!F126="","",VIPcric_1!F126)</f>
        <v/>
      </c>
      <c r="G124" t="str">
        <f>IF(VIPcric_1!G126="","",VIPcric_1!G126)</f>
        <v/>
      </c>
      <c r="H124" t="str">
        <f>IF(VIPcric_1!H126="","",VIPcric_1!H126)</f>
        <v/>
      </c>
      <c r="I124" t="str">
        <f>IF(VIPcric_1!M126="","",VIPcric_1!M126)</f>
        <v>CRIC-中山-市场监测.商品房市场.项目累计.供求.xlsx</v>
      </c>
    </row>
    <row r="125" spans="1:9">
      <c r="A125" t="str">
        <f>IF(VIPcric_1!A127="","",VIPcric_1!A127)</f>
        <v>时间(年)</v>
      </c>
      <c r="B125" t="str">
        <f>IF(VIPcric_1!B127="","",VIPcric_1!B127)</f>
        <v>供应面积(㎡)</v>
      </c>
      <c r="C125" t="str">
        <f>IF(VIPcric_1!C127="","",VIPcric_1!C127)</f>
        <v>供应套数(套)</v>
      </c>
      <c r="D125" t="str">
        <f>IF(VIPcric_1!D127="","",VIPcric_1!D127)</f>
        <v>成交面积(㎡)</v>
      </c>
      <c r="E125" t="str">
        <f>IF(VIPcric_1!E127="","",VIPcric_1!E127)</f>
        <v>成交套数(套)</v>
      </c>
      <c r="F125" t="str">
        <f>IF(VIPcric_1!F127="","",VIPcric_1!F127)</f>
        <v>成交均价(元/㎡)</v>
      </c>
      <c r="G125" t="str">
        <f>IF(VIPcric_1!G127="","",VIPcric_1!G127)</f>
        <v>成交金额(元)</v>
      </c>
      <c r="H125" t="str">
        <f>IF(VIPcric_1!H127="","",VIPcric_1!H127)</f>
        <v>供求比</v>
      </c>
      <c r="I125" t="str">
        <f>IF(VIPcric_1!M127="","",VIPcric_1!M127)</f>
        <v>CRIC-中山-市场监测.商品房市场.项目累计.供求.xlsx</v>
      </c>
    </row>
    <row r="126" spans="1:9">
      <c r="A126" t="str">
        <f>IF(VIPcric_1!A128="","",VIPcric_1!A128)</f>
        <v>2024年</v>
      </c>
      <c r="B126">
        <f>IF(VIPcric_1!B128="","",VIPcric_1!B128)</f>
        <v>234701</v>
      </c>
      <c r="C126">
        <f>IF(VIPcric_1!C128="","",VIPcric_1!C128)</f>
        <v>2250</v>
      </c>
      <c r="D126">
        <f>IF(VIPcric_1!D128="","",VIPcric_1!D128)</f>
        <v>191251</v>
      </c>
      <c r="E126">
        <f>IF(VIPcric_1!E128="","",VIPcric_1!E128)</f>
        <v>1785</v>
      </c>
      <c r="F126">
        <f>IF(VIPcric_1!F128="","",VIPcric_1!F128)</f>
        <v>13647</v>
      </c>
      <c r="G126">
        <f>IF(VIPcric_1!G128="","",VIPcric_1!G128)</f>
        <v>2609997644</v>
      </c>
      <c r="H126">
        <f>IF(VIPcric_1!H128="","",VIPcric_1!H128)</f>
        <v>1.23</v>
      </c>
      <c r="I126" t="str">
        <f>IF(VIPcric_1!M128="","",VIPcric_1!M128)</f>
        <v>CRIC-中山-市场监测.商品房市场.项目累计.供求.xlsx</v>
      </c>
    </row>
    <row r="127" spans="1:9">
      <c r="A127" t="str">
        <f>IF(VIPcric_1!A129="","",VIPcric_1!A129)</f>
        <v>2023年</v>
      </c>
      <c r="B127">
        <f>IF(VIPcric_1!B129="","",VIPcric_1!B129)</f>
        <v>2247199</v>
      </c>
      <c r="C127">
        <f>IF(VIPcric_1!C129="","",VIPcric_1!C129)</f>
        <v>21162</v>
      </c>
      <c r="D127">
        <f>IF(VIPcric_1!D129="","",VIPcric_1!D129)</f>
        <v>3237096</v>
      </c>
      <c r="E127">
        <f>IF(VIPcric_1!E129="","",VIPcric_1!E129)</f>
        <v>30196</v>
      </c>
      <c r="F127">
        <f>IF(VIPcric_1!F129="","",VIPcric_1!F129)</f>
        <v>13988</v>
      </c>
      <c r="G127">
        <f>IF(VIPcric_1!G129="","",VIPcric_1!G129)</f>
        <v>45279150282</v>
      </c>
      <c r="H127">
        <f>IF(VIPcric_1!H129="","",VIPcric_1!H129)</f>
        <v>0.69</v>
      </c>
      <c r="I127" t="str">
        <f>IF(VIPcric_1!M129="","",VIPcric_1!M129)</f>
        <v>CRIC-中山-市场监测.商品房市场.项目累计.供求.xlsx</v>
      </c>
    </row>
    <row r="128" spans="1:9">
      <c r="A128" t="str">
        <f>IF(VIPcric_1!A130="","",VIPcric_1!A130)</f>
        <v>2022年</v>
      </c>
      <c r="B128">
        <f>IF(VIPcric_1!B130="","",VIPcric_1!B130)</f>
        <v>2991549</v>
      </c>
      <c r="C128">
        <f>IF(VIPcric_1!C130="","",VIPcric_1!C130)</f>
        <v>27479</v>
      </c>
      <c r="D128">
        <f>IF(VIPcric_1!D130="","",VIPcric_1!D130)</f>
        <v>3694292</v>
      </c>
      <c r="E128">
        <f>IF(VIPcric_1!E130="","",VIPcric_1!E130)</f>
        <v>34065</v>
      </c>
      <c r="F128">
        <f>IF(VIPcric_1!F130="","",VIPcric_1!F130)</f>
        <v>14019</v>
      </c>
      <c r="G128">
        <f>IF(VIPcric_1!G130="","",VIPcric_1!G130)</f>
        <v>51791593173</v>
      </c>
      <c r="H128">
        <f>IF(VIPcric_1!H130="","",VIPcric_1!H130)</f>
        <v>0.81</v>
      </c>
      <c r="I128" t="str">
        <f>IF(VIPcric_1!M130="","",VIPcric_1!M130)</f>
        <v>CRIC-中山-市场监测.商品房市场.项目累计.供求.xlsx</v>
      </c>
    </row>
    <row r="129" spans="1:9">
      <c r="A129" t="str">
        <f>IF(VIPcric_1!A131="","",VIPcric_1!A131)</f>
        <v>2021年</v>
      </c>
      <c r="B129">
        <f>IF(VIPcric_1!B131="","",VIPcric_1!B131)</f>
        <v>5476528</v>
      </c>
      <c r="C129">
        <f>IF(VIPcric_1!C131="","",VIPcric_1!C131)</f>
        <v>50799</v>
      </c>
      <c r="D129">
        <f>IF(VIPcric_1!D131="","",VIPcric_1!D131)</f>
        <v>5449535</v>
      </c>
      <c r="E129">
        <f>IF(VIPcric_1!E131="","",VIPcric_1!E131)</f>
        <v>50790</v>
      </c>
      <c r="F129">
        <f>IF(VIPcric_1!F131="","",VIPcric_1!F131)</f>
        <v>15015</v>
      </c>
      <c r="G129">
        <f>IF(VIPcric_1!G131="","",VIPcric_1!G131)</f>
        <v>81825576204</v>
      </c>
      <c r="H129">
        <f>IF(VIPcric_1!H131="","",VIPcric_1!H131)</f>
        <v>1</v>
      </c>
      <c r="I129" t="str">
        <f>IF(VIPcric_1!M131="","",VIPcric_1!M131)</f>
        <v>CRIC-中山-市场监测.商品房市场.项目累计.供求.xlsx</v>
      </c>
    </row>
    <row r="130" spans="1:9">
      <c r="A130" t="str">
        <f>IF(VIPcric_1!A132="","",VIPcric_1!A132)</f>
        <v>2020年</v>
      </c>
      <c r="B130">
        <f>IF(VIPcric_1!B132="","",VIPcric_1!B132)</f>
        <v>4492052</v>
      </c>
      <c r="C130">
        <f>IF(VIPcric_1!C132="","",VIPcric_1!C132)</f>
        <v>43074</v>
      </c>
      <c r="D130">
        <f>IF(VIPcric_1!D132="","",VIPcric_1!D132)</f>
        <v>5664990</v>
      </c>
      <c r="E130">
        <f>IF(VIPcric_1!E132="","",VIPcric_1!E132)</f>
        <v>53068</v>
      </c>
      <c r="F130">
        <f>IF(VIPcric_1!F132="","",VIPcric_1!F132)</f>
        <v>13451</v>
      </c>
      <c r="G130">
        <f>IF(VIPcric_1!G132="","",VIPcric_1!G132)</f>
        <v>76197969979</v>
      </c>
      <c r="H130">
        <f>IF(VIPcric_1!H132="","",VIPcric_1!H132)</f>
        <v>0.79</v>
      </c>
      <c r="I130" t="str">
        <f>IF(VIPcric_1!M132="","",VIPcric_1!M132)</f>
        <v>CRIC-中山-市场监测.商品房市场.项目累计.供求.xlsx</v>
      </c>
    </row>
    <row r="131" spans="1:9">
      <c r="A131" t="str">
        <f>IF(VIPcric_1!A133="","",VIPcric_1!A133)</f>
        <v>2019年</v>
      </c>
      <c r="B131">
        <f>IF(VIPcric_1!B133="","",VIPcric_1!B133)</f>
        <v>5330962</v>
      </c>
      <c r="C131">
        <f>IF(VIPcric_1!C133="","",VIPcric_1!C133)</f>
        <v>49512</v>
      </c>
      <c r="D131">
        <f>IF(VIPcric_1!D133="","",VIPcric_1!D133)</f>
        <v>6472306</v>
      </c>
      <c r="E131">
        <f>IF(VIPcric_1!E133="","",VIPcric_1!E133)</f>
        <v>59579</v>
      </c>
      <c r="F131">
        <f>IF(VIPcric_1!F133="","",VIPcric_1!F133)</f>
        <v>13279</v>
      </c>
      <c r="G131">
        <f>IF(VIPcric_1!G133="","",VIPcric_1!G133)</f>
        <v>85948013111</v>
      </c>
      <c r="H131">
        <f>IF(VIPcric_1!H133="","",VIPcric_1!H133)</f>
        <v>0.82</v>
      </c>
      <c r="I131" t="str">
        <f>IF(VIPcric_1!M133="","",VIPcric_1!M133)</f>
        <v>CRIC-中山-市场监测.商品房市场.项目累计.供求.xlsx</v>
      </c>
    </row>
    <row r="132" spans="1:9">
      <c r="A132" t="str">
        <f>IF(VIPcric_1!A134="","",VIPcric_1!A134)</f>
        <v>汇总</v>
      </c>
      <c r="B132">
        <f>IF(VIPcric_1!B134="","",VIPcric_1!B134)</f>
        <v>20772991</v>
      </c>
      <c r="C132">
        <f>IF(VIPcric_1!C134="","",VIPcric_1!C134)</f>
        <v>194276</v>
      </c>
      <c r="D132">
        <f>IF(VIPcric_1!D134="","",VIPcric_1!D134)</f>
        <v>24709470</v>
      </c>
      <c r="E132">
        <f>IF(VIPcric_1!E134="","",VIPcric_1!E134)</f>
        <v>229483</v>
      </c>
      <c r="F132">
        <f>IF(VIPcric_1!F134="","",VIPcric_1!F134)</f>
        <v>13908</v>
      </c>
      <c r="G132">
        <f>IF(VIPcric_1!G134="","",VIPcric_1!G134)</f>
        <v>343652300392</v>
      </c>
      <c r="H132">
        <f>IF(VIPcric_1!H134="","",VIPcric_1!H134)</f>
        <v>0.84</v>
      </c>
      <c r="I132" t="str">
        <f>IF(VIPcric_1!M134="","",VIPcric_1!M134)</f>
        <v>CRIC-中山-市场监测.商品房市场.项目累计.供求.xlsx</v>
      </c>
    </row>
    <row r="133" spans="1:9">
      <c r="A133" t="str">
        <f>IF(VIPcric_1!A135="","",VIPcric_1!A135)</f>
        <v/>
      </c>
      <c r="B133" t="str">
        <f>IF(VIPcric_1!B135="","",VIPcric_1!B135)</f>
        <v/>
      </c>
      <c r="C133" t="str">
        <f>IF(VIPcric_1!C135="","",VIPcric_1!C135)</f>
        <v/>
      </c>
      <c r="D133" t="str">
        <f>IF(VIPcric_1!D135="","",VIPcric_1!D135)</f>
        <v/>
      </c>
      <c r="E133" t="str">
        <f>IF(VIPcric_1!E135="","",VIPcric_1!E135)</f>
        <v/>
      </c>
      <c r="F133" t="str">
        <f>IF(VIPcric_1!F135="","",VIPcric_1!F135)</f>
        <v/>
      </c>
      <c r="G133" t="str">
        <f>IF(VIPcric_1!G135="","",VIPcric_1!G135)</f>
        <v/>
      </c>
      <c r="H133" t="str">
        <f>IF(VIPcric_1!H135="","",VIPcric_1!H135)</f>
        <v/>
      </c>
      <c r="I133" t="str">
        <f>IF(VIPcric_1!M135="","",VIPcric_1!M135)</f>
        <v/>
      </c>
    </row>
    <row r="134" spans="1:9">
      <c r="A134" t="str">
        <f>IF(VIPcric_1!A136="","",VIPcric_1!A136)</f>
        <v/>
      </c>
      <c r="B134" t="str">
        <f>IF(VIPcric_1!B136="","",VIPcric_1!B136)</f>
        <v/>
      </c>
      <c r="C134" t="str">
        <f>IF(VIPcric_1!C136="","",VIPcric_1!C136)</f>
        <v/>
      </c>
      <c r="D134" t="str">
        <f>IF(VIPcric_1!D136="","",VIPcric_1!D136)</f>
        <v/>
      </c>
      <c r="E134" t="str">
        <f>IF(VIPcric_1!E136="","",VIPcric_1!E136)</f>
        <v/>
      </c>
      <c r="F134" t="str">
        <f>IF(VIPcric_1!F136="","",VIPcric_1!F136)</f>
        <v/>
      </c>
      <c r="G134" t="str">
        <f>IF(VIPcric_1!G136="","",VIPcric_1!G136)</f>
        <v/>
      </c>
      <c r="H134" t="str">
        <f>IF(VIPcric_1!H136="","",VIPcric_1!H136)</f>
        <v/>
      </c>
      <c r="I134" t="str">
        <f>IF(VIPcric_1!M136="","",VIPcric_1!M136)</f>
        <v>CRIC-中山-市场监测.商品房市场.项目累计.库存.xlsx</v>
      </c>
    </row>
    <row r="135" spans="1:9">
      <c r="A135" t="str">
        <f>IF(VIPcric_1!A137="","",VIPcric_1!A137)</f>
        <v>时间(年)</v>
      </c>
      <c r="B135" t="str">
        <f>IF(VIPcric_1!B137="","",VIPcric_1!B137)</f>
        <v>库存面积(㎡)</v>
      </c>
      <c r="C135" t="str">
        <f>IF(VIPcric_1!C137="","",VIPcric_1!C137)</f>
        <v>库存面积同比(%)</v>
      </c>
      <c r="D135" t="str">
        <f>IF(VIPcric_1!D137="","",VIPcric_1!D137)</f>
        <v>库存面积环比(%)</v>
      </c>
      <c r="E135" t="str">
        <f>IF(VIPcric_1!E137="","",VIPcric_1!E137)</f>
        <v>库存套数(套)</v>
      </c>
      <c r="F135" t="str">
        <f>IF(VIPcric_1!F137="","",VIPcric_1!F137)</f>
        <v>库存套数同比(%)</v>
      </c>
      <c r="G135" t="str">
        <f>IF(VIPcric_1!G137="","",VIPcric_1!G137)</f>
        <v>库存套数环比(%)</v>
      </c>
      <c r="H135" t="str">
        <f>IF(VIPcric_1!H137="","",VIPcric_1!H137)</f>
        <v>去化周期3'(月)</v>
      </c>
      <c r="I135" t="str">
        <f>IF(VIPcric_1!M137="","",VIPcric_1!M137)</f>
        <v>CRIC-中山-市场监测.商品房市场.项目累计.库存.xlsx</v>
      </c>
    </row>
    <row r="136" spans="1:9">
      <c r="A136" t="str">
        <f>IF(VIPcric_1!A138="","",VIPcric_1!A138)</f>
        <v>2024年</v>
      </c>
      <c r="B136">
        <f>IF(VIPcric_1!B138="","",VIPcric_1!B138)</f>
        <v>5237018</v>
      </c>
      <c r="C136">
        <f>IF(VIPcric_1!C138="","",VIPcric_1!C138)</f>
        <v>-2.2999999999999998</v>
      </c>
      <c r="D136">
        <f>IF(VIPcric_1!D138="","",VIPcric_1!D138)</f>
        <v>-2.2999999999999998</v>
      </c>
      <c r="E136">
        <f>IF(VIPcric_1!E138="","",VIPcric_1!E138)</f>
        <v>46251</v>
      </c>
      <c r="F136">
        <f>IF(VIPcric_1!F138="","",VIPcric_1!F138)</f>
        <v>-2.29</v>
      </c>
      <c r="G136">
        <f>IF(VIPcric_1!G138="","",VIPcric_1!G138)</f>
        <v>-2.29</v>
      </c>
      <c r="H136">
        <f>IF(VIPcric_1!H138="","",VIPcric_1!H138)</f>
        <v>25.7</v>
      </c>
      <c r="I136" t="str">
        <f>IF(VIPcric_1!M138="","",VIPcric_1!M138)</f>
        <v>CRIC-中山-市场监测.商品房市场.项目累计.库存.xlsx</v>
      </c>
    </row>
    <row r="137" spans="1:9">
      <c r="A137" t="str">
        <f>IF(VIPcric_1!A139="","",VIPcric_1!A139)</f>
        <v>2023年</v>
      </c>
      <c r="B137">
        <f>IF(VIPcric_1!B139="","",VIPcric_1!B139)</f>
        <v>5360330</v>
      </c>
      <c r="C137">
        <f>IF(VIPcric_1!C139="","",VIPcric_1!C139)</f>
        <v>6.33</v>
      </c>
      <c r="D137">
        <f>IF(VIPcric_1!D139="","",VIPcric_1!D139)</f>
        <v>6.33</v>
      </c>
      <c r="E137">
        <f>IF(VIPcric_1!E139="","",VIPcric_1!E139)</f>
        <v>47333</v>
      </c>
      <c r="F137">
        <f>IF(VIPcric_1!F139="","",VIPcric_1!F139)</f>
        <v>2.85</v>
      </c>
      <c r="G137">
        <f>IF(VIPcric_1!G139="","",VIPcric_1!G139)</f>
        <v>2.85</v>
      </c>
      <c r="H137">
        <f>IF(VIPcric_1!H139="","",VIPcric_1!H139)</f>
        <v>22.6</v>
      </c>
      <c r="I137" t="str">
        <f>IF(VIPcric_1!M139="","",VIPcric_1!M139)</f>
        <v>CRIC-中山-市场监测.商品房市场.项目累计.库存.xlsx</v>
      </c>
    </row>
    <row r="138" spans="1:9">
      <c r="A138" t="str">
        <f>IF(VIPcric_1!A140="","",VIPcric_1!A140)</f>
        <v>2022年</v>
      </c>
      <c r="B138">
        <f>IF(VIPcric_1!B140="","",VIPcric_1!B140)</f>
        <v>5041304</v>
      </c>
      <c r="C138">
        <f>IF(VIPcric_1!C140="","",VIPcric_1!C140)</f>
        <v>-19.21</v>
      </c>
      <c r="D138">
        <f>IF(VIPcric_1!D140="","",VIPcric_1!D140)</f>
        <v>-19.21</v>
      </c>
      <c r="E138">
        <f>IF(VIPcric_1!E140="","",VIPcric_1!E140)</f>
        <v>46021</v>
      </c>
      <c r="F138">
        <f>IF(VIPcric_1!F140="","",VIPcric_1!F140)</f>
        <v>-19.22</v>
      </c>
      <c r="G138">
        <f>IF(VIPcric_1!G140="","",VIPcric_1!G140)</f>
        <v>-19.22</v>
      </c>
      <c r="H138">
        <f>IF(VIPcric_1!H140="","",VIPcric_1!H140)</f>
        <v>18.899999999999999</v>
      </c>
      <c r="I138" t="str">
        <f>IF(VIPcric_1!M140="","",VIPcric_1!M140)</f>
        <v>CRIC-中山-市场监测.商品房市场.项目累计.库存.xlsx</v>
      </c>
    </row>
    <row r="139" spans="1:9">
      <c r="A139" t="str">
        <f>IF(VIPcric_1!A141="","",VIPcric_1!A141)</f>
        <v>2021年</v>
      </c>
      <c r="B139">
        <f>IF(VIPcric_1!B141="","",VIPcric_1!B141)</f>
        <v>6239701</v>
      </c>
      <c r="C139">
        <f>IF(VIPcric_1!C141="","",VIPcric_1!C141)</f>
        <v>0.57999999999999996</v>
      </c>
      <c r="D139">
        <f>IF(VIPcric_1!D141="","",VIPcric_1!D141)</f>
        <v>0.57999999999999996</v>
      </c>
      <c r="E139">
        <f>IF(VIPcric_1!E141="","",VIPcric_1!E141)</f>
        <v>56972</v>
      </c>
      <c r="F139">
        <f>IF(VIPcric_1!F141="","",VIPcric_1!F141)</f>
        <v>0.76</v>
      </c>
      <c r="G139">
        <f>IF(VIPcric_1!G141="","",VIPcric_1!G141)</f>
        <v>0.76</v>
      </c>
      <c r="H139">
        <f>IF(VIPcric_1!H141="","",VIPcric_1!H141)</f>
        <v>18.3</v>
      </c>
      <c r="I139" t="str">
        <f>IF(VIPcric_1!M141="","",VIPcric_1!M141)</f>
        <v>CRIC-中山-市场监测.商品房市场.项目累计.库存.xlsx</v>
      </c>
    </row>
    <row r="140" spans="1:9">
      <c r="A140" t="str">
        <f>IF(VIPcric_1!A142="","",VIPcric_1!A142)</f>
        <v>2020年</v>
      </c>
      <c r="B140">
        <f>IF(VIPcric_1!B142="","",VIPcric_1!B142)</f>
        <v>6204015</v>
      </c>
      <c r="C140">
        <f>IF(VIPcric_1!C142="","",VIPcric_1!C142)</f>
        <v>0</v>
      </c>
      <c r="D140">
        <f>IF(VIPcric_1!D142="","",VIPcric_1!D142)</f>
        <v>0</v>
      </c>
      <c r="E140">
        <f>IF(VIPcric_1!E142="","",VIPcric_1!E142)</f>
        <v>56543</v>
      </c>
      <c r="F140">
        <f>IF(VIPcric_1!F142="","",VIPcric_1!F142)</f>
        <v>0</v>
      </c>
      <c r="G140">
        <f>IF(VIPcric_1!G142="","",VIPcric_1!G142)</f>
        <v>0</v>
      </c>
      <c r="H140">
        <f>IF(VIPcric_1!H142="","",VIPcric_1!H142)</f>
        <v>10.8</v>
      </c>
      <c r="I140" t="str">
        <f>IF(VIPcric_1!M142="","",VIPcric_1!M142)</f>
        <v>CRIC-中山-市场监测.商品房市场.项目累计.库存.xlsx</v>
      </c>
    </row>
    <row r="141" spans="1:9">
      <c r="A141" t="str">
        <f>IF(VIPcric_1!A143="","",VIPcric_1!A143)</f>
        <v>2019年</v>
      </c>
      <c r="B141">
        <f>IF(VIPcric_1!B143="","",VIPcric_1!B143)</f>
        <v>0</v>
      </c>
      <c r="C141">
        <f>IF(VIPcric_1!C143="","",VIPcric_1!C143)</f>
        <v>0</v>
      </c>
      <c r="D141">
        <f>IF(VIPcric_1!D143="","",VIPcric_1!D143)</f>
        <v>0</v>
      </c>
      <c r="E141">
        <f>IF(VIPcric_1!E143="","",VIPcric_1!E143)</f>
        <v>0</v>
      </c>
      <c r="F141">
        <f>IF(VIPcric_1!F143="","",VIPcric_1!F143)</f>
        <v>0</v>
      </c>
      <c r="G141">
        <f>IF(VIPcric_1!G143="","",VIPcric_1!G143)</f>
        <v>0</v>
      </c>
      <c r="H141">
        <f>IF(VIPcric_1!H143="","",VIPcric_1!H143)</f>
        <v>0</v>
      </c>
      <c r="I141" t="str">
        <f>IF(VIPcric_1!M143="","",VIPcric_1!M143)</f>
        <v>CRIC-中山-市场监测.商品房市场.项目累计.库存.xlsx</v>
      </c>
    </row>
    <row r="142" spans="1:9">
      <c r="A142" t="str">
        <f>IF(VIPcric_1!A144="","",VIPcric_1!A144)</f>
        <v/>
      </c>
      <c r="B142" t="str">
        <f>IF(VIPcric_1!B144="","",VIPcric_1!B144)</f>
        <v/>
      </c>
      <c r="C142" t="str">
        <f>IF(VIPcric_1!C144="","",VIPcric_1!C144)</f>
        <v/>
      </c>
      <c r="D142" t="str">
        <f>IF(VIPcric_1!D144="","",VIPcric_1!D144)</f>
        <v/>
      </c>
      <c r="E142" t="str">
        <f>IF(VIPcric_1!E144="","",VIPcric_1!E144)</f>
        <v/>
      </c>
      <c r="F142" t="str">
        <f>IF(VIPcric_1!F144="","",VIPcric_1!F144)</f>
        <v/>
      </c>
      <c r="G142" t="str">
        <f>IF(VIPcric_1!G144="","",VIPcric_1!G144)</f>
        <v/>
      </c>
      <c r="H142" t="str">
        <f>IF(VIPcric_1!H144="","",VIPcric_1!H144)</f>
        <v/>
      </c>
      <c r="I142" t="str">
        <f>IF(VIPcric_1!M144="","",VIPcric_1!M144)</f>
        <v/>
      </c>
    </row>
    <row r="143" spans="1:9">
      <c r="A143" t="str">
        <f>IF(VIPcric_1!A145="","",VIPcric_1!A145)</f>
        <v/>
      </c>
      <c r="B143" t="str">
        <f>IF(VIPcric_1!B145="","",VIPcric_1!B145)</f>
        <v/>
      </c>
      <c r="C143" t="str">
        <f>IF(VIPcric_1!C145="","",VIPcric_1!C145)</f>
        <v/>
      </c>
      <c r="D143" t="str">
        <f>IF(VIPcric_1!D145="","",VIPcric_1!D145)</f>
        <v/>
      </c>
      <c r="E143" t="str">
        <f>IF(VIPcric_1!E145="","",VIPcric_1!E145)</f>
        <v/>
      </c>
      <c r="F143" t="str">
        <f>IF(VIPcric_1!F145="","",VIPcric_1!F145)</f>
        <v/>
      </c>
      <c r="G143" t="str">
        <f>IF(VIPcric_1!G145="","",VIPcric_1!G145)</f>
        <v/>
      </c>
      <c r="H143" t="str">
        <f>IF(VIPcric_1!H145="","",VIPcric_1!H145)</f>
        <v/>
      </c>
      <c r="I143" t="str">
        <f>IF(VIPcric_1!M145="","",VIPcric_1!M145)</f>
        <v>CRIC-临高-市场监测.商品房市场.项目累计.供求.xlsx</v>
      </c>
    </row>
    <row r="144" spans="1:9">
      <c r="A144" t="str">
        <f>IF(VIPcric_1!A146="","",VIPcric_1!A146)</f>
        <v>时间(年)</v>
      </c>
      <c r="B144" t="str">
        <f>IF(VIPcric_1!B146="","",VIPcric_1!B146)</f>
        <v>供应面积(㎡)</v>
      </c>
      <c r="C144" t="str">
        <f>IF(VIPcric_1!C146="","",VIPcric_1!C146)</f>
        <v>供应套数(套)</v>
      </c>
      <c r="D144" t="str">
        <f>IF(VIPcric_1!D146="","",VIPcric_1!D146)</f>
        <v>成交面积(㎡)</v>
      </c>
      <c r="E144" t="str">
        <f>IF(VIPcric_1!E146="","",VIPcric_1!E146)</f>
        <v>成交套数(套)</v>
      </c>
      <c r="F144" t="str">
        <f>IF(VIPcric_1!F146="","",VIPcric_1!F146)</f>
        <v>成交均价(元/㎡)</v>
      </c>
      <c r="G144" t="str">
        <f>IF(VIPcric_1!G146="","",VIPcric_1!G146)</f>
        <v>成交金额(元)</v>
      </c>
      <c r="H144" t="str">
        <f>IF(VIPcric_1!H146="","",VIPcric_1!H146)</f>
        <v>供求比</v>
      </c>
      <c r="I144" t="str">
        <f>IF(VIPcric_1!M146="","",VIPcric_1!M146)</f>
        <v>CRIC-临高-市场监测.商品房市场.项目累计.供求.xlsx</v>
      </c>
    </row>
    <row r="145" spans="1:9">
      <c r="A145" t="str">
        <f>IF(VIPcric_1!A147="","",VIPcric_1!A147)</f>
        <v>2024年</v>
      </c>
      <c r="B145">
        <f>IF(VIPcric_1!B147="","",VIPcric_1!B147)</f>
        <v>0</v>
      </c>
      <c r="C145">
        <f>IF(VIPcric_1!C147="","",VIPcric_1!C147)</f>
        <v>0</v>
      </c>
      <c r="D145">
        <f>IF(VIPcric_1!D147="","",VIPcric_1!D147)</f>
        <v>30292</v>
      </c>
      <c r="E145">
        <f>IF(VIPcric_1!E147="","",VIPcric_1!E147)</f>
        <v>390</v>
      </c>
      <c r="F145">
        <f>IF(VIPcric_1!F147="","",VIPcric_1!F147)</f>
        <v>10091</v>
      </c>
      <c r="G145">
        <f>IF(VIPcric_1!G147="","",VIPcric_1!G147)</f>
        <v>305681456</v>
      </c>
      <c r="H145">
        <f>IF(VIPcric_1!H147="","",VIPcric_1!H147)</f>
        <v>0</v>
      </c>
      <c r="I145" t="str">
        <f>IF(VIPcric_1!M147="","",VIPcric_1!M147)</f>
        <v>CRIC-临高-市场监测.商品房市场.项目累计.供求.xlsx</v>
      </c>
    </row>
    <row r="146" spans="1:9">
      <c r="A146" t="str">
        <f>IF(VIPcric_1!A148="","",VIPcric_1!A148)</f>
        <v>2023年</v>
      </c>
      <c r="B146">
        <f>IF(VIPcric_1!B148="","",VIPcric_1!B148)</f>
        <v>258288</v>
      </c>
      <c r="C146">
        <f>IF(VIPcric_1!C148="","",VIPcric_1!C148)</f>
        <v>3206</v>
      </c>
      <c r="D146">
        <f>IF(VIPcric_1!D148="","",VIPcric_1!D148)</f>
        <v>237707</v>
      </c>
      <c r="E146">
        <f>IF(VIPcric_1!E148="","",VIPcric_1!E148)</f>
        <v>2895</v>
      </c>
      <c r="F146">
        <f>IF(VIPcric_1!F148="","",VIPcric_1!F148)</f>
        <v>10601</v>
      </c>
      <c r="G146">
        <f>IF(VIPcric_1!G148="","",VIPcric_1!G148)</f>
        <v>2519888700</v>
      </c>
      <c r="H146">
        <f>IF(VIPcric_1!H148="","",VIPcric_1!H148)</f>
        <v>1.0900000000000001</v>
      </c>
      <c r="I146" t="str">
        <f>IF(VIPcric_1!M148="","",VIPcric_1!M148)</f>
        <v>CRIC-临高-市场监测.商品房市场.项目累计.供求.xlsx</v>
      </c>
    </row>
    <row r="147" spans="1:9">
      <c r="A147" t="str">
        <f>IF(VIPcric_1!A149="","",VIPcric_1!A149)</f>
        <v>2022年</v>
      </c>
      <c r="B147">
        <f>IF(VIPcric_1!B149="","",VIPcric_1!B149)</f>
        <v>190260</v>
      </c>
      <c r="C147">
        <f>IF(VIPcric_1!C149="","",VIPcric_1!C149)</f>
        <v>2009</v>
      </c>
      <c r="D147">
        <f>IF(VIPcric_1!D149="","",VIPcric_1!D149)</f>
        <v>172191</v>
      </c>
      <c r="E147">
        <f>IF(VIPcric_1!E149="","",VIPcric_1!E149)</f>
        <v>2305</v>
      </c>
      <c r="F147">
        <f>IF(VIPcric_1!F149="","",VIPcric_1!F149)</f>
        <v>10335</v>
      </c>
      <c r="G147">
        <f>IF(VIPcric_1!G149="","",VIPcric_1!G149)</f>
        <v>1779678648</v>
      </c>
      <c r="H147">
        <f>IF(VIPcric_1!H149="","",VIPcric_1!H149)</f>
        <v>1.1000000000000001</v>
      </c>
      <c r="I147" t="str">
        <f>IF(VIPcric_1!M149="","",VIPcric_1!M149)</f>
        <v>CRIC-临高-市场监测.商品房市场.项目累计.供求.xlsx</v>
      </c>
    </row>
    <row r="148" spans="1:9">
      <c r="A148" t="str">
        <f>IF(VIPcric_1!A150="","",VIPcric_1!A150)</f>
        <v>2021年</v>
      </c>
      <c r="B148">
        <f>IF(VIPcric_1!B150="","",VIPcric_1!B150)</f>
        <v>0</v>
      </c>
      <c r="C148">
        <f>IF(VIPcric_1!C150="","",VIPcric_1!C150)</f>
        <v>0</v>
      </c>
      <c r="D148">
        <f>IF(VIPcric_1!D150="","",VIPcric_1!D150)</f>
        <v>14674</v>
      </c>
      <c r="E148">
        <f>IF(VIPcric_1!E150="","",VIPcric_1!E150)</f>
        <v>190</v>
      </c>
      <c r="F148">
        <f>IF(VIPcric_1!F150="","",VIPcric_1!F150)</f>
        <v>10354</v>
      </c>
      <c r="G148">
        <f>IF(VIPcric_1!G150="","",VIPcric_1!G150)</f>
        <v>151940543</v>
      </c>
      <c r="H148">
        <f>IF(VIPcric_1!H150="","",VIPcric_1!H150)</f>
        <v>0</v>
      </c>
      <c r="I148" t="str">
        <f>IF(VIPcric_1!M150="","",VIPcric_1!M150)</f>
        <v>CRIC-临高-市场监测.商品房市场.项目累计.供求.xlsx</v>
      </c>
    </row>
    <row r="149" spans="1:9">
      <c r="A149" t="str">
        <f>IF(VIPcric_1!A151="","",VIPcric_1!A151)</f>
        <v>汇总</v>
      </c>
      <c r="B149">
        <f>IF(VIPcric_1!B151="","",VIPcric_1!B151)</f>
        <v>448548</v>
      </c>
      <c r="C149">
        <f>IF(VIPcric_1!C151="","",VIPcric_1!C151)</f>
        <v>5215</v>
      </c>
      <c r="D149">
        <f>IF(VIPcric_1!D151="","",VIPcric_1!D151)</f>
        <v>454864</v>
      </c>
      <c r="E149">
        <f>IF(VIPcric_1!E151="","",VIPcric_1!E151)</f>
        <v>5780</v>
      </c>
      <c r="F149">
        <f>IF(VIPcric_1!F151="","",VIPcric_1!F151)</f>
        <v>10458</v>
      </c>
      <c r="G149">
        <f>IF(VIPcric_1!G151="","",VIPcric_1!G151)</f>
        <v>4757189348</v>
      </c>
      <c r="H149">
        <f>IF(VIPcric_1!H151="","",VIPcric_1!H151)</f>
        <v>0.99</v>
      </c>
      <c r="I149" t="str">
        <f>IF(VIPcric_1!M151="","",VIPcric_1!M151)</f>
        <v>CRIC-临高-市场监测.商品房市场.项目累计.供求.xlsx</v>
      </c>
    </row>
    <row r="150" spans="1:9">
      <c r="A150" t="str">
        <f>IF(VIPcric_1!A152="","",VIPcric_1!A152)</f>
        <v/>
      </c>
      <c r="B150" t="str">
        <f>IF(VIPcric_1!B152="","",VIPcric_1!B152)</f>
        <v/>
      </c>
      <c r="C150" t="str">
        <f>IF(VIPcric_1!C152="","",VIPcric_1!C152)</f>
        <v/>
      </c>
      <c r="D150" t="str">
        <f>IF(VIPcric_1!D152="","",VIPcric_1!D152)</f>
        <v/>
      </c>
      <c r="E150" t="str">
        <f>IF(VIPcric_1!E152="","",VIPcric_1!E152)</f>
        <v/>
      </c>
      <c r="F150" t="str">
        <f>IF(VIPcric_1!F152="","",VIPcric_1!F152)</f>
        <v/>
      </c>
      <c r="G150" t="str">
        <f>IF(VIPcric_1!G152="","",VIPcric_1!G152)</f>
        <v/>
      </c>
      <c r="H150" t="str">
        <f>IF(VIPcric_1!H152="","",VIPcric_1!H152)</f>
        <v/>
      </c>
      <c r="I150" t="str">
        <f>IF(VIPcric_1!M152="","",VIPcric_1!M152)</f>
        <v/>
      </c>
    </row>
    <row r="151" spans="1:9">
      <c r="A151" t="str">
        <f>IF(VIPcric_1!A153="","",VIPcric_1!A153)</f>
        <v/>
      </c>
      <c r="B151" t="str">
        <f>IF(VIPcric_1!B153="","",VIPcric_1!B153)</f>
        <v/>
      </c>
      <c r="C151" t="str">
        <f>IF(VIPcric_1!C153="","",VIPcric_1!C153)</f>
        <v/>
      </c>
      <c r="D151" t="str">
        <f>IF(VIPcric_1!D153="","",VIPcric_1!D153)</f>
        <v/>
      </c>
      <c r="E151" t="str">
        <f>IF(VIPcric_1!E153="","",VIPcric_1!E153)</f>
        <v/>
      </c>
      <c r="F151" t="str">
        <f>IF(VIPcric_1!F153="","",VIPcric_1!F153)</f>
        <v/>
      </c>
      <c r="G151" t="str">
        <f>IF(VIPcric_1!G153="","",VIPcric_1!G153)</f>
        <v/>
      </c>
      <c r="H151" t="str">
        <f>IF(VIPcric_1!H153="","",VIPcric_1!H153)</f>
        <v/>
      </c>
      <c r="I151" t="str">
        <f>IF(VIPcric_1!M153="","",VIPcric_1!M153)</f>
        <v>CRIC-临高-市场监测.商品房市场.项目累计.库存.xlsx</v>
      </c>
    </row>
    <row r="152" spans="1:9">
      <c r="A152" t="str">
        <f>IF(VIPcric_1!A154="","",VIPcric_1!A154)</f>
        <v>时间(年)</v>
      </c>
      <c r="B152" t="str">
        <f>IF(VIPcric_1!B154="","",VIPcric_1!B154)</f>
        <v>库存面积(㎡)</v>
      </c>
      <c r="C152" t="str">
        <f>IF(VIPcric_1!C154="","",VIPcric_1!C154)</f>
        <v>库存套数(套)</v>
      </c>
      <c r="D152" t="str">
        <f>IF(VIPcric_1!D154="","",VIPcric_1!D154)</f>
        <v>去化周期12'(月)</v>
      </c>
      <c r="E152" t="str">
        <f>IF(VIPcric_1!E154="","",VIPcric_1!E154)</f>
        <v/>
      </c>
      <c r="F152" t="str">
        <f>IF(VIPcric_1!F154="","",VIPcric_1!F154)</f>
        <v/>
      </c>
      <c r="G152" t="str">
        <f>IF(VIPcric_1!G154="","",VIPcric_1!G154)</f>
        <v/>
      </c>
      <c r="H152" t="str">
        <f>IF(VIPcric_1!H154="","",VIPcric_1!H154)</f>
        <v/>
      </c>
      <c r="I152" t="str">
        <f>IF(VIPcric_1!M154="","",VIPcric_1!M154)</f>
        <v>CRIC-临高-市场监测.商品房市场.项目累计.库存.xlsx</v>
      </c>
    </row>
    <row r="153" spans="1:9">
      <c r="A153" t="str">
        <f>IF(VIPcric_1!A155="","",VIPcric_1!A155)</f>
        <v>2024年</v>
      </c>
      <c r="B153">
        <f>IF(VIPcric_1!B155="","",VIPcric_1!B155)</f>
        <v>1423687</v>
      </c>
      <c r="C153">
        <f>IF(VIPcric_1!C155="","",VIPcric_1!C155)</f>
        <v>18088</v>
      </c>
      <c r="D153">
        <f>IF(VIPcric_1!D155="","",VIPcric_1!D155)</f>
        <v>64.7</v>
      </c>
      <c r="E153" t="str">
        <f>IF(VIPcric_1!E155="","",VIPcric_1!E155)</f>
        <v/>
      </c>
      <c r="F153" t="str">
        <f>IF(VIPcric_1!F155="","",VIPcric_1!F155)</f>
        <v/>
      </c>
      <c r="G153" t="str">
        <f>IF(VIPcric_1!G155="","",VIPcric_1!G155)</f>
        <v/>
      </c>
      <c r="H153" t="str">
        <f>IF(VIPcric_1!H155="","",VIPcric_1!H155)</f>
        <v/>
      </c>
      <c r="I153" t="str">
        <f>IF(VIPcric_1!M155="","",VIPcric_1!M155)</f>
        <v>CRIC-临高-市场监测.商品房市场.项目累计.库存.xlsx</v>
      </c>
    </row>
    <row r="154" spans="1:9">
      <c r="A154" t="str">
        <f>IF(VIPcric_1!A156="","",VIPcric_1!A156)</f>
        <v>2023年</v>
      </c>
      <c r="B154">
        <f>IF(VIPcric_1!B156="","",VIPcric_1!B156)</f>
        <v>1457749</v>
      </c>
      <c r="C154">
        <f>IF(VIPcric_1!C156="","",VIPcric_1!C156)</f>
        <v>18518</v>
      </c>
      <c r="D154">
        <f>IF(VIPcric_1!D156="","",VIPcric_1!D156)</f>
        <v>73.599999999999994</v>
      </c>
      <c r="E154" t="str">
        <f>IF(VIPcric_1!E156="","",VIPcric_1!E156)</f>
        <v/>
      </c>
      <c r="F154" t="str">
        <f>IF(VIPcric_1!F156="","",VIPcric_1!F156)</f>
        <v/>
      </c>
      <c r="G154" t="str">
        <f>IF(VIPcric_1!G156="","",VIPcric_1!G156)</f>
        <v/>
      </c>
      <c r="H154" t="str">
        <f>IF(VIPcric_1!H156="","",VIPcric_1!H156)</f>
        <v/>
      </c>
      <c r="I154" t="str">
        <f>IF(VIPcric_1!M156="","",VIPcric_1!M156)</f>
        <v>CRIC-临高-市场监测.商品房市场.项目累计.库存.xlsx</v>
      </c>
    </row>
    <row r="155" spans="1:9">
      <c r="A155" t="str">
        <f>IF(VIPcric_1!A157="","",VIPcric_1!A157)</f>
        <v>2022年</v>
      </c>
      <c r="B155">
        <f>IF(VIPcric_1!B157="","",VIPcric_1!B157)</f>
        <v>1438658</v>
      </c>
      <c r="C155">
        <f>IF(VIPcric_1!C157="","",VIPcric_1!C157)</f>
        <v>18277</v>
      </c>
      <c r="D155">
        <f>IF(VIPcric_1!D157="","",VIPcric_1!D157)</f>
        <v>100.3</v>
      </c>
      <c r="E155" t="str">
        <f>IF(VIPcric_1!E157="","",VIPcric_1!E157)</f>
        <v/>
      </c>
      <c r="F155" t="str">
        <f>IF(VIPcric_1!F157="","",VIPcric_1!F157)</f>
        <v/>
      </c>
      <c r="G155" t="str">
        <f>IF(VIPcric_1!G157="","",VIPcric_1!G157)</f>
        <v/>
      </c>
      <c r="H155" t="str">
        <f>IF(VIPcric_1!H157="","",VIPcric_1!H157)</f>
        <v/>
      </c>
      <c r="I155" t="str">
        <f>IF(VIPcric_1!M157="","",VIPcric_1!M157)</f>
        <v>CRIC-临高-市场监测.商品房市场.项目累计.库存.xlsx</v>
      </c>
    </row>
    <row r="156" spans="1:9">
      <c r="A156" t="str">
        <f>IF(VIPcric_1!A158="","",VIPcric_1!A158)</f>
        <v>2021年</v>
      </c>
      <c r="B156">
        <f>IF(VIPcric_1!B158="","",VIPcric_1!B158)</f>
        <v>1474045</v>
      </c>
      <c r="C156">
        <f>IF(VIPcric_1!C158="","",VIPcric_1!C158)</f>
        <v>19286</v>
      </c>
      <c r="D156">
        <f>IF(VIPcric_1!D158="","",VIPcric_1!D158)</f>
        <v>1205.4000000000001</v>
      </c>
      <c r="E156" t="str">
        <f>IF(VIPcric_1!E158="","",VIPcric_1!E158)</f>
        <v/>
      </c>
      <c r="F156" t="str">
        <f>IF(VIPcric_1!F158="","",VIPcric_1!F158)</f>
        <v/>
      </c>
      <c r="G156" t="str">
        <f>IF(VIPcric_1!G158="","",VIPcric_1!G158)</f>
        <v/>
      </c>
      <c r="H156" t="str">
        <f>IF(VIPcric_1!H158="","",VIPcric_1!H158)</f>
        <v/>
      </c>
      <c r="I156" t="str">
        <f>IF(VIPcric_1!M158="","",VIPcric_1!M158)</f>
        <v>CRIC-临高-市场监测.商品房市场.项目累计.库存.xlsx</v>
      </c>
    </row>
    <row r="157" spans="1:9">
      <c r="A157" t="str">
        <f>IF(VIPcric_1!A159="","",VIPcric_1!A159)</f>
        <v/>
      </c>
      <c r="B157" t="str">
        <f>IF(VIPcric_1!B159="","",VIPcric_1!B159)</f>
        <v/>
      </c>
      <c r="C157" t="str">
        <f>IF(VIPcric_1!C159="","",VIPcric_1!C159)</f>
        <v/>
      </c>
      <c r="D157" t="str">
        <f>IF(VIPcric_1!D159="","",VIPcric_1!D159)</f>
        <v/>
      </c>
      <c r="E157" t="str">
        <f>IF(VIPcric_1!E159="","",VIPcric_1!E159)</f>
        <v/>
      </c>
      <c r="F157" t="str">
        <f>IF(VIPcric_1!F159="","",VIPcric_1!F159)</f>
        <v/>
      </c>
      <c r="G157" t="str">
        <f>IF(VIPcric_1!G159="","",VIPcric_1!G159)</f>
        <v/>
      </c>
      <c r="H157" t="str">
        <f>IF(VIPcric_1!H159="","",VIPcric_1!H159)</f>
        <v/>
      </c>
      <c r="I157" t="str">
        <f>IF(VIPcric_1!M159="","",VIPcric_1!M159)</f>
        <v/>
      </c>
    </row>
    <row r="158" spans="1:9">
      <c r="A158" t="str">
        <f>IF(VIPcric_1!A160="","",VIPcric_1!A160)</f>
        <v/>
      </c>
      <c r="B158" t="str">
        <f>IF(VIPcric_1!B160="","",VIPcric_1!B160)</f>
        <v/>
      </c>
      <c r="C158" t="str">
        <f>IF(VIPcric_1!C160="","",VIPcric_1!C160)</f>
        <v/>
      </c>
      <c r="D158" t="str">
        <f>IF(VIPcric_1!D160="","",VIPcric_1!D160)</f>
        <v/>
      </c>
      <c r="E158" t="str">
        <f>IF(VIPcric_1!E160="","",VIPcric_1!E160)</f>
        <v/>
      </c>
      <c r="F158" t="str">
        <f>IF(VIPcric_1!F160="","",VIPcric_1!F160)</f>
        <v/>
      </c>
      <c r="G158" t="str">
        <f>IF(VIPcric_1!G160="","",VIPcric_1!G160)</f>
        <v/>
      </c>
      <c r="H158" t="str">
        <f>IF(VIPcric_1!H160="","",VIPcric_1!H160)</f>
        <v/>
      </c>
      <c r="I158" t="str">
        <f>IF(VIPcric_1!M160="","",VIPcric_1!M160)</f>
        <v>CRIC-丽水-市场监测.商品房市场.项目累计.供求.xlsx</v>
      </c>
    </row>
    <row r="159" spans="1:9">
      <c r="A159" t="str">
        <f>IF(VIPcric_1!A161="","",VIPcric_1!A161)</f>
        <v>时间(年)</v>
      </c>
      <c r="B159" t="str">
        <f>IF(VIPcric_1!B161="","",VIPcric_1!B161)</f>
        <v>供应面积(㎡)</v>
      </c>
      <c r="C159" t="str">
        <f>IF(VIPcric_1!C161="","",VIPcric_1!C161)</f>
        <v>供应套数(套)</v>
      </c>
      <c r="D159" t="str">
        <f>IF(VIPcric_1!D161="","",VIPcric_1!D161)</f>
        <v>成交面积(㎡)</v>
      </c>
      <c r="E159" t="str">
        <f>IF(VIPcric_1!E161="","",VIPcric_1!E161)</f>
        <v>成交套数(套)</v>
      </c>
      <c r="F159" t="str">
        <f>IF(VIPcric_1!F161="","",VIPcric_1!F161)</f>
        <v>成交均价(元/㎡)</v>
      </c>
      <c r="G159" t="str">
        <f>IF(VIPcric_1!G161="","",VIPcric_1!G161)</f>
        <v>成交金额(元)</v>
      </c>
      <c r="H159" t="str">
        <f>IF(VIPcric_1!H161="","",VIPcric_1!H161)</f>
        <v>供求比</v>
      </c>
      <c r="I159" t="str">
        <f>IF(VIPcric_1!M161="","",VIPcric_1!M161)</f>
        <v>CRIC-丽水-市场监测.商品房市场.项目累计.供求.xlsx</v>
      </c>
    </row>
    <row r="160" spans="1:9">
      <c r="A160" t="str">
        <f>IF(VIPcric_1!A162="","",VIPcric_1!A162)</f>
        <v>2023年</v>
      </c>
      <c r="B160">
        <f>IF(VIPcric_1!B162="","",VIPcric_1!B162)</f>
        <v>1520994</v>
      </c>
      <c r="C160">
        <f>IF(VIPcric_1!C162="","",VIPcric_1!C162)</f>
        <v>14003</v>
      </c>
      <c r="D160">
        <f>IF(VIPcric_1!D162="","",VIPcric_1!D162)</f>
        <v>953474</v>
      </c>
      <c r="E160">
        <f>IF(VIPcric_1!E162="","",VIPcric_1!E162)</f>
        <v>8429</v>
      </c>
      <c r="F160">
        <f>IF(VIPcric_1!F162="","",VIPcric_1!F162)</f>
        <v>12875</v>
      </c>
      <c r="G160">
        <f>IF(VIPcric_1!G162="","",VIPcric_1!G162)</f>
        <v>12275788593</v>
      </c>
      <c r="H160">
        <f>IF(VIPcric_1!H162="","",VIPcric_1!H162)</f>
        <v>1.6</v>
      </c>
      <c r="I160" t="str">
        <f>IF(VIPcric_1!M162="","",VIPcric_1!M162)</f>
        <v>CRIC-丽水-市场监测.商品房市场.项目累计.供求.xlsx</v>
      </c>
    </row>
    <row r="161" spans="1:9">
      <c r="A161" t="str">
        <f>IF(VIPcric_1!A163="","",VIPcric_1!A163)</f>
        <v>2022年</v>
      </c>
      <c r="B161">
        <f>IF(VIPcric_1!B163="","",VIPcric_1!B163)</f>
        <v>1555982</v>
      </c>
      <c r="C161">
        <f>IF(VIPcric_1!C163="","",VIPcric_1!C163)</f>
        <v>14957</v>
      </c>
      <c r="D161">
        <f>IF(VIPcric_1!D163="","",VIPcric_1!D163)</f>
        <v>1378288</v>
      </c>
      <c r="E161">
        <f>IF(VIPcric_1!E163="","",VIPcric_1!E163)</f>
        <v>12481</v>
      </c>
      <c r="F161">
        <f>IF(VIPcric_1!F163="","",VIPcric_1!F163)</f>
        <v>13257</v>
      </c>
      <c r="G161">
        <f>IF(VIPcric_1!G163="","",VIPcric_1!G163)</f>
        <v>18271846809</v>
      </c>
      <c r="H161">
        <f>IF(VIPcric_1!H163="","",VIPcric_1!H163)</f>
        <v>1.1299999999999999</v>
      </c>
      <c r="I161" t="str">
        <f>IF(VIPcric_1!M163="","",VIPcric_1!M163)</f>
        <v>CRIC-丽水-市场监测.商品房市场.项目累计.供求.xlsx</v>
      </c>
    </row>
    <row r="162" spans="1:9">
      <c r="A162" t="str">
        <f>IF(VIPcric_1!A164="","",VIPcric_1!A164)</f>
        <v>2021年</v>
      </c>
      <c r="B162">
        <f>IF(VIPcric_1!B164="","",VIPcric_1!B164)</f>
        <v>2872708</v>
      </c>
      <c r="C162">
        <f>IF(VIPcric_1!C164="","",VIPcric_1!C164)</f>
        <v>26113</v>
      </c>
      <c r="D162">
        <f>IF(VIPcric_1!D164="","",VIPcric_1!D164)</f>
        <v>2428624</v>
      </c>
      <c r="E162">
        <f>IF(VIPcric_1!E164="","",VIPcric_1!E164)</f>
        <v>22164</v>
      </c>
      <c r="F162">
        <f>IF(VIPcric_1!F164="","",VIPcric_1!F164)</f>
        <v>15420</v>
      </c>
      <c r="G162">
        <f>IF(VIPcric_1!G164="","",VIPcric_1!G164)</f>
        <v>37449741492</v>
      </c>
      <c r="H162">
        <f>IF(VIPcric_1!H164="","",VIPcric_1!H164)</f>
        <v>1.18</v>
      </c>
      <c r="I162" t="str">
        <f>IF(VIPcric_1!M164="","",VIPcric_1!M164)</f>
        <v>CRIC-丽水-市场监测.商品房市场.项目累计.供求.xlsx</v>
      </c>
    </row>
    <row r="163" spans="1:9">
      <c r="A163" t="str">
        <f>IF(VIPcric_1!A165="","",VIPcric_1!A165)</f>
        <v>2020年</v>
      </c>
      <c r="B163">
        <f>IF(VIPcric_1!B165="","",VIPcric_1!B165)</f>
        <v>3213019</v>
      </c>
      <c r="C163">
        <f>IF(VIPcric_1!C165="","",VIPcric_1!C165)</f>
        <v>29094</v>
      </c>
      <c r="D163">
        <f>IF(VIPcric_1!D165="","",VIPcric_1!D165)</f>
        <v>2287263</v>
      </c>
      <c r="E163">
        <f>IF(VIPcric_1!E165="","",VIPcric_1!E165)</f>
        <v>21007</v>
      </c>
      <c r="F163">
        <f>IF(VIPcric_1!F165="","",VIPcric_1!F165)</f>
        <v>13294</v>
      </c>
      <c r="G163">
        <f>IF(VIPcric_1!G165="","",VIPcric_1!G165)</f>
        <v>30406480391</v>
      </c>
      <c r="H163">
        <f>IF(VIPcric_1!H165="","",VIPcric_1!H165)</f>
        <v>1.4</v>
      </c>
      <c r="I163" t="str">
        <f>IF(VIPcric_1!M165="","",VIPcric_1!M165)</f>
        <v>CRIC-丽水-市场监测.商品房市场.项目累计.供求.xlsx</v>
      </c>
    </row>
    <row r="164" spans="1:9">
      <c r="A164" t="str">
        <f>IF(VIPcric_1!A166="","",VIPcric_1!A166)</f>
        <v>2019年</v>
      </c>
      <c r="B164">
        <f>IF(VIPcric_1!B166="","",VIPcric_1!B166)</f>
        <v>2676577</v>
      </c>
      <c r="C164">
        <f>IF(VIPcric_1!C166="","",VIPcric_1!C166)</f>
        <v>23354</v>
      </c>
      <c r="D164">
        <f>IF(VIPcric_1!D166="","",VIPcric_1!D166)</f>
        <v>2059042</v>
      </c>
      <c r="E164">
        <f>IF(VIPcric_1!E166="","",VIPcric_1!E166)</f>
        <v>18234</v>
      </c>
      <c r="F164">
        <f>IF(VIPcric_1!F166="","",VIPcric_1!F166)</f>
        <v>12894</v>
      </c>
      <c r="G164">
        <f>IF(VIPcric_1!G166="","",VIPcric_1!G166)</f>
        <v>26549171674</v>
      </c>
      <c r="H164">
        <f>IF(VIPcric_1!H166="","",VIPcric_1!H166)</f>
        <v>1.3</v>
      </c>
      <c r="I164" t="str">
        <f>IF(VIPcric_1!M166="","",VIPcric_1!M166)</f>
        <v>CRIC-丽水-市场监测.商品房市场.项目累计.供求.xlsx</v>
      </c>
    </row>
    <row r="165" spans="1:9">
      <c r="A165" t="str">
        <f>IF(VIPcric_1!A167="","",VIPcric_1!A167)</f>
        <v>汇总</v>
      </c>
      <c r="B165">
        <f>IF(VIPcric_1!B167="","",VIPcric_1!B167)</f>
        <v>11839279</v>
      </c>
      <c r="C165">
        <f>IF(VIPcric_1!C167="","",VIPcric_1!C167)</f>
        <v>107521</v>
      </c>
      <c r="D165">
        <f>IF(VIPcric_1!D167="","",VIPcric_1!D167)</f>
        <v>9106692</v>
      </c>
      <c r="E165">
        <f>IF(VIPcric_1!E167="","",VIPcric_1!E167)</f>
        <v>82315</v>
      </c>
      <c r="F165">
        <f>IF(VIPcric_1!F167="","",VIPcric_1!F167)</f>
        <v>13721</v>
      </c>
      <c r="G165">
        <f>IF(VIPcric_1!G167="","",VIPcric_1!G167)</f>
        <v>124953028959</v>
      </c>
      <c r="H165">
        <f>IF(VIPcric_1!H167="","",VIPcric_1!H167)</f>
        <v>1.3</v>
      </c>
      <c r="I165" t="str">
        <f>IF(VIPcric_1!M167="","",VIPcric_1!M167)</f>
        <v>CRIC-丽水-市场监测.商品房市场.项目累计.供求.xlsx</v>
      </c>
    </row>
    <row r="166" spans="1:9">
      <c r="A166" t="str">
        <f>IF(VIPcric_1!A168="","",VIPcric_1!A168)</f>
        <v/>
      </c>
      <c r="B166" t="str">
        <f>IF(VIPcric_1!B168="","",VIPcric_1!B168)</f>
        <v/>
      </c>
      <c r="C166" t="str">
        <f>IF(VIPcric_1!C168="","",VIPcric_1!C168)</f>
        <v/>
      </c>
      <c r="D166" t="str">
        <f>IF(VIPcric_1!D168="","",VIPcric_1!D168)</f>
        <v/>
      </c>
      <c r="E166" t="str">
        <f>IF(VIPcric_1!E168="","",VIPcric_1!E168)</f>
        <v/>
      </c>
      <c r="F166" t="str">
        <f>IF(VIPcric_1!F168="","",VIPcric_1!F168)</f>
        <v/>
      </c>
      <c r="G166" t="str">
        <f>IF(VIPcric_1!G168="","",VIPcric_1!G168)</f>
        <v/>
      </c>
      <c r="H166" t="str">
        <f>IF(VIPcric_1!H168="","",VIPcric_1!H168)</f>
        <v/>
      </c>
      <c r="I166" t="str">
        <f>IF(VIPcric_1!M168="","",VIPcric_1!M168)</f>
        <v/>
      </c>
    </row>
    <row r="167" spans="1:9">
      <c r="A167" t="str">
        <f>IF(VIPcric_1!A169="","",VIPcric_1!A169)</f>
        <v/>
      </c>
      <c r="B167" t="str">
        <f>IF(VIPcric_1!B169="","",VIPcric_1!B169)</f>
        <v/>
      </c>
      <c r="C167" t="str">
        <f>IF(VIPcric_1!C169="","",VIPcric_1!C169)</f>
        <v/>
      </c>
      <c r="D167" t="str">
        <f>IF(VIPcric_1!D169="","",VIPcric_1!D169)</f>
        <v/>
      </c>
      <c r="E167" t="str">
        <f>IF(VIPcric_1!E169="","",VIPcric_1!E169)</f>
        <v/>
      </c>
      <c r="F167" t="str">
        <f>IF(VIPcric_1!F169="","",VIPcric_1!F169)</f>
        <v/>
      </c>
      <c r="G167" t="str">
        <f>IF(VIPcric_1!G169="","",VIPcric_1!G169)</f>
        <v/>
      </c>
      <c r="H167" t="str">
        <f>IF(VIPcric_1!H169="","",VIPcric_1!H169)</f>
        <v/>
      </c>
      <c r="I167" t="str">
        <f>IF(VIPcric_1!M169="","",VIPcric_1!M169)</f>
        <v>CRIC-丽水-市场监测.商品房市场.项目累计.库存.xlsx</v>
      </c>
    </row>
    <row r="168" spans="1:9">
      <c r="A168" t="str">
        <f>IF(VIPcric_1!A170="","",VIPcric_1!A170)</f>
        <v>时间(年)</v>
      </c>
      <c r="B168" t="str">
        <f>IF(VIPcric_1!B170="","",VIPcric_1!B170)</f>
        <v>库存面积(㎡)</v>
      </c>
      <c r="C168" t="str">
        <f>IF(VIPcric_1!C170="","",VIPcric_1!C170)</f>
        <v>库存套数(套)</v>
      </c>
      <c r="D168" t="str">
        <f>IF(VIPcric_1!D170="","",VIPcric_1!D170)</f>
        <v>去化周期12'(月)</v>
      </c>
      <c r="E168" t="str">
        <f>IF(VIPcric_1!E170="","",VIPcric_1!E170)</f>
        <v/>
      </c>
      <c r="F168" t="str">
        <f>IF(VIPcric_1!F170="","",VIPcric_1!F170)</f>
        <v/>
      </c>
      <c r="G168" t="str">
        <f>IF(VIPcric_1!G170="","",VIPcric_1!G170)</f>
        <v/>
      </c>
      <c r="H168" t="str">
        <f>IF(VIPcric_1!H170="","",VIPcric_1!H170)</f>
        <v/>
      </c>
      <c r="I168" t="str">
        <f>IF(VIPcric_1!M170="","",VIPcric_1!M170)</f>
        <v>CRIC-丽水-市场监测.商品房市场.项目累计.库存.xlsx</v>
      </c>
    </row>
    <row r="169" spans="1:9">
      <c r="A169" t="str">
        <f>IF(VIPcric_1!A171="","",VIPcric_1!A171)</f>
        <v>2024年</v>
      </c>
      <c r="B169">
        <f>IF(VIPcric_1!B171="","",VIPcric_1!B171)</f>
        <v>3568012</v>
      </c>
      <c r="C169">
        <f>IF(VIPcric_1!C171="","",VIPcric_1!C171)</f>
        <v>32900</v>
      </c>
      <c r="D169">
        <f>IF(VIPcric_1!D171="","",VIPcric_1!D171)</f>
        <v>43.8</v>
      </c>
      <c r="E169" t="str">
        <f>IF(VIPcric_1!E171="","",VIPcric_1!E171)</f>
        <v/>
      </c>
      <c r="F169" t="str">
        <f>IF(VIPcric_1!F171="","",VIPcric_1!F171)</f>
        <v/>
      </c>
      <c r="G169" t="str">
        <f>IF(VIPcric_1!G171="","",VIPcric_1!G171)</f>
        <v/>
      </c>
      <c r="H169" t="str">
        <f>IF(VIPcric_1!H171="","",VIPcric_1!H171)</f>
        <v/>
      </c>
      <c r="I169" t="str">
        <f>IF(VIPcric_1!M171="","",VIPcric_1!M171)</f>
        <v>CRIC-丽水-市场监测.商品房市场.项目累计.库存.xlsx</v>
      </c>
    </row>
    <row r="170" spans="1:9">
      <c r="A170" t="str">
        <f>IF(VIPcric_1!A172="","",VIPcric_1!A172)</f>
        <v>2023年</v>
      </c>
      <c r="B170">
        <f>IF(VIPcric_1!B172="","",VIPcric_1!B172)</f>
        <v>3470942</v>
      </c>
      <c r="C170">
        <f>IF(VIPcric_1!C172="","",VIPcric_1!C172)</f>
        <v>32018</v>
      </c>
      <c r="D170">
        <f>IF(VIPcric_1!D172="","",VIPcric_1!D172)</f>
        <v>43.7</v>
      </c>
      <c r="E170" t="str">
        <f>IF(VIPcric_1!E172="","",VIPcric_1!E172)</f>
        <v/>
      </c>
      <c r="F170" t="str">
        <f>IF(VIPcric_1!F172="","",VIPcric_1!F172)</f>
        <v/>
      </c>
      <c r="G170" t="str">
        <f>IF(VIPcric_1!G172="","",VIPcric_1!G172)</f>
        <v/>
      </c>
      <c r="H170" t="str">
        <f>IF(VIPcric_1!H172="","",VIPcric_1!H172)</f>
        <v/>
      </c>
      <c r="I170" t="str">
        <f>IF(VIPcric_1!M172="","",VIPcric_1!M172)</f>
        <v>CRIC-丽水-市场监测.商品房市场.项目累计.库存.xlsx</v>
      </c>
    </row>
    <row r="171" spans="1:9">
      <c r="A171" t="str">
        <f>IF(VIPcric_1!A173="","",VIPcric_1!A173)</f>
        <v>2022年</v>
      </c>
      <c r="B171">
        <f>IF(VIPcric_1!B173="","",VIPcric_1!B173)</f>
        <v>3055402</v>
      </c>
      <c r="C171">
        <f>IF(VIPcric_1!C173="","",VIPcric_1!C173)</f>
        <v>27526</v>
      </c>
      <c r="D171">
        <f>IF(VIPcric_1!D173="","",VIPcric_1!D173)</f>
        <v>26.6</v>
      </c>
      <c r="E171" t="str">
        <f>IF(VIPcric_1!E173="","",VIPcric_1!E173)</f>
        <v/>
      </c>
      <c r="F171" t="str">
        <f>IF(VIPcric_1!F173="","",VIPcric_1!F173)</f>
        <v/>
      </c>
      <c r="G171" t="str">
        <f>IF(VIPcric_1!G173="","",VIPcric_1!G173)</f>
        <v/>
      </c>
      <c r="H171" t="str">
        <f>IF(VIPcric_1!H173="","",VIPcric_1!H173)</f>
        <v/>
      </c>
      <c r="I171" t="str">
        <f>IF(VIPcric_1!M173="","",VIPcric_1!M173)</f>
        <v>CRIC-丽水-市场监测.商品房市场.项目累计.库存.xlsx</v>
      </c>
    </row>
    <row r="172" spans="1:9">
      <c r="A172" t="str">
        <f>IF(VIPcric_1!A174="","",VIPcric_1!A174)</f>
        <v>2021年</v>
      </c>
      <c r="B172">
        <f>IF(VIPcric_1!B174="","",VIPcric_1!B174)</f>
        <v>0</v>
      </c>
      <c r="C172">
        <f>IF(VIPcric_1!C174="","",VIPcric_1!C174)</f>
        <v>0</v>
      </c>
      <c r="D172">
        <f>IF(VIPcric_1!D174="","",VIPcric_1!D174)</f>
        <v>0</v>
      </c>
      <c r="E172" t="str">
        <f>IF(VIPcric_1!E174="","",VIPcric_1!E174)</f>
        <v/>
      </c>
      <c r="F172" t="str">
        <f>IF(VIPcric_1!F174="","",VIPcric_1!F174)</f>
        <v/>
      </c>
      <c r="G172" t="str">
        <f>IF(VIPcric_1!G174="","",VIPcric_1!G174)</f>
        <v/>
      </c>
      <c r="H172" t="str">
        <f>IF(VIPcric_1!H174="","",VIPcric_1!H174)</f>
        <v/>
      </c>
      <c r="I172" t="str">
        <f>IF(VIPcric_1!M174="","",VIPcric_1!M174)</f>
        <v>CRIC-丽水-市场监测.商品房市场.项目累计.库存.xlsx</v>
      </c>
    </row>
    <row r="173" spans="1:9">
      <c r="A173" t="str">
        <f>IF(VIPcric_1!A175="","",VIPcric_1!A175)</f>
        <v>2020年</v>
      </c>
      <c r="B173">
        <f>IF(VIPcric_1!B175="","",VIPcric_1!B175)</f>
        <v>2656058</v>
      </c>
      <c r="C173">
        <f>IF(VIPcric_1!C175="","",VIPcric_1!C175)</f>
        <v>23573</v>
      </c>
      <c r="D173">
        <f>IF(VIPcric_1!D175="","",VIPcric_1!D175)</f>
        <v>13.9</v>
      </c>
      <c r="E173" t="str">
        <f>IF(VIPcric_1!E175="","",VIPcric_1!E175)</f>
        <v/>
      </c>
      <c r="F173" t="str">
        <f>IF(VIPcric_1!F175="","",VIPcric_1!F175)</f>
        <v/>
      </c>
      <c r="G173" t="str">
        <f>IF(VIPcric_1!G175="","",VIPcric_1!G175)</f>
        <v/>
      </c>
      <c r="H173" t="str">
        <f>IF(VIPcric_1!H175="","",VIPcric_1!H175)</f>
        <v/>
      </c>
      <c r="I173" t="str">
        <f>IF(VIPcric_1!M175="","",VIPcric_1!M175)</f>
        <v>CRIC-丽水-市场监测.商品房市场.项目累计.库存.xlsx</v>
      </c>
    </row>
    <row r="174" spans="1:9">
      <c r="A174" t="str">
        <f>IF(VIPcric_1!A176="","",VIPcric_1!A176)</f>
        <v>2019年</v>
      </c>
      <c r="B174">
        <f>IF(VIPcric_1!B176="","",VIPcric_1!B176)</f>
        <v>2020822</v>
      </c>
      <c r="C174">
        <f>IF(VIPcric_1!C176="","",VIPcric_1!C176)</f>
        <v>17570</v>
      </c>
      <c r="D174">
        <f>IF(VIPcric_1!D176="","",VIPcric_1!D176)</f>
        <v>11.8</v>
      </c>
      <c r="E174" t="str">
        <f>IF(VIPcric_1!E176="","",VIPcric_1!E176)</f>
        <v/>
      </c>
      <c r="F174" t="str">
        <f>IF(VIPcric_1!F176="","",VIPcric_1!F176)</f>
        <v/>
      </c>
      <c r="G174" t="str">
        <f>IF(VIPcric_1!G176="","",VIPcric_1!G176)</f>
        <v/>
      </c>
      <c r="H174" t="str">
        <f>IF(VIPcric_1!H176="","",VIPcric_1!H176)</f>
        <v/>
      </c>
      <c r="I174" t="str">
        <f>IF(VIPcric_1!M176="","",VIPcric_1!M176)</f>
        <v>CRIC-丽水-市场监测.商品房市场.项目累计.库存.xlsx</v>
      </c>
    </row>
    <row r="175" spans="1:9">
      <c r="A175" t="str">
        <f>IF(VIPcric_1!A177="","",VIPcric_1!A177)</f>
        <v/>
      </c>
      <c r="B175" t="str">
        <f>IF(VIPcric_1!B177="","",VIPcric_1!B177)</f>
        <v/>
      </c>
      <c r="C175" t="str">
        <f>IF(VIPcric_1!C177="","",VIPcric_1!C177)</f>
        <v/>
      </c>
      <c r="D175" t="str">
        <f>IF(VIPcric_1!D177="","",VIPcric_1!D177)</f>
        <v/>
      </c>
      <c r="E175" t="str">
        <f>IF(VIPcric_1!E177="","",VIPcric_1!E177)</f>
        <v/>
      </c>
      <c r="F175" t="str">
        <f>IF(VIPcric_1!F177="","",VIPcric_1!F177)</f>
        <v/>
      </c>
      <c r="G175" t="str">
        <f>IF(VIPcric_1!G177="","",VIPcric_1!G177)</f>
        <v/>
      </c>
      <c r="H175" t="str">
        <f>IF(VIPcric_1!H177="","",VIPcric_1!H177)</f>
        <v/>
      </c>
      <c r="I175" t="str">
        <f>IF(VIPcric_1!M177="","",VIPcric_1!M177)</f>
        <v/>
      </c>
    </row>
    <row r="176" spans="1:9">
      <c r="A176" t="str">
        <f>IF(VIPcric_1!A178="","",VIPcric_1!A178)</f>
        <v/>
      </c>
      <c r="B176" t="str">
        <f>IF(VIPcric_1!B178="","",VIPcric_1!B178)</f>
        <v/>
      </c>
      <c r="C176" t="str">
        <f>IF(VIPcric_1!C178="","",VIPcric_1!C178)</f>
        <v/>
      </c>
      <c r="D176" t="str">
        <f>IF(VIPcric_1!D178="","",VIPcric_1!D178)</f>
        <v/>
      </c>
      <c r="E176" t="str">
        <f>IF(VIPcric_1!E178="","",VIPcric_1!E178)</f>
        <v/>
      </c>
      <c r="F176" t="str">
        <f>IF(VIPcric_1!F178="","",VIPcric_1!F178)</f>
        <v/>
      </c>
      <c r="G176" t="str">
        <f>IF(VIPcric_1!G178="","",VIPcric_1!G178)</f>
        <v/>
      </c>
      <c r="H176" t="str">
        <f>IF(VIPcric_1!H178="","",VIPcric_1!H178)</f>
        <v/>
      </c>
      <c r="I176" t="str">
        <f>IF(VIPcric_1!M178="","",VIPcric_1!M178)</f>
        <v>CRIC-义乌-市场监测.商品房市场.项目累计.供求.xlsx</v>
      </c>
    </row>
    <row r="177" spans="1:9">
      <c r="A177" t="str">
        <f>IF(VIPcric_1!A179="","",VIPcric_1!A179)</f>
        <v>时间(年)</v>
      </c>
      <c r="B177" t="str">
        <f>IF(VIPcric_1!B179="","",VIPcric_1!B179)</f>
        <v>供应面积(㎡)</v>
      </c>
      <c r="C177" t="str">
        <f>IF(VIPcric_1!C179="","",VIPcric_1!C179)</f>
        <v>供应套数(套)</v>
      </c>
      <c r="D177" t="str">
        <f>IF(VIPcric_1!D179="","",VIPcric_1!D179)</f>
        <v>成交面积(㎡)</v>
      </c>
      <c r="E177" t="str">
        <f>IF(VIPcric_1!E179="","",VIPcric_1!E179)</f>
        <v>成交套数(套)</v>
      </c>
      <c r="F177" t="str">
        <f>IF(VIPcric_1!F179="","",VIPcric_1!F179)</f>
        <v>成交均价(元/㎡)</v>
      </c>
      <c r="G177" t="str">
        <f>IF(VIPcric_1!G179="","",VIPcric_1!G179)</f>
        <v>成交金额(元)</v>
      </c>
      <c r="H177" t="str">
        <f>IF(VIPcric_1!H179="","",VIPcric_1!H179)</f>
        <v>供求比</v>
      </c>
      <c r="I177" t="str">
        <f>IF(VIPcric_1!M179="","",VIPcric_1!M179)</f>
        <v>CRIC-义乌-市场监测.商品房市场.项目累计.供求.xlsx</v>
      </c>
    </row>
    <row r="178" spans="1:9">
      <c r="A178" t="str">
        <f>IF(VIPcric_1!A180="","",VIPcric_1!A180)</f>
        <v>2023年</v>
      </c>
      <c r="B178">
        <f>IF(VIPcric_1!B180="","",VIPcric_1!B180)</f>
        <v>775174</v>
      </c>
      <c r="C178">
        <f>IF(VIPcric_1!C180="","",VIPcric_1!C180)</f>
        <v>6512</v>
      </c>
      <c r="D178">
        <f>IF(VIPcric_1!D180="","",VIPcric_1!D180)</f>
        <v>727970</v>
      </c>
      <c r="E178">
        <f>IF(VIPcric_1!E180="","",VIPcric_1!E180)</f>
        <v>6283</v>
      </c>
      <c r="F178">
        <f>IF(VIPcric_1!F180="","",VIPcric_1!F180)</f>
        <v>30654</v>
      </c>
      <c r="G178">
        <f>IF(VIPcric_1!G180="","",VIPcric_1!G180)</f>
        <v>22315462810</v>
      </c>
      <c r="H178">
        <f>IF(VIPcric_1!H180="","",VIPcric_1!H180)</f>
        <v>1.06</v>
      </c>
      <c r="I178" t="str">
        <f>IF(VIPcric_1!M180="","",VIPcric_1!M180)</f>
        <v>CRIC-义乌-市场监测.商品房市场.项目累计.供求.xlsx</v>
      </c>
    </row>
    <row r="179" spans="1:9">
      <c r="A179" t="str">
        <f>IF(VIPcric_1!A181="","",VIPcric_1!A181)</f>
        <v>2022年</v>
      </c>
      <c r="B179">
        <f>IF(VIPcric_1!B181="","",VIPcric_1!B181)</f>
        <v>1044620</v>
      </c>
      <c r="C179">
        <f>IF(VIPcric_1!C181="","",VIPcric_1!C181)</f>
        <v>10063</v>
      </c>
      <c r="D179">
        <f>IF(VIPcric_1!D181="","",VIPcric_1!D181)</f>
        <v>870124</v>
      </c>
      <c r="E179">
        <f>IF(VIPcric_1!E181="","",VIPcric_1!E181)</f>
        <v>7504</v>
      </c>
      <c r="F179">
        <f>IF(VIPcric_1!F181="","",VIPcric_1!F181)</f>
        <v>29347</v>
      </c>
      <c r="G179">
        <f>IF(VIPcric_1!G181="","",VIPcric_1!G181)</f>
        <v>25535395887</v>
      </c>
      <c r="H179">
        <f>IF(VIPcric_1!H181="","",VIPcric_1!H181)</f>
        <v>1.2</v>
      </c>
      <c r="I179" t="str">
        <f>IF(VIPcric_1!M181="","",VIPcric_1!M181)</f>
        <v>CRIC-义乌-市场监测.商品房市场.项目累计.供求.xlsx</v>
      </c>
    </row>
    <row r="180" spans="1:9">
      <c r="A180" t="str">
        <f>IF(VIPcric_1!A182="","",VIPcric_1!A182)</f>
        <v>2021年</v>
      </c>
      <c r="B180">
        <f>IF(VIPcric_1!B182="","",VIPcric_1!B182)</f>
        <v>1916112</v>
      </c>
      <c r="C180">
        <f>IF(VIPcric_1!C182="","",VIPcric_1!C182)</f>
        <v>17347</v>
      </c>
      <c r="D180">
        <f>IF(VIPcric_1!D182="","",VIPcric_1!D182)</f>
        <v>2614637</v>
      </c>
      <c r="E180">
        <f>IF(VIPcric_1!E182="","",VIPcric_1!E182)</f>
        <v>23905</v>
      </c>
      <c r="F180">
        <f>IF(VIPcric_1!F182="","",VIPcric_1!F182)</f>
        <v>25212</v>
      </c>
      <c r="G180">
        <f>IF(VIPcric_1!G182="","",VIPcric_1!G182)</f>
        <v>65919849948</v>
      </c>
      <c r="H180">
        <f>IF(VIPcric_1!H182="","",VIPcric_1!H182)</f>
        <v>0.73</v>
      </c>
      <c r="I180" t="str">
        <f>IF(VIPcric_1!M182="","",VIPcric_1!M182)</f>
        <v>CRIC-义乌-市场监测.商品房市场.项目累计.供求.xlsx</v>
      </c>
    </row>
    <row r="181" spans="1:9">
      <c r="A181" t="str">
        <f>IF(VIPcric_1!A183="","",VIPcric_1!A183)</f>
        <v>2020年</v>
      </c>
      <c r="B181">
        <f>IF(VIPcric_1!B183="","",VIPcric_1!B183)</f>
        <v>2984940</v>
      </c>
      <c r="C181">
        <f>IF(VIPcric_1!C183="","",VIPcric_1!C183)</f>
        <v>27603</v>
      </c>
      <c r="D181">
        <f>IF(VIPcric_1!D183="","",VIPcric_1!D183)</f>
        <v>459797</v>
      </c>
      <c r="E181">
        <f>IF(VIPcric_1!E183="","",VIPcric_1!E183)</f>
        <v>3981</v>
      </c>
      <c r="F181">
        <f>IF(VIPcric_1!F183="","",VIPcric_1!F183)</f>
        <v>28028</v>
      </c>
      <c r="G181">
        <f>IF(VIPcric_1!G183="","",VIPcric_1!G183)</f>
        <v>12887377074</v>
      </c>
      <c r="H181">
        <f>IF(VIPcric_1!H183="","",VIPcric_1!H183)</f>
        <v>6.49</v>
      </c>
      <c r="I181" t="str">
        <f>IF(VIPcric_1!M183="","",VIPcric_1!M183)</f>
        <v>CRIC-义乌-市场监测.商品房市场.项目累计.供求.xlsx</v>
      </c>
    </row>
    <row r="182" spans="1:9">
      <c r="A182" t="str">
        <f>IF(VIPcric_1!A184="","",VIPcric_1!A184)</f>
        <v>2019年</v>
      </c>
      <c r="B182">
        <f>IF(VIPcric_1!B184="","",VIPcric_1!B184)</f>
        <v>1321059</v>
      </c>
      <c r="C182">
        <f>IF(VIPcric_1!C184="","",VIPcric_1!C184)</f>
        <v>12160</v>
      </c>
      <c r="D182">
        <f>IF(VIPcric_1!D184="","",VIPcric_1!D184)</f>
        <v>145450</v>
      </c>
      <c r="E182">
        <f>IF(VIPcric_1!E184="","",VIPcric_1!E184)</f>
        <v>1334</v>
      </c>
      <c r="F182">
        <f>IF(VIPcric_1!F184="","",VIPcric_1!F184)</f>
        <v>29601</v>
      </c>
      <c r="G182">
        <f>IF(VIPcric_1!G184="","",VIPcric_1!G184)</f>
        <v>4305447074</v>
      </c>
      <c r="H182">
        <f>IF(VIPcric_1!H184="","",VIPcric_1!H184)</f>
        <v>9.08</v>
      </c>
      <c r="I182" t="str">
        <f>IF(VIPcric_1!M184="","",VIPcric_1!M184)</f>
        <v>CRIC-义乌-市场监测.商品房市场.项目累计.供求.xlsx</v>
      </c>
    </row>
    <row r="183" spans="1:9">
      <c r="A183" t="str">
        <f>IF(VIPcric_1!A185="","",VIPcric_1!A185)</f>
        <v>2018年</v>
      </c>
      <c r="B183">
        <f>IF(VIPcric_1!B185="","",VIPcric_1!B185)</f>
        <v>28226</v>
      </c>
      <c r="C183">
        <f>IF(VIPcric_1!C185="","",VIPcric_1!C185)</f>
        <v>219</v>
      </c>
      <c r="D183">
        <f>IF(VIPcric_1!D185="","",VIPcric_1!D185)</f>
        <v>18622</v>
      </c>
      <c r="E183">
        <f>IF(VIPcric_1!E185="","",VIPcric_1!E185)</f>
        <v>140</v>
      </c>
      <c r="F183">
        <f>IF(VIPcric_1!F185="","",VIPcric_1!F185)</f>
        <v>20145</v>
      </c>
      <c r="G183">
        <f>IF(VIPcric_1!G185="","",VIPcric_1!G185)</f>
        <v>375140020</v>
      </c>
      <c r="H183">
        <f>IF(VIPcric_1!H185="","",VIPcric_1!H185)</f>
        <v>1.52</v>
      </c>
      <c r="I183" t="str">
        <f>IF(VIPcric_1!M185="","",VIPcric_1!M185)</f>
        <v>CRIC-义乌-市场监测.商品房市场.项目累计.供求.xlsx</v>
      </c>
    </row>
    <row r="184" spans="1:9">
      <c r="A184" t="str">
        <f>IF(VIPcric_1!A186="","",VIPcric_1!A186)</f>
        <v>汇总</v>
      </c>
      <c r="B184">
        <f>IF(VIPcric_1!B186="","",VIPcric_1!B186)</f>
        <v>8070131</v>
      </c>
      <c r="C184">
        <f>IF(VIPcric_1!C186="","",VIPcric_1!C186)</f>
        <v>73904</v>
      </c>
      <c r="D184">
        <f>IF(VIPcric_1!D186="","",VIPcric_1!D186)</f>
        <v>4836600</v>
      </c>
      <c r="E184">
        <f>IF(VIPcric_1!E186="","",VIPcric_1!E186)</f>
        <v>43147</v>
      </c>
      <c r="F184">
        <f>IF(VIPcric_1!F186="","",VIPcric_1!F186)</f>
        <v>27155</v>
      </c>
      <c r="G184">
        <f>IF(VIPcric_1!G186="","",VIPcric_1!G186)</f>
        <v>131338672814</v>
      </c>
      <c r="H184">
        <f>IF(VIPcric_1!H186="","",VIPcric_1!H186)</f>
        <v>1.67</v>
      </c>
      <c r="I184" t="str">
        <f>IF(VIPcric_1!M186="","",VIPcric_1!M186)</f>
        <v>CRIC-义乌-市场监测.商品房市场.项目累计.供求.xlsx</v>
      </c>
    </row>
    <row r="185" spans="1:9">
      <c r="A185" t="str">
        <f>IF(VIPcric_1!A187="","",VIPcric_1!A187)</f>
        <v/>
      </c>
      <c r="B185" t="str">
        <f>IF(VIPcric_1!B187="","",VIPcric_1!B187)</f>
        <v/>
      </c>
      <c r="C185" t="str">
        <f>IF(VIPcric_1!C187="","",VIPcric_1!C187)</f>
        <v/>
      </c>
      <c r="D185" t="str">
        <f>IF(VIPcric_1!D187="","",VIPcric_1!D187)</f>
        <v/>
      </c>
      <c r="E185" t="str">
        <f>IF(VIPcric_1!E187="","",VIPcric_1!E187)</f>
        <v/>
      </c>
      <c r="F185" t="str">
        <f>IF(VIPcric_1!F187="","",VIPcric_1!F187)</f>
        <v/>
      </c>
      <c r="G185" t="str">
        <f>IF(VIPcric_1!G187="","",VIPcric_1!G187)</f>
        <v/>
      </c>
      <c r="H185" t="str">
        <f>IF(VIPcric_1!H187="","",VIPcric_1!H187)</f>
        <v/>
      </c>
      <c r="I185" t="str">
        <f>IF(VIPcric_1!M187="","",VIPcric_1!M187)</f>
        <v/>
      </c>
    </row>
    <row r="186" spans="1:9">
      <c r="A186" t="str">
        <f>IF(VIPcric_1!A188="","",VIPcric_1!A188)</f>
        <v/>
      </c>
      <c r="B186" t="str">
        <f>IF(VIPcric_1!B188="","",VIPcric_1!B188)</f>
        <v/>
      </c>
      <c r="C186" t="str">
        <f>IF(VIPcric_1!C188="","",VIPcric_1!C188)</f>
        <v/>
      </c>
      <c r="D186" t="str">
        <f>IF(VIPcric_1!D188="","",VIPcric_1!D188)</f>
        <v/>
      </c>
      <c r="E186" t="str">
        <f>IF(VIPcric_1!E188="","",VIPcric_1!E188)</f>
        <v/>
      </c>
      <c r="F186" t="str">
        <f>IF(VIPcric_1!F188="","",VIPcric_1!F188)</f>
        <v/>
      </c>
      <c r="G186" t="str">
        <f>IF(VIPcric_1!G188="","",VIPcric_1!G188)</f>
        <v/>
      </c>
      <c r="H186" t="str">
        <f>IF(VIPcric_1!H188="","",VIPcric_1!H188)</f>
        <v/>
      </c>
      <c r="I186" t="str">
        <f>IF(VIPcric_1!M188="","",VIPcric_1!M188)</f>
        <v>CRIC-义乌-市场监测.商品房市场.项目累计.库存.xlsx</v>
      </c>
    </row>
    <row r="187" spans="1:9">
      <c r="A187" t="str">
        <f>IF(VIPcric_1!A189="","",VIPcric_1!A189)</f>
        <v>时间(年)</v>
      </c>
      <c r="B187" t="str">
        <f>IF(VIPcric_1!B189="","",VIPcric_1!B189)</f>
        <v>库存面积(㎡)</v>
      </c>
      <c r="C187" t="str">
        <f>IF(VIPcric_1!C189="","",VIPcric_1!C189)</f>
        <v>库存套数(套)</v>
      </c>
      <c r="D187" t="str">
        <f>IF(VIPcric_1!D189="","",VIPcric_1!D189)</f>
        <v>去化周期12'(月)</v>
      </c>
      <c r="E187" t="str">
        <f>IF(VIPcric_1!E189="","",VIPcric_1!E189)</f>
        <v/>
      </c>
      <c r="F187" t="str">
        <f>IF(VIPcric_1!F189="","",VIPcric_1!F189)</f>
        <v/>
      </c>
      <c r="G187" t="str">
        <f>IF(VIPcric_1!G189="","",VIPcric_1!G189)</f>
        <v/>
      </c>
      <c r="H187" t="str">
        <f>IF(VIPcric_1!H189="","",VIPcric_1!H189)</f>
        <v/>
      </c>
      <c r="I187" t="str">
        <f>IF(VIPcric_1!M189="","",VIPcric_1!M189)</f>
        <v>CRIC-义乌-市场监测.商品房市场.项目累计.库存.xlsx</v>
      </c>
    </row>
    <row r="188" spans="1:9">
      <c r="A188" t="str">
        <f>IF(VIPcric_1!A190="","",VIPcric_1!A190)</f>
        <v>2024年</v>
      </c>
      <c r="B188">
        <f>IF(VIPcric_1!B190="","",VIPcric_1!B190)</f>
        <v>1281555</v>
      </c>
      <c r="C188">
        <f>IF(VIPcric_1!C190="","",VIPcric_1!C190)</f>
        <v>11374</v>
      </c>
      <c r="D188">
        <f>IF(VIPcric_1!D190="","",VIPcric_1!D190)</f>
        <v>22.7</v>
      </c>
      <c r="E188" t="str">
        <f>IF(VIPcric_1!E190="","",VIPcric_1!E190)</f>
        <v/>
      </c>
      <c r="F188" t="str">
        <f>IF(VIPcric_1!F190="","",VIPcric_1!F190)</f>
        <v/>
      </c>
      <c r="G188" t="str">
        <f>IF(VIPcric_1!G190="","",VIPcric_1!G190)</f>
        <v/>
      </c>
      <c r="H188" t="str">
        <f>IF(VIPcric_1!H190="","",VIPcric_1!H190)</f>
        <v/>
      </c>
      <c r="I188" t="str">
        <f>IF(VIPcric_1!M190="","",VIPcric_1!M190)</f>
        <v>CRIC-义乌-市场监测.商品房市场.项目累计.库存.xlsx</v>
      </c>
    </row>
    <row r="189" spans="1:9">
      <c r="A189" t="str">
        <f>IF(VIPcric_1!A191="","",VIPcric_1!A191)</f>
        <v>2023年</v>
      </c>
      <c r="B189">
        <f>IF(VIPcric_1!B191="","",VIPcric_1!B191)</f>
        <v>1281555</v>
      </c>
      <c r="C189">
        <f>IF(VIPcric_1!C191="","",VIPcric_1!C191)</f>
        <v>11374</v>
      </c>
      <c r="D189">
        <f>IF(VIPcric_1!D191="","",VIPcric_1!D191)</f>
        <v>21.1</v>
      </c>
      <c r="E189" t="str">
        <f>IF(VIPcric_1!E191="","",VIPcric_1!E191)</f>
        <v/>
      </c>
      <c r="F189" t="str">
        <f>IF(VIPcric_1!F191="","",VIPcric_1!F191)</f>
        <v/>
      </c>
      <c r="G189" t="str">
        <f>IF(VIPcric_1!G191="","",VIPcric_1!G191)</f>
        <v/>
      </c>
      <c r="H189" t="str">
        <f>IF(VIPcric_1!H191="","",VIPcric_1!H191)</f>
        <v/>
      </c>
      <c r="I189" t="str">
        <f>IF(VIPcric_1!M191="","",VIPcric_1!M191)</f>
        <v>CRIC-义乌-市场监测.商品房市场.项目累计.库存.xlsx</v>
      </c>
    </row>
    <row r="190" spans="1:9">
      <c r="A190" t="str">
        <f>IF(VIPcric_1!A192="","",VIPcric_1!A192)</f>
        <v>2022年</v>
      </c>
      <c r="B190">
        <f>IF(VIPcric_1!B192="","",VIPcric_1!B192)</f>
        <v>1008037</v>
      </c>
      <c r="C190">
        <f>IF(VIPcric_1!C192="","",VIPcric_1!C192)</f>
        <v>9122</v>
      </c>
      <c r="D190">
        <f>IF(VIPcric_1!D192="","",VIPcric_1!D192)</f>
        <v>13.9</v>
      </c>
      <c r="E190" t="str">
        <f>IF(VIPcric_1!E192="","",VIPcric_1!E192)</f>
        <v/>
      </c>
      <c r="F190" t="str">
        <f>IF(VIPcric_1!F192="","",VIPcric_1!F192)</f>
        <v/>
      </c>
      <c r="G190" t="str">
        <f>IF(VIPcric_1!G192="","",VIPcric_1!G192)</f>
        <v/>
      </c>
      <c r="H190" t="str">
        <f>IF(VIPcric_1!H192="","",VIPcric_1!H192)</f>
        <v/>
      </c>
      <c r="I190" t="str">
        <f>IF(VIPcric_1!M192="","",VIPcric_1!M192)</f>
        <v>CRIC-义乌-市场监测.商品房市场.项目累计.库存.xlsx</v>
      </c>
    </row>
    <row r="191" spans="1:9">
      <c r="A191" t="str">
        <f>IF(VIPcric_1!A193="","",VIPcric_1!A193)</f>
        <v>2021年</v>
      </c>
      <c r="B191">
        <f>IF(VIPcric_1!B193="","",VIPcric_1!B193)</f>
        <v>1383216</v>
      </c>
      <c r="C191">
        <f>IF(VIPcric_1!C193="","",VIPcric_1!C193)</f>
        <v>12527</v>
      </c>
      <c r="D191">
        <f>IF(VIPcric_1!D193="","",VIPcric_1!D193)</f>
        <v>6.3</v>
      </c>
      <c r="E191" t="str">
        <f>IF(VIPcric_1!E193="","",VIPcric_1!E193)</f>
        <v/>
      </c>
      <c r="F191" t="str">
        <f>IF(VIPcric_1!F193="","",VIPcric_1!F193)</f>
        <v/>
      </c>
      <c r="G191" t="str">
        <f>IF(VIPcric_1!G193="","",VIPcric_1!G193)</f>
        <v/>
      </c>
      <c r="H191" t="str">
        <f>IF(VIPcric_1!H193="","",VIPcric_1!H193)</f>
        <v/>
      </c>
      <c r="I191" t="str">
        <f>IF(VIPcric_1!M193="","",VIPcric_1!M193)</f>
        <v>CRIC-义乌-市场监测.商品房市场.项目累计.库存.xlsx</v>
      </c>
    </row>
    <row r="192" spans="1:9">
      <c r="A192" t="str">
        <f>IF(VIPcric_1!A194="","",VIPcric_1!A194)</f>
        <v>2020年</v>
      </c>
      <c r="B192">
        <f>IF(VIPcric_1!B194="","",VIPcric_1!B194)</f>
        <v>0</v>
      </c>
      <c r="C192">
        <f>IF(VIPcric_1!C194="","",VIPcric_1!C194)</f>
        <v>0</v>
      </c>
      <c r="D192">
        <f>IF(VIPcric_1!D194="","",VIPcric_1!D194)</f>
        <v>0</v>
      </c>
      <c r="E192" t="str">
        <f>IF(VIPcric_1!E194="","",VIPcric_1!E194)</f>
        <v/>
      </c>
      <c r="F192" t="str">
        <f>IF(VIPcric_1!F194="","",VIPcric_1!F194)</f>
        <v/>
      </c>
      <c r="G192" t="str">
        <f>IF(VIPcric_1!G194="","",VIPcric_1!G194)</f>
        <v/>
      </c>
      <c r="H192" t="str">
        <f>IF(VIPcric_1!H194="","",VIPcric_1!H194)</f>
        <v/>
      </c>
      <c r="I192" t="str">
        <f>IF(VIPcric_1!M194="","",VIPcric_1!M194)</f>
        <v>CRIC-义乌-市场监测.商品房市场.项目累计.库存.xlsx</v>
      </c>
    </row>
    <row r="193" spans="1:9">
      <c r="A193" t="str">
        <f>IF(VIPcric_1!A195="","",VIPcric_1!A195)</f>
        <v>2019年</v>
      </c>
      <c r="B193">
        <f>IF(VIPcric_1!B195="","",VIPcric_1!B195)</f>
        <v>1271012</v>
      </c>
      <c r="C193">
        <f>IF(VIPcric_1!C195="","",VIPcric_1!C195)</f>
        <v>8532</v>
      </c>
      <c r="D193">
        <f>IF(VIPcric_1!D195="","",VIPcric_1!D195)</f>
        <v>104.9</v>
      </c>
      <c r="E193" t="str">
        <f>IF(VIPcric_1!E195="","",VIPcric_1!E195)</f>
        <v/>
      </c>
      <c r="F193" t="str">
        <f>IF(VIPcric_1!F195="","",VIPcric_1!F195)</f>
        <v/>
      </c>
      <c r="G193" t="str">
        <f>IF(VIPcric_1!G195="","",VIPcric_1!G195)</f>
        <v/>
      </c>
      <c r="H193" t="str">
        <f>IF(VIPcric_1!H195="","",VIPcric_1!H195)</f>
        <v/>
      </c>
      <c r="I193" t="str">
        <f>IF(VIPcric_1!M195="","",VIPcric_1!M195)</f>
        <v>CRIC-义乌-市场监测.商品房市场.项目累计.库存.xlsx</v>
      </c>
    </row>
    <row r="194" spans="1:9">
      <c r="A194" t="str">
        <f>IF(VIPcric_1!A196="","",VIPcric_1!A196)</f>
        <v/>
      </c>
      <c r="B194" t="str">
        <f>IF(VIPcric_1!B196="","",VIPcric_1!B196)</f>
        <v/>
      </c>
      <c r="C194" t="str">
        <f>IF(VIPcric_1!C196="","",VIPcric_1!C196)</f>
        <v/>
      </c>
      <c r="D194" t="str">
        <f>IF(VIPcric_1!D196="","",VIPcric_1!D196)</f>
        <v/>
      </c>
      <c r="E194" t="str">
        <f>IF(VIPcric_1!E196="","",VIPcric_1!E196)</f>
        <v/>
      </c>
      <c r="F194" t="str">
        <f>IF(VIPcric_1!F196="","",VIPcric_1!F196)</f>
        <v/>
      </c>
      <c r="G194" t="str">
        <f>IF(VIPcric_1!G196="","",VIPcric_1!G196)</f>
        <v/>
      </c>
      <c r="H194" t="str">
        <f>IF(VIPcric_1!H196="","",VIPcric_1!H196)</f>
        <v/>
      </c>
      <c r="I194" t="str">
        <f>IF(VIPcric_1!M196="","",VIPcric_1!M196)</f>
        <v/>
      </c>
    </row>
    <row r="195" spans="1:9">
      <c r="A195" s="17" t="str">
        <f>IF(VIPcric_1!A197="","",VIPcric_1!A197)</f>
        <v/>
      </c>
      <c r="B195" s="17" t="str">
        <f>IF(VIPcric_1!B197="","",VIPcric_1!B197)</f>
        <v/>
      </c>
      <c r="C195" s="17" t="str">
        <f>IF(VIPcric_1!C197="","",VIPcric_1!C197)</f>
        <v/>
      </c>
      <c r="D195" s="17" t="str">
        <f>IF(VIPcric_1!D197="","",VIPcric_1!D197)</f>
        <v/>
      </c>
      <c r="E195" s="17" t="str">
        <f>IF(VIPcric_1!E197="","",VIPcric_1!E197)</f>
        <v/>
      </c>
      <c r="F195" s="17" t="str">
        <f>IF(VIPcric_1!F197="","",VIPcric_1!F197)</f>
        <v/>
      </c>
      <c r="G195" s="17" t="str">
        <f>IF(VIPcric_1!G197="","",VIPcric_1!G197)</f>
        <v/>
      </c>
      <c r="H195" s="17" t="str">
        <f>IF(VIPcric_1!H197="","",VIPcric_1!H197)</f>
        <v/>
      </c>
      <c r="I195" s="17" t="str">
        <f>IF(VIPcric_1!M197="","",VIPcric_1!M197)</f>
        <v>CRIC-乌鲁木齐-市场监测.商品房市场.项目累计.供求.xlsx</v>
      </c>
    </row>
    <row r="196" spans="1:9">
      <c r="A196" s="17" t="str">
        <f>IF(VIPcric_1!A198="","",VIPcric_1!A198)</f>
        <v>时间(年)</v>
      </c>
      <c r="B196" s="17" t="str">
        <f>IF(VIPcric_1!B198="","",VIPcric_1!B198)</f>
        <v>供应面积(㎡)</v>
      </c>
      <c r="C196" s="17" t="str">
        <f>IF(VIPcric_1!C198="","",VIPcric_1!C198)</f>
        <v>供应套数(套)</v>
      </c>
      <c r="D196" s="17" t="str">
        <f>IF(VIPcric_1!D198="","",VIPcric_1!D198)</f>
        <v>成交面积(㎡)</v>
      </c>
      <c r="E196" s="17" t="str">
        <f>IF(VIPcric_1!E198="","",VIPcric_1!E198)</f>
        <v>成交套数(套)</v>
      </c>
      <c r="F196" s="17" t="str">
        <f>IF(VIPcric_1!F198="","",VIPcric_1!F198)</f>
        <v>成交均价(元/㎡)</v>
      </c>
      <c r="G196" s="17" t="str">
        <f>IF(VIPcric_1!G198="","",VIPcric_1!G198)</f>
        <v>成交金额(元)</v>
      </c>
      <c r="H196" s="17" t="str">
        <f>IF(VIPcric_1!H198="","",VIPcric_1!H198)</f>
        <v>供求比</v>
      </c>
      <c r="I196" s="17" t="str">
        <f>IF(VIPcric_1!M198="","",VIPcric_1!M198)</f>
        <v>CRIC-乌鲁木齐-市场监测.商品房市场.项目累计.供求.xlsx</v>
      </c>
    </row>
    <row r="197" spans="1:9">
      <c r="A197" s="17" t="str">
        <f>IF(VIPcric_1!A199="","",VIPcric_1!A199)</f>
        <v>2024年</v>
      </c>
      <c r="B197" s="17">
        <f>IF(VIPcric_1!B199="","",VIPcric_1!B199)</f>
        <v>61021</v>
      </c>
      <c r="C197" s="17">
        <f>IF(VIPcric_1!C199="","",VIPcric_1!C199)</f>
        <v>499</v>
      </c>
      <c r="D197" s="17">
        <f>IF(VIPcric_1!D199="","",VIPcric_1!D199)</f>
        <v>0</v>
      </c>
      <c r="E197" s="17">
        <f>IF(VIPcric_1!E199="","",VIPcric_1!E199)</f>
        <v>0</v>
      </c>
      <c r="F197" s="17">
        <f>IF(VIPcric_1!F199="","",VIPcric_1!F199)</f>
        <v>0</v>
      </c>
      <c r="G197" s="17">
        <f>IF(VIPcric_1!G199="","",VIPcric_1!G199)</f>
        <v>0</v>
      </c>
      <c r="H197" s="17">
        <f>IF(VIPcric_1!H199="","",VIPcric_1!H199)</f>
        <v>0</v>
      </c>
      <c r="I197" s="17" t="str">
        <f>IF(VIPcric_1!M199="","",VIPcric_1!M199)</f>
        <v>CRIC-乌鲁木齐-市场监测.商品房市场.项目累计.供求.xlsx</v>
      </c>
    </row>
    <row r="198" spans="1:9">
      <c r="A198" s="17" t="str">
        <f>IF(VIPcric_1!A200="","",VIPcric_1!A200)</f>
        <v>2023年</v>
      </c>
      <c r="B198" s="17">
        <f>IF(VIPcric_1!B200="","",VIPcric_1!B200)</f>
        <v>2565456</v>
      </c>
      <c r="C198" s="17">
        <f>IF(VIPcric_1!C200="","",VIPcric_1!C200)</f>
        <v>22710</v>
      </c>
      <c r="D198" s="17">
        <f>IF(VIPcric_1!D200="","",VIPcric_1!D200)</f>
        <v>0</v>
      </c>
      <c r="E198" s="17">
        <f>IF(VIPcric_1!E200="","",VIPcric_1!E200)</f>
        <v>0</v>
      </c>
      <c r="F198" s="17">
        <f>IF(VIPcric_1!F200="","",VIPcric_1!F200)</f>
        <v>0</v>
      </c>
      <c r="G198" s="17">
        <f>IF(VIPcric_1!G200="","",VIPcric_1!G200)</f>
        <v>0</v>
      </c>
      <c r="H198" s="17">
        <f>IF(VIPcric_1!H200="","",VIPcric_1!H200)</f>
        <v>0</v>
      </c>
      <c r="I198" s="17" t="str">
        <f>IF(VIPcric_1!M200="","",VIPcric_1!M200)</f>
        <v>CRIC-乌鲁木齐-市场监测.商品房市场.项目累计.供求.xlsx</v>
      </c>
    </row>
    <row r="199" spans="1:9">
      <c r="A199" s="17" t="str">
        <f>IF(VIPcric_1!A201="","",VIPcric_1!A201)</f>
        <v>2022年</v>
      </c>
      <c r="B199" s="17">
        <f>IF(VIPcric_1!B201="","",VIPcric_1!B201)</f>
        <v>1932741</v>
      </c>
      <c r="C199" s="17">
        <f>IF(VIPcric_1!C201="","",VIPcric_1!C201)</f>
        <v>16104</v>
      </c>
      <c r="D199" s="17">
        <f>IF(VIPcric_1!D201="","",VIPcric_1!D201)</f>
        <v>0</v>
      </c>
      <c r="E199" s="17">
        <f>IF(VIPcric_1!E201="","",VIPcric_1!E201)</f>
        <v>0</v>
      </c>
      <c r="F199" s="17">
        <f>IF(VIPcric_1!F201="","",VIPcric_1!F201)</f>
        <v>0</v>
      </c>
      <c r="G199" s="17">
        <f>IF(VIPcric_1!G201="","",VIPcric_1!G201)</f>
        <v>0</v>
      </c>
      <c r="H199" s="17">
        <f>IF(VIPcric_1!H201="","",VIPcric_1!H201)</f>
        <v>0</v>
      </c>
      <c r="I199" s="17" t="str">
        <f>IF(VIPcric_1!M201="","",VIPcric_1!M201)</f>
        <v>CRIC-乌鲁木齐-市场监测.商品房市场.项目累计.供求.xlsx</v>
      </c>
    </row>
    <row r="200" spans="1:9">
      <c r="A200" s="17" t="str">
        <f>IF(VIPcric_1!A202="","",VIPcric_1!A202)</f>
        <v>2021年</v>
      </c>
      <c r="B200" s="17">
        <f>IF(VIPcric_1!B202="","",VIPcric_1!B202)</f>
        <v>2848230</v>
      </c>
      <c r="C200" s="17">
        <f>IF(VIPcric_1!C202="","",VIPcric_1!C202)</f>
        <v>25261</v>
      </c>
      <c r="D200" s="17">
        <f>IF(VIPcric_1!D202="","",VIPcric_1!D202)</f>
        <v>0</v>
      </c>
      <c r="E200" s="17">
        <f>IF(VIPcric_1!E202="","",VIPcric_1!E202)</f>
        <v>0</v>
      </c>
      <c r="F200" s="17">
        <f>IF(VIPcric_1!F202="","",VIPcric_1!F202)</f>
        <v>0</v>
      </c>
      <c r="G200" s="17">
        <f>IF(VIPcric_1!G202="","",VIPcric_1!G202)</f>
        <v>0</v>
      </c>
      <c r="H200" s="17">
        <f>IF(VIPcric_1!H202="","",VIPcric_1!H202)</f>
        <v>0</v>
      </c>
      <c r="I200" s="17" t="str">
        <f>IF(VIPcric_1!M202="","",VIPcric_1!M202)</f>
        <v>CRIC-乌鲁木齐-市场监测.商品房市场.项目累计.供求.xlsx</v>
      </c>
    </row>
    <row r="201" spans="1:9">
      <c r="A201" s="17" t="str">
        <f>IF(VIPcric_1!A203="","",VIPcric_1!A203)</f>
        <v>2020年</v>
      </c>
      <c r="B201" s="17">
        <f>IF(VIPcric_1!B203="","",VIPcric_1!B203)</f>
        <v>4692064</v>
      </c>
      <c r="C201" s="17">
        <f>IF(VIPcric_1!C203="","",VIPcric_1!C203)</f>
        <v>40604</v>
      </c>
      <c r="D201" s="17">
        <f>IF(VIPcric_1!D203="","",VIPcric_1!D203)</f>
        <v>0</v>
      </c>
      <c r="E201" s="17">
        <f>IF(VIPcric_1!E203="","",VIPcric_1!E203)</f>
        <v>0</v>
      </c>
      <c r="F201" s="17">
        <f>IF(VIPcric_1!F203="","",VIPcric_1!F203)</f>
        <v>0</v>
      </c>
      <c r="G201" s="17">
        <f>IF(VIPcric_1!G203="","",VIPcric_1!G203)</f>
        <v>0</v>
      </c>
      <c r="H201" s="17">
        <f>IF(VIPcric_1!H203="","",VIPcric_1!H203)</f>
        <v>0</v>
      </c>
      <c r="I201" s="17" t="str">
        <f>IF(VIPcric_1!M203="","",VIPcric_1!M203)</f>
        <v>CRIC-乌鲁木齐-市场监测.商品房市场.项目累计.供求.xlsx</v>
      </c>
    </row>
    <row r="202" spans="1:9">
      <c r="A202" s="17" t="str">
        <f>IF(VIPcric_1!A204="","",VIPcric_1!A204)</f>
        <v>2019年</v>
      </c>
      <c r="B202" s="17">
        <f>IF(VIPcric_1!B204="","",VIPcric_1!B204)</f>
        <v>4242805</v>
      </c>
      <c r="C202" s="17">
        <f>IF(VIPcric_1!C204="","",VIPcric_1!C204)</f>
        <v>36456</v>
      </c>
      <c r="D202" s="17">
        <f>IF(VIPcric_1!D204="","",VIPcric_1!D204)</f>
        <v>2344648</v>
      </c>
      <c r="E202" s="17">
        <f>IF(VIPcric_1!E204="","",VIPcric_1!E204)</f>
        <v>20521</v>
      </c>
      <c r="F202" s="17">
        <f>IF(VIPcric_1!F204="","",VIPcric_1!F204)</f>
        <v>8652</v>
      </c>
      <c r="G202" s="17">
        <f>IF(VIPcric_1!G204="","",VIPcric_1!G204)</f>
        <v>20285554243</v>
      </c>
      <c r="H202" s="17">
        <f>IF(VIPcric_1!H204="","",VIPcric_1!H204)</f>
        <v>1.81</v>
      </c>
      <c r="I202" s="17" t="str">
        <f>IF(VIPcric_1!M204="","",VIPcric_1!M204)</f>
        <v>CRIC-乌鲁木齐-市场监测.商品房市场.项目累计.供求.xlsx</v>
      </c>
    </row>
    <row r="203" spans="1:9">
      <c r="A203" s="17" t="str">
        <f>IF(VIPcric_1!A205="","",VIPcric_1!A205)</f>
        <v>汇总</v>
      </c>
      <c r="B203" s="17">
        <f>IF(VIPcric_1!B205="","",VIPcric_1!B205)</f>
        <v>16342317</v>
      </c>
      <c r="C203" s="17">
        <f>IF(VIPcric_1!C205="","",VIPcric_1!C205)</f>
        <v>141634</v>
      </c>
      <c r="D203" s="17">
        <f>IF(VIPcric_1!D205="","",VIPcric_1!D205)</f>
        <v>2344648</v>
      </c>
      <c r="E203" s="17">
        <f>IF(VIPcric_1!E205="","",VIPcric_1!E205)</f>
        <v>20521</v>
      </c>
      <c r="F203" s="17">
        <f>IF(VIPcric_1!F205="","",VIPcric_1!F205)</f>
        <v>8652</v>
      </c>
      <c r="G203" s="17">
        <f>IF(VIPcric_1!G205="","",VIPcric_1!G205)</f>
        <v>20285554243</v>
      </c>
      <c r="H203" s="17">
        <f>IF(VIPcric_1!H205="","",VIPcric_1!H205)</f>
        <v>6.97</v>
      </c>
      <c r="I203" s="17" t="str">
        <f>IF(VIPcric_1!M205="","",VIPcric_1!M205)</f>
        <v>CRIC-乌鲁木齐-市场监测.商品房市场.项目累计.供求.xlsx</v>
      </c>
    </row>
    <row r="204" spans="1:9">
      <c r="A204" t="str">
        <f>IF(VIPcric_1!A206="","",VIPcric_1!A206)</f>
        <v/>
      </c>
      <c r="B204" t="str">
        <f>IF(VIPcric_1!B206="","",VIPcric_1!B206)</f>
        <v/>
      </c>
      <c r="C204" t="str">
        <f>IF(VIPcric_1!C206="","",VIPcric_1!C206)</f>
        <v/>
      </c>
      <c r="D204" t="str">
        <f>IF(VIPcric_1!D206="","",VIPcric_1!D206)</f>
        <v/>
      </c>
      <c r="E204" t="str">
        <f>IF(VIPcric_1!E206="","",VIPcric_1!E206)</f>
        <v/>
      </c>
      <c r="F204" t="str">
        <f>IF(VIPcric_1!F206="","",VIPcric_1!F206)</f>
        <v/>
      </c>
      <c r="G204" t="str">
        <f>IF(VIPcric_1!G206="","",VIPcric_1!G206)</f>
        <v/>
      </c>
      <c r="H204" t="str">
        <f>IF(VIPcric_1!H206="","",VIPcric_1!H206)</f>
        <v/>
      </c>
      <c r="I204" t="str">
        <f>IF(VIPcric_1!M206="","",VIPcric_1!M206)</f>
        <v/>
      </c>
    </row>
    <row r="205" spans="1:9">
      <c r="A205" t="str">
        <f>IF(VIPcric_1!A207="","",VIPcric_1!A207)</f>
        <v/>
      </c>
      <c r="B205" t="str">
        <f>IF(VIPcric_1!B207="","",VIPcric_1!B207)</f>
        <v/>
      </c>
      <c r="C205" t="str">
        <f>IF(VIPcric_1!C207="","",VIPcric_1!C207)</f>
        <v/>
      </c>
      <c r="D205" t="str">
        <f>IF(VIPcric_1!D207="","",VIPcric_1!D207)</f>
        <v/>
      </c>
      <c r="E205" t="str">
        <f>IF(VIPcric_1!E207="","",VIPcric_1!E207)</f>
        <v/>
      </c>
      <c r="F205" t="str">
        <f>IF(VIPcric_1!F207="","",VIPcric_1!F207)</f>
        <v/>
      </c>
      <c r="G205" t="str">
        <f>IF(VIPcric_1!G207="","",VIPcric_1!G207)</f>
        <v/>
      </c>
      <c r="H205" t="str">
        <f>IF(VIPcric_1!H207="","",VIPcric_1!H207)</f>
        <v/>
      </c>
      <c r="I205" t="str">
        <f>IF(VIPcric_1!M207="","",VIPcric_1!M207)</f>
        <v>CRIC-乐东-市场监测.商品房市场.项目累计.供求.xlsx</v>
      </c>
    </row>
    <row r="206" spans="1:9">
      <c r="A206" t="str">
        <f>IF(VIPcric_1!A208="","",VIPcric_1!A208)</f>
        <v>时间(年)</v>
      </c>
      <c r="B206" t="str">
        <f>IF(VIPcric_1!B208="","",VIPcric_1!B208)</f>
        <v>供应面积(㎡)</v>
      </c>
      <c r="C206" t="str">
        <f>IF(VIPcric_1!C208="","",VIPcric_1!C208)</f>
        <v>供应套数(套)</v>
      </c>
      <c r="D206" t="str">
        <f>IF(VIPcric_1!D208="","",VIPcric_1!D208)</f>
        <v>成交面积(㎡)</v>
      </c>
      <c r="E206" t="str">
        <f>IF(VIPcric_1!E208="","",VIPcric_1!E208)</f>
        <v>成交套数(套)</v>
      </c>
      <c r="F206" t="str">
        <f>IF(VIPcric_1!F208="","",VIPcric_1!F208)</f>
        <v>成交均价(元/㎡)</v>
      </c>
      <c r="G206" t="str">
        <f>IF(VIPcric_1!G208="","",VIPcric_1!G208)</f>
        <v>成交金额(元)</v>
      </c>
      <c r="H206" t="str">
        <f>IF(VIPcric_1!H208="","",VIPcric_1!H208)</f>
        <v>供求比</v>
      </c>
      <c r="I206" t="str">
        <f>IF(VIPcric_1!M208="","",VIPcric_1!M208)</f>
        <v>CRIC-乐东-市场监测.商品房市场.项目累计.供求.xlsx</v>
      </c>
    </row>
    <row r="207" spans="1:9">
      <c r="A207" t="str">
        <f>IF(VIPcric_1!A209="","",VIPcric_1!A209)</f>
        <v>2024年</v>
      </c>
      <c r="B207">
        <f>IF(VIPcric_1!B209="","",VIPcric_1!B209)</f>
        <v>0</v>
      </c>
      <c r="C207">
        <f>IF(VIPcric_1!C209="","",VIPcric_1!C209)</f>
        <v>0</v>
      </c>
      <c r="D207">
        <f>IF(VIPcric_1!D209="","",VIPcric_1!D209)</f>
        <v>7121</v>
      </c>
      <c r="E207">
        <f>IF(VIPcric_1!E209="","",VIPcric_1!E209)</f>
        <v>65</v>
      </c>
      <c r="F207">
        <f>IF(VIPcric_1!F209="","",VIPcric_1!F209)</f>
        <v>9731</v>
      </c>
      <c r="G207">
        <f>IF(VIPcric_1!G209="","",VIPcric_1!G209)</f>
        <v>69301270</v>
      </c>
      <c r="H207">
        <f>IF(VIPcric_1!H209="","",VIPcric_1!H209)</f>
        <v>0</v>
      </c>
      <c r="I207" t="str">
        <f>IF(VIPcric_1!M209="","",VIPcric_1!M209)</f>
        <v>CRIC-乐东-市场监测.商品房市场.项目累计.供求.xlsx</v>
      </c>
    </row>
    <row r="208" spans="1:9">
      <c r="A208" t="str">
        <f>IF(VIPcric_1!A210="","",VIPcric_1!A210)</f>
        <v>2023年</v>
      </c>
      <c r="B208">
        <f>IF(VIPcric_1!B210="","",VIPcric_1!B210)</f>
        <v>264175</v>
      </c>
      <c r="C208">
        <f>IF(VIPcric_1!C210="","",VIPcric_1!C210)</f>
        <v>2488</v>
      </c>
      <c r="D208">
        <f>IF(VIPcric_1!D210="","",VIPcric_1!D210)</f>
        <v>93999</v>
      </c>
      <c r="E208">
        <f>IF(VIPcric_1!E210="","",VIPcric_1!E210)</f>
        <v>882</v>
      </c>
      <c r="F208">
        <f>IF(VIPcric_1!F210="","",VIPcric_1!F210)</f>
        <v>11934</v>
      </c>
      <c r="G208">
        <f>IF(VIPcric_1!G210="","",VIPcric_1!G210)</f>
        <v>1121736630</v>
      </c>
      <c r="H208">
        <f>IF(VIPcric_1!H210="","",VIPcric_1!H210)</f>
        <v>2.81</v>
      </c>
      <c r="I208" t="str">
        <f>IF(VIPcric_1!M210="","",VIPcric_1!M210)</f>
        <v>CRIC-乐东-市场监测.商品房市场.项目累计.供求.xlsx</v>
      </c>
    </row>
    <row r="209" spans="1:9">
      <c r="A209" t="str">
        <f>IF(VIPcric_1!A211="","",VIPcric_1!A211)</f>
        <v>2022年</v>
      </c>
      <c r="B209">
        <f>IF(VIPcric_1!B211="","",VIPcric_1!B211)</f>
        <v>149418</v>
      </c>
      <c r="C209">
        <f>IF(VIPcric_1!C211="","",VIPcric_1!C211)</f>
        <v>1714</v>
      </c>
      <c r="D209">
        <f>IF(VIPcric_1!D211="","",VIPcric_1!D211)</f>
        <v>28096</v>
      </c>
      <c r="E209">
        <f>IF(VIPcric_1!E211="","",VIPcric_1!E211)</f>
        <v>286</v>
      </c>
      <c r="F209">
        <f>IF(VIPcric_1!F211="","",VIPcric_1!F211)</f>
        <v>15140</v>
      </c>
      <c r="G209">
        <f>IF(VIPcric_1!G211="","",VIPcric_1!G211)</f>
        <v>425360432</v>
      </c>
      <c r="H209">
        <f>IF(VIPcric_1!H211="","",VIPcric_1!H211)</f>
        <v>5.32</v>
      </c>
      <c r="I209" t="str">
        <f>IF(VIPcric_1!M211="","",VIPcric_1!M211)</f>
        <v>CRIC-乐东-市场监测.商品房市场.项目累计.供求.xlsx</v>
      </c>
    </row>
    <row r="210" spans="1:9">
      <c r="A210" t="str">
        <f>IF(VIPcric_1!A212="","",VIPcric_1!A212)</f>
        <v>2021年</v>
      </c>
      <c r="B210">
        <f>IF(VIPcric_1!B212="","",VIPcric_1!B212)</f>
        <v>0</v>
      </c>
      <c r="C210">
        <f>IF(VIPcric_1!C212="","",VIPcric_1!C212)</f>
        <v>0</v>
      </c>
      <c r="D210">
        <f>IF(VIPcric_1!D212="","",VIPcric_1!D212)</f>
        <v>1501</v>
      </c>
      <c r="E210">
        <f>IF(VIPcric_1!E212="","",VIPcric_1!E212)</f>
        <v>16</v>
      </c>
      <c r="F210">
        <f>IF(VIPcric_1!F212="","",VIPcric_1!F212)</f>
        <v>16614</v>
      </c>
      <c r="G210">
        <f>IF(VIPcric_1!G212="","",VIPcric_1!G212)</f>
        <v>24933436</v>
      </c>
      <c r="H210">
        <f>IF(VIPcric_1!H212="","",VIPcric_1!H212)</f>
        <v>0</v>
      </c>
      <c r="I210" t="str">
        <f>IF(VIPcric_1!M212="","",VIPcric_1!M212)</f>
        <v>CRIC-乐东-市场监测.商品房市场.项目累计.供求.xlsx</v>
      </c>
    </row>
    <row r="211" spans="1:9">
      <c r="A211" t="str">
        <f>IF(VIPcric_1!A213="","",VIPcric_1!A213)</f>
        <v>汇总</v>
      </c>
      <c r="B211">
        <f>IF(VIPcric_1!B213="","",VIPcric_1!B213)</f>
        <v>413593</v>
      </c>
      <c r="C211">
        <f>IF(VIPcric_1!C213="","",VIPcric_1!C213)</f>
        <v>4202</v>
      </c>
      <c r="D211">
        <f>IF(VIPcric_1!D213="","",VIPcric_1!D213)</f>
        <v>130717</v>
      </c>
      <c r="E211">
        <f>IF(VIPcric_1!E213="","",VIPcric_1!E213)</f>
        <v>1249</v>
      </c>
      <c r="F211">
        <f>IF(VIPcric_1!F213="","",VIPcric_1!F213)</f>
        <v>12556</v>
      </c>
      <c r="G211">
        <f>IF(VIPcric_1!G213="","",VIPcric_1!G213)</f>
        <v>1641331767</v>
      </c>
      <c r="H211">
        <f>IF(VIPcric_1!H213="","",VIPcric_1!H213)</f>
        <v>3.16</v>
      </c>
      <c r="I211" t="str">
        <f>IF(VIPcric_1!M213="","",VIPcric_1!M213)</f>
        <v>CRIC-乐东-市场监测.商品房市场.项目累计.供求.xlsx</v>
      </c>
    </row>
    <row r="212" spans="1:9">
      <c r="A212" t="str">
        <f>IF(VIPcric_1!A214="","",VIPcric_1!A214)</f>
        <v/>
      </c>
      <c r="B212" t="str">
        <f>IF(VIPcric_1!B214="","",VIPcric_1!B214)</f>
        <v/>
      </c>
      <c r="C212" t="str">
        <f>IF(VIPcric_1!C214="","",VIPcric_1!C214)</f>
        <v/>
      </c>
      <c r="D212" t="str">
        <f>IF(VIPcric_1!D214="","",VIPcric_1!D214)</f>
        <v/>
      </c>
      <c r="E212" t="str">
        <f>IF(VIPcric_1!E214="","",VIPcric_1!E214)</f>
        <v/>
      </c>
      <c r="F212" t="str">
        <f>IF(VIPcric_1!F214="","",VIPcric_1!F214)</f>
        <v/>
      </c>
      <c r="G212" t="str">
        <f>IF(VIPcric_1!G214="","",VIPcric_1!G214)</f>
        <v/>
      </c>
      <c r="H212" t="str">
        <f>IF(VIPcric_1!H214="","",VIPcric_1!H214)</f>
        <v/>
      </c>
      <c r="I212" t="str">
        <f>IF(VIPcric_1!M214="","",VIPcric_1!M214)</f>
        <v/>
      </c>
    </row>
    <row r="213" spans="1:9">
      <c r="A213" t="str">
        <f>IF(VIPcric_1!A215="","",VIPcric_1!A215)</f>
        <v/>
      </c>
      <c r="B213" t="str">
        <f>IF(VIPcric_1!B215="","",VIPcric_1!B215)</f>
        <v/>
      </c>
      <c r="C213" t="str">
        <f>IF(VIPcric_1!C215="","",VIPcric_1!C215)</f>
        <v/>
      </c>
      <c r="D213" t="str">
        <f>IF(VIPcric_1!D215="","",VIPcric_1!D215)</f>
        <v/>
      </c>
      <c r="E213" t="str">
        <f>IF(VIPcric_1!E215="","",VIPcric_1!E215)</f>
        <v/>
      </c>
      <c r="F213" t="str">
        <f>IF(VIPcric_1!F215="","",VIPcric_1!F215)</f>
        <v/>
      </c>
      <c r="G213" t="str">
        <f>IF(VIPcric_1!G215="","",VIPcric_1!G215)</f>
        <v/>
      </c>
      <c r="H213" t="str">
        <f>IF(VIPcric_1!H215="","",VIPcric_1!H215)</f>
        <v/>
      </c>
      <c r="I213" t="str">
        <f>IF(VIPcric_1!M215="","",VIPcric_1!M215)</f>
        <v>CRIC-乐东-市场监测.商品房市场.项目累计.库存.xlsx</v>
      </c>
    </row>
    <row r="214" spans="1:9">
      <c r="A214" t="str">
        <f>IF(VIPcric_1!A216="","",VIPcric_1!A216)</f>
        <v>时间(年)</v>
      </c>
      <c r="B214" t="str">
        <f>IF(VIPcric_1!B216="","",VIPcric_1!B216)</f>
        <v>库存面积(㎡)</v>
      </c>
      <c r="C214" t="str">
        <f>IF(VIPcric_1!C216="","",VIPcric_1!C216)</f>
        <v>库存套数(套)</v>
      </c>
      <c r="D214" t="str">
        <f>IF(VIPcric_1!D216="","",VIPcric_1!D216)</f>
        <v>去化周期12'(月)</v>
      </c>
      <c r="E214" t="str">
        <f>IF(VIPcric_1!E216="","",VIPcric_1!E216)</f>
        <v/>
      </c>
      <c r="F214" t="str">
        <f>IF(VIPcric_1!F216="","",VIPcric_1!F216)</f>
        <v/>
      </c>
      <c r="G214" t="str">
        <f>IF(VIPcric_1!G216="","",VIPcric_1!G216)</f>
        <v/>
      </c>
      <c r="H214" t="str">
        <f>IF(VIPcric_1!H216="","",VIPcric_1!H216)</f>
        <v/>
      </c>
      <c r="I214" t="str">
        <f>IF(VIPcric_1!M216="","",VIPcric_1!M216)</f>
        <v>CRIC-乐东-市场监测.商品房市场.项目累计.库存.xlsx</v>
      </c>
    </row>
    <row r="215" spans="1:9">
      <c r="A215" t="str">
        <f>IF(VIPcric_1!A217="","",VIPcric_1!A217)</f>
        <v>2024年</v>
      </c>
      <c r="B215">
        <f>IF(VIPcric_1!B217="","",VIPcric_1!B217)</f>
        <v>980544</v>
      </c>
      <c r="C215">
        <f>IF(VIPcric_1!C217="","",VIPcric_1!C217)</f>
        <v>10630</v>
      </c>
      <c r="D215">
        <f>IF(VIPcric_1!D217="","",VIPcric_1!D217)</f>
        <v>121.3</v>
      </c>
      <c r="E215" t="str">
        <f>IF(VIPcric_1!E217="","",VIPcric_1!E217)</f>
        <v/>
      </c>
      <c r="F215" t="str">
        <f>IF(VIPcric_1!F217="","",VIPcric_1!F217)</f>
        <v/>
      </c>
      <c r="G215" t="str">
        <f>IF(VIPcric_1!G217="","",VIPcric_1!G217)</f>
        <v/>
      </c>
      <c r="H215" t="str">
        <f>IF(VIPcric_1!H217="","",VIPcric_1!H217)</f>
        <v/>
      </c>
      <c r="I215" t="str">
        <f>IF(VIPcric_1!M217="","",VIPcric_1!M217)</f>
        <v>CRIC-乐东-市场监测.商品房市场.项目累计.库存.xlsx</v>
      </c>
    </row>
    <row r="216" spans="1:9">
      <c r="A216" t="str">
        <f>IF(VIPcric_1!A218="","",VIPcric_1!A218)</f>
        <v>2023年</v>
      </c>
      <c r="B216">
        <f>IF(VIPcric_1!B218="","",VIPcric_1!B218)</f>
        <v>989764</v>
      </c>
      <c r="C216">
        <f>IF(VIPcric_1!C218="","",VIPcric_1!C218)</f>
        <v>10753</v>
      </c>
      <c r="D216">
        <f>IF(VIPcric_1!D218="","",VIPcric_1!D218)</f>
        <v>126.4</v>
      </c>
      <c r="E216" t="str">
        <f>IF(VIPcric_1!E218="","",VIPcric_1!E218)</f>
        <v/>
      </c>
      <c r="F216" t="str">
        <f>IF(VIPcric_1!F218="","",VIPcric_1!F218)</f>
        <v/>
      </c>
      <c r="G216" t="str">
        <f>IF(VIPcric_1!G218="","",VIPcric_1!G218)</f>
        <v/>
      </c>
      <c r="H216" t="str">
        <f>IF(VIPcric_1!H218="","",VIPcric_1!H218)</f>
        <v/>
      </c>
      <c r="I216" t="str">
        <f>IF(VIPcric_1!M218="","",VIPcric_1!M218)</f>
        <v>CRIC-乐东-市场监测.商品房市场.项目累计.库存.xlsx</v>
      </c>
    </row>
    <row r="217" spans="1:9">
      <c r="A217" t="str">
        <f>IF(VIPcric_1!A219="","",VIPcric_1!A219)</f>
        <v>2022年</v>
      </c>
      <c r="B217">
        <f>IF(VIPcric_1!B219="","",VIPcric_1!B219)</f>
        <v>926718</v>
      </c>
      <c r="C217">
        <f>IF(VIPcric_1!C219="","",VIPcric_1!C219)</f>
        <v>10257</v>
      </c>
      <c r="D217">
        <f>IF(VIPcric_1!D219="","",VIPcric_1!D219)</f>
        <v>395.8</v>
      </c>
      <c r="E217" t="str">
        <f>IF(VIPcric_1!E219="","",VIPcric_1!E219)</f>
        <v/>
      </c>
      <c r="F217" t="str">
        <f>IF(VIPcric_1!F219="","",VIPcric_1!F219)</f>
        <v/>
      </c>
      <c r="G217" t="str">
        <f>IF(VIPcric_1!G219="","",VIPcric_1!G219)</f>
        <v/>
      </c>
      <c r="H217" t="str">
        <f>IF(VIPcric_1!H219="","",VIPcric_1!H219)</f>
        <v/>
      </c>
      <c r="I217" t="str">
        <f>IF(VIPcric_1!M219="","",VIPcric_1!M219)</f>
        <v>CRIC-乐东-市场监测.商品房市场.项目累计.库存.xlsx</v>
      </c>
    </row>
    <row r="218" spans="1:9">
      <c r="A218" t="str">
        <f>IF(VIPcric_1!A220="","",VIPcric_1!A220)</f>
        <v>2021年</v>
      </c>
      <c r="B218">
        <f>IF(VIPcric_1!B220="","",VIPcric_1!B220)</f>
        <v>819081</v>
      </c>
      <c r="C218">
        <f>IF(VIPcric_1!C220="","",VIPcric_1!C220)</f>
        <v>9125</v>
      </c>
      <c r="D218">
        <f>IF(VIPcric_1!D220="","",VIPcric_1!D220)</f>
        <v>6549.5</v>
      </c>
      <c r="E218" t="str">
        <f>IF(VIPcric_1!E220="","",VIPcric_1!E220)</f>
        <v/>
      </c>
      <c r="F218" t="str">
        <f>IF(VIPcric_1!F220="","",VIPcric_1!F220)</f>
        <v/>
      </c>
      <c r="G218" t="str">
        <f>IF(VIPcric_1!G220="","",VIPcric_1!G220)</f>
        <v/>
      </c>
      <c r="H218" t="str">
        <f>IF(VIPcric_1!H220="","",VIPcric_1!H220)</f>
        <v/>
      </c>
      <c r="I218" t="str">
        <f>IF(VIPcric_1!M220="","",VIPcric_1!M220)</f>
        <v>CRIC-乐东-市场监测.商品房市场.项目累计.库存.xlsx</v>
      </c>
    </row>
    <row r="219" spans="1:9">
      <c r="A219" t="str">
        <f>IF(VIPcric_1!A221="","",VIPcric_1!A221)</f>
        <v/>
      </c>
      <c r="B219" t="str">
        <f>IF(VIPcric_1!B221="","",VIPcric_1!B221)</f>
        <v/>
      </c>
      <c r="C219" t="str">
        <f>IF(VIPcric_1!C221="","",VIPcric_1!C221)</f>
        <v/>
      </c>
      <c r="D219" t="str">
        <f>IF(VIPcric_1!D221="","",VIPcric_1!D221)</f>
        <v/>
      </c>
      <c r="E219" t="str">
        <f>IF(VIPcric_1!E221="","",VIPcric_1!E221)</f>
        <v/>
      </c>
      <c r="F219" t="str">
        <f>IF(VIPcric_1!F221="","",VIPcric_1!F221)</f>
        <v/>
      </c>
      <c r="G219" t="str">
        <f>IF(VIPcric_1!G221="","",VIPcric_1!G221)</f>
        <v/>
      </c>
      <c r="H219" t="str">
        <f>IF(VIPcric_1!H221="","",VIPcric_1!H221)</f>
        <v/>
      </c>
      <c r="I219" t="str">
        <f>IF(VIPcric_1!M221="","",VIPcric_1!M221)</f>
        <v/>
      </c>
    </row>
    <row r="220" spans="1:9">
      <c r="A220" t="str">
        <f>IF(VIPcric_1!A222="","",VIPcric_1!A222)</f>
        <v/>
      </c>
      <c r="B220" t="str">
        <f>IF(VIPcric_1!B222="","",VIPcric_1!B222)</f>
        <v/>
      </c>
      <c r="C220" t="str">
        <f>IF(VIPcric_1!C222="","",VIPcric_1!C222)</f>
        <v/>
      </c>
      <c r="D220" t="str">
        <f>IF(VIPcric_1!D222="","",VIPcric_1!D222)</f>
        <v/>
      </c>
      <c r="E220" t="str">
        <f>IF(VIPcric_1!E222="","",VIPcric_1!E222)</f>
        <v/>
      </c>
      <c r="F220" t="str">
        <f>IF(VIPcric_1!F222="","",VIPcric_1!F222)</f>
        <v/>
      </c>
      <c r="G220" t="str">
        <f>IF(VIPcric_1!G222="","",VIPcric_1!G222)</f>
        <v/>
      </c>
      <c r="H220" t="str">
        <f>IF(VIPcric_1!H222="","",VIPcric_1!H222)</f>
        <v/>
      </c>
      <c r="I220" t="str">
        <f>IF(VIPcric_1!M222="","",VIPcric_1!M222)</f>
        <v>CRIC-乐山-市场监测.商品房市场.项目累计.供求.xlsx</v>
      </c>
    </row>
    <row r="221" spans="1:9">
      <c r="A221" t="str">
        <f>IF(VIPcric_1!A223="","",VIPcric_1!A223)</f>
        <v>时间(年)</v>
      </c>
      <c r="B221" t="str">
        <f>IF(VIPcric_1!B223="","",VIPcric_1!B223)</f>
        <v>供应面积(㎡)</v>
      </c>
      <c r="C221" t="str">
        <f>IF(VIPcric_1!C223="","",VIPcric_1!C223)</f>
        <v>供应套数(套)</v>
      </c>
      <c r="D221" t="str">
        <f>IF(VIPcric_1!D223="","",VIPcric_1!D223)</f>
        <v>成交面积(㎡)</v>
      </c>
      <c r="E221" t="str">
        <f>IF(VIPcric_1!E223="","",VIPcric_1!E223)</f>
        <v>成交套数(套)</v>
      </c>
      <c r="F221" t="str">
        <f>IF(VIPcric_1!F223="","",VIPcric_1!F223)</f>
        <v>成交均价(元/㎡)</v>
      </c>
      <c r="G221" t="str">
        <f>IF(VIPcric_1!G223="","",VIPcric_1!G223)</f>
        <v>成交金额(元)</v>
      </c>
      <c r="H221" t="str">
        <f>IF(VIPcric_1!H223="","",VIPcric_1!H223)</f>
        <v>供求比</v>
      </c>
      <c r="I221" t="str">
        <f>IF(VIPcric_1!M223="","",VIPcric_1!M223)</f>
        <v>CRIC-乐山-市场监测.商品房市场.项目累计.供求.xlsx</v>
      </c>
    </row>
    <row r="222" spans="1:9">
      <c r="A222" t="str">
        <f>IF(VIPcric_1!A224="","",VIPcric_1!A224)</f>
        <v>2023年</v>
      </c>
      <c r="B222">
        <f>IF(VIPcric_1!B224="","",VIPcric_1!B224)</f>
        <v>1008691</v>
      </c>
      <c r="C222">
        <f>IF(VIPcric_1!C224="","",VIPcric_1!C224)</f>
        <v>9681</v>
      </c>
      <c r="D222">
        <f>IF(VIPcric_1!D224="","",VIPcric_1!D224)</f>
        <v>1912468</v>
      </c>
      <c r="E222">
        <f>IF(VIPcric_1!E224="","",VIPcric_1!E224)</f>
        <v>19154</v>
      </c>
      <c r="F222">
        <f>IF(VIPcric_1!F224="","",VIPcric_1!F224)</f>
        <v>6016</v>
      </c>
      <c r="G222">
        <f>IF(VIPcric_1!G224="","",VIPcric_1!G224)</f>
        <v>11505635310</v>
      </c>
      <c r="H222">
        <f>IF(VIPcric_1!H224="","",VIPcric_1!H224)</f>
        <v>0.53</v>
      </c>
      <c r="I222" t="str">
        <f>IF(VIPcric_1!M224="","",VIPcric_1!M224)</f>
        <v>CRIC-乐山-市场监测.商品房市场.项目累计.供求.xlsx</v>
      </c>
    </row>
    <row r="223" spans="1:9">
      <c r="A223" t="str">
        <f>IF(VIPcric_1!A225="","",VIPcric_1!A225)</f>
        <v>2022年</v>
      </c>
      <c r="B223">
        <f>IF(VIPcric_1!B225="","",VIPcric_1!B225)</f>
        <v>1236710</v>
      </c>
      <c r="C223">
        <f>IF(VIPcric_1!C225="","",VIPcric_1!C225)</f>
        <v>12050</v>
      </c>
      <c r="D223">
        <f>IF(VIPcric_1!D225="","",VIPcric_1!D225)</f>
        <v>2576048</v>
      </c>
      <c r="E223">
        <f>IF(VIPcric_1!E225="","",VIPcric_1!E225)</f>
        <v>25702</v>
      </c>
      <c r="F223">
        <f>IF(VIPcric_1!F225="","",VIPcric_1!F225)</f>
        <v>6027</v>
      </c>
      <c r="G223">
        <f>IF(VIPcric_1!G225="","",VIPcric_1!G225)</f>
        <v>15526345480</v>
      </c>
      <c r="H223">
        <f>IF(VIPcric_1!H225="","",VIPcric_1!H225)</f>
        <v>0.48</v>
      </c>
      <c r="I223" t="str">
        <f>IF(VIPcric_1!M225="","",VIPcric_1!M225)</f>
        <v>CRIC-乐山-市场监测.商品房市场.项目累计.供求.xlsx</v>
      </c>
    </row>
    <row r="224" spans="1:9">
      <c r="A224" t="str">
        <f>IF(VIPcric_1!A226="","",VIPcric_1!A226)</f>
        <v>2021年</v>
      </c>
      <c r="B224">
        <f>IF(VIPcric_1!B226="","",VIPcric_1!B226)</f>
        <v>1696697</v>
      </c>
      <c r="C224">
        <f>IF(VIPcric_1!C226="","",VIPcric_1!C226)</f>
        <v>16998</v>
      </c>
      <c r="D224">
        <f>IF(VIPcric_1!D226="","",VIPcric_1!D226)</f>
        <v>338489</v>
      </c>
      <c r="E224">
        <f>IF(VIPcric_1!E226="","",VIPcric_1!E226)</f>
        <v>3422</v>
      </c>
      <c r="F224">
        <f>IF(VIPcric_1!F226="","",VIPcric_1!F226)</f>
        <v>5751</v>
      </c>
      <c r="G224">
        <f>IF(VIPcric_1!G226="","",VIPcric_1!G226)</f>
        <v>1946774884</v>
      </c>
      <c r="H224">
        <f>IF(VIPcric_1!H226="","",VIPcric_1!H226)</f>
        <v>5.01</v>
      </c>
      <c r="I224" t="str">
        <f>IF(VIPcric_1!M226="","",VIPcric_1!M226)</f>
        <v>CRIC-乐山-市场监测.商品房市场.项目累计.供求.xlsx</v>
      </c>
    </row>
    <row r="225" spans="1:9">
      <c r="A225" t="str">
        <f>IF(VIPcric_1!A227="","",VIPcric_1!A227)</f>
        <v>2020年</v>
      </c>
      <c r="B225">
        <f>IF(VIPcric_1!B227="","",VIPcric_1!B227)</f>
        <v>1930816</v>
      </c>
      <c r="C225">
        <f>IF(VIPcric_1!C227="","",VIPcric_1!C227)</f>
        <v>18831</v>
      </c>
      <c r="D225">
        <f>IF(VIPcric_1!D227="","",VIPcric_1!D227)</f>
        <v>0</v>
      </c>
      <c r="E225">
        <f>IF(VIPcric_1!E227="","",VIPcric_1!E227)</f>
        <v>0</v>
      </c>
      <c r="F225">
        <f>IF(VIPcric_1!F227="","",VIPcric_1!F227)</f>
        <v>0</v>
      </c>
      <c r="G225">
        <f>IF(VIPcric_1!G227="","",VIPcric_1!G227)</f>
        <v>0</v>
      </c>
      <c r="H225">
        <f>IF(VIPcric_1!H227="","",VIPcric_1!H227)</f>
        <v>0</v>
      </c>
      <c r="I225" t="str">
        <f>IF(VIPcric_1!M227="","",VIPcric_1!M227)</f>
        <v>CRIC-乐山-市场监测.商品房市场.项目累计.供求.xlsx</v>
      </c>
    </row>
    <row r="226" spans="1:9">
      <c r="A226" t="str">
        <f>IF(VIPcric_1!A228="","",VIPcric_1!A228)</f>
        <v>2019年</v>
      </c>
      <c r="B226">
        <f>IF(VIPcric_1!B228="","",VIPcric_1!B228)</f>
        <v>2128390</v>
      </c>
      <c r="C226">
        <f>IF(VIPcric_1!C228="","",VIPcric_1!C228)</f>
        <v>19525</v>
      </c>
      <c r="D226">
        <f>IF(VIPcric_1!D228="","",VIPcric_1!D228)</f>
        <v>0</v>
      </c>
      <c r="E226">
        <f>IF(VIPcric_1!E228="","",VIPcric_1!E228)</f>
        <v>0</v>
      </c>
      <c r="F226">
        <f>IF(VIPcric_1!F228="","",VIPcric_1!F228)</f>
        <v>0</v>
      </c>
      <c r="G226">
        <f>IF(VIPcric_1!G228="","",VIPcric_1!G228)</f>
        <v>0</v>
      </c>
      <c r="H226">
        <f>IF(VIPcric_1!H228="","",VIPcric_1!H228)</f>
        <v>0</v>
      </c>
      <c r="I226" t="str">
        <f>IF(VIPcric_1!M228="","",VIPcric_1!M228)</f>
        <v>CRIC-乐山-市场监测.商品房市场.项目累计.供求.xlsx</v>
      </c>
    </row>
    <row r="227" spans="1:9">
      <c r="A227" t="str">
        <f>IF(VIPcric_1!A229="","",VIPcric_1!A229)</f>
        <v>汇总</v>
      </c>
      <c r="B227">
        <f>IF(VIPcric_1!B229="","",VIPcric_1!B229)</f>
        <v>8001303</v>
      </c>
      <c r="C227">
        <f>IF(VIPcric_1!C229="","",VIPcric_1!C229)</f>
        <v>77085</v>
      </c>
      <c r="D227">
        <f>IF(VIPcric_1!D229="","",VIPcric_1!D229)</f>
        <v>4827004</v>
      </c>
      <c r="E227">
        <f>IF(VIPcric_1!E229="","",VIPcric_1!E229)</f>
        <v>48278</v>
      </c>
      <c r="F227">
        <f>IF(VIPcric_1!F229="","",VIPcric_1!F229)</f>
        <v>6003</v>
      </c>
      <c r="G227">
        <f>IF(VIPcric_1!G229="","",VIPcric_1!G229)</f>
        <v>28978755673</v>
      </c>
      <c r="H227">
        <f>IF(VIPcric_1!H229="","",VIPcric_1!H229)</f>
        <v>1.66</v>
      </c>
      <c r="I227" t="str">
        <f>IF(VIPcric_1!M229="","",VIPcric_1!M229)</f>
        <v>CRIC-乐山-市场监测.商品房市场.项目累计.供求.xlsx</v>
      </c>
    </row>
    <row r="228" spans="1:9">
      <c r="A228" t="str">
        <f>IF(VIPcric_1!A230="","",VIPcric_1!A230)</f>
        <v/>
      </c>
      <c r="B228" t="str">
        <f>IF(VIPcric_1!B230="","",VIPcric_1!B230)</f>
        <v/>
      </c>
      <c r="C228" t="str">
        <f>IF(VIPcric_1!C230="","",VIPcric_1!C230)</f>
        <v/>
      </c>
      <c r="D228" t="str">
        <f>IF(VIPcric_1!D230="","",VIPcric_1!D230)</f>
        <v/>
      </c>
      <c r="E228" t="str">
        <f>IF(VIPcric_1!E230="","",VIPcric_1!E230)</f>
        <v/>
      </c>
      <c r="F228" t="str">
        <f>IF(VIPcric_1!F230="","",VIPcric_1!F230)</f>
        <v/>
      </c>
      <c r="G228" t="str">
        <f>IF(VIPcric_1!G230="","",VIPcric_1!G230)</f>
        <v/>
      </c>
      <c r="H228" t="str">
        <f>IF(VIPcric_1!H230="","",VIPcric_1!H230)</f>
        <v/>
      </c>
      <c r="I228" t="str">
        <f>IF(VIPcric_1!M230="","",VIPcric_1!M230)</f>
        <v/>
      </c>
    </row>
    <row r="229" spans="1:9">
      <c r="A229" t="str">
        <f>IF(VIPcric_1!A231="","",VIPcric_1!A231)</f>
        <v/>
      </c>
      <c r="B229" t="str">
        <f>IF(VIPcric_1!B231="","",VIPcric_1!B231)</f>
        <v/>
      </c>
      <c r="C229" t="str">
        <f>IF(VIPcric_1!C231="","",VIPcric_1!C231)</f>
        <v/>
      </c>
      <c r="D229" t="str">
        <f>IF(VIPcric_1!D231="","",VIPcric_1!D231)</f>
        <v/>
      </c>
      <c r="E229" t="str">
        <f>IF(VIPcric_1!E231="","",VIPcric_1!E231)</f>
        <v/>
      </c>
      <c r="F229" t="str">
        <f>IF(VIPcric_1!F231="","",VIPcric_1!F231)</f>
        <v/>
      </c>
      <c r="G229" t="str">
        <f>IF(VIPcric_1!G231="","",VIPcric_1!G231)</f>
        <v/>
      </c>
      <c r="H229" t="str">
        <f>IF(VIPcric_1!H231="","",VIPcric_1!H231)</f>
        <v/>
      </c>
      <c r="I229" t="str">
        <f>IF(VIPcric_1!M231="","",VIPcric_1!M231)</f>
        <v>CRIC-乐山-市场监测.商品房市场.项目累计.库存.xlsx</v>
      </c>
    </row>
    <row r="230" spans="1:9">
      <c r="A230" t="str">
        <f>IF(VIPcric_1!A232="","",VIPcric_1!A232)</f>
        <v>时间(年)</v>
      </c>
      <c r="B230" t="str">
        <f>IF(VIPcric_1!B232="","",VIPcric_1!B232)</f>
        <v>库存面积(㎡)</v>
      </c>
      <c r="C230" t="str">
        <f>IF(VIPcric_1!C232="","",VIPcric_1!C232)</f>
        <v>库存套数(套)</v>
      </c>
      <c r="D230" t="str">
        <f>IF(VIPcric_1!D232="","",VIPcric_1!D232)</f>
        <v>去化周期12'(月)</v>
      </c>
      <c r="E230" t="str">
        <f>IF(VIPcric_1!E232="","",VIPcric_1!E232)</f>
        <v>去化周期24'(月)</v>
      </c>
      <c r="F230" t="str">
        <f>IF(VIPcric_1!F232="","",VIPcric_1!F232)</f>
        <v/>
      </c>
      <c r="G230" t="str">
        <f>IF(VIPcric_1!G232="","",VIPcric_1!G232)</f>
        <v/>
      </c>
      <c r="H230" t="str">
        <f>IF(VIPcric_1!H232="","",VIPcric_1!H232)</f>
        <v/>
      </c>
      <c r="I230" t="str">
        <f>IF(VIPcric_1!M232="","",VIPcric_1!M232)</f>
        <v>CRIC-乐山-市场监测.商品房市场.项目累计.库存.xlsx</v>
      </c>
    </row>
    <row r="231" spans="1:9">
      <c r="A231" t="str">
        <f>IF(VIPcric_1!A233="","",VIPcric_1!A233)</f>
        <v>2024年</v>
      </c>
      <c r="B231">
        <f>IF(VIPcric_1!B233="","",VIPcric_1!B233)</f>
        <v>1250600</v>
      </c>
      <c r="C231">
        <f>IF(VIPcric_1!C233="","",VIPcric_1!C233)</f>
        <v>12149</v>
      </c>
      <c r="D231">
        <f>IF(VIPcric_1!D233="","",VIPcric_1!D233)</f>
        <v>8.1999999999999993</v>
      </c>
      <c r="E231">
        <f>IF(VIPcric_1!E233="","",VIPcric_1!E233)</f>
        <v>7</v>
      </c>
      <c r="F231" t="str">
        <f>IF(VIPcric_1!F233="","",VIPcric_1!F233)</f>
        <v/>
      </c>
      <c r="G231" t="str">
        <f>IF(VIPcric_1!G233="","",VIPcric_1!G233)</f>
        <v/>
      </c>
      <c r="H231" t="str">
        <f>IF(VIPcric_1!H233="","",VIPcric_1!H233)</f>
        <v/>
      </c>
      <c r="I231" t="str">
        <f>IF(VIPcric_1!M233="","",VIPcric_1!M233)</f>
        <v>CRIC-乐山-市场监测.商品房市场.项目累计.库存.xlsx</v>
      </c>
    </row>
    <row r="232" spans="1:9">
      <c r="A232" t="str">
        <f>IF(VIPcric_1!A234="","",VIPcric_1!A234)</f>
        <v>2023年</v>
      </c>
      <c r="B232">
        <f>IF(VIPcric_1!B234="","",VIPcric_1!B234)</f>
        <v>1198873</v>
      </c>
      <c r="C232">
        <f>IF(VIPcric_1!C234="","",VIPcric_1!C234)</f>
        <v>11636</v>
      </c>
      <c r="D232">
        <f>IF(VIPcric_1!D234="","",VIPcric_1!D234)</f>
        <v>7.5</v>
      </c>
      <c r="E232">
        <f>IF(VIPcric_1!E234="","",VIPcric_1!E234)</f>
        <v>6.4</v>
      </c>
      <c r="F232" t="str">
        <f>IF(VIPcric_1!F234="","",VIPcric_1!F234)</f>
        <v/>
      </c>
      <c r="G232" t="str">
        <f>IF(VIPcric_1!G234="","",VIPcric_1!G234)</f>
        <v/>
      </c>
      <c r="H232" t="str">
        <f>IF(VIPcric_1!H234="","",VIPcric_1!H234)</f>
        <v/>
      </c>
      <c r="I232" t="str">
        <f>IF(VIPcric_1!M234="","",VIPcric_1!M234)</f>
        <v>CRIC-乐山-市场监测.商品房市场.项目累计.库存.xlsx</v>
      </c>
    </row>
    <row r="233" spans="1:9">
      <c r="A233" t="str">
        <f>IF(VIPcric_1!A235="","",VIPcric_1!A235)</f>
        <v>2022年</v>
      </c>
      <c r="B233">
        <f>IF(VIPcric_1!B235="","",VIPcric_1!B235)</f>
        <v>1087404</v>
      </c>
      <c r="C233">
        <f>IF(VIPcric_1!C235="","",VIPcric_1!C235)</f>
        <v>10538</v>
      </c>
      <c r="D233">
        <f>IF(VIPcric_1!D235="","",VIPcric_1!D235)</f>
        <v>5.0999999999999996</v>
      </c>
      <c r="E233">
        <f>IF(VIPcric_1!E235="","",VIPcric_1!E235)</f>
        <v>9</v>
      </c>
      <c r="F233" t="str">
        <f>IF(VIPcric_1!F235="","",VIPcric_1!F235)</f>
        <v/>
      </c>
      <c r="G233" t="str">
        <f>IF(VIPcric_1!G235="","",VIPcric_1!G235)</f>
        <v/>
      </c>
      <c r="H233" t="str">
        <f>IF(VIPcric_1!H235="","",VIPcric_1!H235)</f>
        <v/>
      </c>
      <c r="I233" t="str">
        <f>IF(VIPcric_1!M235="","",VIPcric_1!M235)</f>
        <v>CRIC-乐山-市场监测.商品房市场.项目累计.库存.xlsx</v>
      </c>
    </row>
    <row r="234" spans="1:9">
      <c r="A234" t="str">
        <f>IF(VIPcric_1!A236="","",VIPcric_1!A236)</f>
        <v>2021年</v>
      </c>
      <c r="B234">
        <f>IF(VIPcric_1!B236="","",VIPcric_1!B236)</f>
        <v>1367331</v>
      </c>
      <c r="C234">
        <f>IF(VIPcric_1!C236="","",VIPcric_1!C236)</f>
        <v>13161</v>
      </c>
      <c r="D234">
        <f>IF(VIPcric_1!D236="","",VIPcric_1!D236)</f>
        <v>48.5</v>
      </c>
      <c r="E234">
        <f>IF(VIPcric_1!E236="","",VIPcric_1!E236)</f>
        <v>96.9</v>
      </c>
      <c r="F234" t="str">
        <f>IF(VIPcric_1!F236="","",VIPcric_1!F236)</f>
        <v/>
      </c>
      <c r="G234" t="str">
        <f>IF(VIPcric_1!G236="","",VIPcric_1!G236)</f>
        <v/>
      </c>
      <c r="H234" t="str">
        <f>IF(VIPcric_1!H236="","",VIPcric_1!H236)</f>
        <v/>
      </c>
      <c r="I234" t="str">
        <f>IF(VIPcric_1!M236="","",VIPcric_1!M236)</f>
        <v>CRIC-乐山-市场监测.商品房市场.项目累计.库存.xlsx</v>
      </c>
    </row>
    <row r="235" spans="1:9">
      <c r="A235" t="str">
        <f>IF(VIPcric_1!A237="","",VIPcric_1!A237)</f>
        <v/>
      </c>
      <c r="B235" t="str">
        <f>IF(VIPcric_1!B237="","",VIPcric_1!B237)</f>
        <v/>
      </c>
      <c r="C235" t="str">
        <f>IF(VIPcric_1!C237="","",VIPcric_1!C237)</f>
        <v/>
      </c>
      <c r="D235" t="str">
        <f>IF(VIPcric_1!D237="","",VIPcric_1!D237)</f>
        <v/>
      </c>
      <c r="E235" t="str">
        <f>IF(VIPcric_1!E237="","",VIPcric_1!E237)</f>
        <v/>
      </c>
      <c r="F235" t="str">
        <f>IF(VIPcric_1!F237="","",VIPcric_1!F237)</f>
        <v/>
      </c>
      <c r="G235" t="str">
        <f>IF(VIPcric_1!G237="","",VIPcric_1!G237)</f>
        <v/>
      </c>
      <c r="H235" t="str">
        <f>IF(VIPcric_1!H237="","",VIPcric_1!H237)</f>
        <v/>
      </c>
      <c r="I235" t="str">
        <f>IF(VIPcric_1!M237="","",VIPcric_1!M237)</f>
        <v/>
      </c>
    </row>
    <row r="236" spans="1:9">
      <c r="A236" t="str">
        <f>IF(VIPcric_1!A238="","",VIPcric_1!A238)</f>
        <v/>
      </c>
      <c r="B236" t="str">
        <f>IF(VIPcric_1!B238="","",VIPcric_1!B238)</f>
        <v/>
      </c>
      <c r="C236" t="str">
        <f>IF(VIPcric_1!C238="","",VIPcric_1!C238)</f>
        <v/>
      </c>
      <c r="D236" t="str">
        <f>IF(VIPcric_1!D238="","",VIPcric_1!D238)</f>
        <v/>
      </c>
      <c r="E236" t="str">
        <f>IF(VIPcric_1!E238="","",VIPcric_1!E238)</f>
        <v/>
      </c>
      <c r="F236" t="str">
        <f>IF(VIPcric_1!F238="","",VIPcric_1!F238)</f>
        <v/>
      </c>
      <c r="G236" t="str">
        <f>IF(VIPcric_1!G238="","",VIPcric_1!G238)</f>
        <v/>
      </c>
      <c r="H236" t="str">
        <f>IF(VIPcric_1!H238="","",VIPcric_1!H238)</f>
        <v/>
      </c>
      <c r="I236" t="str">
        <f>IF(VIPcric_1!M238="","",VIPcric_1!M238)</f>
        <v>CRIC-九江-市场监测.商品房市场.项目累计.供求.xlsx</v>
      </c>
    </row>
    <row r="237" spans="1:9">
      <c r="A237" t="str">
        <f>IF(VIPcric_1!A239="","",VIPcric_1!A239)</f>
        <v>时间(年)</v>
      </c>
      <c r="B237" t="str">
        <f>IF(VIPcric_1!B239="","",VIPcric_1!B239)</f>
        <v>供应面积(㎡)</v>
      </c>
      <c r="C237" t="str">
        <f>IF(VIPcric_1!C239="","",VIPcric_1!C239)</f>
        <v>供应套数(套)</v>
      </c>
      <c r="D237" t="str">
        <f>IF(VIPcric_1!D239="","",VIPcric_1!D239)</f>
        <v>成交面积(㎡)</v>
      </c>
      <c r="E237" t="str">
        <f>IF(VIPcric_1!E239="","",VIPcric_1!E239)</f>
        <v>成交套数(套)</v>
      </c>
      <c r="F237" t="str">
        <f>IF(VIPcric_1!F239="","",VIPcric_1!F239)</f>
        <v>成交均价(元/㎡)</v>
      </c>
      <c r="G237" t="str">
        <f>IF(VIPcric_1!G239="","",VIPcric_1!G239)</f>
        <v>成交金额(元)</v>
      </c>
      <c r="H237" t="str">
        <f>IF(VIPcric_1!H239="","",VIPcric_1!H239)</f>
        <v>供求比</v>
      </c>
      <c r="I237" t="str">
        <f>IF(VIPcric_1!M239="","",VIPcric_1!M239)</f>
        <v>CRIC-九江-市场监测.商品房市场.项目累计.供求.xlsx</v>
      </c>
    </row>
    <row r="238" spans="1:9">
      <c r="A238" t="str">
        <f>IF(VIPcric_1!A240="","",VIPcric_1!A240)</f>
        <v>2023年</v>
      </c>
      <c r="B238">
        <f>IF(VIPcric_1!B240="","",VIPcric_1!B240)</f>
        <v>338386</v>
      </c>
      <c r="C238">
        <f>IF(VIPcric_1!C240="","",VIPcric_1!C240)</f>
        <v>3007</v>
      </c>
      <c r="D238">
        <f>IF(VIPcric_1!D240="","",VIPcric_1!D240)</f>
        <v>632724</v>
      </c>
      <c r="E238">
        <f>IF(VIPcric_1!E240="","",VIPcric_1!E240)</f>
        <v>5542</v>
      </c>
      <c r="F238">
        <f>IF(VIPcric_1!F240="","",VIPcric_1!F240)</f>
        <v>8624</v>
      </c>
      <c r="G238">
        <f>IF(VIPcric_1!G240="","",VIPcric_1!G240)</f>
        <v>5456887866</v>
      </c>
      <c r="H238">
        <f>IF(VIPcric_1!H240="","",VIPcric_1!H240)</f>
        <v>0.53</v>
      </c>
      <c r="I238" t="str">
        <f>IF(VIPcric_1!M240="","",VIPcric_1!M240)</f>
        <v>CRIC-九江-市场监测.商品房市场.项目累计.供求.xlsx</v>
      </c>
    </row>
    <row r="239" spans="1:9">
      <c r="A239" t="str">
        <f>IF(VIPcric_1!A241="","",VIPcric_1!A241)</f>
        <v>2022年</v>
      </c>
      <c r="B239">
        <f>IF(VIPcric_1!B241="","",VIPcric_1!B241)</f>
        <v>455015</v>
      </c>
      <c r="C239">
        <f>IF(VIPcric_1!C241="","",VIPcric_1!C241)</f>
        <v>3911</v>
      </c>
      <c r="D239">
        <f>IF(VIPcric_1!D241="","",VIPcric_1!D241)</f>
        <v>511908</v>
      </c>
      <c r="E239">
        <f>IF(VIPcric_1!E241="","",VIPcric_1!E241)</f>
        <v>4252</v>
      </c>
      <c r="F239">
        <f>IF(VIPcric_1!F241="","",VIPcric_1!F241)</f>
        <v>8704</v>
      </c>
      <c r="G239">
        <f>IF(VIPcric_1!G241="","",VIPcric_1!G241)</f>
        <v>4455641931</v>
      </c>
      <c r="H239">
        <f>IF(VIPcric_1!H241="","",VIPcric_1!H241)</f>
        <v>0.89</v>
      </c>
      <c r="I239" t="str">
        <f>IF(VIPcric_1!M241="","",VIPcric_1!M241)</f>
        <v>CRIC-九江-市场监测.商品房市场.项目累计.供求.xlsx</v>
      </c>
    </row>
    <row r="240" spans="1:9">
      <c r="A240" t="str">
        <f>IF(VIPcric_1!A242="","",VIPcric_1!A242)</f>
        <v>2021年</v>
      </c>
      <c r="B240">
        <f>IF(VIPcric_1!B242="","",VIPcric_1!B242)</f>
        <v>1549534</v>
      </c>
      <c r="C240">
        <f>IF(VIPcric_1!C242="","",VIPcric_1!C242)</f>
        <v>13066</v>
      </c>
      <c r="D240">
        <f>IF(VIPcric_1!D242="","",VIPcric_1!D242)</f>
        <v>1521377</v>
      </c>
      <c r="E240">
        <f>IF(VIPcric_1!E242="","",VIPcric_1!E242)</f>
        <v>13118</v>
      </c>
      <c r="F240">
        <f>IF(VIPcric_1!F242="","",VIPcric_1!F242)</f>
        <v>8547</v>
      </c>
      <c r="G240">
        <f>IF(VIPcric_1!G242="","",VIPcric_1!G242)</f>
        <v>13003688809</v>
      </c>
      <c r="H240">
        <f>IF(VIPcric_1!H242="","",VIPcric_1!H242)</f>
        <v>1.02</v>
      </c>
      <c r="I240" t="str">
        <f>IF(VIPcric_1!M242="","",VIPcric_1!M242)</f>
        <v>CRIC-九江-市场监测.商品房市场.项目累计.供求.xlsx</v>
      </c>
    </row>
    <row r="241" spans="1:9">
      <c r="A241" t="str">
        <f>IF(VIPcric_1!A243="","",VIPcric_1!A243)</f>
        <v>2020年</v>
      </c>
      <c r="B241">
        <f>IF(VIPcric_1!B243="","",VIPcric_1!B243)</f>
        <v>1758897</v>
      </c>
      <c r="C241">
        <f>IF(VIPcric_1!C243="","",VIPcric_1!C243)</f>
        <v>15175</v>
      </c>
      <c r="D241">
        <f>IF(VIPcric_1!D243="","",VIPcric_1!D243)</f>
        <v>2468537</v>
      </c>
      <c r="E241">
        <f>IF(VIPcric_1!E243="","",VIPcric_1!E243)</f>
        <v>21072</v>
      </c>
      <c r="F241">
        <f>IF(VIPcric_1!F243="","",VIPcric_1!F243)</f>
        <v>7948</v>
      </c>
      <c r="G241">
        <f>IF(VIPcric_1!G243="","",VIPcric_1!G243)</f>
        <v>19619819497</v>
      </c>
      <c r="H241">
        <f>IF(VIPcric_1!H243="","",VIPcric_1!H243)</f>
        <v>0.71</v>
      </c>
      <c r="I241" t="str">
        <f>IF(VIPcric_1!M243="","",VIPcric_1!M243)</f>
        <v>CRIC-九江-市场监测.商品房市场.项目累计.供求.xlsx</v>
      </c>
    </row>
    <row r="242" spans="1:9">
      <c r="A242" t="str">
        <f>IF(VIPcric_1!A244="","",VIPcric_1!A244)</f>
        <v>2019年</v>
      </c>
      <c r="B242">
        <f>IF(VIPcric_1!B244="","",VIPcric_1!B244)</f>
        <v>2008945</v>
      </c>
      <c r="C242">
        <f>IF(VIPcric_1!C244="","",VIPcric_1!C244)</f>
        <v>16975</v>
      </c>
      <c r="D242">
        <f>IF(VIPcric_1!D244="","",VIPcric_1!D244)</f>
        <v>1569774</v>
      </c>
      <c r="E242">
        <f>IF(VIPcric_1!E244="","",VIPcric_1!E244)</f>
        <v>13651</v>
      </c>
      <c r="F242">
        <f>IF(VIPcric_1!F244="","",VIPcric_1!F244)</f>
        <v>7515</v>
      </c>
      <c r="G242">
        <f>IF(VIPcric_1!G244="","",VIPcric_1!G244)</f>
        <v>11797493993</v>
      </c>
      <c r="H242">
        <f>IF(VIPcric_1!H244="","",VIPcric_1!H244)</f>
        <v>1.28</v>
      </c>
      <c r="I242" t="str">
        <f>IF(VIPcric_1!M244="","",VIPcric_1!M244)</f>
        <v>CRIC-九江-市场监测.商品房市场.项目累计.供求.xlsx</v>
      </c>
    </row>
    <row r="243" spans="1:9">
      <c r="A243" t="str">
        <f>IF(VIPcric_1!A245="","",VIPcric_1!A245)</f>
        <v>2018年</v>
      </c>
      <c r="B243">
        <f>IF(VIPcric_1!B245="","",VIPcric_1!B245)</f>
        <v>3213535</v>
      </c>
      <c r="C243">
        <f>IF(VIPcric_1!C245="","",VIPcric_1!C245)</f>
        <v>27530</v>
      </c>
      <c r="D243">
        <f>IF(VIPcric_1!D245="","",VIPcric_1!D245)</f>
        <v>215698</v>
      </c>
      <c r="E243">
        <f>IF(VIPcric_1!E245="","",VIPcric_1!E245)</f>
        <v>1934</v>
      </c>
      <c r="F243">
        <f>IF(VIPcric_1!F245="","",VIPcric_1!F245)</f>
        <v>6742</v>
      </c>
      <c r="G243">
        <f>IF(VIPcric_1!G245="","",VIPcric_1!G245)</f>
        <v>1454289886</v>
      </c>
      <c r="H243">
        <f>IF(VIPcric_1!H245="","",VIPcric_1!H245)</f>
        <v>14.9</v>
      </c>
      <c r="I243" t="str">
        <f>IF(VIPcric_1!M245="","",VIPcric_1!M245)</f>
        <v>CRIC-九江-市场监测.商品房市场.项目累计.供求.xlsx</v>
      </c>
    </row>
    <row r="244" spans="1:9">
      <c r="A244" t="str">
        <f>IF(VIPcric_1!A246="","",VIPcric_1!A246)</f>
        <v>汇总</v>
      </c>
      <c r="B244">
        <f>IF(VIPcric_1!B246="","",VIPcric_1!B246)</f>
        <v>9324313</v>
      </c>
      <c r="C244">
        <f>IF(VIPcric_1!C246="","",VIPcric_1!C246)</f>
        <v>79664</v>
      </c>
      <c r="D244">
        <f>IF(VIPcric_1!D246="","",VIPcric_1!D246)</f>
        <v>6920019</v>
      </c>
      <c r="E244">
        <f>IF(VIPcric_1!E246="","",VIPcric_1!E246)</f>
        <v>59569</v>
      </c>
      <c r="F244">
        <f>IF(VIPcric_1!F246="","",VIPcric_1!F246)</f>
        <v>8062</v>
      </c>
      <c r="G244">
        <f>IF(VIPcric_1!G246="","",VIPcric_1!G246)</f>
        <v>55787821982</v>
      </c>
      <c r="H244">
        <f>IF(VIPcric_1!H246="","",VIPcric_1!H246)</f>
        <v>1.35</v>
      </c>
      <c r="I244" t="str">
        <f>IF(VIPcric_1!M246="","",VIPcric_1!M246)</f>
        <v>CRIC-九江-市场监测.商品房市场.项目累计.供求.xlsx</v>
      </c>
    </row>
    <row r="245" spans="1:9">
      <c r="A245" t="str">
        <f>IF(VIPcric_1!A247="","",VIPcric_1!A247)</f>
        <v/>
      </c>
      <c r="B245" t="str">
        <f>IF(VIPcric_1!B247="","",VIPcric_1!B247)</f>
        <v/>
      </c>
      <c r="C245" t="str">
        <f>IF(VIPcric_1!C247="","",VIPcric_1!C247)</f>
        <v/>
      </c>
      <c r="D245" t="str">
        <f>IF(VIPcric_1!D247="","",VIPcric_1!D247)</f>
        <v/>
      </c>
      <c r="E245" t="str">
        <f>IF(VIPcric_1!E247="","",VIPcric_1!E247)</f>
        <v/>
      </c>
      <c r="F245" t="str">
        <f>IF(VIPcric_1!F247="","",VIPcric_1!F247)</f>
        <v/>
      </c>
      <c r="G245" t="str">
        <f>IF(VIPcric_1!G247="","",VIPcric_1!G247)</f>
        <v/>
      </c>
      <c r="H245" t="str">
        <f>IF(VIPcric_1!H247="","",VIPcric_1!H247)</f>
        <v/>
      </c>
      <c r="I245" t="str">
        <f>IF(VIPcric_1!M247="","",VIPcric_1!M247)</f>
        <v/>
      </c>
    </row>
    <row r="246" spans="1:9">
      <c r="A246" t="str">
        <f>IF(VIPcric_1!A248="","",VIPcric_1!A248)</f>
        <v/>
      </c>
      <c r="B246" t="str">
        <f>IF(VIPcric_1!B248="","",VIPcric_1!B248)</f>
        <v/>
      </c>
      <c r="C246" t="str">
        <f>IF(VIPcric_1!C248="","",VIPcric_1!C248)</f>
        <v/>
      </c>
      <c r="D246" t="str">
        <f>IF(VIPcric_1!D248="","",VIPcric_1!D248)</f>
        <v/>
      </c>
      <c r="E246" t="str">
        <f>IF(VIPcric_1!E248="","",VIPcric_1!E248)</f>
        <v/>
      </c>
      <c r="F246" t="str">
        <f>IF(VIPcric_1!F248="","",VIPcric_1!F248)</f>
        <v/>
      </c>
      <c r="G246" t="str">
        <f>IF(VIPcric_1!G248="","",VIPcric_1!G248)</f>
        <v/>
      </c>
      <c r="H246" t="str">
        <f>IF(VIPcric_1!H248="","",VIPcric_1!H248)</f>
        <v/>
      </c>
      <c r="I246" t="str">
        <f>IF(VIPcric_1!M248="","",VIPcric_1!M248)</f>
        <v>CRIC-九江-市场监测.商品房市场.项目累计.库存.xlsx</v>
      </c>
    </row>
    <row r="247" spans="1:9">
      <c r="A247" t="str">
        <f>IF(VIPcric_1!A249="","",VIPcric_1!A249)</f>
        <v>时间(年)</v>
      </c>
      <c r="B247" t="str">
        <f>IF(VIPcric_1!B249="","",VIPcric_1!B249)</f>
        <v>库存面积(㎡)</v>
      </c>
      <c r="C247" t="str">
        <f>IF(VIPcric_1!C249="","",VIPcric_1!C249)</f>
        <v>库存套数(套)</v>
      </c>
      <c r="D247" t="str">
        <f>IF(VIPcric_1!D249="","",VIPcric_1!D249)</f>
        <v>去化周期12'(月)</v>
      </c>
      <c r="E247" t="str">
        <f>IF(VIPcric_1!E249="","",VIPcric_1!E249)</f>
        <v>去化周期24'(月)</v>
      </c>
      <c r="F247" t="str">
        <f>IF(VIPcric_1!F249="","",VIPcric_1!F249)</f>
        <v/>
      </c>
      <c r="G247" t="str">
        <f>IF(VIPcric_1!G249="","",VIPcric_1!G249)</f>
        <v/>
      </c>
      <c r="H247" t="str">
        <f>IF(VIPcric_1!H249="","",VIPcric_1!H249)</f>
        <v/>
      </c>
      <c r="I247" t="str">
        <f>IF(VIPcric_1!M249="","",VIPcric_1!M249)</f>
        <v>CRIC-九江-市场监测.商品房市场.项目累计.库存.xlsx</v>
      </c>
    </row>
    <row r="248" spans="1:9">
      <c r="A248" t="str">
        <f>IF(VIPcric_1!A250="","",VIPcric_1!A250)</f>
        <v>2023年</v>
      </c>
      <c r="B248">
        <f>IF(VIPcric_1!B250="","",VIPcric_1!B250)</f>
        <v>1066858</v>
      </c>
      <c r="C248">
        <f>IF(VIPcric_1!C250="","",VIPcric_1!C250)</f>
        <v>9410</v>
      </c>
      <c r="D248">
        <f>IF(VIPcric_1!D250="","",VIPcric_1!D250)</f>
        <v>20.2</v>
      </c>
      <c r="E248">
        <f>IF(VIPcric_1!E250="","",VIPcric_1!E250)</f>
        <v>22.4</v>
      </c>
      <c r="F248" t="str">
        <f>IF(VIPcric_1!F250="","",VIPcric_1!F250)</f>
        <v/>
      </c>
      <c r="G248" t="str">
        <f>IF(VIPcric_1!G250="","",VIPcric_1!G250)</f>
        <v/>
      </c>
      <c r="H248" t="str">
        <f>IF(VIPcric_1!H250="","",VIPcric_1!H250)</f>
        <v/>
      </c>
      <c r="I248" t="str">
        <f>IF(VIPcric_1!M250="","",VIPcric_1!M250)</f>
        <v>CRIC-九江-市场监测.商品房市场.项目累计.库存.xlsx</v>
      </c>
    </row>
    <row r="249" spans="1:9">
      <c r="A249" t="str">
        <f>IF(VIPcric_1!A251="","",VIPcric_1!A251)</f>
        <v>2022年</v>
      </c>
      <c r="B249">
        <f>IF(VIPcric_1!B251="","",VIPcric_1!B251)</f>
        <v>1066963</v>
      </c>
      <c r="C249">
        <f>IF(VIPcric_1!C251="","",VIPcric_1!C251)</f>
        <v>9590</v>
      </c>
      <c r="D249">
        <f>IF(VIPcric_1!D251="","",VIPcric_1!D251)</f>
        <v>25</v>
      </c>
      <c r="E249">
        <f>IF(VIPcric_1!E251="","",VIPcric_1!E251)</f>
        <v>12.6</v>
      </c>
      <c r="F249" t="str">
        <f>IF(VIPcric_1!F251="","",VIPcric_1!F251)</f>
        <v/>
      </c>
      <c r="G249" t="str">
        <f>IF(VIPcric_1!G251="","",VIPcric_1!G251)</f>
        <v/>
      </c>
      <c r="H249" t="str">
        <f>IF(VIPcric_1!H251="","",VIPcric_1!H251)</f>
        <v/>
      </c>
      <c r="I249" t="str">
        <f>IF(VIPcric_1!M251="","",VIPcric_1!M251)</f>
        <v>CRIC-九江-市场监测.商品房市场.项目累计.库存.xlsx</v>
      </c>
    </row>
    <row r="250" spans="1:9">
      <c r="A250" t="str">
        <f>IF(VIPcric_1!A252="","",VIPcric_1!A252)</f>
        <v>2021年</v>
      </c>
      <c r="B250">
        <f>IF(VIPcric_1!B252="","",VIPcric_1!B252)</f>
        <v>419510</v>
      </c>
      <c r="C250">
        <f>IF(VIPcric_1!C252="","",VIPcric_1!C252)</f>
        <v>4147</v>
      </c>
      <c r="D250">
        <f>IF(VIPcric_1!D252="","",VIPcric_1!D252)</f>
        <v>3.3</v>
      </c>
      <c r="E250">
        <f>IF(VIPcric_1!E252="","",VIPcric_1!E252)</f>
        <v>2.5</v>
      </c>
      <c r="F250" t="str">
        <f>IF(VIPcric_1!F252="","",VIPcric_1!F252)</f>
        <v/>
      </c>
      <c r="G250" t="str">
        <f>IF(VIPcric_1!G252="","",VIPcric_1!G252)</f>
        <v/>
      </c>
      <c r="H250" t="str">
        <f>IF(VIPcric_1!H252="","",VIPcric_1!H252)</f>
        <v/>
      </c>
      <c r="I250" t="str">
        <f>IF(VIPcric_1!M252="","",VIPcric_1!M252)</f>
        <v>CRIC-九江-市场监测.商品房市场.项目累计.库存.xlsx</v>
      </c>
    </row>
    <row r="251" spans="1:9">
      <c r="A251" t="str">
        <f>IF(VIPcric_1!A253="","",VIPcric_1!A253)</f>
        <v>2020年</v>
      </c>
      <c r="B251">
        <f>IF(VIPcric_1!B253="","",VIPcric_1!B253)</f>
        <v>346376</v>
      </c>
      <c r="C251">
        <f>IF(VIPcric_1!C253="","",VIPcric_1!C253)</f>
        <v>3668</v>
      </c>
      <c r="D251">
        <f>IF(VIPcric_1!D253="","",VIPcric_1!D253)</f>
        <v>1.7</v>
      </c>
      <c r="E251">
        <f>IF(VIPcric_1!E253="","",VIPcric_1!E253)</f>
        <v>2.1</v>
      </c>
      <c r="F251" t="str">
        <f>IF(VIPcric_1!F253="","",VIPcric_1!F253)</f>
        <v/>
      </c>
      <c r="G251" t="str">
        <f>IF(VIPcric_1!G253="","",VIPcric_1!G253)</f>
        <v/>
      </c>
      <c r="H251" t="str">
        <f>IF(VIPcric_1!H253="","",VIPcric_1!H253)</f>
        <v/>
      </c>
      <c r="I251" t="str">
        <f>IF(VIPcric_1!M253="","",VIPcric_1!M253)</f>
        <v>CRIC-九江-市场监测.商品房市场.项目累计.库存.xlsx</v>
      </c>
    </row>
    <row r="252" spans="1:9">
      <c r="A252" t="str">
        <f>IF(VIPcric_1!A254="","",VIPcric_1!A254)</f>
        <v>2019年</v>
      </c>
      <c r="B252">
        <f>IF(VIPcric_1!B254="","",VIPcric_1!B254)</f>
        <v>810027</v>
      </c>
      <c r="C252">
        <f>IF(VIPcric_1!C254="","",VIPcric_1!C254)</f>
        <v>7358</v>
      </c>
      <c r="D252">
        <f>IF(VIPcric_1!D254="","",VIPcric_1!D254)</f>
        <v>6.2</v>
      </c>
      <c r="E252">
        <f>IF(VIPcric_1!E254="","",VIPcric_1!E254)</f>
        <v>10.9</v>
      </c>
      <c r="F252" t="str">
        <f>IF(VIPcric_1!F254="","",VIPcric_1!F254)</f>
        <v/>
      </c>
      <c r="G252" t="str">
        <f>IF(VIPcric_1!G254="","",VIPcric_1!G254)</f>
        <v/>
      </c>
      <c r="H252" t="str">
        <f>IF(VIPcric_1!H254="","",VIPcric_1!H254)</f>
        <v/>
      </c>
      <c r="I252" t="str">
        <f>IF(VIPcric_1!M254="","",VIPcric_1!M254)</f>
        <v>CRIC-九江-市场监测.商品房市场.项目累计.库存.xlsx</v>
      </c>
    </row>
    <row r="253" spans="1:9">
      <c r="A253" t="str">
        <f>IF(VIPcric_1!A255="","",VIPcric_1!A255)</f>
        <v/>
      </c>
      <c r="B253" t="str">
        <f>IF(VIPcric_1!B255="","",VIPcric_1!B255)</f>
        <v/>
      </c>
      <c r="C253" t="str">
        <f>IF(VIPcric_1!C255="","",VIPcric_1!C255)</f>
        <v/>
      </c>
      <c r="D253" t="str">
        <f>IF(VIPcric_1!D255="","",VIPcric_1!D255)</f>
        <v/>
      </c>
      <c r="E253" t="str">
        <f>IF(VIPcric_1!E255="","",VIPcric_1!E255)</f>
        <v/>
      </c>
      <c r="F253" t="str">
        <f>IF(VIPcric_1!F255="","",VIPcric_1!F255)</f>
        <v/>
      </c>
      <c r="G253" t="str">
        <f>IF(VIPcric_1!G255="","",VIPcric_1!G255)</f>
        <v/>
      </c>
      <c r="H253" t="str">
        <f>IF(VIPcric_1!H255="","",VIPcric_1!H255)</f>
        <v/>
      </c>
      <c r="I253" t="str">
        <f>IF(VIPcric_1!M255="","",VIPcric_1!M255)</f>
        <v/>
      </c>
    </row>
    <row r="254" spans="1:9">
      <c r="A254" t="str">
        <f>IF(VIPcric_1!A256="","",VIPcric_1!A256)</f>
        <v/>
      </c>
      <c r="B254" t="str">
        <f>IF(VIPcric_1!B256="","",VIPcric_1!B256)</f>
        <v/>
      </c>
      <c r="C254" t="str">
        <f>IF(VIPcric_1!C256="","",VIPcric_1!C256)</f>
        <v/>
      </c>
      <c r="D254" t="str">
        <f>IF(VIPcric_1!D256="","",VIPcric_1!D256)</f>
        <v/>
      </c>
      <c r="E254" t="str">
        <f>IF(VIPcric_1!E256="","",VIPcric_1!E256)</f>
        <v/>
      </c>
      <c r="F254" t="str">
        <f>IF(VIPcric_1!F256="","",VIPcric_1!F256)</f>
        <v/>
      </c>
      <c r="G254" t="str">
        <f>IF(VIPcric_1!G256="","",VIPcric_1!G256)</f>
        <v/>
      </c>
      <c r="H254" t="str">
        <f>IF(VIPcric_1!H256="","",VIPcric_1!H256)</f>
        <v/>
      </c>
      <c r="I254" t="str">
        <f>IF(VIPcric_1!M256="","",VIPcric_1!M256)</f>
        <v>CRIC-五指山-市场监测.商品房市场.项目累计.供求.xlsx</v>
      </c>
    </row>
    <row r="255" spans="1:9">
      <c r="A255" t="str">
        <f>IF(VIPcric_1!A257="","",VIPcric_1!A257)</f>
        <v>时间(年)</v>
      </c>
      <c r="B255" t="str">
        <f>IF(VIPcric_1!B257="","",VIPcric_1!B257)</f>
        <v>供应面积(㎡)</v>
      </c>
      <c r="C255" t="str">
        <f>IF(VIPcric_1!C257="","",VIPcric_1!C257)</f>
        <v>供应套数(套)</v>
      </c>
      <c r="D255" t="str">
        <f>IF(VIPcric_1!D257="","",VIPcric_1!D257)</f>
        <v>成交面积(㎡)</v>
      </c>
      <c r="E255" t="str">
        <f>IF(VIPcric_1!E257="","",VIPcric_1!E257)</f>
        <v>成交套数(套)</v>
      </c>
      <c r="F255" t="str">
        <f>IF(VIPcric_1!F257="","",VIPcric_1!F257)</f>
        <v>成交均价(元/㎡)</v>
      </c>
      <c r="G255" t="str">
        <f>IF(VIPcric_1!G257="","",VIPcric_1!G257)</f>
        <v>成交金额(元)</v>
      </c>
      <c r="H255" t="str">
        <f>IF(VIPcric_1!H257="","",VIPcric_1!H257)</f>
        <v>供求比</v>
      </c>
      <c r="I255" t="str">
        <f>IF(VIPcric_1!M257="","",VIPcric_1!M257)</f>
        <v>CRIC-五指山-市场监测.商品房市场.项目累计.供求.xlsx</v>
      </c>
    </row>
    <row r="256" spans="1:9">
      <c r="A256" t="str">
        <f>IF(VIPcric_1!A258="","",VIPcric_1!A258)</f>
        <v>2024年</v>
      </c>
      <c r="B256">
        <f>IF(VIPcric_1!B258="","",VIPcric_1!B258)</f>
        <v>0</v>
      </c>
      <c r="C256">
        <f>IF(VIPcric_1!C258="","",VIPcric_1!C258)</f>
        <v>0</v>
      </c>
      <c r="D256">
        <f>IF(VIPcric_1!D258="","",VIPcric_1!D258)</f>
        <v>3188</v>
      </c>
      <c r="E256">
        <f>IF(VIPcric_1!E258="","",VIPcric_1!E258)</f>
        <v>35</v>
      </c>
      <c r="F256">
        <f>IF(VIPcric_1!F258="","",VIPcric_1!F258)</f>
        <v>15941</v>
      </c>
      <c r="G256">
        <f>IF(VIPcric_1!G258="","",VIPcric_1!G258)</f>
        <v>50825268</v>
      </c>
      <c r="H256">
        <f>IF(VIPcric_1!H258="","",VIPcric_1!H258)</f>
        <v>0</v>
      </c>
      <c r="I256" t="str">
        <f>IF(VIPcric_1!M258="","",VIPcric_1!M258)</f>
        <v>CRIC-五指山-市场监测.商品房市场.项目累计.供求.xlsx</v>
      </c>
    </row>
    <row r="257" spans="1:9">
      <c r="A257" t="str">
        <f>IF(VIPcric_1!A259="","",VIPcric_1!A259)</f>
        <v>2023年</v>
      </c>
      <c r="B257">
        <f>IF(VIPcric_1!B259="","",VIPcric_1!B259)</f>
        <v>51068</v>
      </c>
      <c r="C257">
        <f>IF(VIPcric_1!C259="","",VIPcric_1!C259)</f>
        <v>505</v>
      </c>
      <c r="D257">
        <f>IF(VIPcric_1!D259="","",VIPcric_1!D259)</f>
        <v>38810</v>
      </c>
      <c r="E257">
        <f>IF(VIPcric_1!E259="","",VIPcric_1!E259)</f>
        <v>454</v>
      </c>
      <c r="F257">
        <f>IF(VIPcric_1!F259="","",VIPcric_1!F259)</f>
        <v>13585</v>
      </c>
      <c r="G257">
        <f>IF(VIPcric_1!G259="","",VIPcric_1!G259)</f>
        <v>527239876</v>
      </c>
      <c r="H257">
        <f>IF(VIPcric_1!H259="","",VIPcric_1!H259)</f>
        <v>1.32</v>
      </c>
      <c r="I257" t="str">
        <f>IF(VIPcric_1!M259="","",VIPcric_1!M259)</f>
        <v>CRIC-五指山-市场监测.商品房市场.项目累计.供求.xlsx</v>
      </c>
    </row>
    <row r="258" spans="1:9">
      <c r="A258" t="str">
        <f>IF(VIPcric_1!A260="","",VIPcric_1!A260)</f>
        <v>2022年</v>
      </c>
      <c r="B258">
        <f>IF(VIPcric_1!B260="","",VIPcric_1!B260)</f>
        <v>99600</v>
      </c>
      <c r="C258">
        <f>IF(VIPcric_1!C260="","",VIPcric_1!C260)</f>
        <v>1384</v>
      </c>
      <c r="D258">
        <f>IF(VIPcric_1!D260="","",VIPcric_1!D260)</f>
        <v>25671</v>
      </c>
      <c r="E258">
        <f>IF(VIPcric_1!E260="","",VIPcric_1!E260)</f>
        <v>340</v>
      </c>
      <c r="F258">
        <f>IF(VIPcric_1!F260="","",VIPcric_1!F260)</f>
        <v>12036</v>
      </c>
      <c r="G258">
        <f>IF(VIPcric_1!G260="","",VIPcric_1!G260)</f>
        <v>308973100</v>
      </c>
      <c r="H258">
        <f>IF(VIPcric_1!H260="","",VIPcric_1!H260)</f>
        <v>3.88</v>
      </c>
      <c r="I258" t="str">
        <f>IF(VIPcric_1!M260="","",VIPcric_1!M260)</f>
        <v>CRIC-五指山-市场监测.商品房市场.项目累计.供求.xlsx</v>
      </c>
    </row>
    <row r="259" spans="1:9">
      <c r="A259" t="str">
        <f>IF(VIPcric_1!A261="","",VIPcric_1!A261)</f>
        <v>2021年</v>
      </c>
      <c r="B259">
        <f>IF(VIPcric_1!B261="","",VIPcric_1!B261)</f>
        <v>0</v>
      </c>
      <c r="C259">
        <f>IF(VIPcric_1!C261="","",VIPcric_1!C261)</f>
        <v>0</v>
      </c>
      <c r="D259">
        <f>IF(VIPcric_1!D261="","",VIPcric_1!D261)</f>
        <v>6612</v>
      </c>
      <c r="E259">
        <f>IF(VIPcric_1!E261="","",VIPcric_1!E261)</f>
        <v>80</v>
      </c>
      <c r="F259">
        <f>IF(VIPcric_1!F261="","",VIPcric_1!F261)</f>
        <v>13199</v>
      </c>
      <c r="G259">
        <f>IF(VIPcric_1!G261="","",VIPcric_1!G261)</f>
        <v>87270305</v>
      </c>
      <c r="H259">
        <f>IF(VIPcric_1!H261="","",VIPcric_1!H261)</f>
        <v>0</v>
      </c>
      <c r="I259" t="str">
        <f>IF(VIPcric_1!M261="","",VIPcric_1!M261)</f>
        <v>CRIC-五指山-市场监测.商品房市场.项目累计.供求.xlsx</v>
      </c>
    </row>
    <row r="260" spans="1:9">
      <c r="A260" t="str">
        <f>IF(VIPcric_1!A262="","",VIPcric_1!A262)</f>
        <v>汇总</v>
      </c>
      <c r="B260">
        <f>IF(VIPcric_1!B262="","",VIPcric_1!B262)</f>
        <v>150667</v>
      </c>
      <c r="C260">
        <f>IF(VIPcric_1!C262="","",VIPcric_1!C262)</f>
        <v>1889</v>
      </c>
      <c r="D260">
        <f>IF(VIPcric_1!D262="","",VIPcric_1!D262)</f>
        <v>74281</v>
      </c>
      <c r="E260">
        <f>IF(VIPcric_1!E262="","",VIPcric_1!E262)</f>
        <v>909</v>
      </c>
      <c r="F260">
        <f>IF(VIPcric_1!F262="","",VIPcric_1!F262)</f>
        <v>13116</v>
      </c>
      <c r="G260">
        <f>IF(VIPcric_1!G262="","",VIPcric_1!G262)</f>
        <v>974308550</v>
      </c>
      <c r="H260">
        <f>IF(VIPcric_1!H262="","",VIPcric_1!H262)</f>
        <v>2.0299999999999998</v>
      </c>
      <c r="I260" t="str">
        <f>IF(VIPcric_1!M262="","",VIPcric_1!M262)</f>
        <v>CRIC-五指山-市场监测.商品房市场.项目累计.供求.xlsx</v>
      </c>
    </row>
    <row r="261" spans="1:9">
      <c r="A261" t="str">
        <f>IF(VIPcric_1!A263="","",VIPcric_1!A263)</f>
        <v/>
      </c>
      <c r="B261" t="str">
        <f>IF(VIPcric_1!B263="","",VIPcric_1!B263)</f>
        <v/>
      </c>
      <c r="C261" t="str">
        <f>IF(VIPcric_1!C263="","",VIPcric_1!C263)</f>
        <v/>
      </c>
      <c r="D261" t="str">
        <f>IF(VIPcric_1!D263="","",VIPcric_1!D263)</f>
        <v/>
      </c>
      <c r="E261" t="str">
        <f>IF(VIPcric_1!E263="","",VIPcric_1!E263)</f>
        <v/>
      </c>
      <c r="F261" t="str">
        <f>IF(VIPcric_1!F263="","",VIPcric_1!F263)</f>
        <v/>
      </c>
      <c r="G261" t="str">
        <f>IF(VIPcric_1!G263="","",VIPcric_1!G263)</f>
        <v/>
      </c>
      <c r="H261" t="str">
        <f>IF(VIPcric_1!H263="","",VIPcric_1!H263)</f>
        <v/>
      </c>
      <c r="I261" t="str">
        <f>IF(VIPcric_1!M263="","",VIPcric_1!M263)</f>
        <v/>
      </c>
    </row>
    <row r="262" spans="1:9">
      <c r="A262" t="str">
        <f>IF(VIPcric_1!A264="","",VIPcric_1!A264)</f>
        <v/>
      </c>
      <c r="B262" t="str">
        <f>IF(VIPcric_1!B264="","",VIPcric_1!B264)</f>
        <v/>
      </c>
      <c r="C262" t="str">
        <f>IF(VIPcric_1!C264="","",VIPcric_1!C264)</f>
        <v/>
      </c>
      <c r="D262" t="str">
        <f>IF(VIPcric_1!D264="","",VIPcric_1!D264)</f>
        <v/>
      </c>
      <c r="E262" t="str">
        <f>IF(VIPcric_1!E264="","",VIPcric_1!E264)</f>
        <v/>
      </c>
      <c r="F262" t="str">
        <f>IF(VIPcric_1!F264="","",VIPcric_1!F264)</f>
        <v/>
      </c>
      <c r="G262" t="str">
        <f>IF(VIPcric_1!G264="","",VIPcric_1!G264)</f>
        <v/>
      </c>
      <c r="H262" t="str">
        <f>IF(VIPcric_1!H264="","",VIPcric_1!H264)</f>
        <v/>
      </c>
      <c r="I262" t="str">
        <f>IF(VIPcric_1!M264="","",VIPcric_1!M264)</f>
        <v>CRIC-五指山-市场监测.商品房市场.项目累计.库存.xlsx</v>
      </c>
    </row>
    <row r="263" spans="1:9">
      <c r="A263" t="str">
        <f>IF(VIPcric_1!A265="","",VIPcric_1!A265)</f>
        <v>时间(年)</v>
      </c>
      <c r="B263" t="str">
        <f>IF(VIPcric_1!B265="","",VIPcric_1!B265)</f>
        <v>库存面积(㎡)</v>
      </c>
      <c r="C263" t="str">
        <f>IF(VIPcric_1!C265="","",VIPcric_1!C265)</f>
        <v>库存套数(套)</v>
      </c>
      <c r="D263" t="str">
        <f>IF(VIPcric_1!D265="","",VIPcric_1!D265)</f>
        <v>去化周期12'(月)</v>
      </c>
      <c r="E263" t="str">
        <f>IF(VIPcric_1!E265="","",VIPcric_1!E265)</f>
        <v/>
      </c>
      <c r="F263" t="str">
        <f>IF(VIPcric_1!F265="","",VIPcric_1!F265)</f>
        <v/>
      </c>
      <c r="G263" t="str">
        <f>IF(VIPcric_1!G265="","",VIPcric_1!G265)</f>
        <v/>
      </c>
      <c r="H263" t="str">
        <f>IF(VIPcric_1!H265="","",VIPcric_1!H265)</f>
        <v/>
      </c>
      <c r="I263" t="str">
        <f>IF(VIPcric_1!M265="","",VIPcric_1!M265)</f>
        <v>CRIC-五指山-市场监测.商品房市场.项目累计.库存.xlsx</v>
      </c>
    </row>
    <row r="264" spans="1:9">
      <c r="A264" t="str">
        <f>IF(VIPcric_1!A266="","",VIPcric_1!A266)</f>
        <v>2024年</v>
      </c>
      <c r="B264">
        <f>IF(VIPcric_1!B266="","",VIPcric_1!B266)</f>
        <v>1027353</v>
      </c>
      <c r="C264">
        <f>IF(VIPcric_1!C266="","",VIPcric_1!C266)</f>
        <v>13560</v>
      </c>
      <c r="D264">
        <f>IF(VIPcric_1!D266="","",VIPcric_1!D266)</f>
        <v>299.5</v>
      </c>
      <c r="E264" t="str">
        <f>IF(VIPcric_1!E266="","",VIPcric_1!E266)</f>
        <v/>
      </c>
      <c r="F264" t="str">
        <f>IF(VIPcric_1!F266="","",VIPcric_1!F266)</f>
        <v/>
      </c>
      <c r="G264" t="str">
        <f>IF(VIPcric_1!G266="","",VIPcric_1!G266)</f>
        <v/>
      </c>
      <c r="H264" t="str">
        <f>IF(VIPcric_1!H266="","",VIPcric_1!H266)</f>
        <v/>
      </c>
      <c r="I264" t="str">
        <f>IF(VIPcric_1!M266="","",VIPcric_1!M266)</f>
        <v>CRIC-五指山-市场监测.商品房市场.项目累计.库存.xlsx</v>
      </c>
    </row>
    <row r="265" spans="1:9">
      <c r="A265" t="str">
        <f>IF(VIPcric_1!A267="","",VIPcric_1!A267)</f>
        <v>2023年</v>
      </c>
      <c r="B265">
        <f>IF(VIPcric_1!B267="","",VIPcric_1!B267)</f>
        <v>1030665</v>
      </c>
      <c r="C265">
        <f>IF(VIPcric_1!C267="","",VIPcric_1!C267)</f>
        <v>13596</v>
      </c>
      <c r="D265">
        <f>IF(VIPcric_1!D267="","",VIPcric_1!D267)</f>
        <v>318.7</v>
      </c>
      <c r="E265" t="str">
        <f>IF(VIPcric_1!E267="","",VIPcric_1!E267)</f>
        <v/>
      </c>
      <c r="F265" t="str">
        <f>IF(VIPcric_1!F267="","",VIPcric_1!F267)</f>
        <v/>
      </c>
      <c r="G265" t="str">
        <f>IF(VIPcric_1!G267="","",VIPcric_1!G267)</f>
        <v/>
      </c>
      <c r="H265" t="str">
        <f>IF(VIPcric_1!H267="","",VIPcric_1!H267)</f>
        <v/>
      </c>
      <c r="I265" t="str">
        <f>IF(VIPcric_1!M267="","",VIPcric_1!M267)</f>
        <v>CRIC-五指山-市场监测.商品房市场.项目累计.库存.xlsx</v>
      </c>
    </row>
    <row r="266" spans="1:9">
      <c r="A266" t="str">
        <f>IF(VIPcric_1!A268="","",VIPcric_1!A268)</f>
        <v>2022年</v>
      </c>
      <c r="B266">
        <f>IF(VIPcric_1!B268="","",VIPcric_1!B268)</f>
        <v>1023797</v>
      </c>
      <c r="C266">
        <f>IF(VIPcric_1!C268="","",VIPcric_1!C268)</f>
        <v>13668</v>
      </c>
      <c r="D266">
        <f>IF(VIPcric_1!D268="","",VIPcric_1!D268)</f>
        <v>478.6</v>
      </c>
      <c r="E266" t="str">
        <f>IF(VIPcric_1!E268="","",VIPcric_1!E268)</f>
        <v/>
      </c>
      <c r="F266" t="str">
        <f>IF(VIPcric_1!F268="","",VIPcric_1!F268)</f>
        <v/>
      </c>
      <c r="G266" t="str">
        <f>IF(VIPcric_1!G268="","",VIPcric_1!G268)</f>
        <v/>
      </c>
      <c r="H266" t="str">
        <f>IF(VIPcric_1!H268="","",VIPcric_1!H268)</f>
        <v/>
      </c>
      <c r="I266" t="str">
        <f>IF(VIPcric_1!M268="","",VIPcric_1!M268)</f>
        <v>CRIC-五指山-市场监测.商品房市场.项目累计.库存.xlsx</v>
      </c>
    </row>
    <row r="267" spans="1:9">
      <c r="A267" t="str">
        <f>IF(VIPcric_1!A269="","",VIPcric_1!A269)</f>
        <v>2021年</v>
      </c>
      <c r="B267">
        <f>IF(VIPcric_1!B269="","",VIPcric_1!B269)</f>
        <v>1113661</v>
      </c>
      <c r="C267">
        <f>IF(VIPcric_1!C269="","",VIPcric_1!C269)</f>
        <v>14925</v>
      </c>
      <c r="D267">
        <f>IF(VIPcric_1!D269="","",VIPcric_1!D269)</f>
        <v>2021.2</v>
      </c>
      <c r="E267" t="str">
        <f>IF(VIPcric_1!E269="","",VIPcric_1!E269)</f>
        <v/>
      </c>
      <c r="F267" t="str">
        <f>IF(VIPcric_1!F269="","",VIPcric_1!F269)</f>
        <v/>
      </c>
      <c r="G267" t="str">
        <f>IF(VIPcric_1!G269="","",VIPcric_1!G269)</f>
        <v/>
      </c>
      <c r="H267" t="str">
        <f>IF(VIPcric_1!H269="","",VIPcric_1!H269)</f>
        <v/>
      </c>
      <c r="I267" t="str">
        <f>IF(VIPcric_1!M269="","",VIPcric_1!M269)</f>
        <v>CRIC-五指山-市场监测.商品房市场.项目累计.库存.xlsx</v>
      </c>
    </row>
    <row r="268" spans="1:9">
      <c r="A268" t="str">
        <f>IF(VIPcric_1!A270="","",VIPcric_1!A270)</f>
        <v/>
      </c>
      <c r="B268" t="str">
        <f>IF(VIPcric_1!B270="","",VIPcric_1!B270)</f>
        <v/>
      </c>
      <c r="C268" t="str">
        <f>IF(VIPcric_1!C270="","",VIPcric_1!C270)</f>
        <v/>
      </c>
      <c r="D268" t="str">
        <f>IF(VIPcric_1!D270="","",VIPcric_1!D270)</f>
        <v/>
      </c>
      <c r="E268" t="str">
        <f>IF(VIPcric_1!E270="","",VIPcric_1!E270)</f>
        <v/>
      </c>
      <c r="F268" t="str">
        <f>IF(VIPcric_1!F270="","",VIPcric_1!F270)</f>
        <v/>
      </c>
      <c r="G268" t="str">
        <f>IF(VIPcric_1!G270="","",VIPcric_1!G270)</f>
        <v/>
      </c>
      <c r="H268" t="str">
        <f>IF(VIPcric_1!H270="","",VIPcric_1!H270)</f>
        <v/>
      </c>
      <c r="I268" t="str">
        <f>IF(VIPcric_1!M270="","",VIPcric_1!M270)</f>
        <v/>
      </c>
    </row>
    <row r="269" spans="1:9">
      <c r="A269" t="str">
        <f>IF(VIPcric_1!A271="","",VIPcric_1!A271)</f>
        <v/>
      </c>
      <c r="B269" t="str">
        <f>IF(VIPcric_1!B271="","",VIPcric_1!B271)</f>
        <v/>
      </c>
      <c r="C269" t="str">
        <f>IF(VIPcric_1!C271="","",VIPcric_1!C271)</f>
        <v/>
      </c>
      <c r="D269" t="str">
        <f>IF(VIPcric_1!D271="","",VIPcric_1!D271)</f>
        <v/>
      </c>
      <c r="E269" t="str">
        <f>IF(VIPcric_1!E271="","",VIPcric_1!E271)</f>
        <v/>
      </c>
      <c r="F269" t="str">
        <f>IF(VIPcric_1!F271="","",VIPcric_1!F271)</f>
        <v/>
      </c>
      <c r="G269" t="str">
        <f>IF(VIPcric_1!G271="","",VIPcric_1!G271)</f>
        <v/>
      </c>
      <c r="H269" t="str">
        <f>IF(VIPcric_1!H271="","",VIPcric_1!H271)</f>
        <v/>
      </c>
      <c r="I269" t="str">
        <f>IF(VIPcric_1!M271="","",VIPcric_1!M271)</f>
        <v>CRIC-佛山-市场监测.商品房市场.项目累计.供求.xlsx</v>
      </c>
    </row>
    <row r="270" spans="1:9">
      <c r="A270" t="str">
        <f>IF(VIPcric_1!A272="","",VIPcric_1!A272)</f>
        <v>时间(年)</v>
      </c>
      <c r="B270" t="str">
        <f>IF(VIPcric_1!B272="","",VIPcric_1!B272)</f>
        <v>供应面积(㎡)</v>
      </c>
      <c r="C270" t="str">
        <f>IF(VIPcric_1!C272="","",VIPcric_1!C272)</f>
        <v>供应套数(套)</v>
      </c>
      <c r="D270" t="str">
        <f>IF(VIPcric_1!D272="","",VIPcric_1!D272)</f>
        <v>成交面积(㎡)</v>
      </c>
      <c r="E270" t="str">
        <f>IF(VIPcric_1!E272="","",VIPcric_1!E272)</f>
        <v>成交套数(套)</v>
      </c>
      <c r="F270" t="str">
        <f>IF(VIPcric_1!F272="","",VIPcric_1!F272)</f>
        <v>成交均价(元/㎡)</v>
      </c>
      <c r="G270" t="str">
        <f>IF(VIPcric_1!G272="","",VIPcric_1!G272)</f>
        <v>成交金额(元)</v>
      </c>
      <c r="H270" t="str">
        <f>IF(VIPcric_1!H272="","",VIPcric_1!H272)</f>
        <v>供求比</v>
      </c>
      <c r="I270" t="str">
        <f>IF(VIPcric_1!M272="","",VIPcric_1!M272)</f>
        <v>CRIC-佛山-市场监测.商品房市场.项目累计.供求.xlsx</v>
      </c>
    </row>
    <row r="271" spans="1:9">
      <c r="A271" t="str">
        <f>IF(VIPcric_1!A273="","",VIPcric_1!A273)</f>
        <v>2023年</v>
      </c>
      <c r="B271">
        <f>IF(VIPcric_1!B273="","",VIPcric_1!B273)</f>
        <v>4890770</v>
      </c>
      <c r="C271">
        <f>IF(VIPcric_1!C273="","",VIPcric_1!C273)</f>
        <v>41789</v>
      </c>
      <c r="D271">
        <f>IF(VIPcric_1!D273="","",VIPcric_1!D273)</f>
        <v>5995077</v>
      </c>
      <c r="E271">
        <f>IF(VIPcric_1!E273="","",VIPcric_1!E273)</f>
        <v>53723</v>
      </c>
      <c r="F271">
        <f>IF(VIPcric_1!F273="","",VIPcric_1!F273)</f>
        <v>18333</v>
      </c>
      <c r="G271">
        <f>IF(VIPcric_1!G273="","",VIPcric_1!G273)</f>
        <v>109909808680</v>
      </c>
      <c r="H271">
        <f>IF(VIPcric_1!H273="","",VIPcric_1!H273)</f>
        <v>0.82</v>
      </c>
      <c r="I271" t="str">
        <f>IF(VIPcric_1!M273="","",VIPcric_1!M273)</f>
        <v>CRIC-佛山-市场监测.商品房市场.项目累计.供求.xlsx</v>
      </c>
    </row>
    <row r="272" spans="1:9">
      <c r="A272" t="str">
        <f>IF(VIPcric_1!A274="","",VIPcric_1!A274)</f>
        <v>2022年</v>
      </c>
      <c r="B272">
        <f>IF(VIPcric_1!B274="","",VIPcric_1!B274)</f>
        <v>6054876</v>
      </c>
      <c r="C272">
        <f>IF(VIPcric_1!C274="","",VIPcric_1!C274)</f>
        <v>54582</v>
      </c>
      <c r="D272">
        <f>IF(VIPcric_1!D274="","",VIPcric_1!D274)</f>
        <v>7153888</v>
      </c>
      <c r="E272">
        <f>IF(VIPcric_1!E274="","",VIPcric_1!E274)</f>
        <v>65027</v>
      </c>
      <c r="F272">
        <f>IF(VIPcric_1!F274="","",VIPcric_1!F274)</f>
        <v>18831</v>
      </c>
      <c r="G272">
        <f>IF(VIPcric_1!G274="","",VIPcric_1!G274)</f>
        <v>134713707028</v>
      </c>
      <c r="H272">
        <f>IF(VIPcric_1!H274="","",VIPcric_1!H274)</f>
        <v>0.85</v>
      </c>
      <c r="I272" t="str">
        <f>IF(VIPcric_1!M274="","",VIPcric_1!M274)</f>
        <v>CRIC-佛山-市场监测.商品房市场.项目累计.供求.xlsx</v>
      </c>
    </row>
    <row r="273" spans="1:9">
      <c r="A273" t="str">
        <f>IF(VIPcric_1!A275="","",VIPcric_1!A275)</f>
        <v>2021年</v>
      </c>
      <c r="B273">
        <f>IF(VIPcric_1!B275="","",VIPcric_1!B275)</f>
        <v>11257758</v>
      </c>
      <c r="C273">
        <f>IF(VIPcric_1!C275="","",VIPcric_1!C275)</f>
        <v>106441</v>
      </c>
      <c r="D273">
        <f>IF(VIPcric_1!D275="","",VIPcric_1!D275)</f>
        <v>10671228</v>
      </c>
      <c r="E273">
        <f>IF(VIPcric_1!E275="","",VIPcric_1!E275)</f>
        <v>98732</v>
      </c>
      <c r="F273">
        <f>IF(VIPcric_1!F275="","",VIPcric_1!F275)</f>
        <v>18291</v>
      </c>
      <c r="G273">
        <f>IF(VIPcric_1!G275="","",VIPcric_1!G275)</f>
        <v>195190413072</v>
      </c>
      <c r="H273">
        <f>IF(VIPcric_1!H275="","",VIPcric_1!H275)</f>
        <v>1.05</v>
      </c>
      <c r="I273" t="str">
        <f>IF(VIPcric_1!M275="","",VIPcric_1!M275)</f>
        <v>CRIC-佛山-市场监测.商品房市场.项目累计.供求.xlsx</v>
      </c>
    </row>
    <row r="274" spans="1:9">
      <c r="A274" t="str">
        <f>IF(VIPcric_1!A276="","",VIPcric_1!A276)</f>
        <v>2020年</v>
      </c>
      <c r="B274">
        <f>IF(VIPcric_1!B276="","",VIPcric_1!B276)</f>
        <v>12301634</v>
      </c>
      <c r="C274">
        <f>IF(VIPcric_1!C276="","",VIPcric_1!C276)</f>
        <v>114257</v>
      </c>
      <c r="D274">
        <f>IF(VIPcric_1!D276="","",VIPcric_1!D276)</f>
        <v>12523251</v>
      </c>
      <c r="E274">
        <f>IF(VIPcric_1!E276="","",VIPcric_1!E276)</f>
        <v>114583</v>
      </c>
      <c r="F274">
        <f>IF(VIPcric_1!F276="","",VIPcric_1!F276)</f>
        <v>16074</v>
      </c>
      <c r="G274">
        <f>IF(VIPcric_1!G276="","",VIPcric_1!G276)</f>
        <v>201300125825</v>
      </c>
      <c r="H274">
        <f>IF(VIPcric_1!H276="","",VIPcric_1!H276)</f>
        <v>0.98</v>
      </c>
      <c r="I274" t="str">
        <f>IF(VIPcric_1!M276="","",VIPcric_1!M276)</f>
        <v>CRIC-佛山-市场监测.商品房市场.项目累计.供求.xlsx</v>
      </c>
    </row>
    <row r="275" spans="1:9">
      <c r="A275" t="str">
        <f>IF(VIPcric_1!A277="","",VIPcric_1!A277)</f>
        <v>2019年</v>
      </c>
      <c r="B275">
        <f>IF(VIPcric_1!B277="","",VIPcric_1!B277)</f>
        <v>13840943</v>
      </c>
      <c r="C275">
        <f>IF(VIPcric_1!C277="","",VIPcric_1!C277)</f>
        <v>125789</v>
      </c>
      <c r="D275">
        <f>IF(VIPcric_1!D277="","",VIPcric_1!D277)</f>
        <v>11916044</v>
      </c>
      <c r="E275">
        <f>IF(VIPcric_1!E277="","",VIPcric_1!E277)</f>
        <v>108516</v>
      </c>
      <c r="F275">
        <f>IF(VIPcric_1!F277="","",VIPcric_1!F277)</f>
        <v>14370</v>
      </c>
      <c r="G275">
        <f>IF(VIPcric_1!G277="","",VIPcric_1!G277)</f>
        <v>171238659730</v>
      </c>
      <c r="H275">
        <f>IF(VIPcric_1!H277="","",VIPcric_1!H277)</f>
        <v>1.1599999999999999</v>
      </c>
      <c r="I275" t="str">
        <f>IF(VIPcric_1!M277="","",VIPcric_1!M277)</f>
        <v>CRIC-佛山-市场监测.商品房市场.项目累计.供求.xlsx</v>
      </c>
    </row>
    <row r="276" spans="1:9">
      <c r="A276" t="str">
        <f>IF(VIPcric_1!A278="","",VIPcric_1!A278)</f>
        <v>汇总</v>
      </c>
      <c r="B276">
        <f>IF(VIPcric_1!B278="","",VIPcric_1!B278)</f>
        <v>48345981</v>
      </c>
      <c r="C276">
        <f>IF(VIPcric_1!C278="","",VIPcric_1!C278)</f>
        <v>442858</v>
      </c>
      <c r="D276">
        <f>IF(VIPcric_1!D278="","",VIPcric_1!D278)</f>
        <v>48259489</v>
      </c>
      <c r="E276">
        <f>IF(VIPcric_1!E278="","",VIPcric_1!E278)</f>
        <v>440581</v>
      </c>
      <c r="F276">
        <f>IF(VIPcric_1!F278="","",VIPcric_1!F278)</f>
        <v>16833</v>
      </c>
      <c r="G276">
        <f>IF(VIPcric_1!G278="","",VIPcric_1!G278)</f>
        <v>812352714335</v>
      </c>
      <c r="H276">
        <f>IF(VIPcric_1!H278="","",VIPcric_1!H278)</f>
        <v>1</v>
      </c>
      <c r="I276" t="str">
        <f>IF(VIPcric_1!M278="","",VIPcric_1!M278)</f>
        <v>CRIC-佛山-市场监测.商品房市场.项目累计.供求.xlsx</v>
      </c>
    </row>
    <row r="277" spans="1:9">
      <c r="A277" t="str">
        <f>IF(VIPcric_1!A279="","",VIPcric_1!A279)</f>
        <v/>
      </c>
      <c r="B277" t="str">
        <f>IF(VIPcric_1!B279="","",VIPcric_1!B279)</f>
        <v/>
      </c>
      <c r="C277" t="str">
        <f>IF(VIPcric_1!C279="","",VIPcric_1!C279)</f>
        <v/>
      </c>
      <c r="D277" t="str">
        <f>IF(VIPcric_1!D279="","",VIPcric_1!D279)</f>
        <v/>
      </c>
      <c r="E277" t="str">
        <f>IF(VIPcric_1!E279="","",VIPcric_1!E279)</f>
        <v/>
      </c>
      <c r="F277" t="str">
        <f>IF(VIPcric_1!F279="","",VIPcric_1!F279)</f>
        <v/>
      </c>
      <c r="G277" t="str">
        <f>IF(VIPcric_1!G279="","",VIPcric_1!G279)</f>
        <v/>
      </c>
      <c r="H277" t="str">
        <f>IF(VIPcric_1!H279="","",VIPcric_1!H279)</f>
        <v/>
      </c>
      <c r="I277" t="str">
        <f>IF(VIPcric_1!M279="","",VIPcric_1!M279)</f>
        <v/>
      </c>
    </row>
    <row r="278" spans="1:9">
      <c r="A278" t="str">
        <f>IF(VIPcric_1!A280="","",VIPcric_1!A280)</f>
        <v/>
      </c>
      <c r="B278" t="str">
        <f>IF(VIPcric_1!B280="","",VIPcric_1!B280)</f>
        <v/>
      </c>
      <c r="C278" t="str">
        <f>IF(VIPcric_1!C280="","",VIPcric_1!C280)</f>
        <v/>
      </c>
      <c r="D278" t="str">
        <f>IF(VIPcric_1!D280="","",VIPcric_1!D280)</f>
        <v/>
      </c>
      <c r="E278" t="str">
        <f>IF(VIPcric_1!E280="","",VIPcric_1!E280)</f>
        <v/>
      </c>
      <c r="F278" t="str">
        <f>IF(VIPcric_1!F280="","",VIPcric_1!F280)</f>
        <v/>
      </c>
      <c r="G278" t="str">
        <f>IF(VIPcric_1!G280="","",VIPcric_1!G280)</f>
        <v/>
      </c>
      <c r="H278" t="str">
        <f>IF(VIPcric_1!H280="","",VIPcric_1!H280)</f>
        <v/>
      </c>
      <c r="I278" t="str">
        <f>IF(VIPcric_1!M280="","",VIPcric_1!M280)</f>
        <v>CRIC-佛山-市场监测.商品房市场.项目累计.库存.xlsx</v>
      </c>
    </row>
    <row r="279" spans="1:9">
      <c r="A279" t="str">
        <f>IF(VIPcric_1!A281="","",VIPcric_1!A281)</f>
        <v>时间(年)</v>
      </c>
      <c r="B279" t="str">
        <f>IF(VIPcric_1!B281="","",VIPcric_1!B281)</f>
        <v>库存面积(㎡)</v>
      </c>
      <c r="C279" t="str">
        <f>IF(VIPcric_1!C281="","",VIPcric_1!C281)</f>
        <v>库存套数(套)</v>
      </c>
      <c r="D279" t="str">
        <f>IF(VIPcric_1!D281="","",VIPcric_1!D281)</f>
        <v>去化周期12'(月)</v>
      </c>
      <c r="E279" t="str">
        <f>IF(VIPcric_1!E281="","",VIPcric_1!E281)</f>
        <v/>
      </c>
      <c r="F279" t="str">
        <f>IF(VIPcric_1!F281="","",VIPcric_1!F281)</f>
        <v/>
      </c>
      <c r="G279" t="str">
        <f>IF(VIPcric_1!G281="","",VIPcric_1!G281)</f>
        <v/>
      </c>
      <c r="H279" t="str">
        <f>IF(VIPcric_1!H281="","",VIPcric_1!H281)</f>
        <v/>
      </c>
      <c r="I279" t="str">
        <f>IF(VIPcric_1!M281="","",VIPcric_1!M281)</f>
        <v>CRIC-佛山-市场监测.商品房市场.项目累计.库存.xlsx</v>
      </c>
    </row>
    <row r="280" spans="1:9">
      <c r="A280" t="str">
        <f>IF(VIPcric_1!A282="","",VIPcric_1!A282)</f>
        <v>2024年</v>
      </c>
      <c r="B280">
        <f>IF(VIPcric_1!B282="","",VIPcric_1!B282)</f>
        <v>9847881</v>
      </c>
      <c r="C280">
        <f>IF(VIPcric_1!C282="","",VIPcric_1!C282)</f>
        <v>89605</v>
      </c>
      <c r="D280">
        <f>IF(VIPcric_1!D282="","",VIPcric_1!D282)</f>
        <v>19.8</v>
      </c>
      <c r="E280" t="str">
        <f>IF(VIPcric_1!E282="","",VIPcric_1!E282)</f>
        <v/>
      </c>
      <c r="F280" t="str">
        <f>IF(VIPcric_1!F282="","",VIPcric_1!F282)</f>
        <v/>
      </c>
      <c r="G280" t="str">
        <f>IF(VIPcric_1!G282="","",VIPcric_1!G282)</f>
        <v/>
      </c>
      <c r="H280" t="str">
        <f>IF(VIPcric_1!H282="","",VIPcric_1!H282)</f>
        <v/>
      </c>
      <c r="I280" t="str">
        <f>IF(VIPcric_1!M282="","",VIPcric_1!M282)</f>
        <v>CRIC-佛山-市场监测.商品房市场.项目累计.库存.xlsx</v>
      </c>
    </row>
    <row r="281" spans="1:9">
      <c r="A281" t="str">
        <f>IF(VIPcric_1!A283="","",VIPcric_1!A283)</f>
        <v>2023年</v>
      </c>
      <c r="B281">
        <f>IF(VIPcric_1!B283="","",VIPcric_1!B283)</f>
        <v>9958381</v>
      </c>
      <c r="C281">
        <f>IF(VIPcric_1!C283="","",VIPcric_1!C283)</f>
        <v>90908</v>
      </c>
      <c r="D281">
        <f>IF(VIPcric_1!D283="","",VIPcric_1!D283)</f>
        <v>19.899999999999999</v>
      </c>
      <c r="E281" t="str">
        <f>IF(VIPcric_1!E283="","",VIPcric_1!E283)</f>
        <v/>
      </c>
      <c r="F281" t="str">
        <f>IF(VIPcric_1!F283="","",VIPcric_1!F283)</f>
        <v/>
      </c>
      <c r="G281" t="str">
        <f>IF(VIPcric_1!G283="","",VIPcric_1!G283)</f>
        <v/>
      </c>
      <c r="H281" t="str">
        <f>IF(VIPcric_1!H283="","",VIPcric_1!H283)</f>
        <v/>
      </c>
      <c r="I281" t="str">
        <f>IF(VIPcric_1!M283="","",VIPcric_1!M283)</f>
        <v>CRIC-佛山-市场监测.商品房市场.项目累计.库存.xlsx</v>
      </c>
    </row>
    <row r="282" spans="1:9">
      <c r="A282" t="str">
        <f>IF(VIPcric_1!A284="","",VIPcric_1!A284)</f>
        <v>2022年</v>
      </c>
      <c r="B282">
        <f>IF(VIPcric_1!B284="","",VIPcric_1!B284)</f>
        <v>10199003</v>
      </c>
      <c r="C282">
        <f>IF(VIPcric_1!C284="","",VIPcric_1!C284)</f>
        <v>94606</v>
      </c>
      <c r="D282">
        <f>IF(VIPcric_1!D284="","",VIPcric_1!D284)</f>
        <v>17.100000000000001</v>
      </c>
      <c r="E282" t="str">
        <f>IF(VIPcric_1!E284="","",VIPcric_1!E284)</f>
        <v/>
      </c>
      <c r="F282" t="str">
        <f>IF(VIPcric_1!F284="","",VIPcric_1!F284)</f>
        <v/>
      </c>
      <c r="G282" t="str">
        <f>IF(VIPcric_1!G284="","",VIPcric_1!G284)</f>
        <v/>
      </c>
      <c r="H282" t="str">
        <f>IF(VIPcric_1!H284="","",VIPcric_1!H284)</f>
        <v/>
      </c>
      <c r="I282" t="str">
        <f>IF(VIPcric_1!M284="","",VIPcric_1!M284)</f>
        <v>CRIC-佛山-市场监测.商品房市场.项目累计.库存.xlsx</v>
      </c>
    </row>
    <row r="283" spans="1:9">
      <c r="A283" t="str">
        <f>IF(VIPcric_1!A285="","",VIPcric_1!A285)</f>
        <v>2021年</v>
      </c>
      <c r="B283">
        <f>IF(VIPcric_1!B285="","",VIPcric_1!B285)</f>
        <v>12035105</v>
      </c>
      <c r="C283">
        <f>IF(VIPcric_1!C285="","",VIPcric_1!C285)</f>
        <v>111089</v>
      </c>
      <c r="D283">
        <f>IF(VIPcric_1!D285="","",VIPcric_1!D285)</f>
        <v>13.5</v>
      </c>
      <c r="E283" t="str">
        <f>IF(VIPcric_1!E285="","",VIPcric_1!E285)</f>
        <v/>
      </c>
      <c r="F283" t="str">
        <f>IF(VIPcric_1!F285="","",VIPcric_1!F285)</f>
        <v/>
      </c>
      <c r="G283" t="str">
        <f>IF(VIPcric_1!G285="","",VIPcric_1!G285)</f>
        <v/>
      </c>
      <c r="H283" t="str">
        <f>IF(VIPcric_1!H285="","",VIPcric_1!H285)</f>
        <v/>
      </c>
      <c r="I283" t="str">
        <f>IF(VIPcric_1!M285="","",VIPcric_1!M285)</f>
        <v>CRIC-佛山-市场监测.商品房市场.项目累计.库存.xlsx</v>
      </c>
    </row>
    <row r="284" spans="1:9">
      <c r="A284" t="str">
        <f>IF(VIPcric_1!A286="","",VIPcric_1!A286)</f>
        <v>2020年</v>
      </c>
      <c r="B284">
        <f>IF(VIPcric_1!B286="","",VIPcric_1!B286)</f>
        <v>11640776</v>
      </c>
      <c r="C284">
        <f>IF(VIPcric_1!C286="","",VIPcric_1!C286)</f>
        <v>105332</v>
      </c>
      <c r="D284">
        <f>IF(VIPcric_1!D286="","",VIPcric_1!D286)</f>
        <v>11.2</v>
      </c>
      <c r="E284" t="str">
        <f>IF(VIPcric_1!E286="","",VIPcric_1!E286)</f>
        <v/>
      </c>
      <c r="F284" t="str">
        <f>IF(VIPcric_1!F286="","",VIPcric_1!F286)</f>
        <v/>
      </c>
      <c r="G284" t="str">
        <f>IF(VIPcric_1!G286="","",VIPcric_1!G286)</f>
        <v/>
      </c>
      <c r="H284" t="str">
        <f>IF(VIPcric_1!H286="","",VIPcric_1!H286)</f>
        <v/>
      </c>
      <c r="I284" t="str">
        <f>IF(VIPcric_1!M286="","",VIPcric_1!M286)</f>
        <v>CRIC-佛山-市场监测.商品房市场.项目累计.库存.xlsx</v>
      </c>
    </row>
    <row r="285" spans="1:9">
      <c r="A285" t="str">
        <f>IF(VIPcric_1!A287="","",VIPcric_1!A287)</f>
        <v>2019年</v>
      </c>
      <c r="B285">
        <f>IF(VIPcric_1!B287="","",VIPcric_1!B287)</f>
        <v>11771192</v>
      </c>
      <c r="C285">
        <f>IF(VIPcric_1!C287="","",VIPcric_1!C287)</f>
        <v>105123</v>
      </c>
      <c r="D285">
        <f>IF(VIPcric_1!D287="","",VIPcric_1!D287)</f>
        <v>11.9</v>
      </c>
      <c r="E285" t="str">
        <f>IF(VIPcric_1!E287="","",VIPcric_1!E287)</f>
        <v/>
      </c>
      <c r="F285" t="str">
        <f>IF(VIPcric_1!F287="","",VIPcric_1!F287)</f>
        <v/>
      </c>
      <c r="G285" t="str">
        <f>IF(VIPcric_1!G287="","",VIPcric_1!G287)</f>
        <v/>
      </c>
      <c r="H285" t="str">
        <f>IF(VIPcric_1!H287="","",VIPcric_1!H287)</f>
        <v/>
      </c>
      <c r="I285" t="str">
        <f>IF(VIPcric_1!M287="","",VIPcric_1!M287)</f>
        <v>CRIC-佛山-市场监测.商品房市场.项目累计.库存.xlsx</v>
      </c>
    </row>
    <row r="286" spans="1:9">
      <c r="A286" t="str">
        <f>IF(VIPcric_1!A288="","",VIPcric_1!A288)</f>
        <v/>
      </c>
      <c r="B286" t="str">
        <f>IF(VIPcric_1!B288="","",VIPcric_1!B288)</f>
        <v/>
      </c>
      <c r="C286" t="str">
        <f>IF(VIPcric_1!C288="","",VIPcric_1!C288)</f>
        <v/>
      </c>
      <c r="D286" t="str">
        <f>IF(VIPcric_1!D288="","",VIPcric_1!D288)</f>
        <v/>
      </c>
      <c r="E286" t="str">
        <f>IF(VIPcric_1!E288="","",VIPcric_1!E288)</f>
        <v/>
      </c>
      <c r="F286" t="str">
        <f>IF(VIPcric_1!F288="","",VIPcric_1!F288)</f>
        <v/>
      </c>
      <c r="G286" t="str">
        <f>IF(VIPcric_1!G288="","",VIPcric_1!G288)</f>
        <v/>
      </c>
      <c r="H286" t="str">
        <f>IF(VIPcric_1!H288="","",VIPcric_1!H288)</f>
        <v/>
      </c>
      <c r="I286" t="str">
        <f>IF(VIPcric_1!M288="","",VIPcric_1!M288)</f>
        <v/>
      </c>
    </row>
    <row r="287" spans="1:9">
      <c r="A287" s="17" t="str">
        <f>IF(VIPcric_1!A289="","",VIPcric_1!A289)</f>
        <v/>
      </c>
      <c r="B287" s="17" t="str">
        <f>IF(VIPcric_1!B289="","",VIPcric_1!B289)</f>
        <v/>
      </c>
      <c r="C287" s="17" t="str">
        <f>IF(VIPcric_1!C289="","",VIPcric_1!C289)</f>
        <v/>
      </c>
      <c r="D287" s="17" t="str">
        <f>IF(VIPcric_1!D289="","",VIPcric_1!D289)</f>
        <v/>
      </c>
      <c r="E287" s="17" t="str">
        <f>IF(VIPcric_1!E289="","",VIPcric_1!E289)</f>
        <v/>
      </c>
      <c r="F287" s="17" t="str">
        <f>IF(VIPcric_1!F289="","",VIPcric_1!F289)</f>
        <v/>
      </c>
      <c r="G287" s="17" t="str">
        <f>IF(VIPcric_1!G289="","",VIPcric_1!G289)</f>
        <v/>
      </c>
      <c r="H287" s="17" t="str">
        <f>IF(VIPcric_1!H289="","",VIPcric_1!H289)</f>
        <v/>
      </c>
      <c r="I287" s="17" t="str">
        <f>IF(VIPcric_1!M289="","",VIPcric_1!M289)</f>
        <v>CRIC-保亭-市场监测.商品房市场.项目累计.供求.xlsx</v>
      </c>
    </row>
    <row r="288" spans="1:9">
      <c r="A288" s="17" t="str">
        <f>IF(VIPcric_1!A290="","",VIPcric_1!A290)</f>
        <v>时间(年)</v>
      </c>
      <c r="B288" s="17" t="str">
        <f>IF(VIPcric_1!B290="","",VIPcric_1!B290)</f>
        <v>供应面积(㎡)</v>
      </c>
      <c r="C288" s="17" t="str">
        <f>IF(VIPcric_1!C290="","",VIPcric_1!C290)</f>
        <v>供应套数(套)</v>
      </c>
      <c r="D288" s="17" t="str">
        <f>IF(VIPcric_1!D290="","",VIPcric_1!D290)</f>
        <v>成交面积(㎡)</v>
      </c>
      <c r="E288" s="17" t="str">
        <f>IF(VIPcric_1!E290="","",VIPcric_1!E290)</f>
        <v>成交套数(套)</v>
      </c>
      <c r="F288" s="17" t="str">
        <f>IF(VIPcric_1!F290="","",VIPcric_1!F290)</f>
        <v>成交均价(元/㎡)</v>
      </c>
      <c r="G288" s="17" t="str">
        <f>IF(VIPcric_1!G290="","",VIPcric_1!G290)</f>
        <v>成交金额(元)</v>
      </c>
      <c r="H288" s="17" t="str">
        <f>IF(VIPcric_1!H290="","",VIPcric_1!H290)</f>
        <v>供求比</v>
      </c>
      <c r="I288" s="17" t="str">
        <f>IF(VIPcric_1!M290="","",VIPcric_1!M290)</f>
        <v>CRIC-保亭-市场监测.商品房市场.项目累计.供求.xlsx</v>
      </c>
    </row>
    <row r="289" spans="1:9">
      <c r="A289" s="17" t="str">
        <f>IF(VIPcric_1!A291="","",VIPcric_1!A291)</f>
        <v>2024年</v>
      </c>
      <c r="B289" s="17">
        <f>IF(VIPcric_1!B291="","",VIPcric_1!B291)</f>
        <v>0</v>
      </c>
      <c r="C289" s="17">
        <f>IF(VIPcric_1!C291="","",VIPcric_1!C291)</f>
        <v>0</v>
      </c>
      <c r="D289" s="17">
        <f>IF(VIPcric_1!D291="","",VIPcric_1!D291)</f>
        <v>4598</v>
      </c>
      <c r="E289" s="17">
        <f>IF(VIPcric_1!E291="","",VIPcric_1!E291)</f>
        <v>71</v>
      </c>
      <c r="F289" s="17">
        <f>IF(VIPcric_1!F291="","",VIPcric_1!F291)</f>
        <v>14584</v>
      </c>
      <c r="G289" s="17">
        <f>IF(VIPcric_1!G291="","",VIPcric_1!G291)</f>
        <v>67057066</v>
      </c>
      <c r="H289" s="17">
        <f>IF(VIPcric_1!H291="","",VIPcric_1!H291)</f>
        <v>0</v>
      </c>
      <c r="I289" s="17" t="str">
        <f>IF(VIPcric_1!M291="","",VIPcric_1!M291)</f>
        <v>CRIC-保亭-市场监测.商品房市场.项目累计.供求.xlsx</v>
      </c>
    </row>
    <row r="290" spans="1:9">
      <c r="A290" s="17" t="str">
        <f>IF(VIPcric_1!A292="","",VIPcric_1!A292)</f>
        <v>2023年</v>
      </c>
      <c r="B290" s="17">
        <f>IF(VIPcric_1!B292="","",VIPcric_1!B292)</f>
        <v>1231</v>
      </c>
      <c r="C290" s="17">
        <f>IF(VIPcric_1!C292="","",VIPcric_1!C292)</f>
        <v>15</v>
      </c>
      <c r="D290" s="17">
        <f>IF(VIPcric_1!D292="","",VIPcric_1!D292)</f>
        <v>50895</v>
      </c>
      <c r="E290" s="17">
        <f>IF(VIPcric_1!E292="","",VIPcric_1!E292)</f>
        <v>712</v>
      </c>
      <c r="F290" s="17">
        <f>IF(VIPcric_1!F292="","",VIPcric_1!F292)</f>
        <v>15028</v>
      </c>
      <c r="G290" s="17">
        <f>IF(VIPcric_1!G292="","",VIPcric_1!G292)</f>
        <v>764853527</v>
      </c>
      <c r="H290" s="17">
        <f>IF(VIPcric_1!H292="","",VIPcric_1!H292)</f>
        <v>0.02</v>
      </c>
      <c r="I290" s="17" t="str">
        <f>IF(VIPcric_1!M292="","",VIPcric_1!M292)</f>
        <v>CRIC-保亭-市场监测.商品房市场.项目累计.供求.xlsx</v>
      </c>
    </row>
    <row r="291" spans="1:9">
      <c r="A291" s="17" t="str">
        <f>IF(VIPcric_1!A293="","",VIPcric_1!A293)</f>
        <v>2022年</v>
      </c>
      <c r="B291" s="17">
        <f>IF(VIPcric_1!B293="","",VIPcric_1!B293)</f>
        <v>48321</v>
      </c>
      <c r="C291" s="17">
        <f>IF(VIPcric_1!C293="","",VIPcric_1!C293)</f>
        <v>508</v>
      </c>
      <c r="D291" s="17">
        <f>IF(VIPcric_1!D293="","",VIPcric_1!D293)</f>
        <v>95099</v>
      </c>
      <c r="E291" s="17">
        <f>IF(VIPcric_1!E293="","",VIPcric_1!E293)</f>
        <v>1367</v>
      </c>
      <c r="F291" s="17">
        <f>IF(VIPcric_1!F293="","",VIPcric_1!F293)</f>
        <v>17016</v>
      </c>
      <c r="G291" s="17">
        <f>IF(VIPcric_1!G293="","",VIPcric_1!G293)</f>
        <v>1618217582</v>
      </c>
      <c r="H291" s="17">
        <f>IF(VIPcric_1!H293="","",VIPcric_1!H293)</f>
        <v>0.51</v>
      </c>
      <c r="I291" s="17" t="str">
        <f>IF(VIPcric_1!M293="","",VIPcric_1!M293)</f>
        <v>CRIC-保亭-市场监测.商品房市场.项目累计.供求.xlsx</v>
      </c>
    </row>
    <row r="292" spans="1:9">
      <c r="A292" s="17" t="str">
        <f>IF(VIPcric_1!A294="","",VIPcric_1!A294)</f>
        <v>2021年</v>
      </c>
      <c r="B292" s="17">
        <f>IF(VIPcric_1!B294="","",VIPcric_1!B294)</f>
        <v>21724</v>
      </c>
      <c r="C292" s="17">
        <f>IF(VIPcric_1!C294="","",VIPcric_1!C294)</f>
        <v>317</v>
      </c>
      <c r="D292" s="17">
        <f>IF(VIPcric_1!D294="","",VIPcric_1!D294)</f>
        <v>11538</v>
      </c>
      <c r="E292" s="17">
        <f>IF(VIPcric_1!E294="","",VIPcric_1!E294)</f>
        <v>167</v>
      </c>
      <c r="F292" s="17">
        <f>IF(VIPcric_1!F294="","",VIPcric_1!F294)</f>
        <v>17344</v>
      </c>
      <c r="G292" s="17">
        <f>IF(VIPcric_1!G294="","",VIPcric_1!G294)</f>
        <v>200104609</v>
      </c>
      <c r="H292" s="17">
        <f>IF(VIPcric_1!H294="","",VIPcric_1!H294)</f>
        <v>1.88</v>
      </c>
      <c r="I292" s="17" t="str">
        <f>IF(VIPcric_1!M294="","",VIPcric_1!M294)</f>
        <v>CRIC-保亭-市场监测.商品房市场.项目累计.供求.xlsx</v>
      </c>
    </row>
    <row r="293" spans="1:9">
      <c r="A293" s="17" t="str">
        <f>IF(VIPcric_1!A295="","",VIPcric_1!A295)</f>
        <v>2020年</v>
      </c>
      <c r="B293" s="17">
        <f>IF(VIPcric_1!B295="","",VIPcric_1!B295)</f>
        <v>0</v>
      </c>
      <c r="C293" s="17">
        <f>IF(VIPcric_1!C295="","",VIPcric_1!C295)</f>
        <v>0</v>
      </c>
      <c r="D293" s="17">
        <f>IF(VIPcric_1!D295="","",VIPcric_1!D295)</f>
        <v>0</v>
      </c>
      <c r="E293" s="17">
        <f>IF(VIPcric_1!E295="","",VIPcric_1!E295)</f>
        <v>0</v>
      </c>
      <c r="F293" s="17">
        <f>IF(VIPcric_1!F295="","",VIPcric_1!F295)</f>
        <v>0</v>
      </c>
      <c r="G293" s="17">
        <f>IF(VIPcric_1!G295="","",VIPcric_1!G295)</f>
        <v>0</v>
      </c>
      <c r="H293" s="17">
        <f>IF(VIPcric_1!H295="","",VIPcric_1!H295)</f>
        <v>0</v>
      </c>
      <c r="I293" s="17" t="str">
        <f>IF(VIPcric_1!M295="","",VIPcric_1!M295)</f>
        <v>CRIC-保亭-市场监测.商品房市场.项目累计.供求.xlsx</v>
      </c>
    </row>
    <row r="294" spans="1:9">
      <c r="A294" s="17" t="str">
        <f>IF(VIPcric_1!A296="","",VIPcric_1!A296)</f>
        <v>2019年</v>
      </c>
      <c r="B294" s="17">
        <f>IF(VIPcric_1!B296="","",VIPcric_1!B296)</f>
        <v>0</v>
      </c>
      <c r="C294" s="17">
        <f>IF(VIPcric_1!C296="","",VIPcric_1!C296)</f>
        <v>0</v>
      </c>
      <c r="D294" s="17">
        <f>IF(VIPcric_1!D296="","",VIPcric_1!D296)</f>
        <v>0</v>
      </c>
      <c r="E294" s="17">
        <f>IF(VIPcric_1!E296="","",VIPcric_1!E296)</f>
        <v>0</v>
      </c>
      <c r="F294" s="17">
        <f>IF(VIPcric_1!F296="","",VIPcric_1!F296)</f>
        <v>0</v>
      </c>
      <c r="G294" s="17">
        <f>IF(VIPcric_1!G296="","",VIPcric_1!G296)</f>
        <v>0</v>
      </c>
      <c r="H294" s="17">
        <f>IF(VIPcric_1!H296="","",VIPcric_1!H296)</f>
        <v>0</v>
      </c>
      <c r="I294" s="17" t="str">
        <f>IF(VIPcric_1!M296="","",VIPcric_1!M296)</f>
        <v>CRIC-保亭-市场监测.商品房市场.项目累计.供求.xlsx</v>
      </c>
    </row>
    <row r="295" spans="1:9">
      <c r="A295" s="17" t="str">
        <f>IF(VIPcric_1!A297="","",VIPcric_1!A297)</f>
        <v>汇总</v>
      </c>
      <c r="B295" s="17">
        <f>IF(VIPcric_1!B297="","",VIPcric_1!B297)</f>
        <v>71276</v>
      </c>
      <c r="C295" s="17">
        <f>IF(VIPcric_1!C297="","",VIPcric_1!C297)</f>
        <v>840</v>
      </c>
      <c r="D295" s="17">
        <f>IF(VIPcric_1!D297="","",VIPcric_1!D297)</f>
        <v>162129</v>
      </c>
      <c r="E295" s="17">
        <f>IF(VIPcric_1!E297="","",VIPcric_1!E297)</f>
        <v>2317</v>
      </c>
      <c r="F295" s="17">
        <f>IF(VIPcric_1!F297="","",VIPcric_1!F297)</f>
        <v>16346</v>
      </c>
      <c r="G295" s="17">
        <f>IF(VIPcric_1!G297="","",VIPcric_1!G297)</f>
        <v>2650232784</v>
      </c>
      <c r="H295" s="17">
        <f>IF(VIPcric_1!H297="","",VIPcric_1!H297)</f>
        <v>0.44</v>
      </c>
      <c r="I295" s="17" t="str">
        <f>IF(VIPcric_1!M297="","",VIPcric_1!M297)</f>
        <v>CRIC-保亭-市场监测.商品房市场.项目累计.供求.xlsx</v>
      </c>
    </row>
    <row r="296" spans="1:9">
      <c r="A296" t="str">
        <f>IF(VIPcric_1!A298="","",VIPcric_1!A298)</f>
        <v/>
      </c>
      <c r="B296" t="str">
        <f>IF(VIPcric_1!B298="","",VIPcric_1!B298)</f>
        <v/>
      </c>
      <c r="C296" t="str">
        <f>IF(VIPcric_1!C298="","",VIPcric_1!C298)</f>
        <v/>
      </c>
      <c r="D296" t="str">
        <f>IF(VIPcric_1!D298="","",VIPcric_1!D298)</f>
        <v/>
      </c>
      <c r="E296" t="str">
        <f>IF(VIPcric_1!E298="","",VIPcric_1!E298)</f>
        <v/>
      </c>
      <c r="F296" t="str">
        <f>IF(VIPcric_1!F298="","",VIPcric_1!F298)</f>
        <v/>
      </c>
      <c r="G296" t="str">
        <f>IF(VIPcric_1!G298="","",VIPcric_1!G298)</f>
        <v/>
      </c>
      <c r="H296" t="str">
        <f>IF(VIPcric_1!H298="","",VIPcric_1!H298)</f>
        <v/>
      </c>
      <c r="I296" t="str">
        <f>IF(VIPcric_1!M298="","",VIPcric_1!M298)</f>
        <v/>
      </c>
    </row>
    <row r="297" spans="1:9">
      <c r="A297" t="str">
        <f>IF(VIPcric_1!A299="","",VIPcric_1!A299)</f>
        <v/>
      </c>
      <c r="B297" t="str">
        <f>IF(VIPcric_1!B299="","",VIPcric_1!B299)</f>
        <v/>
      </c>
      <c r="C297" t="str">
        <f>IF(VIPcric_1!C299="","",VIPcric_1!C299)</f>
        <v/>
      </c>
      <c r="D297" t="str">
        <f>IF(VIPcric_1!D299="","",VIPcric_1!D299)</f>
        <v/>
      </c>
      <c r="E297" t="str">
        <f>IF(VIPcric_1!E299="","",VIPcric_1!E299)</f>
        <v/>
      </c>
      <c r="F297" t="str">
        <f>IF(VIPcric_1!F299="","",VIPcric_1!F299)</f>
        <v/>
      </c>
      <c r="G297" t="str">
        <f>IF(VIPcric_1!G299="","",VIPcric_1!G299)</f>
        <v/>
      </c>
      <c r="H297" t="str">
        <f>IF(VIPcric_1!H299="","",VIPcric_1!H299)</f>
        <v/>
      </c>
      <c r="I297" t="str">
        <f>IF(VIPcric_1!M299="","",VIPcric_1!M299)</f>
        <v>CRIC-信阳-市场监测.商品房市场.项目累计.供求.xlsx</v>
      </c>
    </row>
    <row r="298" spans="1:9">
      <c r="A298" t="str">
        <f>IF(VIPcric_1!A300="","",VIPcric_1!A300)</f>
        <v>时间(年)</v>
      </c>
      <c r="B298" t="str">
        <f>IF(VIPcric_1!B300="","",VIPcric_1!B300)</f>
        <v>供应面积(㎡)</v>
      </c>
      <c r="C298" t="str">
        <f>IF(VIPcric_1!C300="","",VIPcric_1!C300)</f>
        <v>供应套数(套)</v>
      </c>
      <c r="D298" t="str">
        <f>IF(VIPcric_1!D300="","",VIPcric_1!D300)</f>
        <v>成交面积(㎡)</v>
      </c>
      <c r="E298" t="str">
        <f>IF(VIPcric_1!E300="","",VIPcric_1!E300)</f>
        <v>成交套数(套)</v>
      </c>
      <c r="F298" t="str">
        <f>IF(VIPcric_1!F300="","",VIPcric_1!F300)</f>
        <v>成交均价(元/㎡)</v>
      </c>
      <c r="G298" t="str">
        <f>IF(VIPcric_1!G300="","",VIPcric_1!G300)</f>
        <v>成交金额(元)</v>
      </c>
      <c r="H298" t="str">
        <f>IF(VIPcric_1!H300="","",VIPcric_1!H300)</f>
        <v>供求比</v>
      </c>
      <c r="I298" t="str">
        <f>IF(VIPcric_1!M300="","",VIPcric_1!M300)</f>
        <v>CRIC-信阳-市场监测.商品房市场.项目累计.供求.xlsx</v>
      </c>
    </row>
    <row r="299" spans="1:9">
      <c r="F299">
        <v>7100</v>
      </c>
    </row>
    <row r="300" spans="1:9">
      <c r="A300" t="str">
        <f>IF(VIPcric_1!A301="","",VIPcric_1!A301)</f>
        <v>2022年</v>
      </c>
      <c r="B300">
        <f>IF(VIPcric_1!B301="","",VIPcric_1!B301)</f>
        <v>298834</v>
      </c>
      <c r="C300">
        <f>IF(VIPcric_1!C301="","",VIPcric_1!C301)</f>
        <v>2309</v>
      </c>
      <c r="D300">
        <f>IF(VIPcric_1!D301="","",VIPcric_1!D301)</f>
        <v>310803</v>
      </c>
      <c r="E300">
        <f>IF(VIPcric_1!E301="","",VIPcric_1!E301)</f>
        <v>2524</v>
      </c>
      <c r="F300">
        <f>IF(VIPcric_1!F301="","",VIPcric_1!F301)</f>
        <v>7373</v>
      </c>
      <c r="G300">
        <f>IF(VIPcric_1!G301="","",VIPcric_1!G301)</f>
        <v>2291474445</v>
      </c>
      <c r="H300">
        <f>IF(VIPcric_1!H301="","",VIPcric_1!H301)</f>
        <v>0.96</v>
      </c>
      <c r="I300" t="str">
        <f>IF(VIPcric_1!M301="","",VIPcric_1!M301)</f>
        <v>CRIC-信阳-市场监测.商品房市场.项目累计.供求.xlsx</v>
      </c>
    </row>
    <row r="301" spans="1:9">
      <c r="A301" t="str">
        <f>IF(VIPcric_1!A302="","",VIPcric_1!A302)</f>
        <v>2021年</v>
      </c>
      <c r="B301">
        <f>IF(VIPcric_1!B302="","",VIPcric_1!B302)</f>
        <v>2575646</v>
      </c>
      <c r="C301">
        <f>IF(VIPcric_1!C302="","",VIPcric_1!C302)</f>
        <v>21050</v>
      </c>
      <c r="D301">
        <f>IF(VIPcric_1!D302="","",VIPcric_1!D302)</f>
        <v>541030</v>
      </c>
      <c r="E301">
        <f>IF(VIPcric_1!E302="","",VIPcric_1!E302)</f>
        <v>4383</v>
      </c>
      <c r="F301">
        <f>IF(VIPcric_1!F302="","",VIPcric_1!F302)</f>
        <v>7336</v>
      </c>
      <c r="G301">
        <f>IF(VIPcric_1!G302="","",VIPcric_1!G302)</f>
        <v>3969153018</v>
      </c>
      <c r="H301">
        <f>IF(VIPcric_1!H302="","",VIPcric_1!H302)</f>
        <v>4.76</v>
      </c>
      <c r="I301" t="str">
        <f>IF(VIPcric_1!M302="","",VIPcric_1!M302)</f>
        <v>CRIC-信阳-市场监测.商品房市场.项目累计.供求.xlsx</v>
      </c>
    </row>
    <row r="302" spans="1:9">
      <c r="A302" t="str">
        <f>IF(VIPcric_1!A303="","",VIPcric_1!A303)</f>
        <v>2020年</v>
      </c>
      <c r="B302">
        <f>IF(VIPcric_1!B303="","",VIPcric_1!B303)</f>
        <v>2559938</v>
      </c>
      <c r="C302">
        <f>IF(VIPcric_1!C303="","",VIPcric_1!C303)</f>
        <v>20524</v>
      </c>
      <c r="D302">
        <f>IF(VIPcric_1!D303="","",VIPcric_1!D303)</f>
        <v>0</v>
      </c>
      <c r="E302">
        <f>IF(VIPcric_1!E303="","",VIPcric_1!E303)</f>
        <v>0</v>
      </c>
      <c r="F302">
        <f>IF(VIPcric_1!F303="","",VIPcric_1!F303)</f>
        <v>0</v>
      </c>
      <c r="G302">
        <f>IF(VIPcric_1!G303="","",VIPcric_1!G303)</f>
        <v>0</v>
      </c>
      <c r="H302">
        <f>IF(VIPcric_1!H303="","",VIPcric_1!H303)</f>
        <v>0</v>
      </c>
      <c r="I302" t="str">
        <f>IF(VIPcric_1!M303="","",VIPcric_1!M303)</f>
        <v>CRIC-信阳-市场监测.商品房市场.项目累计.供求.xlsx</v>
      </c>
    </row>
    <row r="303" spans="1:9">
      <c r="A303" t="str">
        <f>IF(VIPcric_1!A304="","",VIPcric_1!A304)</f>
        <v>2019年</v>
      </c>
      <c r="B303">
        <f>IF(VIPcric_1!B304="","",VIPcric_1!B304)</f>
        <v>1929322</v>
      </c>
      <c r="C303">
        <f>IF(VIPcric_1!C304="","",VIPcric_1!C304)</f>
        <v>15481</v>
      </c>
      <c r="D303">
        <f>IF(VIPcric_1!D304="","",VIPcric_1!D304)</f>
        <v>0</v>
      </c>
      <c r="E303">
        <f>IF(VIPcric_1!E304="","",VIPcric_1!E304)</f>
        <v>0</v>
      </c>
      <c r="F303">
        <f>IF(VIPcric_1!F304="","",VIPcric_1!F304)</f>
        <v>0</v>
      </c>
      <c r="G303">
        <f>IF(VIPcric_1!G304="","",VIPcric_1!G304)</f>
        <v>0</v>
      </c>
      <c r="H303">
        <f>IF(VIPcric_1!H304="","",VIPcric_1!H304)</f>
        <v>0</v>
      </c>
      <c r="I303" t="str">
        <f>IF(VIPcric_1!M304="","",VIPcric_1!M304)</f>
        <v>CRIC-信阳-市场监测.商品房市场.项目累计.供求.xlsx</v>
      </c>
    </row>
    <row r="304" spans="1:9">
      <c r="A304" t="str">
        <f>IF(VIPcric_1!A305="","",VIPcric_1!A305)</f>
        <v>2018年</v>
      </c>
      <c r="B304">
        <f>IF(VIPcric_1!B305="","",VIPcric_1!B305)</f>
        <v>1418421</v>
      </c>
      <c r="C304">
        <f>IF(VIPcric_1!C305="","",VIPcric_1!C305)</f>
        <v>11351</v>
      </c>
      <c r="D304">
        <f>IF(VIPcric_1!D305="","",VIPcric_1!D305)</f>
        <v>0</v>
      </c>
      <c r="E304">
        <f>IF(VIPcric_1!E305="","",VIPcric_1!E305)</f>
        <v>0</v>
      </c>
      <c r="F304">
        <f>IF(VIPcric_1!F305="","",VIPcric_1!F305)</f>
        <v>0</v>
      </c>
      <c r="G304">
        <f>IF(VIPcric_1!G305="","",VIPcric_1!G305)</f>
        <v>0</v>
      </c>
      <c r="H304">
        <f>IF(VIPcric_1!H305="","",VIPcric_1!H305)</f>
        <v>0</v>
      </c>
      <c r="I304" t="str">
        <f>IF(VIPcric_1!M305="","",VIPcric_1!M305)</f>
        <v>CRIC-信阳-市场监测.商品房市场.项目累计.供求.xlsx</v>
      </c>
    </row>
    <row r="305" spans="1:9">
      <c r="A305" t="str">
        <f>IF(VIPcric_1!A306="","",VIPcric_1!A306)</f>
        <v>2017年</v>
      </c>
      <c r="B305">
        <f>IF(VIPcric_1!B306="","",VIPcric_1!B306)</f>
        <v>863981</v>
      </c>
      <c r="C305">
        <f>IF(VIPcric_1!C306="","",VIPcric_1!C306)</f>
        <v>7130</v>
      </c>
      <c r="D305">
        <f>IF(VIPcric_1!D306="","",VIPcric_1!D306)</f>
        <v>0</v>
      </c>
      <c r="E305">
        <f>IF(VIPcric_1!E306="","",VIPcric_1!E306)</f>
        <v>0</v>
      </c>
      <c r="F305">
        <f>IF(VIPcric_1!F306="","",VIPcric_1!F306)</f>
        <v>0</v>
      </c>
      <c r="G305">
        <f>IF(VIPcric_1!G306="","",VIPcric_1!G306)</f>
        <v>0</v>
      </c>
      <c r="H305">
        <f>IF(VIPcric_1!H306="","",VIPcric_1!H306)</f>
        <v>0</v>
      </c>
      <c r="I305" t="str">
        <f>IF(VIPcric_1!M306="","",VIPcric_1!M306)</f>
        <v>CRIC-信阳-市场监测.商品房市场.项目累计.供求.xlsx</v>
      </c>
    </row>
    <row r="306" spans="1:9">
      <c r="A306" t="str">
        <f>IF(VIPcric_1!A307="","",VIPcric_1!A307)</f>
        <v>汇总</v>
      </c>
      <c r="B306">
        <f>IF(VIPcric_1!B307="","",VIPcric_1!B307)</f>
        <v>9646141</v>
      </c>
      <c r="C306">
        <f>IF(VIPcric_1!C307="","",VIPcric_1!C307)</f>
        <v>77845</v>
      </c>
      <c r="D306">
        <f>IF(VIPcric_1!D307="","",VIPcric_1!D307)</f>
        <v>851834</v>
      </c>
      <c r="E306">
        <f>IF(VIPcric_1!E307="","",VIPcric_1!E307)</f>
        <v>6907</v>
      </c>
      <c r="F306">
        <f>IF(VIPcric_1!F307="","",VIPcric_1!F307)</f>
        <v>7350</v>
      </c>
      <c r="G306">
        <f>IF(VIPcric_1!G307="","",VIPcric_1!G307)</f>
        <v>6260627463</v>
      </c>
      <c r="H306">
        <f>IF(VIPcric_1!H307="","",VIPcric_1!H307)</f>
        <v>11.32</v>
      </c>
      <c r="I306" t="str">
        <f>IF(VIPcric_1!M307="","",VIPcric_1!M307)</f>
        <v>CRIC-信阳-市场监测.商品房市场.项目累计.供求.xlsx</v>
      </c>
    </row>
    <row r="307" spans="1:9">
      <c r="A307" t="str">
        <f>IF(VIPcric_1!A308="","",VIPcric_1!A308)</f>
        <v/>
      </c>
      <c r="B307" t="str">
        <f>IF(VIPcric_1!B308="","",VIPcric_1!B308)</f>
        <v/>
      </c>
      <c r="C307" t="str">
        <f>IF(VIPcric_1!C308="","",VIPcric_1!C308)</f>
        <v/>
      </c>
      <c r="D307" t="str">
        <f>IF(VIPcric_1!D308="","",VIPcric_1!D308)</f>
        <v/>
      </c>
      <c r="E307" t="str">
        <f>IF(VIPcric_1!E308="","",VIPcric_1!E308)</f>
        <v/>
      </c>
      <c r="F307" t="str">
        <f>IF(VIPcric_1!F308="","",VIPcric_1!F308)</f>
        <v/>
      </c>
      <c r="G307" t="str">
        <f>IF(VIPcric_1!G308="","",VIPcric_1!G308)</f>
        <v/>
      </c>
      <c r="H307" t="str">
        <f>IF(VIPcric_1!H308="","",VIPcric_1!H308)</f>
        <v/>
      </c>
      <c r="I307" t="str">
        <f>IF(VIPcric_1!M308="","",VIPcric_1!M308)</f>
        <v/>
      </c>
    </row>
    <row r="308" spans="1:9">
      <c r="A308" t="str">
        <f>IF(VIPcric_1!A309="","",VIPcric_1!A309)</f>
        <v/>
      </c>
      <c r="B308" t="str">
        <f>IF(VIPcric_1!B309="","",VIPcric_1!B309)</f>
        <v/>
      </c>
      <c r="C308" t="str">
        <f>IF(VIPcric_1!C309="","",VIPcric_1!C309)</f>
        <v/>
      </c>
      <c r="D308" t="str">
        <f>IF(VIPcric_1!D309="","",VIPcric_1!D309)</f>
        <v/>
      </c>
      <c r="E308" t="str">
        <f>IF(VIPcric_1!E309="","",VIPcric_1!E309)</f>
        <v/>
      </c>
      <c r="F308" t="str">
        <f>IF(VIPcric_1!F309="","",VIPcric_1!F309)</f>
        <v/>
      </c>
      <c r="G308" t="str">
        <f>IF(VIPcric_1!G309="","",VIPcric_1!G309)</f>
        <v/>
      </c>
      <c r="H308" t="str">
        <f>IF(VIPcric_1!H309="","",VIPcric_1!H309)</f>
        <v/>
      </c>
      <c r="I308" t="str">
        <f>IF(VIPcric_1!M309="","",VIPcric_1!M309)</f>
        <v>CRIC-信阳-市场监测.商品房市场.项目累计.库存.xlsx</v>
      </c>
    </row>
    <row r="309" spans="1:9">
      <c r="A309" t="str">
        <f>IF(VIPcric_1!A310="","",VIPcric_1!A310)</f>
        <v>时间(年)</v>
      </c>
      <c r="B309" t="str">
        <f>IF(VIPcric_1!B310="","",VIPcric_1!B310)</f>
        <v>库存面积(㎡)</v>
      </c>
      <c r="C309" t="str">
        <f>IF(VIPcric_1!C310="","",VIPcric_1!C310)</f>
        <v>库存套数(套)</v>
      </c>
      <c r="D309" t="str">
        <f>IF(VIPcric_1!D310="","",VIPcric_1!D310)</f>
        <v>去化周期12'(月)</v>
      </c>
      <c r="E309" t="str">
        <f>IF(VIPcric_1!E310="","",VIPcric_1!E310)</f>
        <v>去化周期24'(月)</v>
      </c>
      <c r="F309" t="str">
        <f>IF(VIPcric_1!F310="","",VIPcric_1!F310)</f>
        <v/>
      </c>
      <c r="G309" t="str">
        <f>IF(VIPcric_1!G310="","",VIPcric_1!G310)</f>
        <v/>
      </c>
      <c r="H309" t="str">
        <f>IF(VIPcric_1!H310="","",VIPcric_1!H310)</f>
        <v/>
      </c>
      <c r="I309" t="str">
        <f>IF(VIPcric_1!M310="","",VIPcric_1!M310)</f>
        <v>CRIC-信阳-市场监测.商品房市场.项目累计.库存.xlsx</v>
      </c>
    </row>
    <row r="310" spans="1:9">
      <c r="E310">
        <v>120</v>
      </c>
    </row>
    <row r="311" spans="1:9">
      <c r="A311" t="str">
        <f>IF(VIPcric_1!A311="","",VIPcric_1!A311)</f>
        <v>2022年</v>
      </c>
      <c r="B311">
        <f>IF(VIPcric_1!B311="","",VIPcric_1!B311)</f>
        <v>3327761</v>
      </c>
      <c r="C311">
        <f>IF(VIPcric_1!C311="","",VIPcric_1!C311)</f>
        <v>26001</v>
      </c>
      <c r="D311">
        <f>IF(VIPcric_1!D311="","",VIPcric_1!D311)</f>
        <v>47</v>
      </c>
      <c r="E311">
        <f>IF(VIPcric_1!E311="","",VIPcric_1!E311)</f>
        <v>94</v>
      </c>
      <c r="F311" t="str">
        <f>IF(VIPcric_1!F311="","",VIPcric_1!F311)</f>
        <v/>
      </c>
      <c r="G311" t="str">
        <f>IF(VIPcric_1!G311="","",VIPcric_1!G311)</f>
        <v/>
      </c>
      <c r="H311" t="str">
        <f>IF(VIPcric_1!H311="","",VIPcric_1!H311)</f>
        <v/>
      </c>
      <c r="I311" t="str">
        <f>IF(VIPcric_1!M311="","",VIPcric_1!M311)</f>
        <v>CRIC-信阳-市场监测.商品房市场.项目累计.库存.xlsx</v>
      </c>
    </row>
    <row r="312" spans="1:9">
      <c r="A312" t="str">
        <f>IF(VIPcric_1!A312="","",VIPcric_1!A312)</f>
        <v>2021年</v>
      </c>
      <c r="B312">
        <f>IF(VIPcric_1!B312="","",VIPcric_1!B312)</f>
        <v>3501950</v>
      </c>
      <c r="C312">
        <f>IF(VIPcric_1!C312="","",VIPcric_1!C312)</f>
        <v>27539</v>
      </c>
      <c r="D312">
        <f>IF(VIPcric_1!D312="","",VIPcric_1!D312)</f>
        <v>77.7</v>
      </c>
      <c r="E312">
        <f>IF(VIPcric_1!E312="","",VIPcric_1!E312)</f>
        <v>155.30000000000001</v>
      </c>
      <c r="F312" t="str">
        <f>IF(VIPcric_1!F312="","",VIPcric_1!F312)</f>
        <v/>
      </c>
      <c r="G312" t="str">
        <f>IF(VIPcric_1!G312="","",VIPcric_1!G312)</f>
        <v/>
      </c>
      <c r="H312" t="str">
        <f>IF(VIPcric_1!H312="","",VIPcric_1!H312)</f>
        <v/>
      </c>
      <c r="I312" t="str">
        <f>IF(VIPcric_1!M312="","",VIPcric_1!M312)</f>
        <v>CRIC-信阳-市场监测.商品房市场.项目累计.库存.xlsx</v>
      </c>
    </row>
    <row r="313" spans="1:9">
      <c r="A313" t="str">
        <f>IF(VIPcric_1!A313="","",VIPcric_1!A313)</f>
        <v/>
      </c>
      <c r="B313" t="str">
        <f>IF(VIPcric_1!B313="","",VIPcric_1!B313)</f>
        <v/>
      </c>
      <c r="C313" t="str">
        <f>IF(VIPcric_1!C313="","",VIPcric_1!C313)</f>
        <v/>
      </c>
      <c r="D313" t="str">
        <f>IF(VIPcric_1!D313="","",VIPcric_1!D313)</f>
        <v/>
      </c>
      <c r="E313" t="str">
        <f>IF(VIPcric_1!E313="","",VIPcric_1!E313)</f>
        <v/>
      </c>
      <c r="F313" t="str">
        <f>IF(VIPcric_1!F313="","",VIPcric_1!F313)</f>
        <v/>
      </c>
      <c r="G313" t="str">
        <f>IF(VIPcric_1!G313="","",VIPcric_1!G313)</f>
        <v/>
      </c>
      <c r="H313" t="str">
        <f>IF(VIPcric_1!H313="","",VIPcric_1!H313)</f>
        <v/>
      </c>
      <c r="I313" t="str">
        <f>IF(VIPcric_1!M313="","",VIPcric_1!M313)</f>
        <v/>
      </c>
    </row>
    <row r="314" spans="1:9">
      <c r="A314" t="str">
        <f>IF(VIPcric_1!A314="","",VIPcric_1!A314)</f>
        <v/>
      </c>
      <c r="B314" t="str">
        <f>IF(VIPcric_1!B314="","",VIPcric_1!B314)</f>
        <v/>
      </c>
      <c r="C314" t="str">
        <f>IF(VIPcric_1!C314="","",VIPcric_1!C314)</f>
        <v/>
      </c>
      <c r="D314" t="str">
        <f>IF(VIPcric_1!D314="","",VIPcric_1!D314)</f>
        <v/>
      </c>
      <c r="E314" t="str">
        <f>IF(VIPcric_1!E314="","",VIPcric_1!E314)</f>
        <v/>
      </c>
      <c r="F314" t="str">
        <f>IF(VIPcric_1!F314="","",VIPcric_1!F314)</f>
        <v/>
      </c>
      <c r="G314" t="str">
        <f>IF(VIPcric_1!G314="","",VIPcric_1!G314)</f>
        <v/>
      </c>
      <c r="H314" t="str">
        <f>IF(VIPcric_1!H314="","",VIPcric_1!H314)</f>
        <v/>
      </c>
      <c r="I314" t="str">
        <f>IF(VIPcric_1!M314="","",VIPcric_1!M314)</f>
        <v>CRIC-儋州-市场监测.商品房市场.项目累计.供求.xlsx</v>
      </c>
    </row>
    <row r="315" spans="1:9">
      <c r="A315" t="str">
        <f>IF(VIPcric_1!A315="","",VIPcric_1!A315)</f>
        <v>时间(年)</v>
      </c>
      <c r="B315" t="str">
        <f>IF(VIPcric_1!B315="","",VIPcric_1!B315)</f>
        <v>供应面积(㎡)</v>
      </c>
      <c r="C315" t="str">
        <f>IF(VIPcric_1!C315="","",VIPcric_1!C315)</f>
        <v>供应套数(套)</v>
      </c>
      <c r="D315" t="str">
        <f>IF(VIPcric_1!D315="","",VIPcric_1!D315)</f>
        <v>成交面积(㎡)</v>
      </c>
      <c r="E315" t="str">
        <f>IF(VIPcric_1!E315="","",VIPcric_1!E315)</f>
        <v>成交套数(套)</v>
      </c>
      <c r="F315" t="str">
        <f>IF(VIPcric_1!F315="","",VIPcric_1!F315)</f>
        <v>成交均价(元/㎡)</v>
      </c>
      <c r="G315" t="str">
        <f>IF(VIPcric_1!G315="","",VIPcric_1!G315)</f>
        <v>成交金额(元)</v>
      </c>
      <c r="H315" t="str">
        <f>IF(VIPcric_1!H315="","",VIPcric_1!H315)</f>
        <v>供求比</v>
      </c>
      <c r="I315" t="str">
        <f>IF(VIPcric_1!M315="","",VIPcric_1!M315)</f>
        <v>CRIC-儋州-市场监测.商品房市场.项目累计.供求.xlsx</v>
      </c>
    </row>
    <row r="316" spans="1:9">
      <c r="A316" t="str">
        <f>IF(VIPcric_1!A316="","",VIPcric_1!A316)</f>
        <v>2023年</v>
      </c>
      <c r="B316">
        <f>IF(VIPcric_1!B316="","",VIPcric_1!B316)</f>
        <v>496085</v>
      </c>
      <c r="C316">
        <f>IF(VIPcric_1!C316="","",VIPcric_1!C316)</f>
        <v>4885</v>
      </c>
      <c r="D316">
        <f>IF(VIPcric_1!D316="","",VIPcric_1!D316)</f>
        <v>489917</v>
      </c>
      <c r="E316">
        <f>IF(VIPcric_1!E316="","",VIPcric_1!E316)</f>
        <v>5068</v>
      </c>
      <c r="F316">
        <f>IF(VIPcric_1!F316="","",VIPcric_1!F316)</f>
        <v>10533</v>
      </c>
      <c r="G316">
        <f>IF(VIPcric_1!G316="","",VIPcric_1!G316)</f>
        <v>5160428862</v>
      </c>
      <c r="H316">
        <f>IF(VIPcric_1!H316="","",VIPcric_1!H316)</f>
        <v>1.01</v>
      </c>
      <c r="I316" t="str">
        <f>IF(VIPcric_1!M316="","",VIPcric_1!M316)</f>
        <v>CRIC-儋州-市场监测.商品房市场.项目累计.供求.xlsx</v>
      </c>
    </row>
    <row r="317" spans="1:9">
      <c r="A317" t="str">
        <f>IF(VIPcric_1!A317="","",VIPcric_1!A317)</f>
        <v>2022年</v>
      </c>
      <c r="B317">
        <f>IF(VIPcric_1!B317="","",VIPcric_1!B317)</f>
        <v>521206</v>
      </c>
      <c r="C317">
        <f>IF(VIPcric_1!C317="","",VIPcric_1!C317)</f>
        <v>5043</v>
      </c>
      <c r="D317">
        <f>IF(VIPcric_1!D317="","",VIPcric_1!D317)</f>
        <v>232217</v>
      </c>
      <c r="E317">
        <f>IF(VIPcric_1!E317="","",VIPcric_1!E317)</f>
        <v>2339</v>
      </c>
      <c r="F317">
        <f>IF(VIPcric_1!F317="","",VIPcric_1!F317)</f>
        <v>10546</v>
      </c>
      <c r="G317">
        <f>IF(VIPcric_1!G317="","",VIPcric_1!G317)</f>
        <v>2448908121</v>
      </c>
      <c r="H317">
        <f>IF(VIPcric_1!H317="","",VIPcric_1!H317)</f>
        <v>2.2400000000000002</v>
      </c>
      <c r="I317" t="str">
        <f>IF(VIPcric_1!M317="","",VIPcric_1!M317)</f>
        <v>CRIC-儋州-市场监测.商品房市场.项目累计.供求.xlsx</v>
      </c>
    </row>
    <row r="318" spans="1:9">
      <c r="A318" t="str">
        <f>IF(VIPcric_1!A318="","",VIPcric_1!A318)</f>
        <v>2021年</v>
      </c>
      <c r="B318">
        <f>IF(VIPcric_1!B318="","",VIPcric_1!B318)</f>
        <v>90353</v>
      </c>
      <c r="C318">
        <f>IF(VIPcric_1!C318="","",VIPcric_1!C318)</f>
        <v>901</v>
      </c>
      <c r="D318">
        <f>IF(VIPcric_1!D318="","",VIPcric_1!D318)</f>
        <v>50885</v>
      </c>
      <c r="E318">
        <f>IF(VIPcric_1!E318="","",VIPcric_1!E318)</f>
        <v>507</v>
      </c>
      <c r="F318">
        <f>IF(VIPcric_1!F318="","",VIPcric_1!F318)</f>
        <v>9178</v>
      </c>
      <c r="G318">
        <f>IF(VIPcric_1!G318="","",VIPcric_1!G318)</f>
        <v>467005349</v>
      </c>
      <c r="H318">
        <f>IF(VIPcric_1!H318="","",VIPcric_1!H318)</f>
        <v>1.78</v>
      </c>
      <c r="I318" t="str">
        <f>IF(VIPcric_1!M318="","",VIPcric_1!M318)</f>
        <v>CRIC-儋州-市场监测.商品房市场.项目累计.供求.xlsx</v>
      </c>
    </row>
    <row r="319" spans="1:9">
      <c r="A319" t="str">
        <f>IF(VIPcric_1!A319="","",VIPcric_1!A319)</f>
        <v>汇总</v>
      </c>
      <c r="B319">
        <f>IF(VIPcric_1!B319="","",VIPcric_1!B319)</f>
        <v>1107644</v>
      </c>
      <c r="C319">
        <f>IF(VIPcric_1!C319="","",VIPcric_1!C319)</f>
        <v>10829</v>
      </c>
      <c r="D319">
        <f>IF(VIPcric_1!D319="","",VIPcric_1!D319)</f>
        <v>773019</v>
      </c>
      <c r="E319">
        <f>IF(VIPcric_1!E319="","",VIPcric_1!E319)</f>
        <v>7914</v>
      </c>
      <c r="F319">
        <f>IF(VIPcric_1!F319="","",VIPcric_1!F319)</f>
        <v>10448</v>
      </c>
      <c r="G319">
        <f>IF(VIPcric_1!G319="","",VIPcric_1!G319)</f>
        <v>8076342332</v>
      </c>
      <c r="H319">
        <f>IF(VIPcric_1!H319="","",VIPcric_1!H319)</f>
        <v>1.43</v>
      </c>
      <c r="I319" t="str">
        <f>IF(VIPcric_1!M319="","",VIPcric_1!M319)</f>
        <v>CRIC-儋州-市场监测.商品房市场.项目累计.供求.xlsx</v>
      </c>
    </row>
    <row r="320" spans="1:9">
      <c r="A320" t="str">
        <f>IF(VIPcric_1!A320="","",VIPcric_1!A320)</f>
        <v/>
      </c>
      <c r="B320" t="str">
        <f>IF(VIPcric_1!B320="","",VIPcric_1!B320)</f>
        <v/>
      </c>
      <c r="C320" t="str">
        <f>IF(VIPcric_1!C320="","",VIPcric_1!C320)</f>
        <v/>
      </c>
      <c r="D320" t="str">
        <f>IF(VIPcric_1!D320="","",VIPcric_1!D320)</f>
        <v/>
      </c>
      <c r="E320" t="str">
        <f>IF(VIPcric_1!E320="","",VIPcric_1!E320)</f>
        <v/>
      </c>
      <c r="F320" t="str">
        <f>IF(VIPcric_1!F320="","",VIPcric_1!F320)</f>
        <v/>
      </c>
      <c r="G320" t="str">
        <f>IF(VIPcric_1!G320="","",VIPcric_1!G320)</f>
        <v/>
      </c>
      <c r="H320" t="str">
        <f>IF(VIPcric_1!H320="","",VIPcric_1!H320)</f>
        <v/>
      </c>
      <c r="I320" t="str">
        <f>IF(VIPcric_1!M320="","",VIPcric_1!M320)</f>
        <v/>
      </c>
    </row>
    <row r="321" spans="1:9">
      <c r="A321" t="str">
        <f>IF(VIPcric_1!A321="","",VIPcric_1!A321)</f>
        <v/>
      </c>
      <c r="B321" t="str">
        <f>IF(VIPcric_1!B321="","",VIPcric_1!B321)</f>
        <v/>
      </c>
      <c r="C321" t="str">
        <f>IF(VIPcric_1!C321="","",VIPcric_1!C321)</f>
        <v/>
      </c>
      <c r="D321" t="str">
        <f>IF(VIPcric_1!D321="","",VIPcric_1!D321)</f>
        <v/>
      </c>
      <c r="E321" t="str">
        <f>IF(VIPcric_1!E321="","",VIPcric_1!E321)</f>
        <v/>
      </c>
      <c r="F321" t="str">
        <f>IF(VIPcric_1!F321="","",VIPcric_1!F321)</f>
        <v/>
      </c>
      <c r="G321" t="str">
        <f>IF(VIPcric_1!G321="","",VIPcric_1!G321)</f>
        <v/>
      </c>
      <c r="H321" t="str">
        <f>IF(VIPcric_1!H321="","",VIPcric_1!H321)</f>
        <v/>
      </c>
      <c r="I321" t="str">
        <f>IF(VIPcric_1!M321="","",VIPcric_1!M321)</f>
        <v>CRIC-儋州-市场监测.商品房市场.项目累计.库存.xlsx</v>
      </c>
    </row>
    <row r="322" spans="1:9">
      <c r="A322" t="str">
        <f>IF(VIPcric_1!A322="","",VIPcric_1!A322)</f>
        <v>时间(年)</v>
      </c>
      <c r="B322" t="str">
        <f>IF(VIPcric_1!B322="","",VIPcric_1!B322)</f>
        <v>库存面积(㎡)</v>
      </c>
      <c r="C322" t="str">
        <f>IF(VIPcric_1!C322="","",VIPcric_1!C322)</f>
        <v>库存套数(套)</v>
      </c>
      <c r="D322" t="str">
        <f>IF(VIPcric_1!D322="","",VIPcric_1!D322)</f>
        <v>去化周期12'(月)</v>
      </c>
      <c r="E322" t="str">
        <f>IF(VIPcric_1!E322="","",VIPcric_1!E322)</f>
        <v/>
      </c>
      <c r="F322" t="str">
        <f>IF(VIPcric_1!F322="","",VIPcric_1!F322)</f>
        <v/>
      </c>
      <c r="G322" t="str">
        <f>IF(VIPcric_1!G322="","",VIPcric_1!G322)</f>
        <v/>
      </c>
      <c r="H322" t="str">
        <f>IF(VIPcric_1!H322="","",VIPcric_1!H322)</f>
        <v/>
      </c>
      <c r="I322" t="str">
        <f>IF(VIPcric_1!M322="","",VIPcric_1!M322)</f>
        <v>CRIC-儋州-市场监测.商品房市场.项目累计.库存.xlsx</v>
      </c>
    </row>
    <row r="323" spans="1:9">
      <c r="A323" t="str">
        <f>IF(VIPcric_1!A323="","",VIPcric_1!A323)</f>
        <v>2024年</v>
      </c>
      <c r="B323">
        <f>IF(VIPcric_1!B323="","",VIPcric_1!B323)</f>
        <v>3372232</v>
      </c>
      <c r="C323">
        <f>IF(VIPcric_1!C323="","",VIPcric_1!C323)</f>
        <v>39626</v>
      </c>
      <c r="D323">
        <f>IF(VIPcric_1!D323="","",VIPcric_1!D323)</f>
        <v>81.099999999999994</v>
      </c>
      <c r="E323" t="str">
        <f>IF(VIPcric_1!E323="","",VIPcric_1!E323)</f>
        <v/>
      </c>
      <c r="F323" t="str">
        <f>IF(VIPcric_1!F323="","",VIPcric_1!F323)</f>
        <v/>
      </c>
      <c r="G323" t="str">
        <f>IF(VIPcric_1!G323="","",VIPcric_1!G323)</f>
        <v/>
      </c>
      <c r="H323" t="str">
        <f>IF(VIPcric_1!H323="","",VIPcric_1!H323)</f>
        <v/>
      </c>
      <c r="I323" t="str">
        <f>IF(VIPcric_1!M323="","",VIPcric_1!M323)</f>
        <v>CRIC-儋州-市场监测.商品房市场.项目累计.库存.xlsx</v>
      </c>
    </row>
    <row r="324" spans="1:9">
      <c r="A324" t="str">
        <f>IF(VIPcric_1!A324="","",VIPcric_1!A324)</f>
        <v>2023年</v>
      </c>
      <c r="B324">
        <f>IF(VIPcric_1!B324="","",VIPcric_1!B324)</f>
        <v>3370207</v>
      </c>
      <c r="C324">
        <f>IF(VIPcric_1!C324="","",VIPcric_1!C324)</f>
        <v>39612</v>
      </c>
      <c r="D324">
        <f>IF(VIPcric_1!D324="","",VIPcric_1!D324)</f>
        <v>82.5</v>
      </c>
      <c r="E324" t="str">
        <f>IF(VIPcric_1!E324="","",VIPcric_1!E324)</f>
        <v/>
      </c>
      <c r="F324" t="str">
        <f>IF(VIPcric_1!F324="","",VIPcric_1!F324)</f>
        <v/>
      </c>
      <c r="G324" t="str">
        <f>IF(VIPcric_1!G324="","",VIPcric_1!G324)</f>
        <v/>
      </c>
      <c r="H324" t="str">
        <f>IF(VIPcric_1!H324="","",VIPcric_1!H324)</f>
        <v/>
      </c>
      <c r="I324" t="str">
        <f>IF(VIPcric_1!M324="","",VIPcric_1!M324)</f>
        <v>CRIC-儋州-市场监测.商品房市场.项目累计.库存.xlsx</v>
      </c>
    </row>
    <row r="325" spans="1:9">
      <c r="A325" t="str">
        <f>IF(VIPcric_1!A325="","",VIPcric_1!A325)</f>
        <v>2022年</v>
      </c>
      <c r="B325">
        <f>IF(VIPcric_1!B325="","",VIPcric_1!B325)</f>
        <v>3382565</v>
      </c>
      <c r="C325">
        <f>IF(VIPcric_1!C325="","",VIPcric_1!C325)</f>
        <v>40131</v>
      </c>
      <c r="D325">
        <f>IF(VIPcric_1!D325="","",VIPcric_1!D325)</f>
        <v>174.8</v>
      </c>
      <c r="E325" t="str">
        <f>IF(VIPcric_1!E325="","",VIPcric_1!E325)</f>
        <v/>
      </c>
      <c r="F325" t="str">
        <f>IF(VIPcric_1!F325="","",VIPcric_1!F325)</f>
        <v/>
      </c>
      <c r="G325" t="str">
        <f>IF(VIPcric_1!G325="","",VIPcric_1!G325)</f>
        <v/>
      </c>
      <c r="H325" t="str">
        <f>IF(VIPcric_1!H325="","",VIPcric_1!H325)</f>
        <v/>
      </c>
      <c r="I325" t="str">
        <f>IF(VIPcric_1!M325="","",VIPcric_1!M325)</f>
        <v>CRIC-儋州-市场监测.商品房市场.项目累计.库存.xlsx</v>
      </c>
    </row>
    <row r="326" spans="1:9">
      <c r="A326" t="str">
        <f>IF(VIPcric_1!A326="","",VIPcric_1!A326)</f>
        <v>2021年</v>
      </c>
      <c r="B326">
        <f>IF(VIPcric_1!B326="","",VIPcric_1!B326)</f>
        <v>4460302</v>
      </c>
      <c r="C326">
        <f>IF(VIPcric_1!C326="","",VIPcric_1!C326)</f>
        <v>52258</v>
      </c>
      <c r="D326">
        <f>IF(VIPcric_1!D326="","",VIPcric_1!D326)</f>
        <v>1051.9000000000001</v>
      </c>
      <c r="E326" t="str">
        <f>IF(VIPcric_1!E326="","",VIPcric_1!E326)</f>
        <v/>
      </c>
      <c r="F326" t="str">
        <f>IF(VIPcric_1!F326="","",VIPcric_1!F326)</f>
        <v/>
      </c>
      <c r="G326" t="str">
        <f>IF(VIPcric_1!G326="","",VIPcric_1!G326)</f>
        <v/>
      </c>
      <c r="H326" t="str">
        <f>IF(VIPcric_1!H326="","",VIPcric_1!H326)</f>
        <v/>
      </c>
      <c r="I326" t="str">
        <f>IF(VIPcric_1!M326="","",VIPcric_1!M326)</f>
        <v>CRIC-儋州-市场监测.商品房市场.项目累计.库存.xlsx</v>
      </c>
    </row>
    <row r="327" spans="1:9">
      <c r="A327" t="str">
        <f>IF(VIPcric_1!A327="","",VIPcric_1!A327)</f>
        <v/>
      </c>
      <c r="B327" t="str">
        <f>IF(VIPcric_1!B327="","",VIPcric_1!B327)</f>
        <v/>
      </c>
      <c r="C327" t="str">
        <f>IF(VIPcric_1!C327="","",VIPcric_1!C327)</f>
        <v/>
      </c>
      <c r="D327" t="str">
        <f>IF(VIPcric_1!D327="","",VIPcric_1!D327)</f>
        <v/>
      </c>
      <c r="E327" t="str">
        <f>IF(VIPcric_1!E327="","",VIPcric_1!E327)</f>
        <v/>
      </c>
      <c r="F327" t="str">
        <f>IF(VIPcric_1!F327="","",VIPcric_1!F327)</f>
        <v/>
      </c>
      <c r="G327" t="str">
        <f>IF(VIPcric_1!G327="","",VIPcric_1!G327)</f>
        <v/>
      </c>
      <c r="H327" t="str">
        <f>IF(VIPcric_1!H327="","",VIPcric_1!H327)</f>
        <v/>
      </c>
      <c r="I327" t="str">
        <f>IF(VIPcric_1!M327="","",VIPcric_1!M327)</f>
        <v/>
      </c>
    </row>
    <row r="328" spans="1:9">
      <c r="A328" t="str">
        <f>IF(VIPcric_1!A328="","",VIPcric_1!A328)</f>
        <v/>
      </c>
      <c r="B328" t="str">
        <f>IF(VIPcric_1!B328="","",VIPcric_1!B328)</f>
        <v/>
      </c>
      <c r="C328" t="str">
        <f>IF(VIPcric_1!C328="","",VIPcric_1!C328)</f>
        <v/>
      </c>
      <c r="D328" t="str">
        <f>IF(VIPcric_1!D328="","",VIPcric_1!D328)</f>
        <v/>
      </c>
      <c r="E328" t="str">
        <f>IF(VIPcric_1!E328="","",VIPcric_1!E328)</f>
        <v/>
      </c>
      <c r="F328" t="str">
        <f>IF(VIPcric_1!F328="","",VIPcric_1!F328)</f>
        <v/>
      </c>
      <c r="G328" t="str">
        <f>IF(VIPcric_1!G328="","",VIPcric_1!G328)</f>
        <v/>
      </c>
      <c r="H328" t="str">
        <f>IF(VIPcric_1!H328="","",VIPcric_1!H328)</f>
        <v/>
      </c>
      <c r="I328" t="str">
        <f>IF(VIPcric_1!M328="","",VIPcric_1!M328)</f>
        <v>CRIC-六安-市场监测.商品房市场.项目累计.供求.xlsx</v>
      </c>
    </row>
    <row r="329" spans="1:9">
      <c r="A329" t="str">
        <f>IF(VIPcric_1!A329="","",VIPcric_1!A329)</f>
        <v>时间(年)</v>
      </c>
      <c r="B329" t="str">
        <f>IF(VIPcric_1!B329="","",VIPcric_1!B329)</f>
        <v>供应面积(㎡)</v>
      </c>
      <c r="C329" t="str">
        <f>IF(VIPcric_1!C329="","",VIPcric_1!C329)</f>
        <v>供应套数(套)</v>
      </c>
      <c r="D329" t="str">
        <f>IF(VIPcric_1!D329="","",VIPcric_1!D329)</f>
        <v>成交面积(㎡)</v>
      </c>
      <c r="E329" t="str">
        <f>IF(VIPcric_1!E329="","",VIPcric_1!E329)</f>
        <v>成交套数(套)</v>
      </c>
      <c r="F329" t="str">
        <f>IF(VIPcric_1!F329="","",VIPcric_1!F329)</f>
        <v>成交均价(元/㎡)</v>
      </c>
      <c r="G329" t="str">
        <f>IF(VIPcric_1!G329="","",VIPcric_1!G329)</f>
        <v>成交金额(元)</v>
      </c>
      <c r="H329" t="str">
        <f>IF(VIPcric_1!H329="","",VIPcric_1!H329)</f>
        <v>供求比</v>
      </c>
      <c r="I329" t="str">
        <f>IF(VIPcric_1!M329="","",VIPcric_1!M329)</f>
        <v>CRIC-六安-市场监测.商品房市场.项目累计.供求.xlsx</v>
      </c>
    </row>
    <row r="330" spans="1:9">
      <c r="A330" t="str">
        <f>IF(VIPcric_1!A330="","",VIPcric_1!A330)</f>
        <v>2023年</v>
      </c>
      <c r="B330">
        <f>IF(VIPcric_1!B330="","",VIPcric_1!B330)</f>
        <v>510247</v>
      </c>
      <c r="C330">
        <f>IF(VIPcric_1!C330="","",VIPcric_1!C330)</f>
        <v>4037</v>
      </c>
      <c r="D330">
        <f>IF(VIPcric_1!D330="","",VIPcric_1!D330)</f>
        <v>632669</v>
      </c>
      <c r="E330">
        <f>IF(VIPcric_1!E330="","",VIPcric_1!E330)</f>
        <v>5209</v>
      </c>
      <c r="F330">
        <f>IF(VIPcric_1!F330="","",VIPcric_1!F330)</f>
        <v>8031</v>
      </c>
      <c r="G330">
        <f>IF(VIPcric_1!G330="","",VIPcric_1!G330)</f>
        <v>5081082740</v>
      </c>
      <c r="H330">
        <f>IF(VIPcric_1!H330="","",VIPcric_1!H330)</f>
        <v>0.81</v>
      </c>
      <c r="I330" t="str">
        <f>IF(VIPcric_1!M330="","",VIPcric_1!M330)</f>
        <v>CRIC-六安-市场监测.商品房市场.项目累计.供求.xlsx</v>
      </c>
    </row>
    <row r="331" spans="1:9">
      <c r="A331" t="str">
        <f>IF(VIPcric_1!A331="","",VIPcric_1!A331)</f>
        <v>2022年</v>
      </c>
      <c r="B331">
        <f>IF(VIPcric_1!B331="","",VIPcric_1!B331)</f>
        <v>668724</v>
      </c>
      <c r="C331">
        <f>IF(VIPcric_1!C331="","",VIPcric_1!C331)</f>
        <v>5409</v>
      </c>
      <c r="D331">
        <f>IF(VIPcric_1!D331="","",VIPcric_1!D331)</f>
        <v>1032521</v>
      </c>
      <c r="E331">
        <f>IF(VIPcric_1!E331="","",VIPcric_1!E331)</f>
        <v>8642</v>
      </c>
      <c r="F331">
        <f>IF(VIPcric_1!F331="","",VIPcric_1!F331)</f>
        <v>7654</v>
      </c>
      <c r="G331">
        <f>IF(VIPcric_1!G331="","",VIPcric_1!G331)</f>
        <v>7902411669</v>
      </c>
      <c r="H331">
        <f>IF(VIPcric_1!H331="","",VIPcric_1!H331)</f>
        <v>0.65</v>
      </c>
      <c r="I331" t="str">
        <f>IF(VIPcric_1!M331="","",VIPcric_1!M331)</f>
        <v>CRIC-六安-市场监测.商品房市场.项目累计.供求.xlsx</v>
      </c>
    </row>
    <row r="332" spans="1:9">
      <c r="A332" t="str">
        <f>IF(VIPcric_1!A332="","",VIPcric_1!A332)</f>
        <v>2021年</v>
      </c>
      <c r="B332">
        <f>IF(VIPcric_1!B332="","",VIPcric_1!B332)</f>
        <v>1759428</v>
      </c>
      <c r="C332">
        <f>IF(VIPcric_1!C332="","",VIPcric_1!C332)</f>
        <v>14582</v>
      </c>
      <c r="D332">
        <f>IF(VIPcric_1!D332="","",VIPcric_1!D332)</f>
        <v>2026605</v>
      </c>
      <c r="E332">
        <f>IF(VIPcric_1!E332="","",VIPcric_1!E332)</f>
        <v>17319</v>
      </c>
      <c r="F332">
        <f>IF(VIPcric_1!F332="","",VIPcric_1!F332)</f>
        <v>8010</v>
      </c>
      <c r="G332">
        <f>IF(VIPcric_1!G332="","",VIPcric_1!G332)</f>
        <v>16233830269</v>
      </c>
      <c r="H332">
        <f>IF(VIPcric_1!H332="","",VIPcric_1!H332)</f>
        <v>0.87</v>
      </c>
      <c r="I332" t="str">
        <f>IF(VIPcric_1!M332="","",VIPcric_1!M332)</f>
        <v>CRIC-六安-市场监测.商品房市场.项目累计.供求.xlsx</v>
      </c>
    </row>
    <row r="333" spans="1:9">
      <c r="A333" t="str">
        <f>IF(VIPcric_1!A333="","",VIPcric_1!A333)</f>
        <v>2020年</v>
      </c>
      <c r="B333">
        <f>IF(VIPcric_1!B333="","",VIPcric_1!B333)</f>
        <v>2975634</v>
      </c>
      <c r="C333">
        <f>IF(VIPcric_1!C333="","",VIPcric_1!C333)</f>
        <v>25817</v>
      </c>
      <c r="D333">
        <f>IF(VIPcric_1!D333="","",VIPcric_1!D333)</f>
        <v>2188637</v>
      </c>
      <c r="E333">
        <f>IF(VIPcric_1!E333="","",VIPcric_1!E333)</f>
        <v>18704</v>
      </c>
      <c r="F333">
        <f>IF(VIPcric_1!F333="","",VIPcric_1!F333)</f>
        <v>7698</v>
      </c>
      <c r="G333">
        <f>IF(VIPcric_1!G333="","",VIPcric_1!G333)</f>
        <v>16848917136</v>
      </c>
      <c r="H333">
        <f>IF(VIPcric_1!H333="","",VIPcric_1!H333)</f>
        <v>1.36</v>
      </c>
      <c r="I333" t="str">
        <f>IF(VIPcric_1!M333="","",VIPcric_1!M333)</f>
        <v>CRIC-六安-市场监测.商品房市场.项目累计.供求.xlsx</v>
      </c>
    </row>
    <row r="334" spans="1:9">
      <c r="A334" t="str">
        <f>IF(VIPcric_1!A334="","",VIPcric_1!A334)</f>
        <v>2019年</v>
      </c>
      <c r="B334">
        <f>IF(VIPcric_1!B334="","",VIPcric_1!B334)</f>
        <v>2999633</v>
      </c>
      <c r="C334">
        <f>IF(VIPcric_1!C334="","",VIPcric_1!C334)</f>
        <v>25761</v>
      </c>
      <c r="D334">
        <f>IF(VIPcric_1!D334="","",VIPcric_1!D334)</f>
        <v>1428427</v>
      </c>
      <c r="E334">
        <f>IF(VIPcric_1!E334="","",VIPcric_1!E334)</f>
        <v>12162</v>
      </c>
      <c r="F334">
        <f>IF(VIPcric_1!F334="","",VIPcric_1!F334)</f>
        <v>7588</v>
      </c>
      <c r="G334">
        <f>IF(VIPcric_1!G334="","",VIPcric_1!G334)</f>
        <v>10838471821</v>
      </c>
      <c r="H334">
        <f>IF(VIPcric_1!H334="","",VIPcric_1!H334)</f>
        <v>2.1</v>
      </c>
      <c r="I334" t="str">
        <f>IF(VIPcric_1!M334="","",VIPcric_1!M334)</f>
        <v>CRIC-六安-市场监测.商品房市场.项目累计.供求.xlsx</v>
      </c>
    </row>
    <row r="335" spans="1:9">
      <c r="A335" t="str">
        <f>IF(VIPcric_1!A335="","",VIPcric_1!A335)</f>
        <v>汇总</v>
      </c>
      <c r="B335">
        <f>IF(VIPcric_1!B335="","",VIPcric_1!B335)</f>
        <v>8913666</v>
      </c>
      <c r="C335">
        <f>IF(VIPcric_1!C335="","",VIPcric_1!C335)</f>
        <v>75606</v>
      </c>
      <c r="D335">
        <f>IF(VIPcric_1!D335="","",VIPcric_1!D335)</f>
        <v>7308860</v>
      </c>
      <c r="E335">
        <f>IF(VIPcric_1!E335="","",VIPcric_1!E335)</f>
        <v>62036</v>
      </c>
      <c r="F335">
        <f>IF(VIPcric_1!F335="","",VIPcric_1!F335)</f>
        <v>7786</v>
      </c>
      <c r="G335">
        <f>IF(VIPcric_1!G335="","",VIPcric_1!G335)</f>
        <v>56904713636</v>
      </c>
      <c r="H335">
        <f>IF(VIPcric_1!H335="","",VIPcric_1!H335)</f>
        <v>1.22</v>
      </c>
      <c r="I335" t="str">
        <f>IF(VIPcric_1!M335="","",VIPcric_1!M335)</f>
        <v>CRIC-六安-市场监测.商品房市场.项目累计.供求.xlsx</v>
      </c>
    </row>
    <row r="336" spans="1:9">
      <c r="A336" t="str">
        <f>IF(VIPcric_1!A336="","",VIPcric_1!A336)</f>
        <v/>
      </c>
      <c r="B336" t="str">
        <f>IF(VIPcric_1!B336="","",VIPcric_1!B336)</f>
        <v/>
      </c>
      <c r="C336" t="str">
        <f>IF(VIPcric_1!C336="","",VIPcric_1!C336)</f>
        <v/>
      </c>
      <c r="D336" t="str">
        <f>IF(VIPcric_1!D336="","",VIPcric_1!D336)</f>
        <v/>
      </c>
      <c r="E336" t="str">
        <f>IF(VIPcric_1!E336="","",VIPcric_1!E336)</f>
        <v/>
      </c>
      <c r="F336" t="str">
        <f>IF(VIPcric_1!F336="","",VIPcric_1!F336)</f>
        <v/>
      </c>
      <c r="G336" t="str">
        <f>IF(VIPcric_1!G336="","",VIPcric_1!G336)</f>
        <v/>
      </c>
      <c r="H336" t="str">
        <f>IF(VIPcric_1!H336="","",VIPcric_1!H336)</f>
        <v/>
      </c>
      <c r="I336" t="str">
        <f>IF(VIPcric_1!M336="","",VIPcric_1!M336)</f>
        <v/>
      </c>
    </row>
    <row r="337" spans="1:9">
      <c r="A337" t="str">
        <f>IF(VIPcric_1!A337="","",VIPcric_1!A337)</f>
        <v/>
      </c>
      <c r="B337" t="str">
        <f>IF(VIPcric_1!B337="","",VIPcric_1!B337)</f>
        <v/>
      </c>
      <c r="C337" t="str">
        <f>IF(VIPcric_1!C337="","",VIPcric_1!C337)</f>
        <v/>
      </c>
      <c r="D337" t="str">
        <f>IF(VIPcric_1!D337="","",VIPcric_1!D337)</f>
        <v/>
      </c>
      <c r="E337" t="str">
        <f>IF(VIPcric_1!E337="","",VIPcric_1!E337)</f>
        <v/>
      </c>
      <c r="F337" t="str">
        <f>IF(VIPcric_1!F337="","",VIPcric_1!F337)</f>
        <v/>
      </c>
      <c r="G337" t="str">
        <f>IF(VIPcric_1!G337="","",VIPcric_1!G337)</f>
        <v/>
      </c>
      <c r="H337" t="str">
        <f>IF(VIPcric_1!H337="","",VIPcric_1!H337)</f>
        <v/>
      </c>
      <c r="I337" t="str">
        <f>IF(VIPcric_1!M337="","",VIPcric_1!M337)</f>
        <v>CRIC-六安-市场监测.商品房市场.项目累计.库存.xlsx</v>
      </c>
    </row>
    <row r="338" spans="1:9">
      <c r="A338" t="str">
        <f>IF(VIPcric_1!A338="","",VIPcric_1!A338)</f>
        <v>时间(年)</v>
      </c>
      <c r="B338" t="str">
        <f>IF(VIPcric_1!B338="","",VIPcric_1!B338)</f>
        <v>库存面积(㎡)</v>
      </c>
      <c r="C338" t="str">
        <f>IF(VIPcric_1!C338="","",VIPcric_1!C338)</f>
        <v>库存套数(套)</v>
      </c>
      <c r="D338" t="str">
        <f>IF(VIPcric_1!D338="","",VIPcric_1!D338)</f>
        <v>去化周期12'(月)</v>
      </c>
      <c r="E338" t="str">
        <f>IF(VIPcric_1!E338="","",VIPcric_1!E338)</f>
        <v>去化周期24'(月)</v>
      </c>
      <c r="F338" t="str">
        <f>IF(VIPcric_1!F338="","",VIPcric_1!F338)</f>
        <v/>
      </c>
      <c r="G338" t="str">
        <f>IF(VIPcric_1!G338="","",VIPcric_1!G338)</f>
        <v/>
      </c>
      <c r="H338" t="str">
        <f>IF(VIPcric_1!H338="","",VIPcric_1!H338)</f>
        <v/>
      </c>
      <c r="I338" t="str">
        <f>IF(VIPcric_1!M338="","",VIPcric_1!M338)</f>
        <v>CRIC-六安-市场监测.商品房市场.项目累计.库存.xlsx</v>
      </c>
    </row>
    <row r="339" spans="1:9">
      <c r="A339" t="str">
        <f>IF(VIPcric_1!A339="","",VIPcric_1!A339)</f>
        <v>2024年</v>
      </c>
      <c r="B339">
        <f>IF(VIPcric_1!B339="","",VIPcric_1!B339)</f>
        <v>1415643</v>
      </c>
      <c r="C339">
        <f>IF(VIPcric_1!C339="","",VIPcric_1!C339)</f>
        <v>11841</v>
      </c>
      <c r="D339">
        <f>IF(VIPcric_1!D339="","",VIPcric_1!D339)</f>
        <v>29.2</v>
      </c>
      <c r="E339">
        <f>IF(VIPcric_1!E339="","",VIPcric_1!E339)</f>
        <v>21</v>
      </c>
      <c r="F339" t="str">
        <f>IF(VIPcric_1!F339="","",VIPcric_1!F339)</f>
        <v/>
      </c>
      <c r="G339" t="str">
        <f>IF(VIPcric_1!G339="","",VIPcric_1!G339)</f>
        <v/>
      </c>
      <c r="H339" t="str">
        <f>IF(VIPcric_1!H339="","",VIPcric_1!H339)</f>
        <v/>
      </c>
      <c r="I339" t="str">
        <f>IF(VIPcric_1!M339="","",VIPcric_1!M339)</f>
        <v>CRIC-六安-市场监测.商品房市场.项目累计.库存.xlsx</v>
      </c>
    </row>
    <row r="340" spans="1:9">
      <c r="A340" t="str">
        <f>IF(VIPcric_1!A340="","",VIPcric_1!A340)</f>
        <v>2023年</v>
      </c>
      <c r="B340">
        <f>IF(VIPcric_1!B340="","",VIPcric_1!B340)</f>
        <v>1436777</v>
      </c>
      <c r="C340">
        <f>IF(VIPcric_1!C340="","",VIPcric_1!C340)</f>
        <v>12014</v>
      </c>
      <c r="D340">
        <f>IF(VIPcric_1!D340="","",VIPcric_1!D340)</f>
        <v>27.3</v>
      </c>
      <c r="E340">
        <f>IF(VIPcric_1!E340="","",VIPcric_1!E340)</f>
        <v>20.7</v>
      </c>
      <c r="F340" t="str">
        <f>IF(VIPcric_1!F340="","",VIPcric_1!F340)</f>
        <v/>
      </c>
      <c r="G340" t="str">
        <f>IF(VIPcric_1!G340="","",VIPcric_1!G340)</f>
        <v/>
      </c>
      <c r="H340" t="str">
        <f>IF(VIPcric_1!H340="","",VIPcric_1!H340)</f>
        <v/>
      </c>
      <c r="I340" t="str">
        <f>IF(VIPcric_1!M340="","",VIPcric_1!M340)</f>
        <v>CRIC-六安-市场监测.商品房市场.项目累计.库存.xlsx</v>
      </c>
    </row>
    <row r="341" spans="1:9">
      <c r="A341" t="str">
        <f>IF(VIPcric_1!A341="","",VIPcric_1!A341)</f>
        <v>2022年</v>
      </c>
      <c r="B341">
        <f>IF(VIPcric_1!B341="","",VIPcric_1!B341)</f>
        <v>1898928</v>
      </c>
      <c r="C341">
        <f>IF(VIPcric_1!C341="","",VIPcric_1!C341)</f>
        <v>18503</v>
      </c>
      <c r="D341">
        <f>IF(VIPcric_1!D341="","",VIPcric_1!D341)</f>
        <v>22.1</v>
      </c>
      <c r="E341">
        <f>IF(VIPcric_1!E341="","",VIPcric_1!E341)</f>
        <v>14.9</v>
      </c>
      <c r="F341" t="str">
        <f>IF(VIPcric_1!F341="","",VIPcric_1!F341)</f>
        <v/>
      </c>
      <c r="G341" t="str">
        <f>IF(VIPcric_1!G341="","",VIPcric_1!G341)</f>
        <v/>
      </c>
      <c r="H341" t="str">
        <f>IF(VIPcric_1!H341="","",VIPcric_1!H341)</f>
        <v/>
      </c>
      <c r="I341" t="str">
        <f>IF(VIPcric_1!M341="","",VIPcric_1!M341)</f>
        <v>CRIC-六安-市场监测.商品房市场.项目累计.库存.xlsx</v>
      </c>
    </row>
    <row r="342" spans="1:9">
      <c r="A342" t="str">
        <f>IF(VIPcric_1!A342="","",VIPcric_1!A342)</f>
        <v>2021年</v>
      </c>
      <c r="B342">
        <f>IF(VIPcric_1!B342="","",VIPcric_1!B342)</f>
        <v>2212232</v>
      </c>
      <c r="C342">
        <f>IF(VIPcric_1!C342="","",VIPcric_1!C342)</f>
        <v>21566</v>
      </c>
      <c r="D342">
        <f>IF(VIPcric_1!D342="","",VIPcric_1!D342)</f>
        <v>13.1</v>
      </c>
      <c r="E342">
        <f>IF(VIPcric_1!E342="","",VIPcric_1!E342)</f>
        <v>12.6</v>
      </c>
      <c r="F342" t="str">
        <f>IF(VIPcric_1!F342="","",VIPcric_1!F342)</f>
        <v/>
      </c>
      <c r="G342" t="str">
        <f>IF(VIPcric_1!G342="","",VIPcric_1!G342)</f>
        <v/>
      </c>
      <c r="H342" t="str">
        <f>IF(VIPcric_1!H342="","",VIPcric_1!H342)</f>
        <v/>
      </c>
      <c r="I342" t="str">
        <f>IF(VIPcric_1!M342="","",VIPcric_1!M342)</f>
        <v>CRIC-六安-市场监测.商品房市场.项目累计.库存.xlsx</v>
      </c>
    </row>
    <row r="343" spans="1:9">
      <c r="A343" t="str">
        <f>IF(VIPcric_1!A343="","",VIPcric_1!A343)</f>
        <v>2020年</v>
      </c>
      <c r="B343">
        <f>IF(VIPcric_1!B343="","",VIPcric_1!B343)</f>
        <v>2503461</v>
      </c>
      <c r="C343">
        <f>IF(VIPcric_1!C343="","",VIPcric_1!C343)</f>
        <v>24611</v>
      </c>
      <c r="D343">
        <f>IF(VIPcric_1!D343="","",VIPcric_1!D343)</f>
        <v>13.7</v>
      </c>
      <c r="E343">
        <f>IF(VIPcric_1!E343="","",VIPcric_1!E343)</f>
        <v>16.600000000000001</v>
      </c>
      <c r="F343" t="str">
        <f>IF(VIPcric_1!F343="","",VIPcric_1!F343)</f>
        <v/>
      </c>
      <c r="G343" t="str">
        <f>IF(VIPcric_1!G343="","",VIPcric_1!G343)</f>
        <v/>
      </c>
      <c r="H343" t="str">
        <f>IF(VIPcric_1!H343="","",VIPcric_1!H343)</f>
        <v/>
      </c>
      <c r="I343" t="str">
        <f>IF(VIPcric_1!M343="","",VIPcric_1!M343)</f>
        <v>CRIC-六安-市场监测.商品房市场.项目累计.库存.xlsx</v>
      </c>
    </row>
    <row r="344" spans="1:9">
      <c r="A344" t="str">
        <f>IF(VIPcric_1!A344="","",VIPcric_1!A344)</f>
        <v>2019年</v>
      </c>
      <c r="B344">
        <f>IF(VIPcric_1!B344="","",VIPcric_1!B344)</f>
        <v>2730318</v>
      </c>
      <c r="C344">
        <f>IF(VIPcric_1!C344="","",VIPcric_1!C344)</f>
        <v>26238</v>
      </c>
      <c r="D344">
        <f>IF(VIPcric_1!D344="","",VIPcric_1!D344)</f>
        <v>22.9</v>
      </c>
      <c r="E344">
        <f>IF(VIPcric_1!E344="","",VIPcric_1!E344)</f>
        <v>18.100000000000001</v>
      </c>
      <c r="F344" t="str">
        <f>IF(VIPcric_1!F344="","",VIPcric_1!F344)</f>
        <v/>
      </c>
      <c r="G344" t="str">
        <f>IF(VIPcric_1!G344="","",VIPcric_1!G344)</f>
        <v/>
      </c>
      <c r="H344" t="str">
        <f>IF(VIPcric_1!H344="","",VIPcric_1!H344)</f>
        <v/>
      </c>
      <c r="I344" t="str">
        <f>IF(VIPcric_1!M344="","",VIPcric_1!M344)</f>
        <v>CRIC-六安-市场监测.商品房市场.项目累计.库存.xlsx</v>
      </c>
    </row>
    <row r="345" spans="1:9">
      <c r="A345" t="str">
        <f>IF(VIPcric_1!A345="","",VIPcric_1!A345)</f>
        <v/>
      </c>
      <c r="B345" t="str">
        <f>IF(VIPcric_1!B345="","",VIPcric_1!B345)</f>
        <v/>
      </c>
      <c r="C345" t="str">
        <f>IF(VIPcric_1!C345="","",VIPcric_1!C345)</f>
        <v/>
      </c>
      <c r="D345" t="str">
        <f>IF(VIPcric_1!D345="","",VIPcric_1!D345)</f>
        <v/>
      </c>
      <c r="E345" t="str">
        <f>IF(VIPcric_1!E345="","",VIPcric_1!E345)</f>
        <v/>
      </c>
      <c r="F345" t="str">
        <f>IF(VIPcric_1!F345="","",VIPcric_1!F345)</f>
        <v/>
      </c>
      <c r="G345" t="str">
        <f>IF(VIPcric_1!G345="","",VIPcric_1!G345)</f>
        <v/>
      </c>
      <c r="H345" t="str">
        <f>IF(VIPcric_1!H345="","",VIPcric_1!H345)</f>
        <v/>
      </c>
      <c r="I345" t="str">
        <f>IF(VIPcric_1!M345="","",VIPcric_1!M345)</f>
        <v/>
      </c>
    </row>
    <row r="346" spans="1:9">
      <c r="A346" t="str">
        <f>IF(VIPcric_1!A346="","",VIPcric_1!A346)</f>
        <v/>
      </c>
      <c r="B346" t="str">
        <f>IF(VIPcric_1!B346="","",VIPcric_1!B346)</f>
        <v/>
      </c>
      <c r="C346" t="str">
        <f>IF(VIPcric_1!C346="","",VIPcric_1!C346)</f>
        <v/>
      </c>
      <c r="D346" t="str">
        <f>IF(VIPcric_1!D346="","",VIPcric_1!D346)</f>
        <v/>
      </c>
      <c r="E346" t="str">
        <f>IF(VIPcric_1!E346="","",VIPcric_1!E346)</f>
        <v/>
      </c>
      <c r="F346" t="str">
        <f>IF(VIPcric_1!F346="","",VIPcric_1!F346)</f>
        <v/>
      </c>
      <c r="G346" t="str">
        <f>IF(VIPcric_1!G346="","",VIPcric_1!G346)</f>
        <v/>
      </c>
      <c r="H346" t="str">
        <f>IF(VIPcric_1!H346="","",VIPcric_1!H346)</f>
        <v/>
      </c>
      <c r="I346" t="str">
        <f>IF(VIPcric_1!M346="","",VIPcric_1!M346)</f>
        <v>CRIC-兰州-市场监测.商品房市场.项目累计.供求.xlsx</v>
      </c>
    </row>
    <row r="347" spans="1:9">
      <c r="A347" t="str">
        <f>IF(VIPcric_1!A347="","",VIPcric_1!A347)</f>
        <v>时间(年)</v>
      </c>
      <c r="B347" t="str">
        <f>IF(VIPcric_1!B347="","",VIPcric_1!B347)</f>
        <v>供应面积(㎡)</v>
      </c>
      <c r="C347" t="str">
        <f>IF(VIPcric_1!C347="","",VIPcric_1!C347)</f>
        <v>供应套数(套)</v>
      </c>
      <c r="D347" t="str">
        <f>IF(VIPcric_1!D347="","",VIPcric_1!D347)</f>
        <v>成交面积(㎡)</v>
      </c>
      <c r="E347" t="str">
        <f>IF(VIPcric_1!E347="","",VIPcric_1!E347)</f>
        <v>成交套数(套)</v>
      </c>
      <c r="F347" t="str">
        <f>IF(VIPcric_1!F347="","",VIPcric_1!F347)</f>
        <v>成交均价(元/㎡)</v>
      </c>
      <c r="G347" t="str">
        <f>IF(VIPcric_1!G347="","",VIPcric_1!G347)</f>
        <v>成交金额(元)</v>
      </c>
      <c r="H347" t="str">
        <f>IF(VIPcric_1!H347="","",VIPcric_1!H347)</f>
        <v>供求比</v>
      </c>
      <c r="I347" t="str">
        <f>IF(VIPcric_1!M347="","",VIPcric_1!M347)</f>
        <v>CRIC-兰州-市场监测.商品房市场.项目累计.供求.xlsx</v>
      </c>
    </row>
    <row r="348" spans="1:9">
      <c r="A348" t="str">
        <f>IF(VIPcric_1!A348="","",VIPcric_1!A348)</f>
        <v>2023年</v>
      </c>
      <c r="B348">
        <f>IF(VIPcric_1!B348="","",VIPcric_1!B348)</f>
        <v>1662229</v>
      </c>
      <c r="C348">
        <f>IF(VIPcric_1!C348="","",VIPcric_1!C348)</f>
        <v>14207</v>
      </c>
      <c r="D348">
        <f>IF(VIPcric_1!D348="","",VIPcric_1!D348)</f>
        <v>3287034</v>
      </c>
      <c r="E348">
        <f>IF(VIPcric_1!E348="","",VIPcric_1!E348)</f>
        <v>28159</v>
      </c>
      <c r="F348">
        <f>IF(VIPcric_1!F348="","",VIPcric_1!F348)</f>
        <v>10711</v>
      </c>
      <c r="G348">
        <f>IF(VIPcric_1!G348="","",VIPcric_1!G348)</f>
        <v>35205902027</v>
      </c>
      <c r="H348">
        <f>IF(VIPcric_1!H348="","",VIPcric_1!H348)</f>
        <v>0.51</v>
      </c>
      <c r="I348" t="str">
        <f>IF(VIPcric_1!M348="","",VIPcric_1!M348)</f>
        <v>CRIC-兰州-市场监测.商品房市场.项目累计.供求.xlsx</v>
      </c>
    </row>
    <row r="349" spans="1:9">
      <c r="A349" t="str">
        <f>IF(VIPcric_1!A349="","",VIPcric_1!A349)</f>
        <v>2022年</v>
      </c>
      <c r="B349">
        <f>IF(VIPcric_1!B349="","",VIPcric_1!B349)</f>
        <v>1849725</v>
      </c>
      <c r="C349">
        <f>IF(VIPcric_1!C349="","",VIPcric_1!C349)</f>
        <v>15960</v>
      </c>
      <c r="D349">
        <f>IF(VIPcric_1!D349="","",VIPcric_1!D349)</f>
        <v>2617873</v>
      </c>
      <c r="E349">
        <f>IF(VIPcric_1!E349="","",VIPcric_1!E349)</f>
        <v>22501</v>
      </c>
      <c r="F349">
        <f>IF(VIPcric_1!F349="","",VIPcric_1!F349)</f>
        <v>10558</v>
      </c>
      <c r="G349">
        <f>IF(VIPcric_1!G349="","",VIPcric_1!G349)</f>
        <v>27639985829</v>
      </c>
      <c r="H349">
        <f>IF(VIPcric_1!H349="","",VIPcric_1!H349)</f>
        <v>0.71</v>
      </c>
      <c r="I349" t="str">
        <f>IF(VIPcric_1!M349="","",VIPcric_1!M349)</f>
        <v>CRIC-兰州-市场监测.商品房市场.项目累计.供求.xlsx</v>
      </c>
    </row>
    <row r="350" spans="1:9">
      <c r="A350" t="str">
        <f>IF(VIPcric_1!A350="","",VIPcric_1!A350)</f>
        <v>2021年</v>
      </c>
      <c r="B350">
        <f>IF(VIPcric_1!B350="","",VIPcric_1!B350)</f>
        <v>8150660</v>
      </c>
      <c r="C350">
        <f>IF(VIPcric_1!C350="","",VIPcric_1!C350)</f>
        <v>73180</v>
      </c>
      <c r="D350">
        <f>IF(VIPcric_1!D350="","",VIPcric_1!D350)</f>
        <v>7958910</v>
      </c>
      <c r="E350">
        <f>IF(VIPcric_1!E350="","",VIPcric_1!E350)</f>
        <v>71603</v>
      </c>
      <c r="F350">
        <f>IF(VIPcric_1!F350="","",VIPcric_1!F350)</f>
        <v>9033</v>
      </c>
      <c r="G350">
        <f>IF(VIPcric_1!G350="","",VIPcric_1!G350)</f>
        <v>71895520922</v>
      </c>
      <c r="H350">
        <f>IF(VIPcric_1!H350="","",VIPcric_1!H350)</f>
        <v>1.02</v>
      </c>
      <c r="I350" t="str">
        <f>IF(VIPcric_1!M350="","",VIPcric_1!M350)</f>
        <v>CRIC-兰州-市场监测.商品房市场.项目累计.供求.xlsx</v>
      </c>
    </row>
    <row r="351" spans="1:9">
      <c r="A351" t="str">
        <f>IF(VIPcric_1!A351="","",VIPcric_1!A351)</f>
        <v>2020年</v>
      </c>
      <c r="B351">
        <f>IF(VIPcric_1!B351="","",VIPcric_1!B351)</f>
        <v>10714960</v>
      </c>
      <c r="C351">
        <f>IF(VIPcric_1!C351="","",VIPcric_1!C351)</f>
        <v>93923</v>
      </c>
      <c r="D351">
        <f>IF(VIPcric_1!D351="","",VIPcric_1!D351)</f>
        <v>8183082</v>
      </c>
      <c r="E351">
        <f>IF(VIPcric_1!E351="","",VIPcric_1!E351)</f>
        <v>72018</v>
      </c>
      <c r="F351">
        <f>IF(VIPcric_1!F351="","",VIPcric_1!F351)</f>
        <v>8657</v>
      </c>
      <c r="G351">
        <f>IF(VIPcric_1!G351="","",VIPcric_1!G351)</f>
        <v>70837603058</v>
      </c>
      <c r="H351">
        <f>IF(VIPcric_1!H351="","",VIPcric_1!H351)</f>
        <v>1.31</v>
      </c>
      <c r="I351" t="str">
        <f>IF(VIPcric_1!M351="","",VIPcric_1!M351)</f>
        <v>CRIC-兰州-市场监测.商品房市场.项目累计.供求.xlsx</v>
      </c>
    </row>
    <row r="352" spans="1:9">
      <c r="A352" t="str">
        <f>IF(VIPcric_1!A352="","",VIPcric_1!A352)</f>
        <v>2019年</v>
      </c>
      <c r="B352">
        <f>IF(VIPcric_1!B352="","",VIPcric_1!B352)</f>
        <v>8788126</v>
      </c>
      <c r="C352">
        <f>IF(VIPcric_1!C352="","",VIPcric_1!C352)</f>
        <v>77027</v>
      </c>
      <c r="D352">
        <f>IF(VIPcric_1!D352="","",VIPcric_1!D352)</f>
        <v>7170816</v>
      </c>
      <c r="E352">
        <f>IF(VIPcric_1!E352="","",VIPcric_1!E352)</f>
        <v>64918</v>
      </c>
      <c r="F352">
        <f>IF(VIPcric_1!F352="","",VIPcric_1!F352)</f>
        <v>7638</v>
      </c>
      <c r="G352">
        <f>IF(VIPcric_1!G352="","",VIPcric_1!G352)</f>
        <v>54770997932</v>
      </c>
      <c r="H352">
        <f>IF(VIPcric_1!H352="","",VIPcric_1!H352)</f>
        <v>1.23</v>
      </c>
      <c r="I352" t="str">
        <f>IF(VIPcric_1!M352="","",VIPcric_1!M352)</f>
        <v>CRIC-兰州-市场监测.商品房市场.项目累计.供求.xlsx</v>
      </c>
    </row>
    <row r="353" spans="1:9">
      <c r="A353" t="str">
        <f>IF(VIPcric_1!A353="","",VIPcric_1!A353)</f>
        <v>汇总</v>
      </c>
      <c r="B353">
        <f>IF(VIPcric_1!B353="","",VIPcric_1!B353)</f>
        <v>31165700</v>
      </c>
      <c r="C353">
        <f>IF(VIPcric_1!C353="","",VIPcric_1!C353)</f>
        <v>274297</v>
      </c>
      <c r="D353">
        <f>IF(VIPcric_1!D353="","",VIPcric_1!D353)</f>
        <v>29217715</v>
      </c>
      <c r="E353">
        <f>IF(VIPcric_1!E353="","",VIPcric_1!E353)</f>
        <v>259199</v>
      </c>
      <c r="F353">
        <f>IF(VIPcric_1!F353="","",VIPcric_1!F353)</f>
        <v>8911</v>
      </c>
      <c r="G353">
        <f>IF(VIPcric_1!G353="","",VIPcric_1!G353)</f>
        <v>260350009768</v>
      </c>
      <c r="H353">
        <f>IF(VIPcric_1!H353="","",VIPcric_1!H353)</f>
        <v>1.07</v>
      </c>
      <c r="I353" t="str">
        <f>IF(VIPcric_1!M353="","",VIPcric_1!M353)</f>
        <v>CRIC-兰州-市场监测.商品房市场.项目累计.供求.xlsx</v>
      </c>
    </row>
    <row r="354" spans="1:9">
      <c r="A354" t="str">
        <f>IF(VIPcric_1!A354="","",VIPcric_1!A354)</f>
        <v/>
      </c>
      <c r="B354" t="str">
        <f>IF(VIPcric_1!B354="","",VIPcric_1!B354)</f>
        <v/>
      </c>
      <c r="C354" t="str">
        <f>IF(VIPcric_1!C354="","",VIPcric_1!C354)</f>
        <v/>
      </c>
      <c r="D354" t="str">
        <f>IF(VIPcric_1!D354="","",VIPcric_1!D354)</f>
        <v/>
      </c>
      <c r="E354" t="str">
        <f>IF(VIPcric_1!E354="","",VIPcric_1!E354)</f>
        <v/>
      </c>
      <c r="F354" t="str">
        <f>IF(VIPcric_1!F354="","",VIPcric_1!F354)</f>
        <v/>
      </c>
      <c r="G354" t="str">
        <f>IF(VIPcric_1!G354="","",VIPcric_1!G354)</f>
        <v/>
      </c>
      <c r="H354" t="str">
        <f>IF(VIPcric_1!H354="","",VIPcric_1!H354)</f>
        <v/>
      </c>
      <c r="I354" t="str">
        <f>IF(VIPcric_1!M354="","",VIPcric_1!M354)</f>
        <v/>
      </c>
    </row>
    <row r="355" spans="1:9">
      <c r="A355" t="str">
        <f>IF(VIPcric_1!A355="","",VIPcric_1!A355)</f>
        <v/>
      </c>
      <c r="B355" t="str">
        <f>IF(VIPcric_1!B355="","",VIPcric_1!B355)</f>
        <v/>
      </c>
      <c r="C355" t="str">
        <f>IF(VIPcric_1!C355="","",VIPcric_1!C355)</f>
        <v/>
      </c>
      <c r="D355" t="str">
        <f>IF(VIPcric_1!D355="","",VIPcric_1!D355)</f>
        <v/>
      </c>
      <c r="E355" t="str">
        <f>IF(VIPcric_1!E355="","",VIPcric_1!E355)</f>
        <v/>
      </c>
      <c r="F355" t="str">
        <f>IF(VIPcric_1!F355="","",VIPcric_1!F355)</f>
        <v/>
      </c>
      <c r="G355" t="str">
        <f>IF(VIPcric_1!G355="","",VIPcric_1!G355)</f>
        <v/>
      </c>
      <c r="H355" t="str">
        <f>IF(VIPcric_1!H355="","",VIPcric_1!H355)</f>
        <v/>
      </c>
      <c r="I355" t="str">
        <f>IF(VIPcric_1!M355="","",VIPcric_1!M355)</f>
        <v>CRIC-兰州-市场监测.商品房市场.项目累计.库存.xlsx</v>
      </c>
    </row>
    <row r="356" spans="1:9">
      <c r="A356" t="str">
        <f>IF(VIPcric_1!A356="","",VIPcric_1!A356)</f>
        <v>时间(年)</v>
      </c>
      <c r="B356" t="str">
        <f>IF(VIPcric_1!B356="","",VIPcric_1!B356)</f>
        <v>库存面积(㎡)</v>
      </c>
      <c r="C356" t="str">
        <f>IF(VIPcric_1!C356="","",VIPcric_1!C356)</f>
        <v>库存套数(套)</v>
      </c>
      <c r="D356" t="str">
        <f>IF(VIPcric_1!D356="","",VIPcric_1!D356)</f>
        <v>去化周期12'(月)</v>
      </c>
      <c r="E356" t="str">
        <f>IF(VIPcric_1!E356="","",VIPcric_1!E356)</f>
        <v/>
      </c>
      <c r="F356" t="str">
        <f>IF(VIPcric_1!F356="","",VIPcric_1!F356)</f>
        <v/>
      </c>
      <c r="G356" t="str">
        <f>IF(VIPcric_1!G356="","",VIPcric_1!G356)</f>
        <v/>
      </c>
      <c r="H356" t="str">
        <f>IF(VIPcric_1!H356="","",VIPcric_1!H356)</f>
        <v/>
      </c>
      <c r="I356" t="str">
        <f>IF(VIPcric_1!M356="","",VIPcric_1!M356)</f>
        <v>CRIC-兰州-市场监测.商品房市场.项目累计.库存.xlsx</v>
      </c>
    </row>
    <row r="357" spans="1:9">
      <c r="A357" t="str">
        <f>IF(VIPcric_1!A357="","",VIPcric_1!A357)</f>
        <v>2023年</v>
      </c>
      <c r="B357">
        <f>IF(VIPcric_1!B357="","",VIPcric_1!B357)</f>
        <v>14268764</v>
      </c>
      <c r="C357">
        <f>IF(VIPcric_1!C357="","",VIPcric_1!C357)</f>
        <v>128333</v>
      </c>
      <c r="D357">
        <f>IF(VIPcric_1!D357="","",VIPcric_1!D357)</f>
        <v>52.1</v>
      </c>
      <c r="E357" t="str">
        <f>IF(VIPcric_1!E357="","",VIPcric_1!E357)</f>
        <v/>
      </c>
      <c r="F357" t="str">
        <f>IF(VIPcric_1!F357="","",VIPcric_1!F357)</f>
        <v/>
      </c>
      <c r="G357" t="str">
        <f>IF(VIPcric_1!G357="","",VIPcric_1!G357)</f>
        <v/>
      </c>
      <c r="H357" t="str">
        <f>IF(VIPcric_1!H357="","",VIPcric_1!H357)</f>
        <v/>
      </c>
      <c r="I357" t="str">
        <f>IF(VIPcric_1!M357="","",VIPcric_1!M357)</f>
        <v>CRIC-兰州-市场监测.商品房市场.项目累计.库存.xlsx</v>
      </c>
    </row>
    <row r="358" spans="1:9">
      <c r="A358" t="str">
        <f>IF(VIPcric_1!A358="","",VIPcric_1!A358)</f>
        <v>2022年</v>
      </c>
      <c r="B358">
        <f>IF(VIPcric_1!B358="","",VIPcric_1!B358)</f>
        <v>9344414</v>
      </c>
      <c r="C358">
        <f>IF(VIPcric_1!C358="","",VIPcric_1!C358)</f>
        <v>84796</v>
      </c>
      <c r="D358">
        <f>IF(VIPcric_1!D358="","",VIPcric_1!D358)</f>
        <v>42.8</v>
      </c>
      <c r="E358" t="str">
        <f>IF(VIPcric_1!E358="","",VIPcric_1!E358)</f>
        <v/>
      </c>
      <c r="F358" t="str">
        <f>IF(VIPcric_1!F358="","",VIPcric_1!F358)</f>
        <v/>
      </c>
      <c r="G358" t="str">
        <f>IF(VIPcric_1!G358="","",VIPcric_1!G358)</f>
        <v/>
      </c>
      <c r="H358" t="str">
        <f>IF(VIPcric_1!H358="","",VIPcric_1!H358)</f>
        <v/>
      </c>
      <c r="I358" t="str">
        <f>IF(VIPcric_1!M358="","",VIPcric_1!M358)</f>
        <v>CRIC-兰州-市场监测.商品房市场.项目累计.库存.xlsx</v>
      </c>
    </row>
    <row r="359" spans="1:9">
      <c r="A359" t="str">
        <f>IF(VIPcric_1!A359="","",VIPcric_1!A359)</f>
        <v>2021年</v>
      </c>
      <c r="B359">
        <f>IF(VIPcric_1!B359="","",VIPcric_1!B359)</f>
        <v>12693231</v>
      </c>
      <c r="C359">
        <f>IF(VIPcric_1!C359="","",VIPcric_1!C359)</f>
        <v>113853</v>
      </c>
      <c r="D359">
        <f>IF(VIPcric_1!D359="","",VIPcric_1!D359)</f>
        <v>19.100000000000001</v>
      </c>
      <c r="E359" t="str">
        <f>IF(VIPcric_1!E359="","",VIPcric_1!E359)</f>
        <v/>
      </c>
      <c r="F359" t="str">
        <f>IF(VIPcric_1!F359="","",VIPcric_1!F359)</f>
        <v/>
      </c>
      <c r="G359" t="str">
        <f>IF(VIPcric_1!G359="","",VIPcric_1!G359)</f>
        <v/>
      </c>
      <c r="H359" t="str">
        <f>IF(VIPcric_1!H359="","",VIPcric_1!H359)</f>
        <v/>
      </c>
      <c r="I359" t="str">
        <f>IF(VIPcric_1!M359="","",VIPcric_1!M359)</f>
        <v>CRIC-兰州-市场监测.商品房市场.项目累计.库存.xlsx</v>
      </c>
    </row>
    <row r="360" spans="1:9">
      <c r="A360" t="str">
        <f>IF(VIPcric_1!A360="","",VIPcric_1!A360)</f>
        <v>2020年</v>
      </c>
      <c r="B360">
        <f>IF(VIPcric_1!B360="","",VIPcric_1!B360)</f>
        <v>11691195</v>
      </c>
      <c r="C360">
        <f>IF(VIPcric_1!C360="","",VIPcric_1!C360)</f>
        <v>104713</v>
      </c>
      <c r="D360">
        <f>IF(VIPcric_1!D360="","",VIPcric_1!D360)</f>
        <v>17.100000000000001</v>
      </c>
      <c r="E360" t="str">
        <f>IF(VIPcric_1!E360="","",VIPcric_1!E360)</f>
        <v/>
      </c>
      <c r="F360" t="str">
        <f>IF(VIPcric_1!F360="","",VIPcric_1!F360)</f>
        <v/>
      </c>
      <c r="G360" t="str">
        <f>IF(VIPcric_1!G360="","",VIPcric_1!G360)</f>
        <v/>
      </c>
      <c r="H360" t="str">
        <f>IF(VIPcric_1!H360="","",VIPcric_1!H360)</f>
        <v/>
      </c>
      <c r="I360" t="str">
        <f>IF(VIPcric_1!M360="","",VIPcric_1!M360)</f>
        <v>CRIC-兰州-市场监测.商品房市场.项目累计.库存.xlsx</v>
      </c>
    </row>
    <row r="361" spans="1:9">
      <c r="A361" t="str">
        <f>IF(VIPcric_1!A361="","",VIPcric_1!A361)</f>
        <v>2019年</v>
      </c>
      <c r="B361">
        <f>IF(VIPcric_1!B361="","",VIPcric_1!B361)</f>
        <v>8088742</v>
      </c>
      <c r="C361">
        <f>IF(VIPcric_1!C361="","",VIPcric_1!C361)</f>
        <v>72845</v>
      </c>
      <c r="D361">
        <f>IF(VIPcric_1!D361="","",VIPcric_1!D361)</f>
        <v>13.5</v>
      </c>
      <c r="E361" t="str">
        <f>IF(VIPcric_1!E361="","",VIPcric_1!E361)</f>
        <v/>
      </c>
      <c r="F361" t="str">
        <f>IF(VIPcric_1!F361="","",VIPcric_1!F361)</f>
        <v/>
      </c>
      <c r="G361" t="str">
        <f>IF(VIPcric_1!G361="","",VIPcric_1!G361)</f>
        <v/>
      </c>
      <c r="H361" t="str">
        <f>IF(VIPcric_1!H361="","",VIPcric_1!H361)</f>
        <v/>
      </c>
      <c r="I361" t="str">
        <f>IF(VIPcric_1!M361="","",VIPcric_1!M361)</f>
        <v>CRIC-兰州-市场监测.商品房市场.项目累计.库存.xlsx</v>
      </c>
    </row>
    <row r="362" spans="1:9">
      <c r="A362" t="str">
        <f>IF(VIPcric_1!A362="","",VIPcric_1!A362)</f>
        <v>2018年</v>
      </c>
      <c r="B362">
        <f>IF(VIPcric_1!B362="","",VIPcric_1!B362)</f>
        <v>5370527</v>
      </c>
      <c r="C362">
        <f>IF(VIPcric_1!C362="","",VIPcric_1!C362)</f>
        <v>49653</v>
      </c>
      <c r="D362">
        <f>IF(VIPcric_1!D362="","",VIPcric_1!D362)</f>
        <v>12.2</v>
      </c>
      <c r="E362" t="str">
        <f>IF(VIPcric_1!E362="","",VIPcric_1!E362)</f>
        <v/>
      </c>
      <c r="F362" t="str">
        <f>IF(VIPcric_1!F362="","",VIPcric_1!F362)</f>
        <v/>
      </c>
      <c r="G362" t="str">
        <f>IF(VIPcric_1!G362="","",VIPcric_1!G362)</f>
        <v/>
      </c>
      <c r="H362" t="str">
        <f>IF(VIPcric_1!H362="","",VIPcric_1!H362)</f>
        <v/>
      </c>
      <c r="I362" t="str">
        <f>IF(VIPcric_1!M362="","",VIPcric_1!M362)</f>
        <v>CRIC-兰州-市场监测.商品房市场.项目累计.库存.xlsx</v>
      </c>
    </row>
    <row r="363" spans="1:9">
      <c r="A363" t="str">
        <f>IF(VIPcric_1!A363="","",VIPcric_1!A363)</f>
        <v/>
      </c>
      <c r="B363" t="str">
        <f>IF(VIPcric_1!B363="","",VIPcric_1!B363)</f>
        <v/>
      </c>
      <c r="C363" t="str">
        <f>IF(VIPcric_1!C363="","",VIPcric_1!C363)</f>
        <v/>
      </c>
      <c r="D363" t="str">
        <f>IF(VIPcric_1!D363="","",VIPcric_1!D363)</f>
        <v/>
      </c>
      <c r="E363" t="str">
        <f>IF(VIPcric_1!E363="","",VIPcric_1!E363)</f>
        <v/>
      </c>
      <c r="F363" t="str">
        <f>IF(VIPcric_1!F363="","",VIPcric_1!F363)</f>
        <v/>
      </c>
      <c r="G363" t="str">
        <f>IF(VIPcric_1!G363="","",VIPcric_1!G363)</f>
        <v/>
      </c>
      <c r="H363" t="str">
        <f>IF(VIPcric_1!H363="","",VIPcric_1!H363)</f>
        <v/>
      </c>
      <c r="I363" t="str">
        <f>IF(VIPcric_1!M363="","",VIPcric_1!M363)</f>
        <v/>
      </c>
    </row>
    <row r="364" spans="1:9">
      <c r="A364" t="str">
        <f>IF(VIPcric_1!A364="","",VIPcric_1!A364)</f>
        <v/>
      </c>
      <c r="B364" t="str">
        <f>IF(VIPcric_1!B364="","",VIPcric_1!B364)</f>
        <v/>
      </c>
      <c r="C364" t="str">
        <f>IF(VIPcric_1!C364="","",VIPcric_1!C364)</f>
        <v/>
      </c>
      <c r="D364" t="str">
        <f>IF(VIPcric_1!D364="","",VIPcric_1!D364)</f>
        <v/>
      </c>
      <c r="E364" t="str">
        <f>IF(VIPcric_1!E364="","",VIPcric_1!E364)</f>
        <v/>
      </c>
      <c r="F364" t="str">
        <f>IF(VIPcric_1!F364="","",VIPcric_1!F364)</f>
        <v/>
      </c>
      <c r="G364" t="str">
        <f>IF(VIPcric_1!G364="","",VIPcric_1!G364)</f>
        <v/>
      </c>
      <c r="H364" t="str">
        <f>IF(VIPcric_1!H364="","",VIPcric_1!H364)</f>
        <v/>
      </c>
      <c r="I364" t="str">
        <f>IF(VIPcric_1!M364="","",VIPcric_1!M364)</f>
        <v>CRIC-北京-市场监测.商品房市场.项目累计.供求.xlsx</v>
      </c>
    </row>
    <row r="365" spans="1:9">
      <c r="A365" t="str">
        <f>IF(VIPcric_1!A365="","",VIPcric_1!A365)</f>
        <v>时间(年)</v>
      </c>
      <c r="B365" t="str">
        <f>IF(VIPcric_1!B365="","",VIPcric_1!B365)</f>
        <v>供应面积(㎡)</v>
      </c>
      <c r="C365" t="str">
        <f>IF(VIPcric_1!C365="","",VIPcric_1!C365)</f>
        <v>供应套数(套)</v>
      </c>
      <c r="D365" t="str">
        <f>IF(VIPcric_1!D365="","",VIPcric_1!D365)</f>
        <v>成交面积(㎡)</v>
      </c>
      <c r="E365" t="str">
        <f>IF(VIPcric_1!E365="","",VIPcric_1!E365)</f>
        <v>成交套数(套)</v>
      </c>
      <c r="F365" t="str">
        <f>IF(VIPcric_1!F365="","",VIPcric_1!F365)</f>
        <v>成交均价(元/㎡)</v>
      </c>
      <c r="G365" t="str">
        <f>IF(VIPcric_1!G365="","",VIPcric_1!G365)</f>
        <v>成交金额(元)</v>
      </c>
      <c r="H365" t="str">
        <f>IF(VIPcric_1!H365="","",VIPcric_1!H365)</f>
        <v>供求比</v>
      </c>
      <c r="I365" t="str">
        <f>IF(VIPcric_1!M365="","",VIPcric_1!M365)</f>
        <v>CRIC-北京-市场监测.商品房市场.项目累计.供求.xlsx</v>
      </c>
    </row>
    <row r="366" spans="1:9">
      <c r="A366" t="str">
        <f>IF(VIPcric_1!A366="","",VIPcric_1!A366)</f>
        <v>2023年</v>
      </c>
      <c r="B366">
        <f>IF(VIPcric_1!B366="","",VIPcric_1!B366)</f>
        <v>7490894</v>
      </c>
      <c r="C366">
        <f>IF(VIPcric_1!C366="","",VIPcric_1!C366)</f>
        <v>101617</v>
      </c>
      <c r="D366">
        <f>IF(VIPcric_1!D366="","",VIPcric_1!D366)</f>
        <v>11136268</v>
      </c>
      <c r="E366">
        <f>IF(VIPcric_1!E366="","",VIPcric_1!E366)</f>
        <v>132507</v>
      </c>
      <c r="F366">
        <f>IF(VIPcric_1!F366="","",VIPcric_1!F366)</f>
        <v>40094</v>
      </c>
      <c r="G366">
        <f>IF(VIPcric_1!G366="","",VIPcric_1!G366)</f>
        <v>446501123573</v>
      </c>
      <c r="H366">
        <f>IF(VIPcric_1!H366="","",VIPcric_1!H366)</f>
        <v>0.67</v>
      </c>
      <c r="I366" t="str">
        <f>IF(VIPcric_1!M366="","",VIPcric_1!M366)</f>
        <v>CRIC-北京-市场监测.商品房市场.项目累计.供求.xlsx</v>
      </c>
    </row>
    <row r="367" spans="1:9">
      <c r="A367" t="str">
        <f>IF(VIPcric_1!A367="","",VIPcric_1!A367)</f>
        <v>2022年</v>
      </c>
      <c r="B367">
        <f>IF(VIPcric_1!B367="","",VIPcric_1!B367)</f>
        <v>10378576</v>
      </c>
      <c r="C367">
        <f>IF(VIPcric_1!C367="","",VIPcric_1!C367)</f>
        <v>140405</v>
      </c>
      <c r="D367">
        <f>IF(VIPcric_1!D367="","",VIPcric_1!D367)</f>
        <v>10589619</v>
      </c>
      <c r="E367">
        <f>IF(VIPcric_1!E367="","",VIPcric_1!E367)</f>
        <v>118643</v>
      </c>
      <c r="F367">
        <f>IF(VIPcric_1!F367="","",VIPcric_1!F367)</f>
        <v>39943</v>
      </c>
      <c r="G367">
        <f>IF(VIPcric_1!G367="","",VIPcric_1!G367)</f>
        <v>422984923167</v>
      </c>
      <c r="H367">
        <f>IF(VIPcric_1!H367="","",VIPcric_1!H367)</f>
        <v>0.98</v>
      </c>
      <c r="I367" t="str">
        <f>IF(VIPcric_1!M367="","",VIPcric_1!M367)</f>
        <v>CRIC-北京-市场监测.商品房市场.项目累计.供求.xlsx</v>
      </c>
    </row>
    <row r="368" spans="1:9">
      <c r="A368" t="str">
        <f>IF(VIPcric_1!A368="","",VIPcric_1!A368)</f>
        <v>2021年</v>
      </c>
      <c r="B368">
        <f>IF(VIPcric_1!B368="","",VIPcric_1!B368)</f>
        <v>11436739</v>
      </c>
      <c r="C368">
        <f>IF(VIPcric_1!C368="","",VIPcric_1!C368)</f>
        <v>140168</v>
      </c>
      <c r="D368">
        <f>IF(VIPcric_1!D368="","",VIPcric_1!D368)</f>
        <v>13803782</v>
      </c>
      <c r="E368">
        <f>IF(VIPcric_1!E368="","",VIPcric_1!E368)</f>
        <v>157277</v>
      </c>
      <c r="F368">
        <f>IF(VIPcric_1!F368="","",VIPcric_1!F368)</f>
        <v>38445</v>
      </c>
      <c r="G368">
        <f>IF(VIPcric_1!G368="","",VIPcric_1!G368)</f>
        <v>530693026418</v>
      </c>
      <c r="H368">
        <f>IF(VIPcric_1!H368="","",VIPcric_1!H368)</f>
        <v>0.83</v>
      </c>
      <c r="I368" t="str">
        <f>IF(VIPcric_1!M368="","",VIPcric_1!M368)</f>
        <v>CRIC-北京-市场监测.商品房市场.项目累计.供求.xlsx</v>
      </c>
    </row>
    <row r="369" spans="1:9">
      <c r="A369" t="str">
        <f>IF(VIPcric_1!A369="","",VIPcric_1!A369)</f>
        <v>2020年</v>
      </c>
      <c r="B369">
        <f>IF(VIPcric_1!B369="","",VIPcric_1!B369)</f>
        <v>11874702</v>
      </c>
      <c r="C369">
        <f>IF(VIPcric_1!C369="","",VIPcric_1!C369)</f>
        <v>144103</v>
      </c>
      <c r="D369">
        <f>IF(VIPcric_1!D369="","",VIPcric_1!D369)</f>
        <v>11037828</v>
      </c>
      <c r="E369">
        <f>IF(VIPcric_1!E369="","",VIPcric_1!E369)</f>
        <v>115328</v>
      </c>
      <c r="F369">
        <f>IF(VIPcric_1!F369="","",VIPcric_1!F369)</f>
        <v>37392</v>
      </c>
      <c r="G369">
        <f>IF(VIPcric_1!G369="","",VIPcric_1!G369)</f>
        <v>412728483655</v>
      </c>
      <c r="H369">
        <f>IF(VIPcric_1!H369="","",VIPcric_1!H369)</f>
        <v>1.08</v>
      </c>
      <c r="I369" t="str">
        <f>IF(VIPcric_1!M369="","",VIPcric_1!M369)</f>
        <v>CRIC-北京-市场监测.商品房市场.项目累计.供求.xlsx</v>
      </c>
    </row>
    <row r="370" spans="1:9">
      <c r="A370" t="str">
        <f>IF(VIPcric_1!A370="","",VIPcric_1!A370)</f>
        <v>2019年</v>
      </c>
      <c r="B370">
        <f>IF(VIPcric_1!B370="","",VIPcric_1!B370)</f>
        <v>10824265</v>
      </c>
      <c r="C370">
        <f>IF(VIPcric_1!C370="","",VIPcric_1!C370)</f>
        <v>132485</v>
      </c>
      <c r="D370">
        <f>IF(VIPcric_1!D370="","",VIPcric_1!D370)</f>
        <v>9936389</v>
      </c>
      <c r="E370">
        <f>IF(VIPcric_1!E370="","",VIPcric_1!E370)</f>
        <v>105061</v>
      </c>
      <c r="F370">
        <f>IF(VIPcric_1!F370="","",VIPcric_1!F370)</f>
        <v>38570</v>
      </c>
      <c r="G370">
        <f>IF(VIPcric_1!G370="","",VIPcric_1!G370)</f>
        <v>383244656734</v>
      </c>
      <c r="H370">
        <f>IF(VIPcric_1!H370="","",VIPcric_1!H370)</f>
        <v>1.0900000000000001</v>
      </c>
      <c r="I370" t="str">
        <f>IF(VIPcric_1!M370="","",VIPcric_1!M370)</f>
        <v>CRIC-北京-市场监测.商品房市场.项目累计.供求.xlsx</v>
      </c>
    </row>
    <row r="371" spans="1:9">
      <c r="A371" t="str">
        <f>IF(VIPcric_1!A371="","",VIPcric_1!A371)</f>
        <v>汇总</v>
      </c>
      <c r="B371">
        <f>IF(VIPcric_1!B371="","",VIPcric_1!B371)</f>
        <v>52005175</v>
      </c>
      <c r="C371">
        <f>IF(VIPcric_1!C371="","",VIPcric_1!C371)</f>
        <v>658778</v>
      </c>
      <c r="D371">
        <f>IF(VIPcric_1!D371="","",VIPcric_1!D371)</f>
        <v>56503885</v>
      </c>
      <c r="E371">
        <f>IF(VIPcric_1!E371="","",VIPcric_1!E371)</f>
        <v>628816</v>
      </c>
      <c r="F371">
        <f>IF(VIPcric_1!F371="","",VIPcric_1!F371)</f>
        <v>38867</v>
      </c>
      <c r="G371">
        <f>IF(VIPcric_1!G371="","",VIPcric_1!G371)</f>
        <v>2196152213548</v>
      </c>
      <c r="H371">
        <f>IF(VIPcric_1!H371="","",VIPcric_1!H371)</f>
        <v>0.92</v>
      </c>
      <c r="I371" t="str">
        <f>IF(VIPcric_1!M371="","",VIPcric_1!M371)</f>
        <v>CRIC-北京-市场监测.商品房市场.项目累计.供求.xlsx</v>
      </c>
    </row>
    <row r="372" spans="1:9">
      <c r="A372" t="str">
        <f>IF(VIPcric_1!A372="","",VIPcric_1!A372)</f>
        <v/>
      </c>
      <c r="B372" t="str">
        <f>IF(VIPcric_1!B372="","",VIPcric_1!B372)</f>
        <v/>
      </c>
      <c r="C372" t="str">
        <f>IF(VIPcric_1!C372="","",VIPcric_1!C372)</f>
        <v/>
      </c>
      <c r="D372" t="str">
        <f>IF(VIPcric_1!D372="","",VIPcric_1!D372)</f>
        <v/>
      </c>
      <c r="E372" t="str">
        <f>IF(VIPcric_1!E372="","",VIPcric_1!E372)</f>
        <v/>
      </c>
      <c r="F372" t="str">
        <f>IF(VIPcric_1!F372="","",VIPcric_1!F372)</f>
        <v/>
      </c>
      <c r="G372" t="str">
        <f>IF(VIPcric_1!G372="","",VIPcric_1!G372)</f>
        <v/>
      </c>
      <c r="H372" t="str">
        <f>IF(VIPcric_1!H372="","",VIPcric_1!H372)</f>
        <v/>
      </c>
      <c r="I372" t="str">
        <f>IF(VIPcric_1!M372="","",VIPcric_1!M372)</f>
        <v/>
      </c>
    </row>
    <row r="373" spans="1:9">
      <c r="A373" t="str">
        <f>IF(VIPcric_1!A373="","",VIPcric_1!A373)</f>
        <v/>
      </c>
      <c r="B373" t="str">
        <f>IF(VIPcric_1!B373="","",VIPcric_1!B373)</f>
        <v/>
      </c>
      <c r="C373" t="str">
        <f>IF(VIPcric_1!C373="","",VIPcric_1!C373)</f>
        <v/>
      </c>
      <c r="D373" t="str">
        <f>IF(VIPcric_1!D373="","",VIPcric_1!D373)</f>
        <v/>
      </c>
      <c r="E373" t="str">
        <f>IF(VIPcric_1!E373="","",VIPcric_1!E373)</f>
        <v/>
      </c>
      <c r="F373" t="str">
        <f>IF(VIPcric_1!F373="","",VIPcric_1!F373)</f>
        <v/>
      </c>
      <c r="G373" t="str">
        <f>IF(VIPcric_1!G373="","",VIPcric_1!G373)</f>
        <v/>
      </c>
      <c r="H373" t="str">
        <f>IF(VIPcric_1!H373="","",VIPcric_1!H373)</f>
        <v/>
      </c>
      <c r="I373" t="str">
        <f>IF(VIPcric_1!M373="","",VIPcric_1!M373)</f>
        <v>CRIC-北京-市场监测.商品房市场.项目累计.库存.xlsx</v>
      </c>
    </row>
    <row r="374" spans="1:9">
      <c r="A374" t="str">
        <f>IF(VIPcric_1!A374="","",VIPcric_1!A374)</f>
        <v>时间(年)</v>
      </c>
      <c r="B374" t="str">
        <f>IF(VIPcric_1!B374="","",VIPcric_1!B374)</f>
        <v>库存面积(㎡)</v>
      </c>
      <c r="C374" t="str">
        <f>IF(VIPcric_1!C374="","",VIPcric_1!C374)</f>
        <v>库存套数(套)</v>
      </c>
      <c r="D374" t="str">
        <f>IF(VIPcric_1!D374="","",VIPcric_1!D374)</f>
        <v>去化周期12'(月)</v>
      </c>
      <c r="E374" t="str">
        <f>IF(VIPcric_1!E374="","",VIPcric_1!E374)</f>
        <v>去化周期24'(月)</v>
      </c>
      <c r="F374" t="str">
        <f>IF(VIPcric_1!F374="","",VIPcric_1!F374)</f>
        <v/>
      </c>
      <c r="G374" t="str">
        <f>IF(VIPcric_1!G374="","",VIPcric_1!G374)</f>
        <v/>
      </c>
      <c r="H374" t="str">
        <f>IF(VIPcric_1!H374="","",VIPcric_1!H374)</f>
        <v/>
      </c>
      <c r="I374" t="str">
        <f>IF(VIPcric_1!M374="","",VIPcric_1!M374)</f>
        <v>CRIC-北京-市场监测.商品房市场.项目累计.库存.xlsx</v>
      </c>
    </row>
    <row r="375" spans="1:9">
      <c r="A375" t="str">
        <f>IF(VIPcric_1!A375="","",VIPcric_1!A375)</f>
        <v>2024年</v>
      </c>
      <c r="B375">
        <f>IF(VIPcric_1!B375="","",VIPcric_1!B375)</f>
        <v>8737017</v>
      </c>
      <c r="C375">
        <f>IF(VIPcric_1!C375="","",VIPcric_1!C375)</f>
        <v>75359</v>
      </c>
      <c r="D375">
        <f>IF(VIPcric_1!D375="","",VIPcric_1!D375)</f>
        <v>17.2</v>
      </c>
      <c r="E375">
        <f>IF(VIPcric_1!E375="","",VIPcric_1!E375)</f>
        <v>17.899999999999999</v>
      </c>
      <c r="F375" t="str">
        <f>IF(VIPcric_1!F375="","",VIPcric_1!F375)</f>
        <v/>
      </c>
      <c r="G375" t="str">
        <f>IF(VIPcric_1!G375="","",VIPcric_1!G375)</f>
        <v/>
      </c>
      <c r="H375" t="str">
        <f>IF(VIPcric_1!H375="","",VIPcric_1!H375)</f>
        <v/>
      </c>
      <c r="I375" t="str">
        <f>IF(VIPcric_1!M375="","",VIPcric_1!M375)</f>
        <v>CRIC-北京-市场监测.商品房市场.项目累计.库存.xlsx</v>
      </c>
    </row>
    <row r="376" spans="1:9">
      <c r="A376" t="str">
        <f>IF(VIPcric_1!A376="","",VIPcric_1!A376)</f>
        <v>2023年</v>
      </c>
      <c r="B376">
        <f>IF(VIPcric_1!B376="","",VIPcric_1!B376)</f>
        <v>9143903</v>
      </c>
      <c r="C376">
        <f>IF(VIPcric_1!C376="","",VIPcric_1!C376)</f>
        <v>80199</v>
      </c>
      <c r="D376">
        <f>IF(VIPcric_1!D376="","",VIPcric_1!D376)</f>
        <v>18.899999999999999</v>
      </c>
      <c r="E376">
        <f>IF(VIPcric_1!E376="","",VIPcric_1!E376)</f>
        <v>19</v>
      </c>
      <c r="F376" t="str">
        <f>IF(VIPcric_1!F376="","",VIPcric_1!F376)</f>
        <v/>
      </c>
      <c r="G376" t="str">
        <f>IF(VIPcric_1!G376="","",VIPcric_1!G376)</f>
        <v/>
      </c>
      <c r="H376" t="str">
        <f>IF(VIPcric_1!H376="","",VIPcric_1!H376)</f>
        <v/>
      </c>
      <c r="I376" t="str">
        <f>IF(VIPcric_1!M376="","",VIPcric_1!M376)</f>
        <v>CRIC-北京-市场监测.商品房市场.项目累计.库存.xlsx</v>
      </c>
    </row>
    <row r="377" spans="1:9">
      <c r="A377" t="str">
        <f>IF(VIPcric_1!A377="","",VIPcric_1!A377)</f>
        <v>2022年</v>
      </c>
      <c r="B377">
        <f>IF(VIPcric_1!B377="","",VIPcric_1!B377)</f>
        <v>9148601</v>
      </c>
      <c r="C377">
        <f>IF(VIPcric_1!C377="","",VIPcric_1!C377)</f>
        <v>82017</v>
      </c>
      <c r="D377">
        <f>IF(VIPcric_1!D377="","",VIPcric_1!D377)</f>
        <v>19.100000000000001</v>
      </c>
      <c r="E377">
        <f>IF(VIPcric_1!E377="","",VIPcric_1!E377)</f>
        <v>16.600000000000001</v>
      </c>
      <c r="F377" t="str">
        <f>IF(VIPcric_1!F377="","",VIPcric_1!F377)</f>
        <v/>
      </c>
      <c r="G377" t="str">
        <f>IF(VIPcric_1!G377="","",VIPcric_1!G377)</f>
        <v/>
      </c>
      <c r="H377" t="str">
        <f>IF(VIPcric_1!H377="","",VIPcric_1!H377)</f>
        <v/>
      </c>
      <c r="I377" t="str">
        <f>IF(VIPcric_1!M377="","",VIPcric_1!M377)</f>
        <v>CRIC-北京-市场监测.商品房市场.项目累计.库存.xlsx</v>
      </c>
    </row>
    <row r="378" spans="1:9">
      <c r="A378" t="str">
        <f>IF(VIPcric_1!A378="","",VIPcric_1!A378)</f>
        <v>2021年</v>
      </c>
      <c r="B378">
        <f>IF(VIPcric_1!B378="","",VIPcric_1!B378)</f>
        <v>8672533</v>
      </c>
      <c r="C378">
        <f>IF(VIPcric_1!C378="","",VIPcric_1!C378)</f>
        <v>78297</v>
      </c>
      <c r="D378">
        <f>IF(VIPcric_1!D378="","",VIPcric_1!D378)</f>
        <v>13.9</v>
      </c>
      <c r="E378">
        <f>IF(VIPcric_1!E378="","",VIPcric_1!E378)</f>
        <v>15.9</v>
      </c>
      <c r="F378" t="str">
        <f>IF(VIPcric_1!F378="","",VIPcric_1!F378)</f>
        <v/>
      </c>
      <c r="G378" t="str">
        <f>IF(VIPcric_1!G378="","",VIPcric_1!G378)</f>
        <v/>
      </c>
      <c r="H378" t="str">
        <f>IF(VIPcric_1!H378="","",VIPcric_1!H378)</f>
        <v/>
      </c>
      <c r="I378" t="str">
        <f>IF(VIPcric_1!M378="","",VIPcric_1!M378)</f>
        <v>CRIC-北京-市场监测.商品房市场.项目累计.库存.xlsx</v>
      </c>
    </row>
    <row r="379" spans="1:9">
      <c r="A379" t="str">
        <f>IF(VIPcric_1!A379="","",VIPcric_1!A379)</f>
        <v>2020年</v>
      </c>
      <c r="B379">
        <f>IF(VIPcric_1!B379="","",VIPcric_1!B379)</f>
        <v>8615679</v>
      </c>
      <c r="C379">
        <f>IF(VIPcric_1!C379="","",VIPcric_1!C379)</f>
        <v>82403</v>
      </c>
      <c r="D379">
        <f>IF(VIPcric_1!D379="","",VIPcric_1!D379)</f>
        <v>18.5</v>
      </c>
      <c r="E379">
        <f>IF(VIPcric_1!E379="","",VIPcric_1!E379)</f>
        <v>18.5</v>
      </c>
      <c r="F379" t="str">
        <f>IF(VIPcric_1!F379="","",VIPcric_1!F379)</f>
        <v/>
      </c>
      <c r="G379" t="str">
        <f>IF(VIPcric_1!G379="","",VIPcric_1!G379)</f>
        <v/>
      </c>
      <c r="H379" t="str">
        <f>IF(VIPcric_1!H379="","",VIPcric_1!H379)</f>
        <v/>
      </c>
      <c r="I379" t="str">
        <f>IF(VIPcric_1!M379="","",VIPcric_1!M379)</f>
        <v>CRIC-北京-市场监测.商品房市场.项目累计.库存.xlsx</v>
      </c>
    </row>
    <row r="380" spans="1:9">
      <c r="A380" t="str">
        <f>IF(VIPcric_1!A380="","",VIPcric_1!A380)</f>
        <v>2019年</v>
      </c>
      <c r="B380">
        <f>IF(VIPcric_1!B380="","",VIPcric_1!B380)</f>
        <v>7426262</v>
      </c>
      <c r="C380">
        <f>IF(VIPcric_1!C380="","",VIPcric_1!C380)</f>
        <v>70610</v>
      </c>
      <c r="D380">
        <f>IF(VIPcric_1!D380="","",VIPcric_1!D380)</f>
        <v>15.9</v>
      </c>
      <c r="E380">
        <f>IF(VIPcric_1!E380="","",VIPcric_1!E380)</f>
        <v>20.399999999999999</v>
      </c>
      <c r="F380" t="str">
        <f>IF(VIPcric_1!F380="","",VIPcric_1!F380)</f>
        <v/>
      </c>
      <c r="G380" t="str">
        <f>IF(VIPcric_1!G380="","",VIPcric_1!G380)</f>
        <v/>
      </c>
      <c r="H380" t="str">
        <f>IF(VIPcric_1!H380="","",VIPcric_1!H380)</f>
        <v/>
      </c>
      <c r="I380" t="str">
        <f>IF(VIPcric_1!M380="","",VIPcric_1!M380)</f>
        <v>CRIC-北京-市场监测.商品房市场.项目累计.库存.xlsx</v>
      </c>
    </row>
    <row r="388" spans="1:9">
      <c r="A388" t="str">
        <f>IF(VIPcric_1!A381="","",VIPcric_1!A381)</f>
        <v/>
      </c>
      <c r="B388" t="str">
        <f>IF(VIPcric_1!B381="","",VIPcric_1!B381)</f>
        <v/>
      </c>
      <c r="C388" t="str">
        <f>IF(VIPcric_1!C381="","",VIPcric_1!C381)</f>
        <v/>
      </c>
      <c r="D388" t="str">
        <f>IF(VIPcric_1!D381="","",VIPcric_1!D381)</f>
        <v/>
      </c>
      <c r="E388" t="str">
        <f>IF(VIPcric_1!E381="","",VIPcric_1!E381)</f>
        <v/>
      </c>
      <c r="F388" t="str">
        <f>IF(VIPcric_1!F381="","",VIPcric_1!F381)</f>
        <v/>
      </c>
      <c r="G388" t="str">
        <f>IF(VIPcric_1!G381="","",VIPcric_1!G381)</f>
        <v/>
      </c>
      <c r="H388" t="str">
        <f>IF(VIPcric_1!H381="","",VIPcric_1!H381)</f>
        <v/>
      </c>
      <c r="I388" t="str">
        <f>IF(VIPcric_1!M381="","",VIPcric_1!M381)</f>
        <v/>
      </c>
    </row>
    <row r="389" spans="1:9">
      <c r="A389" t="str">
        <f>IF(VIPcric_1!A382="","",VIPcric_1!A382)</f>
        <v/>
      </c>
      <c r="B389" t="str">
        <f>IF(VIPcric_1!B382="","",VIPcric_1!B382)</f>
        <v/>
      </c>
      <c r="C389" t="str">
        <f>IF(VIPcric_1!C382="","",VIPcric_1!C382)</f>
        <v/>
      </c>
      <c r="D389" t="str">
        <f>IF(VIPcric_1!D382="","",VIPcric_1!D382)</f>
        <v/>
      </c>
      <c r="E389" t="str">
        <f>IF(VIPcric_1!E382="","",VIPcric_1!E382)</f>
        <v/>
      </c>
      <c r="F389" t="str">
        <f>IF(VIPcric_1!F382="","",VIPcric_1!F382)</f>
        <v/>
      </c>
      <c r="G389" t="str">
        <f>IF(VIPcric_1!G382="","",VIPcric_1!G382)</f>
        <v/>
      </c>
      <c r="H389" t="str">
        <f>IF(VIPcric_1!H382="","",VIPcric_1!H382)</f>
        <v/>
      </c>
      <c r="I389" t="str">
        <f>IF(VIPcric_1!M382="","",VIPcric_1!M382)</f>
        <v>CRIC-北海-市场监测.商品房市场.城市总量.xlsx</v>
      </c>
    </row>
    <row r="390" spans="1:9">
      <c r="A390" t="str">
        <f>IF(VIPcric_1!A383="","",VIPcric_1!A383)</f>
        <v>时间(年)</v>
      </c>
      <c r="B390" t="str">
        <f>IF(VIPcric_1!B383="","",VIPcric_1!B383)</f>
        <v>成交面积(㎡)</v>
      </c>
      <c r="C390" t="str">
        <f>IF(VIPcric_1!C383="","",VIPcric_1!C383)</f>
        <v>成交套数(套)</v>
      </c>
      <c r="D390" t="str">
        <f>IF(VIPcric_1!D383="","",VIPcric_1!D383)</f>
        <v/>
      </c>
      <c r="E390" t="str">
        <f>IF(VIPcric_1!E383="","",VIPcric_1!E383)</f>
        <v/>
      </c>
      <c r="F390" t="str">
        <f>IF(VIPcric_1!F383="","",VIPcric_1!F383)</f>
        <v/>
      </c>
      <c r="G390" t="str">
        <f>IF(VIPcric_1!G383="","",VIPcric_1!G383)</f>
        <v/>
      </c>
      <c r="H390" t="str">
        <f>IF(VIPcric_1!H383="","",VIPcric_1!H383)</f>
        <v/>
      </c>
      <c r="I390" t="str">
        <f>IF(VIPcric_1!M383="","",VIPcric_1!M383)</f>
        <v>CRIC-北海-市场监测.商品房市场.城市总量.xlsx</v>
      </c>
    </row>
    <row r="391" spans="1:9">
      <c r="A391" t="str">
        <f>IF(VIPcric_1!A384="","",VIPcric_1!A384)</f>
        <v>2023年</v>
      </c>
      <c r="B391">
        <f>IF(VIPcric_1!B384="","",VIPcric_1!B384)</f>
        <v>1372500</v>
      </c>
      <c r="C391">
        <f>IF(VIPcric_1!C384="","",VIPcric_1!C384)</f>
        <v>18082</v>
      </c>
      <c r="D391">
        <v>6800</v>
      </c>
      <c r="E391" t="str">
        <f>IF(VIPcric_1!E384="","",VIPcric_1!E384)</f>
        <v/>
      </c>
      <c r="F391" t="str">
        <f>IF(VIPcric_1!F384="","",VIPcric_1!F384)</f>
        <v/>
      </c>
      <c r="G391" t="str">
        <f>IF(VIPcric_1!G384="","",VIPcric_1!G384)</f>
        <v/>
      </c>
      <c r="H391" t="str">
        <f>IF(VIPcric_1!H384="","",VIPcric_1!H384)</f>
        <v/>
      </c>
      <c r="I391" t="str">
        <f>IF(VIPcric_1!M384="","",VIPcric_1!M384)</f>
        <v>CRIC-北海-市场监测.商品房市场.城市总量.xlsx</v>
      </c>
    </row>
    <row r="392" spans="1:9">
      <c r="A392" t="str">
        <f>IF(VIPcric_1!A385="","",VIPcric_1!A385)</f>
        <v>2022年</v>
      </c>
      <c r="B392">
        <f>IF(VIPcric_1!B385="","",VIPcric_1!B385)</f>
        <v>1037000</v>
      </c>
      <c r="C392">
        <f>IF(VIPcric_1!C385="","",VIPcric_1!C385)</f>
        <v>9545</v>
      </c>
      <c r="D392" t="str">
        <f>IF(VIPcric_1!D385="","",VIPcric_1!D385)</f>
        <v/>
      </c>
      <c r="E392" t="str">
        <f>IF(VIPcric_1!E385="","",VIPcric_1!E385)</f>
        <v/>
      </c>
      <c r="F392" t="str">
        <f>IF(VIPcric_1!F385="","",VIPcric_1!F385)</f>
        <v/>
      </c>
      <c r="G392" t="str">
        <f>IF(VIPcric_1!G385="","",VIPcric_1!G385)</f>
        <v/>
      </c>
      <c r="H392" t="str">
        <f>IF(VIPcric_1!H385="","",VIPcric_1!H385)</f>
        <v/>
      </c>
      <c r="I392" t="str">
        <f>IF(VIPcric_1!M385="","",VIPcric_1!M385)</f>
        <v>CRIC-北海-市场监测.商品房市场.城市总量.xlsx</v>
      </c>
    </row>
    <row r="393" spans="1:9">
      <c r="A393" t="str">
        <f>IF(VIPcric_1!A386="","",VIPcric_1!A386)</f>
        <v>2021年</v>
      </c>
      <c r="B393">
        <f>IF(VIPcric_1!B386="","",VIPcric_1!B386)</f>
        <v>0</v>
      </c>
      <c r="C393">
        <f>IF(VIPcric_1!C386="","",VIPcric_1!C386)</f>
        <v>0</v>
      </c>
      <c r="D393" t="str">
        <f>IF(VIPcric_1!D386="","",VIPcric_1!D386)</f>
        <v/>
      </c>
      <c r="E393" t="str">
        <f>IF(VIPcric_1!E386="","",VIPcric_1!E386)</f>
        <v/>
      </c>
      <c r="F393" t="str">
        <f>IF(VIPcric_1!F386="","",VIPcric_1!F386)</f>
        <v/>
      </c>
      <c r="G393" t="str">
        <f>IF(VIPcric_1!G386="","",VIPcric_1!G386)</f>
        <v/>
      </c>
      <c r="H393" t="str">
        <f>IF(VIPcric_1!H386="","",VIPcric_1!H386)</f>
        <v/>
      </c>
      <c r="I393" t="str">
        <f>IF(VIPcric_1!M386="","",VIPcric_1!M386)</f>
        <v>CRIC-北海-市场监测.商品房市场.城市总量.xlsx</v>
      </c>
    </row>
    <row r="394" spans="1:9">
      <c r="A394" t="str">
        <f>IF(VIPcric_1!A387="","",VIPcric_1!A387)</f>
        <v>2020年</v>
      </c>
      <c r="B394">
        <f>IF(VIPcric_1!B387="","",VIPcric_1!B387)</f>
        <v>0</v>
      </c>
      <c r="C394">
        <f>IF(VIPcric_1!C387="","",VIPcric_1!C387)</f>
        <v>0</v>
      </c>
      <c r="D394" t="str">
        <f>IF(VIPcric_1!D387="","",VIPcric_1!D387)</f>
        <v/>
      </c>
      <c r="E394" t="str">
        <f>IF(VIPcric_1!E387="","",VIPcric_1!E387)</f>
        <v/>
      </c>
      <c r="F394" t="str">
        <f>IF(VIPcric_1!F387="","",VIPcric_1!F387)</f>
        <v/>
      </c>
      <c r="G394" t="str">
        <f>IF(VIPcric_1!G387="","",VIPcric_1!G387)</f>
        <v/>
      </c>
      <c r="H394" t="str">
        <f>IF(VIPcric_1!H387="","",VIPcric_1!H387)</f>
        <v/>
      </c>
      <c r="I394" t="str">
        <f>IF(VIPcric_1!M387="","",VIPcric_1!M387)</f>
        <v>CRIC-北海-市场监测.商品房市场.城市总量.xlsx</v>
      </c>
    </row>
    <row r="395" spans="1:9">
      <c r="A395" t="str">
        <f>IF(VIPcric_1!A388="","",VIPcric_1!A388)</f>
        <v>2019年</v>
      </c>
      <c r="B395">
        <f>IF(VIPcric_1!B388="","",VIPcric_1!B388)</f>
        <v>182500</v>
      </c>
      <c r="C395">
        <f>IF(VIPcric_1!C388="","",VIPcric_1!C388)</f>
        <v>2134</v>
      </c>
      <c r="D395" t="str">
        <f>IF(VIPcric_1!D388="","",VIPcric_1!D388)</f>
        <v/>
      </c>
      <c r="E395" t="str">
        <f>IF(VIPcric_1!E388="","",VIPcric_1!E388)</f>
        <v/>
      </c>
      <c r="F395" t="str">
        <f>IF(VIPcric_1!F388="","",VIPcric_1!F388)</f>
        <v/>
      </c>
      <c r="G395" t="str">
        <f>IF(VIPcric_1!G388="","",VIPcric_1!G388)</f>
        <v/>
      </c>
      <c r="H395" t="str">
        <f>IF(VIPcric_1!H388="","",VIPcric_1!H388)</f>
        <v/>
      </c>
      <c r="I395" t="str">
        <f>IF(VIPcric_1!M388="","",VIPcric_1!M388)</f>
        <v>CRIC-北海-市场监测.商品房市场.城市总量.xlsx</v>
      </c>
    </row>
    <row r="396" spans="1:9">
      <c r="A396" t="str">
        <f>IF(VIPcric_1!A389="","",VIPcric_1!A389)</f>
        <v>汇总</v>
      </c>
      <c r="B396">
        <f>IF(VIPcric_1!B389="","",VIPcric_1!B389)</f>
        <v>2592000</v>
      </c>
      <c r="C396">
        <f>IF(VIPcric_1!C389="","",VIPcric_1!C389)</f>
        <v>29761</v>
      </c>
      <c r="D396" t="str">
        <f>IF(VIPcric_1!D389="","",VIPcric_1!D389)</f>
        <v/>
      </c>
      <c r="E396" t="str">
        <f>IF(VIPcric_1!E389="","",VIPcric_1!E389)</f>
        <v/>
      </c>
      <c r="F396" t="str">
        <f>IF(VIPcric_1!F389="","",VIPcric_1!F389)</f>
        <v/>
      </c>
      <c r="G396" t="str">
        <f>IF(VIPcric_1!G389="","",VIPcric_1!G389)</f>
        <v/>
      </c>
      <c r="H396" t="str">
        <f>IF(VIPcric_1!H389="","",VIPcric_1!H389)</f>
        <v/>
      </c>
      <c r="I396" t="str">
        <f>IF(VIPcric_1!M389="","",VIPcric_1!M389)</f>
        <v>CRIC-北海-市场监测.商品房市场.城市总量.xlsx</v>
      </c>
    </row>
    <row r="397" spans="1:9">
      <c r="A397" t="str">
        <f>IF(VIPcric_1!A390="","",VIPcric_1!A390)</f>
        <v/>
      </c>
      <c r="B397" t="str">
        <f>IF(VIPcric_1!B390="","",VIPcric_1!B390)</f>
        <v/>
      </c>
      <c r="C397" t="str">
        <f>IF(VIPcric_1!C390="","",VIPcric_1!C390)</f>
        <v/>
      </c>
      <c r="D397" t="str">
        <f>IF(VIPcric_1!D390="","",VIPcric_1!D390)</f>
        <v/>
      </c>
      <c r="E397" t="str">
        <f>IF(VIPcric_1!E390="","",VIPcric_1!E390)</f>
        <v/>
      </c>
      <c r="F397" t="str">
        <f>IF(VIPcric_1!F390="","",VIPcric_1!F390)</f>
        <v/>
      </c>
      <c r="G397" t="str">
        <f>IF(VIPcric_1!G390="","",VIPcric_1!G390)</f>
        <v/>
      </c>
      <c r="H397" t="str">
        <f>IF(VIPcric_1!H390="","",VIPcric_1!H390)</f>
        <v/>
      </c>
      <c r="I397" t="str">
        <f>IF(VIPcric_1!M390="","",VIPcric_1!M390)</f>
        <v/>
      </c>
    </row>
    <row r="398" spans="1:9">
      <c r="A398" t="str">
        <f>IF(VIPcric_1!A391="","",VIPcric_1!A391)</f>
        <v/>
      </c>
      <c r="B398" t="str">
        <f>IF(VIPcric_1!B391="","",VIPcric_1!B391)</f>
        <v/>
      </c>
      <c r="C398" t="str">
        <f>IF(VIPcric_1!C391="","",VIPcric_1!C391)</f>
        <v/>
      </c>
      <c r="D398" t="str">
        <f>IF(VIPcric_1!D391="","",VIPcric_1!D391)</f>
        <v/>
      </c>
      <c r="E398" t="str">
        <f>IF(VIPcric_1!E391="","",VIPcric_1!E391)</f>
        <v/>
      </c>
      <c r="F398" t="str">
        <f>IF(VIPcric_1!F391="","",VIPcric_1!F391)</f>
        <v/>
      </c>
      <c r="G398" t="str">
        <f>IF(VIPcric_1!G391="","",VIPcric_1!G391)</f>
        <v/>
      </c>
      <c r="H398" t="str">
        <f>IF(VIPcric_1!H391="","",VIPcric_1!H391)</f>
        <v/>
      </c>
      <c r="I398" t="str">
        <f>IF(VIPcric_1!M391="","",VIPcric_1!M391)</f>
        <v>CRIC-北海-市场监测.广义存量.广义存量.xlsx</v>
      </c>
    </row>
    <row r="399" spans="1:9">
      <c r="A399" t="str">
        <f>IF(VIPcric_1!A392="","",VIPcric_1!A392)</f>
        <v>时间(年)</v>
      </c>
      <c r="B399" t="str">
        <f>IF(VIPcric_1!B392="","",VIPcric_1!B392)</f>
        <v>广义存量面积(㎡)</v>
      </c>
      <c r="C399" t="str">
        <f>IF(VIPcric_1!C392="","",VIPcric_1!C392)</f>
        <v>去化周期</v>
      </c>
      <c r="D399" t="str">
        <f>IF(VIPcric_1!D392="","",VIPcric_1!D392)</f>
        <v/>
      </c>
      <c r="E399" t="str">
        <f>IF(VIPcric_1!E392="","",VIPcric_1!E392)</f>
        <v/>
      </c>
      <c r="F399" t="str">
        <f>IF(VIPcric_1!F392="","",VIPcric_1!F392)</f>
        <v/>
      </c>
      <c r="G399" t="str">
        <f>IF(VIPcric_1!G392="","",VIPcric_1!G392)</f>
        <v/>
      </c>
      <c r="H399" t="str">
        <f>IF(VIPcric_1!H392="","",VIPcric_1!H392)</f>
        <v/>
      </c>
      <c r="I399" t="str">
        <f>IF(VIPcric_1!M392="","",VIPcric_1!M392)</f>
        <v>CRIC-北海-市场监测.广义存量.广义存量.xlsx</v>
      </c>
    </row>
    <row r="400" spans="1:9">
      <c r="A400" t="str">
        <f>IF(VIPcric_1!A393="","",VIPcric_1!A393)</f>
        <v>2024年</v>
      </c>
      <c r="B400">
        <f>IF(VIPcric_1!B393="","",VIPcric_1!B393)</f>
        <v>12171040</v>
      </c>
      <c r="C400">
        <f>IF(VIPcric_1!C393="","",VIPcric_1!C393)</f>
        <v>8.8677887067395265</v>
      </c>
      <c r="D400" t="str">
        <f>IF(VIPcric_1!D393="","",VIPcric_1!D393)</f>
        <v/>
      </c>
      <c r="E400" t="str">
        <f>IF(VIPcric_1!E393="","",VIPcric_1!E393)</f>
        <v/>
      </c>
      <c r="F400" t="str">
        <f>IF(VIPcric_1!F393="","",VIPcric_1!F393)</f>
        <v/>
      </c>
      <c r="G400" t="str">
        <f>IF(VIPcric_1!G393="","",VIPcric_1!G393)</f>
        <v/>
      </c>
      <c r="H400" t="str">
        <f>IF(VIPcric_1!H393="","",VIPcric_1!H393)</f>
        <v/>
      </c>
      <c r="I400" t="str">
        <f>IF(VIPcric_1!M393="","",VIPcric_1!M393)</f>
        <v>CRIC-北海-市场监测.广义存量.广义存量.xlsx</v>
      </c>
    </row>
    <row r="401" spans="1:9">
      <c r="A401" t="str">
        <f>IF(VIPcric_1!A394="","",VIPcric_1!A394)</f>
        <v>2023年</v>
      </c>
      <c r="B401">
        <f>IF(VIPcric_1!B394="","",VIPcric_1!B394)</f>
        <v>11951318</v>
      </c>
      <c r="C401">
        <f>IF(VIPcric_1!C394="","",VIPcric_1!C394)</f>
        <v>11.524896817743491</v>
      </c>
      <c r="D401" t="str">
        <f>IF(VIPcric_1!D394="","",VIPcric_1!D394)</f>
        <v/>
      </c>
      <c r="E401" t="str">
        <f>IF(VIPcric_1!E394="","",VIPcric_1!E394)</f>
        <v/>
      </c>
      <c r="F401" t="str">
        <f>IF(VIPcric_1!F394="","",VIPcric_1!F394)</f>
        <v/>
      </c>
      <c r="G401" t="str">
        <f>IF(VIPcric_1!G394="","",VIPcric_1!G394)</f>
        <v/>
      </c>
      <c r="H401" t="str">
        <f>IF(VIPcric_1!H394="","",VIPcric_1!H394)</f>
        <v/>
      </c>
      <c r="I401" t="str">
        <f>IF(VIPcric_1!M394="","",VIPcric_1!M394)</f>
        <v>CRIC-北海-市场监测.广义存量.广义存量.xlsx</v>
      </c>
    </row>
    <row r="402" spans="1:9">
      <c r="A402" t="str">
        <f>IF(VIPcric_1!A395="","",VIPcric_1!A395)</f>
        <v>2022年</v>
      </c>
      <c r="B402">
        <f>IF(VIPcric_1!B395="","",VIPcric_1!B395)</f>
        <v>12428136</v>
      </c>
      <c r="C402" t="str">
        <f>IF(VIPcric_1!C395="","",VIPcric_1!C395)</f>
        <v/>
      </c>
      <c r="D402" t="str">
        <f>IF(VIPcric_1!D395="","",VIPcric_1!D395)</f>
        <v/>
      </c>
      <c r="E402" t="str">
        <f>IF(VIPcric_1!E395="","",VIPcric_1!E395)</f>
        <v/>
      </c>
      <c r="F402" t="str">
        <f>IF(VIPcric_1!F395="","",VIPcric_1!F395)</f>
        <v/>
      </c>
      <c r="G402" t="str">
        <f>IF(VIPcric_1!G395="","",VIPcric_1!G395)</f>
        <v/>
      </c>
      <c r="H402" t="str">
        <f>IF(VIPcric_1!H395="","",VIPcric_1!H395)</f>
        <v/>
      </c>
      <c r="I402" t="str">
        <f>IF(VIPcric_1!M395="","",VIPcric_1!M395)</f>
        <v>CRIC-北海-市场监测.广义存量.广义存量.xlsx</v>
      </c>
    </row>
    <row r="403" spans="1:9">
      <c r="A403" t="str">
        <f>IF(VIPcric_1!A396="","",VIPcric_1!A396)</f>
        <v/>
      </c>
      <c r="B403" t="str">
        <f>IF(VIPcric_1!B396="","",VIPcric_1!B396)</f>
        <v/>
      </c>
      <c r="C403" t="str">
        <f>IF(VIPcric_1!C396="","",VIPcric_1!C396)</f>
        <v/>
      </c>
      <c r="D403" t="str">
        <f>IF(VIPcric_1!D396="","",VIPcric_1!D396)</f>
        <v/>
      </c>
      <c r="E403" t="str">
        <f>IF(VIPcric_1!E396="","",VIPcric_1!E396)</f>
        <v/>
      </c>
      <c r="F403" t="str">
        <f>IF(VIPcric_1!F396="","",VIPcric_1!F396)</f>
        <v/>
      </c>
      <c r="G403" t="str">
        <f>IF(VIPcric_1!G396="","",VIPcric_1!G396)</f>
        <v/>
      </c>
      <c r="H403" t="str">
        <f>IF(VIPcric_1!H396="","",VIPcric_1!H396)</f>
        <v/>
      </c>
      <c r="I403" t="str">
        <f>IF(VIPcric_1!M396="","",VIPcric_1!M396)</f>
        <v/>
      </c>
    </row>
    <row r="404" spans="1:9">
      <c r="A404" t="str">
        <f>IF(VIPcric_1!A397="","",VIPcric_1!A397)</f>
        <v/>
      </c>
      <c r="B404" t="str">
        <f>IF(VIPcric_1!B397="","",VIPcric_1!B397)</f>
        <v/>
      </c>
      <c r="C404" t="str">
        <f>IF(VIPcric_1!C397="","",VIPcric_1!C397)</f>
        <v/>
      </c>
      <c r="D404" t="str">
        <f>IF(VIPcric_1!D397="","",VIPcric_1!D397)</f>
        <v/>
      </c>
      <c r="E404" t="str">
        <f>IF(VIPcric_1!E397="","",VIPcric_1!E397)</f>
        <v/>
      </c>
      <c r="F404" t="str">
        <f>IF(VIPcric_1!F397="","",VIPcric_1!F397)</f>
        <v/>
      </c>
      <c r="G404" t="str">
        <f>IF(VIPcric_1!G397="","",VIPcric_1!G397)</f>
        <v/>
      </c>
      <c r="H404" t="str">
        <f>IF(VIPcric_1!H397="","",VIPcric_1!H397)</f>
        <v/>
      </c>
      <c r="I404" t="str">
        <f>IF(VIPcric_1!M397="","",VIPcric_1!M397)</f>
        <v>CRIC-南京-市场监测.商品房市场.项目累计.供求.xlsx</v>
      </c>
    </row>
    <row r="405" spans="1:9">
      <c r="A405" t="str">
        <f>IF(VIPcric_1!A398="","",VIPcric_1!A398)</f>
        <v>时间(年)</v>
      </c>
      <c r="B405" t="str">
        <f>IF(VIPcric_1!B398="","",VIPcric_1!B398)</f>
        <v>供应面积(㎡)</v>
      </c>
      <c r="C405" t="str">
        <f>IF(VIPcric_1!C398="","",VIPcric_1!C398)</f>
        <v>供应套数(套)</v>
      </c>
      <c r="D405" t="str">
        <f>IF(VIPcric_1!D398="","",VIPcric_1!D398)</f>
        <v>成交面积(㎡)</v>
      </c>
      <c r="E405" t="str">
        <f>IF(VIPcric_1!E398="","",VIPcric_1!E398)</f>
        <v>成交套数(套)</v>
      </c>
      <c r="F405" t="str">
        <f>IF(VIPcric_1!F398="","",VIPcric_1!F398)</f>
        <v>成交均价(元/㎡)</v>
      </c>
      <c r="G405" t="str">
        <f>IF(VIPcric_1!G398="","",VIPcric_1!G398)</f>
        <v>成交金额(元)</v>
      </c>
      <c r="H405" t="str">
        <f>IF(VIPcric_1!H398="","",VIPcric_1!H398)</f>
        <v>供求比</v>
      </c>
      <c r="I405" t="str">
        <f>IF(VIPcric_1!M398="","",VIPcric_1!M398)</f>
        <v>CRIC-南京-市场监测.商品房市场.项目累计.供求.xlsx</v>
      </c>
    </row>
    <row r="406" spans="1:9">
      <c r="A406" t="str">
        <f>IF(VIPcric_1!A399="","",VIPcric_1!A399)</f>
        <v>2023年</v>
      </c>
      <c r="B406">
        <f>IF(VIPcric_1!B399="","",VIPcric_1!B399)</f>
        <v>5195465</v>
      </c>
      <c r="C406">
        <f>IF(VIPcric_1!C399="","",VIPcric_1!C399)</f>
        <v>42764</v>
      </c>
      <c r="D406">
        <f>IF(VIPcric_1!D399="","",VIPcric_1!D399)</f>
        <v>5961076</v>
      </c>
      <c r="E406">
        <f>IF(VIPcric_1!E399="","",VIPcric_1!E399)</f>
        <v>50073</v>
      </c>
      <c r="F406">
        <f>IF(VIPcric_1!F399="","",VIPcric_1!F399)</f>
        <v>29181</v>
      </c>
      <c r="G406">
        <f>IF(VIPcric_1!G399="","",VIPcric_1!G399)</f>
        <v>173947493598</v>
      </c>
      <c r="H406">
        <f>IF(VIPcric_1!H399="","",VIPcric_1!H399)</f>
        <v>0.87</v>
      </c>
      <c r="I406" t="str">
        <f>IF(VIPcric_1!M399="","",VIPcric_1!M399)</f>
        <v>CRIC-南京-市场监测.商品房市场.项目累计.供求.xlsx</v>
      </c>
    </row>
    <row r="407" spans="1:9">
      <c r="A407" t="str">
        <f>IF(VIPcric_1!A400="","",VIPcric_1!A400)</f>
        <v>2022年</v>
      </c>
      <c r="B407">
        <f>IF(VIPcric_1!B400="","",VIPcric_1!B400)</f>
        <v>6683181</v>
      </c>
      <c r="C407">
        <f>IF(VIPcric_1!C400="","",VIPcric_1!C400)</f>
        <v>55416</v>
      </c>
      <c r="D407">
        <f>IF(VIPcric_1!D400="","",VIPcric_1!D400)</f>
        <v>7356049</v>
      </c>
      <c r="E407">
        <f>IF(VIPcric_1!E400="","",VIPcric_1!E400)</f>
        <v>60194</v>
      </c>
      <c r="F407">
        <f>IF(VIPcric_1!F400="","",VIPcric_1!F400)</f>
        <v>32102</v>
      </c>
      <c r="G407">
        <f>IF(VIPcric_1!G400="","",VIPcric_1!G400)</f>
        <v>236144964976</v>
      </c>
      <c r="H407">
        <f>IF(VIPcric_1!H400="","",VIPcric_1!H400)</f>
        <v>0.91</v>
      </c>
      <c r="I407" t="str">
        <f>IF(VIPcric_1!M400="","",VIPcric_1!M400)</f>
        <v>CRIC-南京-市场监测.商品房市场.项目累计.供求.xlsx</v>
      </c>
    </row>
    <row r="408" spans="1:9">
      <c r="A408" t="str">
        <f>IF(VIPcric_1!A401="","",VIPcric_1!A401)</f>
        <v>2021年</v>
      </c>
      <c r="B408">
        <f>IF(VIPcric_1!B401="","",VIPcric_1!B401)</f>
        <v>13449440</v>
      </c>
      <c r="C408">
        <f>IF(VIPcric_1!C401="","",VIPcric_1!C401)</f>
        <v>116034</v>
      </c>
      <c r="D408">
        <f>IF(VIPcric_1!D401="","",VIPcric_1!D401)</f>
        <v>11540202</v>
      </c>
      <c r="E408">
        <f>IF(VIPcric_1!E401="","",VIPcric_1!E401)</f>
        <v>101002</v>
      </c>
      <c r="F408">
        <f>IF(VIPcric_1!F401="","",VIPcric_1!F401)</f>
        <v>29529</v>
      </c>
      <c r="G408">
        <f>IF(VIPcric_1!G401="","",VIPcric_1!G401)</f>
        <v>340775907037</v>
      </c>
      <c r="H408">
        <f>IF(VIPcric_1!H401="","",VIPcric_1!H401)</f>
        <v>1.17</v>
      </c>
      <c r="I408" t="str">
        <f>IF(VIPcric_1!M401="","",VIPcric_1!M401)</f>
        <v>CRIC-南京-市场监测.商品房市场.项目累计.供求.xlsx</v>
      </c>
    </row>
    <row r="409" spans="1:9">
      <c r="A409" t="str">
        <f>IF(VIPcric_1!A402="","",VIPcric_1!A402)</f>
        <v>2020年</v>
      </c>
      <c r="B409">
        <f>IF(VIPcric_1!B402="","",VIPcric_1!B402)</f>
        <v>11536354</v>
      </c>
      <c r="C409">
        <f>IF(VIPcric_1!C402="","",VIPcric_1!C402)</f>
        <v>101340</v>
      </c>
      <c r="D409">
        <f>IF(VIPcric_1!D402="","",VIPcric_1!D402)</f>
        <v>9119606</v>
      </c>
      <c r="E409">
        <f>IF(VIPcric_1!E402="","",VIPcric_1!E402)</f>
        <v>80700</v>
      </c>
      <c r="F409">
        <f>IF(VIPcric_1!F402="","",VIPcric_1!F402)</f>
        <v>25800</v>
      </c>
      <c r="G409">
        <f>IF(VIPcric_1!G402="","",VIPcric_1!G402)</f>
        <v>235285885663</v>
      </c>
      <c r="H409">
        <f>IF(VIPcric_1!H402="","",VIPcric_1!H402)</f>
        <v>1.27</v>
      </c>
      <c r="I409" t="str">
        <f>IF(VIPcric_1!M402="","",VIPcric_1!M402)</f>
        <v>CRIC-南京-市场监测.商品房市场.项目累计.供求.xlsx</v>
      </c>
    </row>
    <row r="410" spans="1:9">
      <c r="A410" t="str">
        <f>IF(VIPcric_1!A403="","",VIPcric_1!A403)</f>
        <v>2019年</v>
      </c>
      <c r="B410">
        <f>IF(VIPcric_1!B403="","",VIPcric_1!B403)</f>
        <v>9569043</v>
      </c>
      <c r="C410">
        <f>IF(VIPcric_1!C403="","",VIPcric_1!C403)</f>
        <v>84391</v>
      </c>
      <c r="D410">
        <f>IF(VIPcric_1!D403="","",VIPcric_1!D403)</f>
        <v>8603958</v>
      </c>
      <c r="E410">
        <f>IF(VIPcric_1!E403="","",VIPcric_1!E403)</f>
        <v>76608</v>
      </c>
      <c r="F410">
        <f>IF(VIPcric_1!F403="","",VIPcric_1!F403)</f>
        <v>24502</v>
      </c>
      <c r="G410">
        <f>IF(VIPcric_1!G403="","",VIPcric_1!G403)</f>
        <v>210811248870</v>
      </c>
      <c r="H410">
        <f>IF(VIPcric_1!H403="","",VIPcric_1!H403)</f>
        <v>1.1100000000000001</v>
      </c>
      <c r="I410" t="str">
        <f>IF(VIPcric_1!M403="","",VIPcric_1!M403)</f>
        <v>CRIC-南京-市场监测.商品房市场.项目累计.供求.xlsx</v>
      </c>
    </row>
    <row r="411" spans="1:9">
      <c r="A411" t="str">
        <f>IF(VIPcric_1!A404="","",VIPcric_1!A404)</f>
        <v>汇总</v>
      </c>
      <c r="B411">
        <f>IF(VIPcric_1!B404="","",VIPcric_1!B404)</f>
        <v>46433482</v>
      </c>
      <c r="C411">
        <f>IF(VIPcric_1!C404="","",VIPcric_1!C404)</f>
        <v>399945</v>
      </c>
      <c r="D411">
        <f>IF(VIPcric_1!D404="","",VIPcric_1!D404)</f>
        <v>42580891</v>
      </c>
      <c r="E411">
        <f>IF(VIPcric_1!E404="","",VIPcric_1!E404)</f>
        <v>368577</v>
      </c>
      <c r="F411">
        <f>IF(VIPcric_1!F404="","",VIPcric_1!F404)</f>
        <v>28110</v>
      </c>
      <c r="G411">
        <f>IF(VIPcric_1!G404="","",VIPcric_1!G404)</f>
        <v>1196965500144</v>
      </c>
      <c r="H411">
        <f>IF(VIPcric_1!H404="","",VIPcric_1!H404)</f>
        <v>1.0900000000000001</v>
      </c>
      <c r="I411" t="str">
        <f>IF(VIPcric_1!M404="","",VIPcric_1!M404)</f>
        <v>CRIC-南京-市场监测.商品房市场.项目累计.供求.xlsx</v>
      </c>
    </row>
    <row r="412" spans="1:9">
      <c r="A412" t="str">
        <f>IF(VIPcric_1!A405="","",VIPcric_1!A405)</f>
        <v/>
      </c>
      <c r="B412" t="str">
        <f>IF(VIPcric_1!B405="","",VIPcric_1!B405)</f>
        <v/>
      </c>
      <c r="C412" t="str">
        <f>IF(VIPcric_1!C405="","",VIPcric_1!C405)</f>
        <v/>
      </c>
      <c r="D412" t="str">
        <f>IF(VIPcric_1!D405="","",VIPcric_1!D405)</f>
        <v/>
      </c>
      <c r="E412" t="str">
        <f>IF(VIPcric_1!E405="","",VIPcric_1!E405)</f>
        <v/>
      </c>
      <c r="F412" t="str">
        <f>IF(VIPcric_1!F405="","",VIPcric_1!F405)</f>
        <v/>
      </c>
      <c r="G412" t="str">
        <f>IF(VIPcric_1!G405="","",VIPcric_1!G405)</f>
        <v/>
      </c>
      <c r="H412" t="str">
        <f>IF(VIPcric_1!H405="","",VIPcric_1!H405)</f>
        <v/>
      </c>
      <c r="I412" t="str">
        <f>IF(VIPcric_1!M405="","",VIPcric_1!M405)</f>
        <v/>
      </c>
    </row>
    <row r="413" spans="1:9">
      <c r="A413" t="str">
        <f>IF(VIPcric_1!A406="","",VIPcric_1!A406)</f>
        <v/>
      </c>
      <c r="B413" t="str">
        <f>IF(VIPcric_1!B406="","",VIPcric_1!B406)</f>
        <v/>
      </c>
      <c r="C413" t="str">
        <f>IF(VIPcric_1!C406="","",VIPcric_1!C406)</f>
        <v/>
      </c>
      <c r="D413" t="str">
        <f>IF(VIPcric_1!D406="","",VIPcric_1!D406)</f>
        <v/>
      </c>
      <c r="E413" t="str">
        <f>IF(VIPcric_1!E406="","",VIPcric_1!E406)</f>
        <v/>
      </c>
      <c r="F413" t="str">
        <f>IF(VIPcric_1!F406="","",VIPcric_1!F406)</f>
        <v/>
      </c>
      <c r="G413" t="str">
        <f>IF(VIPcric_1!G406="","",VIPcric_1!G406)</f>
        <v/>
      </c>
      <c r="H413" t="str">
        <f>IF(VIPcric_1!H406="","",VIPcric_1!H406)</f>
        <v/>
      </c>
      <c r="I413" t="str">
        <f>IF(VIPcric_1!M406="","",VIPcric_1!M406)</f>
        <v>CRIC-南京-市场监测.商品房市场.项目累计.库存.xlsx</v>
      </c>
    </row>
    <row r="414" spans="1:9">
      <c r="A414" t="str">
        <f>IF(VIPcric_1!A407="","",VIPcric_1!A407)</f>
        <v>时间(年)</v>
      </c>
      <c r="B414" t="str">
        <f>IF(VIPcric_1!B407="","",VIPcric_1!B407)</f>
        <v>库存面积(㎡)</v>
      </c>
      <c r="C414" t="str">
        <f>IF(VIPcric_1!C407="","",VIPcric_1!C407)</f>
        <v>库存套数(套)</v>
      </c>
      <c r="D414" t="str">
        <f>IF(VIPcric_1!D407="","",VIPcric_1!D407)</f>
        <v>去化周期12'(月)</v>
      </c>
      <c r="E414" t="str">
        <f>IF(VIPcric_1!E407="","",VIPcric_1!E407)</f>
        <v/>
      </c>
      <c r="F414" t="str">
        <f>IF(VIPcric_1!F407="","",VIPcric_1!F407)</f>
        <v/>
      </c>
      <c r="G414" t="str">
        <f>IF(VIPcric_1!G407="","",VIPcric_1!G407)</f>
        <v/>
      </c>
      <c r="H414" t="str">
        <f>IF(VIPcric_1!H407="","",VIPcric_1!H407)</f>
        <v/>
      </c>
      <c r="I414" t="str">
        <f>IF(VIPcric_1!M407="","",VIPcric_1!M407)</f>
        <v>CRIC-南京-市场监测.商品房市场.项目累计.库存.xlsx</v>
      </c>
    </row>
    <row r="415" spans="1:9">
      <c r="A415" t="str">
        <f>IF(VIPcric_1!A408="","",VIPcric_1!A408)</f>
        <v>2023年</v>
      </c>
      <c r="B415">
        <f>IF(VIPcric_1!B408="","",VIPcric_1!B408)</f>
        <v>7412914</v>
      </c>
      <c r="C415">
        <f>IF(VIPcric_1!C408="","",VIPcric_1!C408)</f>
        <v>62646</v>
      </c>
      <c r="D415">
        <f>IF(VIPcric_1!D408="","",VIPcric_1!D408)</f>
        <v>14.9</v>
      </c>
      <c r="E415" t="str">
        <f>IF(VIPcric_1!E408="","",VIPcric_1!E408)</f>
        <v/>
      </c>
      <c r="F415" t="str">
        <f>IF(VIPcric_1!F408="","",VIPcric_1!F408)</f>
        <v/>
      </c>
      <c r="G415" t="str">
        <f>IF(VIPcric_1!G408="","",VIPcric_1!G408)</f>
        <v/>
      </c>
      <c r="H415" t="str">
        <f>IF(VIPcric_1!H408="","",VIPcric_1!H408)</f>
        <v/>
      </c>
      <c r="I415" t="str">
        <f>IF(VIPcric_1!M408="","",VIPcric_1!M408)</f>
        <v>CRIC-南京-市场监测.商品房市场.项目累计.库存.xlsx</v>
      </c>
    </row>
    <row r="416" spans="1:9">
      <c r="A416" t="str">
        <f>IF(VIPcric_1!A409="","",VIPcric_1!A409)</f>
        <v>2022年</v>
      </c>
      <c r="B416">
        <f>IF(VIPcric_1!B409="","",VIPcric_1!B409)</f>
        <v>7751089</v>
      </c>
      <c r="C416">
        <f>IF(VIPcric_1!C409="","",VIPcric_1!C409)</f>
        <v>66246</v>
      </c>
      <c r="D416">
        <f>IF(VIPcric_1!D409="","",VIPcric_1!D409)</f>
        <v>12.6</v>
      </c>
      <c r="E416" t="str">
        <f>IF(VIPcric_1!E409="","",VIPcric_1!E409)</f>
        <v/>
      </c>
      <c r="F416" t="str">
        <f>IF(VIPcric_1!F409="","",VIPcric_1!F409)</f>
        <v/>
      </c>
      <c r="G416" t="str">
        <f>IF(VIPcric_1!G409="","",VIPcric_1!G409)</f>
        <v/>
      </c>
      <c r="H416" t="str">
        <f>IF(VIPcric_1!H409="","",VIPcric_1!H409)</f>
        <v/>
      </c>
      <c r="I416" t="str">
        <f>IF(VIPcric_1!M409="","",VIPcric_1!M409)</f>
        <v>CRIC-南京-市场监测.商品房市场.项目累计.库存.xlsx</v>
      </c>
    </row>
    <row r="417" spans="1:9">
      <c r="A417" t="str">
        <f>IF(VIPcric_1!A410="","",VIPcric_1!A410)</f>
        <v>2021年</v>
      </c>
      <c r="B417">
        <f>IF(VIPcric_1!B410="","",VIPcric_1!B410)</f>
        <v>7330428</v>
      </c>
      <c r="C417">
        <f>IF(VIPcric_1!C410="","",VIPcric_1!C410)</f>
        <v>63048</v>
      </c>
      <c r="D417">
        <f>IF(VIPcric_1!D410="","",VIPcric_1!D410)</f>
        <v>7.6</v>
      </c>
      <c r="E417" t="str">
        <f>IF(VIPcric_1!E410="","",VIPcric_1!E410)</f>
        <v/>
      </c>
      <c r="F417" t="str">
        <f>IF(VIPcric_1!F410="","",VIPcric_1!F410)</f>
        <v/>
      </c>
      <c r="G417" t="str">
        <f>IF(VIPcric_1!G410="","",VIPcric_1!G410)</f>
        <v/>
      </c>
      <c r="H417" t="str">
        <f>IF(VIPcric_1!H410="","",VIPcric_1!H410)</f>
        <v/>
      </c>
      <c r="I417" t="str">
        <f>IF(VIPcric_1!M410="","",VIPcric_1!M410)</f>
        <v>CRIC-南京-市场监测.商品房市场.项目累计.库存.xlsx</v>
      </c>
    </row>
    <row r="418" spans="1:9">
      <c r="A418" t="str">
        <f>IF(VIPcric_1!A411="","",VIPcric_1!A411)</f>
        <v>2020年</v>
      </c>
      <c r="B418">
        <f>IF(VIPcric_1!B411="","",VIPcric_1!B411)</f>
        <v>5625659</v>
      </c>
      <c r="C418">
        <f>IF(VIPcric_1!C411="","",VIPcric_1!C411)</f>
        <v>48356</v>
      </c>
      <c r="D418">
        <f>IF(VIPcric_1!D411="","",VIPcric_1!D411)</f>
        <v>7.4</v>
      </c>
      <c r="E418" t="str">
        <f>IF(VIPcric_1!E411="","",VIPcric_1!E411)</f>
        <v/>
      </c>
      <c r="F418" t="str">
        <f>IF(VIPcric_1!F411="","",VIPcric_1!F411)</f>
        <v/>
      </c>
      <c r="G418" t="str">
        <f>IF(VIPcric_1!G411="","",VIPcric_1!G411)</f>
        <v/>
      </c>
      <c r="H418" t="str">
        <f>IF(VIPcric_1!H411="","",VIPcric_1!H411)</f>
        <v/>
      </c>
      <c r="I418" t="str">
        <f>IF(VIPcric_1!M411="","",VIPcric_1!M411)</f>
        <v>CRIC-南京-市场监测.商品房市场.项目累计.库存.xlsx</v>
      </c>
    </row>
    <row r="419" spans="1:9">
      <c r="A419" t="str">
        <f>IF(VIPcric_1!A412="","",VIPcric_1!A412)</f>
        <v>2019年</v>
      </c>
      <c r="B419">
        <f>IF(VIPcric_1!B412="","",VIPcric_1!B412)</f>
        <v>4109279</v>
      </c>
      <c r="C419">
        <f>IF(VIPcric_1!C412="","",VIPcric_1!C412)</f>
        <v>34168</v>
      </c>
      <c r="D419">
        <f>IF(VIPcric_1!D412="","",VIPcric_1!D412)</f>
        <v>5.7</v>
      </c>
      <c r="E419" t="str">
        <f>IF(VIPcric_1!E412="","",VIPcric_1!E412)</f>
        <v/>
      </c>
      <c r="F419" t="str">
        <f>IF(VIPcric_1!F412="","",VIPcric_1!F412)</f>
        <v/>
      </c>
      <c r="G419" t="str">
        <f>IF(VIPcric_1!G412="","",VIPcric_1!G412)</f>
        <v/>
      </c>
      <c r="H419" t="str">
        <f>IF(VIPcric_1!H412="","",VIPcric_1!H412)</f>
        <v/>
      </c>
      <c r="I419" t="str">
        <f>IF(VIPcric_1!M412="","",VIPcric_1!M412)</f>
        <v>CRIC-南京-市场监测.商品房市场.项目累计.库存.xlsx</v>
      </c>
    </row>
    <row r="420" spans="1:9">
      <c r="A420" t="str">
        <f>IF(VIPcric_1!A413="","",VIPcric_1!A413)</f>
        <v/>
      </c>
      <c r="B420" t="str">
        <f>IF(VIPcric_1!B413="","",VIPcric_1!B413)</f>
        <v/>
      </c>
      <c r="C420" t="str">
        <f>IF(VIPcric_1!C413="","",VIPcric_1!C413)</f>
        <v/>
      </c>
      <c r="D420" t="str">
        <f>IF(VIPcric_1!D413="","",VIPcric_1!D413)</f>
        <v/>
      </c>
      <c r="E420" t="str">
        <f>IF(VIPcric_1!E413="","",VIPcric_1!E413)</f>
        <v/>
      </c>
      <c r="F420" t="str">
        <f>IF(VIPcric_1!F413="","",VIPcric_1!F413)</f>
        <v/>
      </c>
      <c r="G420" t="str">
        <f>IF(VIPcric_1!G413="","",VIPcric_1!G413)</f>
        <v/>
      </c>
      <c r="H420" t="str">
        <f>IF(VIPcric_1!H413="","",VIPcric_1!H413)</f>
        <v/>
      </c>
      <c r="I420" t="str">
        <f>IF(VIPcric_1!M413="","",VIPcric_1!M413)</f>
        <v/>
      </c>
    </row>
    <row r="421" spans="1:9">
      <c r="A421" t="str">
        <f>IF(VIPcric_1!A414="","",VIPcric_1!A414)</f>
        <v/>
      </c>
      <c r="B421" t="str">
        <f>IF(VIPcric_1!B414="","",VIPcric_1!B414)</f>
        <v/>
      </c>
      <c r="C421" t="str">
        <f>IF(VIPcric_1!C414="","",VIPcric_1!C414)</f>
        <v/>
      </c>
      <c r="D421" t="str">
        <f>IF(VIPcric_1!D414="","",VIPcric_1!D414)</f>
        <v/>
      </c>
      <c r="E421" t="str">
        <f>IF(VIPcric_1!E414="","",VIPcric_1!E414)</f>
        <v/>
      </c>
      <c r="F421" t="str">
        <f>IF(VIPcric_1!F414="","",VIPcric_1!F414)</f>
        <v/>
      </c>
      <c r="G421" t="str">
        <f>IF(VIPcric_1!G414="","",VIPcric_1!G414)</f>
        <v/>
      </c>
      <c r="H421" t="str">
        <f>IF(VIPcric_1!H414="","",VIPcric_1!H414)</f>
        <v/>
      </c>
      <c r="I421" t="str">
        <f>IF(VIPcric_1!M414="","",VIPcric_1!M414)</f>
        <v>CRIC-南宁-市场监测.商品房市场.项目累计.供求.xlsx</v>
      </c>
    </row>
    <row r="422" spans="1:9">
      <c r="A422" t="str">
        <f>IF(VIPcric_1!A415="","",VIPcric_1!A415)</f>
        <v>时间(年)</v>
      </c>
      <c r="B422" t="str">
        <f>IF(VIPcric_1!B415="","",VIPcric_1!B415)</f>
        <v>供应面积(㎡)</v>
      </c>
      <c r="C422" t="str">
        <f>IF(VIPcric_1!C415="","",VIPcric_1!C415)</f>
        <v>供应套数(套)</v>
      </c>
      <c r="D422" t="str">
        <f>IF(VIPcric_1!D415="","",VIPcric_1!D415)</f>
        <v>成交面积(㎡)</v>
      </c>
      <c r="E422" t="str">
        <f>IF(VIPcric_1!E415="","",VIPcric_1!E415)</f>
        <v>成交套数(套)</v>
      </c>
      <c r="F422" t="str">
        <f>IF(VIPcric_1!F415="","",VIPcric_1!F415)</f>
        <v>成交均价(元/㎡)</v>
      </c>
      <c r="G422" t="str">
        <f>IF(VIPcric_1!G415="","",VIPcric_1!G415)</f>
        <v>成交金额(元)</v>
      </c>
      <c r="H422" t="str">
        <f>IF(VIPcric_1!H415="","",VIPcric_1!H415)</f>
        <v>供求比</v>
      </c>
      <c r="I422" t="str">
        <f>IF(VIPcric_1!M415="","",VIPcric_1!M415)</f>
        <v>CRIC-南宁-市场监测.商品房市场.项目累计.供求.xlsx</v>
      </c>
    </row>
    <row r="423" spans="1:9">
      <c r="A423" t="str">
        <f>IF(VIPcric_1!A416="","",VIPcric_1!A416)</f>
        <v>2023年</v>
      </c>
      <c r="B423">
        <f>IF(VIPcric_1!B416="","",VIPcric_1!B416)</f>
        <v>3318197</v>
      </c>
      <c r="C423">
        <f>IF(VIPcric_1!C416="","",VIPcric_1!C416)</f>
        <v>29885</v>
      </c>
      <c r="D423">
        <f>IF(VIPcric_1!D416="","",VIPcric_1!D416)</f>
        <v>3904920</v>
      </c>
      <c r="E423">
        <f>IF(VIPcric_1!E416="","",VIPcric_1!E416)</f>
        <v>35638</v>
      </c>
      <c r="F423">
        <f>IF(VIPcric_1!F416="","",VIPcric_1!F416)</f>
        <v>11733</v>
      </c>
      <c r="G423">
        <f>IF(VIPcric_1!G416="","",VIPcric_1!G416)</f>
        <v>45817379988</v>
      </c>
      <c r="H423">
        <f>IF(VIPcric_1!H416="","",VIPcric_1!H416)</f>
        <v>0.85</v>
      </c>
      <c r="I423" t="str">
        <f>IF(VIPcric_1!M416="","",VIPcric_1!M416)</f>
        <v>CRIC-南宁-市场监测.商品房市场.项目累计.供求.xlsx</v>
      </c>
    </row>
    <row r="424" spans="1:9">
      <c r="A424" t="str">
        <f>IF(VIPcric_1!A417="","",VIPcric_1!A417)</f>
        <v>2022年</v>
      </c>
      <c r="B424">
        <f>IF(VIPcric_1!B417="","",VIPcric_1!B417)</f>
        <v>2809433</v>
      </c>
      <c r="C424">
        <f>IF(VIPcric_1!C417="","",VIPcric_1!C417)</f>
        <v>25148</v>
      </c>
      <c r="D424">
        <f>IF(VIPcric_1!D417="","",VIPcric_1!D417)</f>
        <v>3582813</v>
      </c>
      <c r="E424">
        <f>IF(VIPcric_1!E417="","",VIPcric_1!E417)</f>
        <v>31799</v>
      </c>
      <c r="F424">
        <f>IF(VIPcric_1!F417="","",VIPcric_1!F417)</f>
        <v>12091</v>
      </c>
      <c r="G424">
        <f>IF(VIPcric_1!G417="","",VIPcric_1!G417)</f>
        <v>43318856518</v>
      </c>
      <c r="H424">
        <f>IF(VIPcric_1!H417="","",VIPcric_1!H417)</f>
        <v>0.78</v>
      </c>
      <c r="I424" t="str">
        <f>IF(VIPcric_1!M417="","",VIPcric_1!M417)</f>
        <v>CRIC-南宁-市场监测.商品房市场.项目累计.供求.xlsx</v>
      </c>
    </row>
    <row r="425" spans="1:9">
      <c r="A425" t="str">
        <f>IF(VIPcric_1!A418="","",VIPcric_1!A418)</f>
        <v>2021年</v>
      </c>
      <c r="B425">
        <f>IF(VIPcric_1!B418="","",VIPcric_1!B418)</f>
        <v>6848591</v>
      </c>
      <c r="C425">
        <f>IF(VIPcric_1!C418="","",VIPcric_1!C418)</f>
        <v>63984</v>
      </c>
      <c r="D425">
        <f>IF(VIPcric_1!D418="","",VIPcric_1!D418)</f>
        <v>5715569</v>
      </c>
      <c r="E425">
        <f>IF(VIPcric_1!E418="","",VIPcric_1!E418)</f>
        <v>52500</v>
      </c>
      <c r="F425">
        <f>IF(VIPcric_1!F418="","",VIPcric_1!F418)</f>
        <v>12757</v>
      </c>
      <c r="G425">
        <f>IF(VIPcric_1!G418="","",VIPcric_1!G418)</f>
        <v>72911847600</v>
      </c>
      <c r="H425">
        <f>IF(VIPcric_1!H418="","",VIPcric_1!H418)</f>
        <v>1.2</v>
      </c>
      <c r="I425" t="str">
        <f>IF(VIPcric_1!M418="","",VIPcric_1!M418)</f>
        <v>CRIC-南宁-市场监测.商品房市场.项目累计.供求.xlsx</v>
      </c>
    </row>
    <row r="426" spans="1:9">
      <c r="A426" t="str">
        <f>IF(VIPcric_1!A419="","",VIPcric_1!A419)</f>
        <v>2020年</v>
      </c>
      <c r="B426">
        <f>IF(VIPcric_1!B419="","",VIPcric_1!B419)</f>
        <v>10636928</v>
      </c>
      <c r="C426">
        <f>IF(VIPcric_1!C419="","",VIPcric_1!C419)</f>
        <v>95019</v>
      </c>
      <c r="D426">
        <f>IF(VIPcric_1!D419="","",VIPcric_1!D419)</f>
        <v>9098337</v>
      </c>
      <c r="E426">
        <f>IF(VIPcric_1!E419="","",VIPcric_1!E419)</f>
        <v>82725</v>
      </c>
      <c r="F426">
        <f>IF(VIPcric_1!F419="","",VIPcric_1!F419)</f>
        <v>12240</v>
      </c>
      <c r="G426">
        <f>IF(VIPcric_1!G419="","",VIPcric_1!G419)</f>
        <v>111362849631</v>
      </c>
      <c r="H426">
        <f>IF(VIPcric_1!H419="","",VIPcric_1!H419)</f>
        <v>1.17</v>
      </c>
      <c r="I426" t="str">
        <f>IF(VIPcric_1!M419="","",VIPcric_1!M419)</f>
        <v>CRIC-南宁-市场监测.商品房市场.项目累计.供求.xlsx</v>
      </c>
    </row>
    <row r="427" spans="1:9">
      <c r="A427" t="str">
        <f>IF(VIPcric_1!A420="","",VIPcric_1!A420)</f>
        <v>2019年</v>
      </c>
      <c r="B427">
        <f>IF(VIPcric_1!B420="","",VIPcric_1!B420)</f>
        <v>12320826</v>
      </c>
      <c r="C427">
        <f>IF(VIPcric_1!C420="","",VIPcric_1!C420)</f>
        <v>112316</v>
      </c>
      <c r="D427">
        <f>IF(VIPcric_1!D420="","",VIPcric_1!D420)</f>
        <v>11348852</v>
      </c>
      <c r="E427">
        <f>IF(VIPcric_1!E420="","",VIPcric_1!E420)</f>
        <v>103519</v>
      </c>
      <c r="F427">
        <f>IF(VIPcric_1!F420="","",VIPcric_1!F420)</f>
        <v>11402</v>
      </c>
      <c r="G427">
        <f>IF(VIPcric_1!G420="","",VIPcric_1!G420)</f>
        <v>129398780917</v>
      </c>
      <c r="H427">
        <f>IF(VIPcric_1!H420="","",VIPcric_1!H420)</f>
        <v>1.0900000000000001</v>
      </c>
      <c r="I427" t="str">
        <f>IF(VIPcric_1!M420="","",VIPcric_1!M420)</f>
        <v>CRIC-南宁-市场监测.商品房市场.项目累计.供求.xlsx</v>
      </c>
    </row>
    <row r="428" spans="1:9">
      <c r="A428" t="str">
        <f>IF(VIPcric_1!A421="","",VIPcric_1!A421)</f>
        <v>汇总</v>
      </c>
      <c r="B428">
        <f>IF(VIPcric_1!B421="","",VIPcric_1!B421)</f>
        <v>35933976</v>
      </c>
      <c r="C428">
        <f>IF(VIPcric_1!C421="","",VIPcric_1!C421)</f>
        <v>326352</v>
      </c>
      <c r="D428">
        <f>IF(VIPcric_1!D421="","",VIPcric_1!D421)</f>
        <v>33650491</v>
      </c>
      <c r="E428">
        <f>IF(VIPcric_1!E421="","",VIPcric_1!E421)</f>
        <v>306181</v>
      </c>
      <c r="F428">
        <f>IF(VIPcric_1!F421="","",VIPcric_1!F421)</f>
        <v>11970</v>
      </c>
      <c r="G428">
        <f>IF(VIPcric_1!G421="","",VIPcric_1!G421)</f>
        <v>402809714655</v>
      </c>
      <c r="H428">
        <f>IF(VIPcric_1!H421="","",VIPcric_1!H421)</f>
        <v>1.07</v>
      </c>
      <c r="I428" t="str">
        <f>IF(VIPcric_1!M421="","",VIPcric_1!M421)</f>
        <v>CRIC-南宁-市场监测.商品房市场.项目累计.供求.xlsx</v>
      </c>
    </row>
    <row r="429" spans="1:9">
      <c r="A429" t="str">
        <f>IF(VIPcric_1!A422="","",VIPcric_1!A422)</f>
        <v/>
      </c>
      <c r="B429" t="str">
        <f>IF(VIPcric_1!B422="","",VIPcric_1!B422)</f>
        <v/>
      </c>
      <c r="C429" t="str">
        <f>IF(VIPcric_1!C422="","",VIPcric_1!C422)</f>
        <v/>
      </c>
      <c r="D429" t="str">
        <f>IF(VIPcric_1!D422="","",VIPcric_1!D422)</f>
        <v/>
      </c>
      <c r="E429" t="str">
        <f>IF(VIPcric_1!E422="","",VIPcric_1!E422)</f>
        <v/>
      </c>
      <c r="F429" t="str">
        <f>IF(VIPcric_1!F422="","",VIPcric_1!F422)</f>
        <v/>
      </c>
      <c r="G429" t="str">
        <f>IF(VIPcric_1!G422="","",VIPcric_1!G422)</f>
        <v/>
      </c>
      <c r="H429" t="str">
        <f>IF(VIPcric_1!H422="","",VIPcric_1!H422)</f>
        <v/>
      </c>
      <c r="I429" t="str">
        <f>IF(VIPcric_1!M422="","",VIPcric_1!M422)</f>
        <v/>
      </c>
    </row>
    <row r="430" spans="1:9">
      <c r="A430" t="str">
        <f>IF(VIPcric_1!A423="","",VIPcric_1!A423)</f>
        <v/>
      </c>
      <c r="B430" t="str">
        <f>IF(VIPcric_1!B423="","",VIPcric_1!B423)</f>
        <v/>
      </c>
      <c r="C430" t="str">
        <f>IF(VIPcric_1!C423="","",VIPcric_1!C423)</f>
        <v/>
      </c>
      <c r="D430" t="str">
        <f>IF(VIPcric_1!D423="","",VIPcric_1!D423)</f>
        <v/>
      </c>
      <c r="E430" t="str">
        <f>IF(VIPcric_1!E423="","",VIPcric_1!E423)</f>
        <v/>
      </c>
      <c r="F430" t="str">
        <f>IF(VIPcric_1!F423="","",VIPcric_1!F423)</f>
        <v/>
      </c>
      <c r="G430" t="str">
        <f>IF(VIPcric_1!G423="","",VIPcric_1!G423)</f>
        <v/>
      </c>
      <c r="H430" t="str">
        <f>IF(VIPcric_1!H423="","",VIPcric_1!H423)</f>
        <v/>
      </c>
      <c r="I430" t="str">
        <f>IF(VIPcric_1!M423="","",VIPcric_1!M423)</f>
        <v>CRIC-南宁-市场监测.商品房市场.项目累计.库存.xlsx</v>
      </c>
    </row>
    <row r="431" spans="1:9">
      <c r="A431" t="str">
        <f>IF(VIPcric_1!A424="","",VIPcric_1!A424)</f>
        <v>时间(年)</v>
      </c>
      <c r="B431" t="str">
        <f>IF(VIPcric_1!B424="","",VIPcric_1!B424)</f>
        <v>库存面积(㎡)</v>
      </c>
      <c r="C431" t="str">
        <f>IF(VIPcric_1!C424="","",VIPcric_1!C424)</f>
        <v>库存套数(套)</v>
      </c>
      <c r="D431" t="str">
        <f>IF(VIPcric_1!D424="","",VIPcric_1!D424)</f>
        <v>去化周期12'(月)</v>
      </c>
      <c r="E431" t="str">
        <f>IF(VIPcric_1!E424="","",VIPcric_1!E424)</f>
        <v>去化周期24'(月)</v>
      </c>
      <c r="F431" t="str">
        <f>IF(VIPcric_1!F424="","",VIPcric_1!F424)</f>
        <v/>
      </c>
      <c r="G431" t="str">
        <f>IF(VIPcric_1!G424="","",VIPcric_1!G424)</f>
        <v/>
      </c>
      <c r="H431" t="str">
        <f>IF(VIPcric_1!H424="","",VIPcric_1!H424)</f>
        <v/>
      </c>
      <c r="I431" t="str">
        <f>IF(VIPcric_1!M424="","",VIPcric_1!M424)</f>
        <v>CRIC-南宁-市场监测.商品房市场.项目累计.库存.xlsx</v>
      </c>
    </row>
    <row r="432" spans="1:9">
      <c r="A432" t="str">
        <f>IF(VIPcric_1!A425="","",VIPcric_1!A425)</f>
        <v>2023年</v>
      </c>
      <c r="B432">
        <f>IF(VIPcric_1!B425="","",VIPcric_1!B425)</f>
        <v>6404381</v>
      </c>
      <c r="C432">
        <f>IF(VIPcric_1!C425="","",VIPcric_1!C425)</f>
        <v>56653</v>
      </c>
      <c r="D432">
        <f>IF(VIPcric_1!D425="","",VIPcric_1!D425)</f>
        <v>19.7</v>
      </c>
      <c r="E432">
        <f>IF(VIPcric_1!E425="","",VIPcric_1!E425)</f>
        <v>20.5</v>
      </c>
      <c r="F432" t="str">
        <f>IF(VIPcric_1!F425="","",VIPcric_1!F425)</f>
        <v/>
      </c>
      <c r="G432" t="str">
        <f>IF(VIPcric_1!G425="","",VIPcric_1!G425)</f>
        <v/>
      </c>
      <c r="H432" t="str">
        <f>IF(VIPcric_1!H425="","",VIPcric_1!H425)</f>
        <v/>
      </c>
      <c r="I432" t="str">
        <f>IF(VIPcric_1!M425="","",VIPcric_1!M425)</f>
        <v>CRIC-南宁-市场监测.商品房市场.项目累计.库存.xlsx</v>
      </c>
    </row>
    <row r="433" spans="1:9">
      <c r="A433" t="str">
        <f>IF(VIPcric_1!A426="","",VIPcric_1!A426)</f>
        <v>2022年</v>
      </c>
      <c r="B433">
        <f>IF(VIPcric_1!B426="","",VIPcric_1!B426)</f>
        <v>7388289</v>
      </c>
      <c r="C433">
        <f>IF(VIPcric_1!C426="","",VIPcric_1!C426)</f>
        <v>66025</v>
      </c>
      <c r="D433">
        <f>IF(VIPcric_1!D426="","",VIPcric_1!D426)</f>
        <v>24.7</v>
      </c>
      <c r="E433">
        <f>IF(VIPcric_1!E426="","",VIPcric_1!E426)</f>
        <v>19.100000000000001</v>
      </c>
      <c r="F433" t="str">
        <f>IF(VIPcric_1!F426="","",VIPcric_1!F426)</f>
        <v/>
      </c>
      <c r="G433" t="str">
        <f>IF(VIPcric_1!G426="","",VIPcric_1!G426)</f>
        <v/>
      </c>
      <c r="H433" t="str">
        <f>IF(VIPcric_1!H426="","",VIPcric_1!H426)</f>
        <v/>
      </c>
      <c r="I433" t="str">
        <f>IF(VIPcric_1!M426="","",VIPcric_1!M426)</f>
        <v>CRIC-南宁-市场监测.商品房市场.项目累计.库存.xlsx</v>
      </c>
    </row>
    <row r="434" spans="1:9">
      <c r="A434" t="str">
        <f>IF(VIPcric_1!A427="","",VIPcric_1!A427)</f>
        <v>2021年</v>
      </c>
      <c r="B434">
        <f>IF(VIPcric_1!B427="","",VIPcric_1!B427)</f>
        <v>7833152</v>
      </c>
      <c r="C434">
        <f>IF(VIPcric_1!C427="","",VIPcric_1!C427)</f>
        <v>70029</v>
      </c>
      <c r="D434">
        <f>IF(VIPcric_1!D427="","",VIPcric_1!D427)</f>
        <v>16.399999999999999</v>
      </c>
      <c r="E434">
        <f>IF(VIPcric_1!E427="","",VIPcric_1!E427)</f>
        <v>12.7</v>
      </c>
      <c r="F434" t="str">
        <f>IF(VIPcric_1!F427="","",VIPcric_1!F427)</f>
        <v/>
      </c>
      <c r="G434" t="str">
        <f>IF(VIPcric_1!G427="","",VIPcric_1!G427)</f>
        <v/>
      </c>
      <c r="H434" t="str">
        <f>IF(VIPcric_1!H427="","",VIPcric_1!H427)</f>
        <v/>
      </c>
      <c r="I434" t="str">
        <f>IF(VIPcric_1!M427="","",VIPcric_1!M427)</f>
        <v>CRIC-南宁-市场监测.商品房市场.项目累计.库存.xlsx</v>
      </c>
    </row>
    <row r="435" spans="1:9">
      <c r="A435" t="str">
        <f>IF(VIPcric_1!A428="","",VIPcric_1!A428)</f>
        <v>2020年</v>
      </c>
      <c r="B435">
        <f>IF(VIPcric_1!B428="","",VIPcric_1!B428)</f>
        <v>6665362</v>
      </c>
      <c r="C435">
        <f>IF(VIPcric_1!C428="","",VIPcric_1!C428)</f>
        <v>57940</v>
      </c>
      <c r="D435">
        <f>IF(VIPcric_1!D428="","",VIPcric_1!D428)</f>
        <v>8.8000000000000007</v>
      </c>
      <c r="E435">
        <f>IF(VIPcric_1!E428="","",VIPcric_1!E428)</f>
        <v>7.8</v>
      </c>
      <c r="F435" t="str">
        <f>IF(VIPcric_1!F428="","",VIPcric_1!F428)</f>
        <v/>
      </c>
      <c r="G435" t="str">
        <f>IF(VIPcric_1!G428="","",VIPcric_1!G428)</f>
        <v/>
      </c>
      <c r="H435" t="str">
        <f>IF(VIPcric_1!H428="","",VIPcric_1!H428)</f>
        <v/>
      </c>
      <c r="I435" t="str">
        <f>IF(VIPcric_1!M428="","",VIPcric_1!M428)</f>
        <v>CRIC-南宁-市场监测.商品房市场.项目累计.库存.xlsx</v>
      </c>
    </row>
    <row r="436" spans="1:9">
      <c r="A436" t="str">
        <f>IF(VIPcric_1!A429="","",VIPcric_1!A429)</f>
        <v>2019年</v>
      </c>
      <c r="B436">
        <f>IF(VIPcric_1!B429="","",VIPcric_1!B429)</f>
        <v>5166535</v>
      </c>
      <c r="C436">
        <f>IF(VIPcric_1!C429="","",VIPcric_1!C429)</f>
        <v>46745</v>
      </c>
      <c r="D436">
        <f>IF(VIPcric_1!D429="","",VIPcric_1!D429)</f>
        <v>5.5</v>
      </c>
      <c r="E436">
        <f>IF(VIPcric_1!E429="","",VIPcric_1!E429)</f>
        <v>5.9</v>
      </c>
      <c r="F436" t="str">
        <f>IF(VIPcric_1!F429="","",VIPcric_1!F429)</f>
        <v/>
      </c>
      <c r="G436" t="str">
        <f>IF(VIPcric_1!G429="","",VIPcric_1!G429)</f>
        <v/>
      </c>
      <c r="H436" t="str">
        <f>IF(VIPcric_1!H429="","",VIPcric_1!H429)</f>
        <v/>
      </c>
      <c r="I436" t="str">
        <f>IF(VIPcric_1!M429="","",VIPcric_1!M429)</f>
        <v>CRIC-南宁-市场监测.商品房市场.项目累计.库存.xlsx</v>
      </c>
    </row>
    <row r="437" spans="1:9">
      <c r="A437" t="str">
        <f>IF(VIPcric_1!A430="","",VIPcric_1!A430)</f>
        <v/>
      </c>
      <c r="B437" t="str">
        <f>IF(VIPcric_1!B430="","",VIPcric_1!B430)</f>
        <v/>
      </c>
      <c r="C437" t="str">
        <f>IF(VIPcric_1!C430="","",VIPcric_1!C430)</f>
        <v/>
      </c>
      <c r="D437" t="str">
        <f>IF(VIPcric_1!D430="","",VIPcric_1!D430)</f>
        <v/>
      </c>
      <c r="E437" t="str">
        <f>IF(VIPcric_1!E430="","",VIPcric_1!E430)</f>
        <v/>
      </c>
      <c r="F437" t="str">
        <f>IF(VIPcric_1!F430="","",VIPcric_1!F430)</f>
        <v/>
      </c>
      <c r="G437" t="str">
        <f>IF(VIPcric_1!G430="","",VIPcric_1!G430)</f>
        <v/>
      </c>
      <c r="H437" t="str">
        <f>IF(VIPcric_1!H430="","",VIPcric_1!H430)</f>
        <v/>
      </c>
      <c r="I437" t="str">
        <f>IF(VIPcric_1!M430="","",VIPcric_1!M430)</f>
        <v/>
      </c>
    </row>
    <row r="438" spans="1:9">
      <c r="A438" t="str">
        <f>IF(VIPcric_1!A431="","",VIPcric_1!A431)</f>
        <v/>
      </c>
      <c r="B438" t="str">
        <f>IF(VIPcric_1!B431="","",VIPcric_1!B431)</f>
        <v/>
      </c>
      <c r="C438" t="str">
        <f>IF(VIPcric_1!C431="","",VIPcric_1!C431)</f>
        <v/>
      </c>
      <c r="D438" t="str">
        <f>IF(VIPcric_1!D431="","",VIPcric_1!D431)</f>
        <v/>
      </c>
      <c r="E438" t="str">
        <f>IF(VIPcric_1!E431="","",VIPcric_1!E431)</f>
        <v/>
      </c>
      <c r="F438" t="str">
        <f>IF(VIPcric_1!F431="","",VIPcric_1!F431)</f>
        <v/>
      </c>
      <c r="G438" t="str">
        <f>IF(VIPcric_1!G431="","",VIPcric_1!G431)</f>
        <v/>
      </c>
      <c r="H438" t="str">
        <f>IF(VIPcric_1!H431="","",VIPcric_1!H431)</f>
        <v/>
      </c>
      <c r="I438" t="str">
        <f>IF(VIPcric_1!M431="","",VIPcric_1!M431)</f>
        <v>CRIC-南昌-市场监测.商品房市场.项目累计.供求.xlsx</v>
      </c>
    </row>
    <row r="439" spans="1:9">
      <c r="A439" t="str">
        <f>IF(VIPcric_1!A432="","",VIPcric_1!A432)</f>
        <v>时间(年)</v>
      </c>
      <c r="B439" t="str">
        <f>IF(VIPcric_1!B432="","",VIPcric_1!B432)</f>
        <v>供应面积(㎡)</v>
      </c>
      <c r="C439" t="str">
        <f>IF(VIPcric_1!C432="","",VIPcric_1!C432)</f>
        <v>供应套数(套)</v>
      </c>
      <c r="D439" t="str">
        <f>IF(VIPcric_1!D432="","",VIPcric_1!D432)</f>
        <v>成交面积(㎡)</v>
      </c>
      <c r="E439" t="str">
        <f>IF(VIPcric_1!E432="","",VIPcric_1!E432)</f>
        <v>成交套数(套)</v>
      </c>
      <c r="F439" t="str">
        <f>IF(VIPcric_1!F432="","",VIPcric_1!F432)</f>
        <v>成交均价(元/㎡)</v>
      </c>
      <c r="G439" t="str">
        <f>IF(VIPcric_1!G432="","",VIPcric_1!G432)</f>
        <v>成交金额(元)</v>
      </c>
      <c r="H439" t="str">
        <f>IF(VIPcric_1!H432="","",VIPcric_1!H432)</f>
        <v/>
      </c>
      <c r="I439" t="str">
        <f>IF(VIPcric_1!M432="","",VIPcric_1!M432)</f>
        <v>CRIC-南昌-市场监测.商品房市场.项目累计.供求.xlsx</v>
      </c>
    </row>
    <row r="440" spans="1:9">
      <c r="A440" t="str">
        <f>IF(VIPcric_1!A433="","",VIPcric_1!A433)</f>
        <v>2023年</v>
      </c>
      <c r="B440">
        <f>IF(VIPcric_1!B433="","",VIPcric_1!B433)</f>
        <v>2192527</v>
      </c>
      <c r="C440">
        <f>IF(VIPcric_1!C433="","",VIPcric_1!C433)</f>
        <v>19205</v>
      </c>
      <c r="D440">
        <f>IF(VIPcric_1!D433="","",VIPcric_1!D433)</f>
        <v>2978012</v>
      </c>
      <c r="E440">
        <f>IF(VIPcric_1!E433="","",VIPcric_1!E433)</f>
        <v>26593</v>
      </c>
      <c r="F440">
        <f>IF(VIPcric_1!F433="","",VIPcric_1!F433)</f>
        <v>13287</v>
      </c>
      <c r="G440">
        <f>IF(VIPcric_1!G433="","",VIPcric_1!G433)</f>
        <v>39569740071</v>
      </c>
      <c r="H440" t="str">
        <f>IF(VIPcric_1!H433="","",VIPcric_1!H433)</f>
        <v/>
      </c>
      <c r="I440" t="str">
        <f>IF(VIPcric_1!M433="","",VIPcric_1!M433)</f>
        <v>CRIC-南昌-市场监测.商品房市场.项目累计.供求.xlsx</v>
      </c>
    </row>
    <row r="441" spans="1:9">
      <c r="A441" t="str">
        <f>IF(VIPcric_1!A434="","",VIPcric_1!A434)</f>
        <v>2022年</v>
      </c>
      <c r="B441">
        <f>IF(VIPcric_1!B434="","",VIPcric_1!B434)</f>
        <v>2942653</v>
      </c>
      <c r="C441">
        <f>IF(VIPcric_1!C434="","",VIPcric_1!C434)</f>
        <v>25875</v>
      </c>
      <c r="D441">
        <f>IF(VIPcric_1!D434="","",VIPcric_1!D434)</f>
        <v>3343390</v>
      </c>
      <c r="E441">
        <f>IF(VIPcric_1!E434="","",VIPcric_1!E434)</f>
        <v>29858</v>
      </c>
      <c r="F441">
        <f>IF(VIPcric_1!F434="","",VIPcric_1!F434)</f>
        <v>13729</v>
      </c>
      <c r="G441">
        <f>IF(VIPcric_1!G434="","",VIPcric_1!G434)</f>
        <v>45900363341</v>
      </c>
      <c r="H441" t="str">
        <f>IF(VIPcric_1!H434="","",VIPcric_1!H434)</f>
        <v/>
      </c>
      <c r="I441" t="str">
        <f>IF(VIPcric_1!M434="","",VIPcric_1!M434)</f>
        <v>CRIC-南昌-市场监测.商品房市场.项目累计.供求.xlsx</v>
      </c>
    </row>
    <row r="442" spans="1:9">
      <c r="A442" t="str">
        <f>IF(VIPcric_1!A435="","",VIPcric_1!A435)</f>
        <v>2021年</v>
      </c>
      <c r="B442">
        <f>IF(VIPcric_1!B435="","",VIPcric_1!B435)</f>
        <v>3846995</v>
      </c>
      <c r="C442">
        <f>IF(VIPcric_1!C435="","",VIPcric_1!C435)</f>
        <v>34333</v>
      </c>
      <c r="D442">
        <f>IF(VIPcric_1!D435="","",VIPcric_1!D435)</f>
        <v>4707477</v>
      </c>
      <c r="E442">
        <f>IF(VIPcric_1!E435="","",VIPcric_1!E435)</f>
        <v>42630</v>
      </c>
      <c r="F442">
        <f>IF(VIPcric_1!F435="","",VIPcric_1!F435)</f>
        <v>13841</v>
      </c>
      <c r="G442">
        <f>IF(VIPcric_1!G435="","",VIPcric_1!G435)</f>
        <v>65158289721</v>
      </c>
      <c r="H442" t="str">
        <f>IF(VIPcric_1!H435="","",VIPcric_1!H435)</f>
        <v/>
      </c>
      <c r="I442" t="str">
        <f>IF(VIPcric_1!M435="","",VIPcric_1!M435)</f>
        <v>CRIC-南昌-市场监测.商品房市场.项目累计.供求.xlsx</v>
      </c>
    </row>
    <row r="443" spans="1:9">
      <c r="A443" t="str">
        <f>IF(VIPcric_1!A436="","",VIPcric_1!A436)</f>
        <v>2020年</v>
      </c>
      <c r="B443">
        <f>IF(VIPcric_1!B436="","",VIPcric_1!B436)</f>
        <v>6805591</v>
      </c>
      <c r="C443">
        <f>IF(VIPcric_1!C436="","",VIPcric_1!C436)</f>
        <v>65183</v>
      </c>
      <c r="D443">
        <f>IF(VIPcric_1!D436="","",VIPcric_1!D436)</f>
        <v>4447548</v>
      </c>
      <c r="E443">
        <f>IF(VIPcric_1!E436="","",VIPcric_1!E436)</f>
        <v>38943</v>
      </c>
      <c r="F443">
        <f>IF(VIPcric_1!F436="","",VIPcric_1!F436)</f>
        <v>14224</v>
      </c>
      <c r="G443">
        <f>IF(VIPcric_1!G436="","",VIPcric_1!G436)</f>
        <v>63263947180</v>
      </c>
      <c r="H443" t="str">
        <f>IF(VIPcric_1!H436="","",VIPcric_1!H436)</f>
        <v/>
      </c>
      <c r="I443" t="str">
        <f>IF(VIPcric_1!M436="","",VIPcric_1!M436)</f>
        <v>CRIC-南昌-市场监测.商品房市场.项目累计.供求.xlsx</v>
      </c>
    </row>
    <row r="444" spans="1:9">
      <c r="A444" t="str">
        <f>IF(VIPcric_1!A437="","",VIPcric_1!A437)</f>
        <v>2019年</v>
      </c>
      <c r="B444">
        <f>IF(VIPcric_1!B437="","",VIPcric_1!B437)</f>
        <v>3794749</v>
      </c>
      <c r="C444">
        <f>IF(VIPcric_1!C437="","",VIPcric_1!C437)</f>
        <v>32709</v>
      </c>
      <c r="D444">
        <f>IF(VIPcric_1!D437="","",VIPcric_1!D437)</f>
        <v>3470118</v>
      </c>
      <c r="E444">
        <f>IF(VIPcric_1!E437="","",VIPcric_1!E437)</f>
        <v>30246</v>
      </c>
      <c r="F444">
        <f>IF(VIPcric_1!F437="","",VIPcric_1!F437)</f>
        <v>14783</v>
      </c>
      <c r="G444">
        <f>IF(VIPcric_1!G437="","",VIPcric_1!G437)</f>
        <v>51297131063</v>
      </c>
      <c r="H444" t="str">
        <f>IF(VIPcric_1!H437="","",VIPcric_1!H437)</f>
        <v/>
      </c>
      <c r="I444" t="str">
        <f>IF(VIPcric_1!M437="","",VIPcric_1!M437)</f>
        <v>CRIC-南昌-市场监测.商品房市场.项目累计.供求.xlsx</v>
      </c>
    </row>
    <row r="445" spans="1:9">
      <c r="A445" t="str">
        <f>IF(VIPcric_1!A438="","",VIPcric_1!A438)</f>
        <v>汇总</v>
      </c>
      <c r="B445">
        <f>IF(VIPcric_1!B438="","",VIPcric_1!B438)</f>
        <v>19582516</v>
      </c>
      <c r="C445">
        <f>IF(VIPcric_1!C438="","",VIPcric_1!C438)</f>
        <v>177305</v>
      </c>
      <c r="D445">
        <f>IF(VIPcric_1!D438="","",VIPcric_1!D438)</f>
        <v>18946546</v>
      </c>
      <c r="E445">
        <f>IF(VIPcric_1!E438="","",VIPcric_1!E438)</f>
        <v>168270</v>
      </c>
      <c r="F445">
        <f>IF(VIPcric_1!F438="","",VIPcric_1!F438)</f>
        <v>13997</v>
      </c>
      <c r="G445">
        <f>IF(VIPcric_1!G438="","",VIPcric_1!G438)</f>
        <v>265189471376</v>
      </c>
      <c r="H445" t="str">
        <f>IF(VIPcric_1!H438="","",VIPcric_1!H438)</f>
        <v/>
      </c>
      <c r="I445" t="str">
        <f>IF(VIPcric_1!M438="","",VIPcric_1!M438)</f>
        <v>CRIC-南昌-市场监测.商品房市场.项目累计.供求.xlsx</v>
      </c>
    </row>
    <row r="446" spans="1:9">
      <c r="A446" t="str">
        <f>IF(VIPcric_1!A439="","",VIPcric_1!A439)</f>
        <v/>
      </c>
      <c r="B446" t="str">
        <f>IF(VIPcric_1!B439="","",VIPcric_1!B439)</f>
        <v/>
      </c>
      <c r="C446" t="str">
        <f>IF(VIPcric_1!C439="","",VIPcric_1!C439)</f>
        <v/>
      </c>
      <c r="D446" t="str">
        <f>IF(VIPcric_1!D439="","",VIPcric_1!D439)</f>
        <v/>
      </c>
      <c r="E446" t="str">
        <f>IF(VIPcric_1!E439="","",VIPcric_1!E439)</f>
        <v/>
      </c>
      <c r="F446" t="str">
        <f>IF(VIPcric_1!F439="","",VIPcric_1!F439)</f>
        <v/>
      </c>
      <c r="G446" t="str">
        <f>IF(VIPcric_1!G439="","",VIPcric_1!G439)</f>
        <v/>
      </c>
      <c r="H446" t="str">
        <f>IF(VIPcric_1!H439="","",VIPcric_1!H439)</f>
        <v/>
      </c>
      <c r="I446" t="str">
        <f>IF(VIPcric_1!M439="","",VIPcric_1!M439)</f>
        <v/>
      </c>
    </row>
    <row r="447" spans="1:9">
      <c r="A447" t="str">
        <f>IF(VIPcric_1!A440="","",VIPcric_1!A440)</f>
        <v/>
      </c>
      <c r="B447" t="str">
        <f>IF(VIPcric_1!B440="","",VIPcric_1!B440)</f>
        <v/>
      </c>
      <c r="C447" t="str">
        <f>IF(VIPcric_1!C440="","",VIPcric_1!C440)</f>
        <v/>
      </c>
      <c r="D447" t="str">
        <f>IF(VIPcric_1!D440="","",VIPcric_1!D440)</f>
        <v/>
      </c>
      <c r="E447" t="str">
        <f>IF(VIPcric_1!E440="","",VIPcric_1!E440)</f>
        <v/>
      </c>
      <c r="F447" t="str">
        <f>IF(VIPcric_1!F440="","",VIPcric_1!F440)</f>
        <v/>
      </c>
      <c r="G447" t="str">
        <f>IF(VIPcric_1!G440="","",VIPcric_1!G440)</f>
        <v/>
      </c>
      <c r="H447" t="str">
        <f>IF(VIPcric_1!H440="","",VIPcric_1!H440)</f>
        <v/>
      </c>
      <c r="I447" t="str">
        <f>IF(VIPcric_1!M440="","",VIPcric_1!M440)</f>
        <v>CRIC-南昌-市场监测.商品房市场.项目累计.库存.xlsx</v>
      </c>
    </row>
    <row r="448" spans="1:9">
      <c r="A448" t="str">
        <f>IF(VIPcric_1!A441="","",VIPcric_1!A441)</f>
        <v>时间(年)</v>
      </c>
      <c r="B448" t="str">
        <f>IF(VIPcric_1!B441="","",VIPcric_1!B441)</f>
        <v>库存面积(㎡)</v>
      </c>
      <c r="C448" t="str">
        <f>IF(VIPcric_1!C441="","",VIPcric_1!C441)</f>
        <v>库存套数(套)</v>
      </c>
      <c r="D448" t="str">
        <f>IF(VIPcric_1!D441="","",VIPcric_1!D441)</f>
        <v>去化周期12'(月)</v>
      </c>
      <c r="E448" t="str">
        <f>IF(VIPcric_1!E441="","",VIPcric_1!E441)</f>
        <v/>
      </c>
      <c r="F448" t="str">
        <f>IF(VIPcric_1!F441="","",VIPcric_1!F441)</f>
        <v/>
      </c>
      <c r="G448" t="str">
        <f>IF(VIPcric_1!G441="","",VIPcric_1!G441)</f>
        <v/>
      </c>
      <c r="H448" t="str">
        <f>IF(VIPcric_1!H441="","",VIPcric_1!H441)</f>
        <v/>
      </c>
      <c r="I448" t="str">
        <f>IF(VIPcric_1!M441="","",VIPcric_1!M441)</f>
        <v>CRIC-南昌-市场监测.商品房市场.项目累计.库存.xlsx</v>
      </c>
    </row>
    <row r="449" spans="1:9">
      <c r="A449" t="str">
        <f>IF(VIPcric_1!A442="","",VIPcric_1!A442)</f>
        <v>2023年</v>
      </c>
      <c r="B449">
        <f>IF(VIPcric_1!B442="","",VIPcric_1!B442)</f>
        <v>1842200</v>
      </c>
      <c r="C449">
        <f>IF(VIPcric_1!C442="","",VIPcric_1!C442)</f>
        <v>18165</v>
      </c>
      <c r="D449">
        <f>IF(VIPcric_1!D442="","",VIPcric_1!D442)</f>
        <v>7.4</v>
      </c>
      <c r="E449" t="str">
        <f>IF(VIPcric_1!E442="","",VIPcric_1!E442)</f>
        <v/>
      </c>
      <c r="F449" t="str">
        <f>IF(VIPcric_1!F442="","",VIPcric_1!F442)</f>
        <v/>
      </c>
      <c r="G449" t="str">
        <f>IF(VIPcric_1!G442="","",VIPcric_1!G442)</f>
        <v/>
      </c>
      <c r="H449" t="str">
        <f>IF(VIPcric_1!H442="","",VIPcric_1!H442)</f>
        <v/>
      </c>
      <c r="I449" t="str">
        <f>IF(VIPcric_1!M442="","",VIPcric_1!M442)</f>
        <v>CRIC-南昌-市场监测.商品房市场.项目累计.库存.xlsx</v>
      </c>
    </row>
    <row r="450" spans="1:9">
      <c r="A450" t="str">
        <f>IF(VIPcric_1!A443="","",VIPcric_1!A443)</f>
        <v>2022年</v>
      </c>
      <c r="B450">
        <f>IF(VIPcric_1!B443="","",VIPcric_1!B443)</f>
        <v>2716771</v>
      </c>
      <c r="C450">
        <f>IF(VIPcric_1!C443="","",VIPcric_1!C443)</f>
        <v>25543</v>
      </c>
      <c r="D450">
        <f>IF(VIPcric_1!D443="","",VIPcric_1!D443)</f>
        <v>9.8000000000000007</v>
      </c>
      <c r="E450" t="str">
        <f>IF(VIPcric_1!E443="","",VIPcric_1!E443)</f>
        <v/>
      </c>
      <c r="F450" t="str">
        <f>IF(VIPcric_1!F443="","",VIPcric_1!F443)</f>
        <v/>
      </c>
      <c r="G450" t="str">
        <f>IF(VIPcric_1!G443="","",VIPcric_1!G443)</f>
        <v/>
      </c>
      <c r="H450" t="str">
        <f>IF(VIPcric_1!H443="","",VIPcric_1!H443)</f>
        <v/>
      </c>
      <c r="I450" t="str">
        <f>IF(VIPcric_1!M443="","",VIPcric_1!M443)</f>
        <v>CRIC-南昌-市场监测.商品房市场.项目累计.库存.xlsx</v>
      </c>
    </row>
    <row r="451" spans="1:9">
      <c r="A451" t="str">
        <f>IF(VIPcric_1!A444="","",VIPcric_1!A444)</f>
        <v>2021年</v>
      </c>
      <c r="B451">
        <f>IF(VIPcric_1!B444="","",VIPcric_1!B444)</f>
        <v>3222141</v>
      </c>
      <c r="C451">
        <f>IF(VIPcric_1!C444="","",VIPcric_1!C444)</f>
        <v>30056</v>
      </c>
      <c r="D451">
        <f>IF(VIPcric_1!D444="","",VIPcric_1!D444)</f>
        <v>8.1999999999999993</v>
      </c>
      <c r="E451" t="str">
        <f>IF(VIPcric_1!E444="","",VIPcric_1!E444)</f>
        <v/>
      </c>
      <c r="F451" t="str">
        <f>IF(VIPcric_1!F444="","",VIPcric_1!F444)</f>
        <v/>
      </c>
      <c r="G451" t="str">
        <f>IF(VIPcric_1!G444="","",VIPcric_1!G444)</f>
        <v/>
      </c>
      <c r="H451" t="str">
        <f>IF(VIPcric_1!H444="","",VIPcric_1!H444)</f>
        <v/>
      </c>
      <c r="I451" t="str">
        <f>IF(VIPcric_1!M444="","",VIPcric_1!M444)</f>
        <v>CRIC-南昌-市场监测.商品房市场.项目累计.库存.xlsx</v>
      </c>
    </row>
    <row r="452" spans="1:9">
      <c r="A452" t="str">
        <f>IF(VIPcric_1!A445="","",VIPcric_1!A445)</f>
        <v>2020年</v>
      </c>
      <c r="B452">
        <f>IF(VIPcric_1!B445="","",VIPcric_1!B445)</f>
        <v>0</v>
      </c>
      <c r="C452">
        <f>IF(VIPcric_1!C445="","",VIPcric_1!C445)</f>
        <v>0</v>
      </c>
      <c r="D452">
        <f>IF(VIPcric_1!D445="","",VIPcric_1!D445)</f>
        <v>0</v>
      </c>
      <c r="E452" t="str">
        <f>IF(VIPcric_1!E445="","",VIPcric_1!E445)</f>
        <v/>
      </c>
      <c r="F452" t="str">
        <f>IF(VIPcric_1!F445="","",VIPcric_1!F445)</f>
        <v/>
      </c>
      <c r="G452" t="str">
        <f>IF(VIPcric_1!G445="","",VIPcric_1!G445)</f>
        <v/>
      </c>
      <c r="H452" t="str">
        <f>IF(VIPcric_1!H445="","",VIPcric_1!H445)</f>
        <v/>
      </c>
      <c r="I452" t="str">
        <f>IF(VIPcric_1!M445="","",VIPcric_1!M445)</f>
        <v>CRIC-南昌-市场监测.商品房市场.项目累计.库存.xlsx</v>
      </c>
    </row>
    <row r="453" spans="1:9">
      <c r="A453" t="str">
        <f>IF(VIPcric_1!A446="","",VIPcric_1!A446)</f>
        <v>2019年</v>
      </c>
      <c r="B453">
        <f>IF(VIPcric_1!B446="","",VIPcric_1!B446)</f>
        <v>3639772</v>
      </c>
      <c r="C453">
        <f>IF(VIPcric_1!C446="","",VIPcric_1!C446)</f>
        <v>32841</v>
      </c>
      <c r="D453">
        <f>IF(VIPcric_1!D446="","",VIPcric_1!D446)</f>
        <v>12.6</v>
      </c>
      <c r="E453" t="str">
        <f>IF(VIPcric_1!E446="","",VIPcric_1!E446)</f>
        <v/>
      </c>
      <c r="F453" t="str">
        <f>IF(VIPcric_1!F446="","",VIPcric_1!F446)</f>
        <v/>
      </c>
      <c r="G453" t="str">
        <f>IF(VIPcric_1!G446="","",VIPcric_1!G446)</f>
        <v/>
      </c>
      <c r="H453" t="str">
        <f>IF(VIPcric_1!H446="","",VIPcric_1!H446)</f>
        <v/>
      </c>
      <c r="I453" t="str">
        <f>IF(VIPcric_1!M446="","",VIPcric_1!M446)</f>
        <v>CRIC-南昌-市场监测.商品房市场.项目累计.库存.xlsx</v>
      </c>
    </row>
    <row r="454" spans="1:9">
      <c r="A454" t="str">
        <f>IF(VIPcric_1!A447="","",VIPcric_1!A447)</f>
        <v/>
      </c>
      <c r="B454" t="str">
        <f>IF(VIPcric_1!B447="","",VIPcric_1!B447)</f>
        <v/>
      </c>
      <c r="C454" t="str">
        <f>IF(VIPcric_1!C447="","",VIPcric_1!C447)</f>
        <v/>
      </c>
      <c r="D454" t="str">
        <f>IF(VIPcric_1!D447="","",VIPcric_1!D447)</f>
        <v/>
      </c>
      <c r="E454" t="str">
        <f>IF(VIPcric_1!E447="","",VIPcric_1!E447)</f>
        <v/>
      </c>
      <c r="F454" t="str">
        <f>IF(VIPcric_1!F447="","",VIPcric_1!F447)</f>
        <v/>
      </c>
      <c r="G454" t="str">
        <f>IF(VIPcric_1!G447="","",VIPcric_1!G447)</f>
        <v/>
      </c>
      <c r="H454" t="str">
        <f>IF(VIPcric_1!H447="","",VIPcric_1!H447)</f>
        <v/>
      </c>
      <c r="I454" t="str">
        <f>IF(VIPcric_1!M447="","",VIPcric_1!M447)</f>
        <v/>
      </c>
    </row>
    <row r="455" spans="1:9">
      <c r="A455" t="str">
        <f>IF(VIPcric_1!A448="","",VIPcric_1!A448)</f>
        <v/>
      </c>
      <c r="B455" t="str">
        <f>IF(VIPcric_1!B448="","",VIPcric_1!B448)</f>
        <v/>
      </c>
      <c r="C455" t="str">
        <f>IF(VIPcric_1!C448="","",VIPcric_1!C448)</f>
        <v/>
      </c>
      <c r="D455" t="str">
        <f>IF(VIPcric_1!D448="","",VIPcric_1!D448)</f>
        <v/>
      </c>
      <c r="E455" t="str">
        <f>IF(VIPcric_1!E448="","",VIPcric_1!E448)</f>
        <v/>
      </c>
      <c r="F455" t="str">
        <f>IF(VIPcric_1!F448="","",VIPcric_1!F448)</f>
        <v/>
      </c>
      <c r="G455" t="str">
        <f>IF(VIPcric_1!G448="","",VIPcric_1!G448)</f>
        <v/>
      </c>
      <c r="H455" t="str">
        <f>IF(VIPcric_1!H448="","",VIPcric_1!H448)</f>
        <v/>
      </c>
      <c r="I455" t="str">
        <f>IF(VIPcric_1!M448="","",VIPcric_1!M448)</f>
        <v>CRIC-南通-市场监测.商品房市场.项目累计.供求.xlsx</v>
      </c>
    </row>
    <row r="456" spans="1:9">
      <c r="A456" t="str">
        <f>IF(VIPcric_1!A449="","",VIPcric_1!A449)</f>
        <v>时间(年)</v>
      </c>
      <c r="B456" t="str">
        <f>IF(VIPcric_1!B449="","",VIPcric_1!B449)</f>
        <v>供应面积(㎡)</v>
      </c>
      <c r="C456" t="str">
        <f>IF(VIPcric_1!C449="","",VIPcric_1!C449)</f>
        <v>供应套数(套)</v>
      </c>
      <c r="D456" t="str">
        <f>IF(VIPcric_1!D449="","",VIPcric_1!D449)</f>
        <v>成交面积(㎡)</v>
      </c>
      <c r="E456" t="str">
        <f>IF(VIPcric_1!E449="","",VIPcric_1!E449)</f>
        <v>成交套数(套)</v>
      </c>
      <c r="F456" t="str">
        <f>IF(VIPcric_1!F449="","",VIPcric_1!F449)</f>
        <v>成交均价(元/㎡)</v>
      </c>
      <c r="G456" t="str">
        <f>IF(VIPcric_1!G449="","",VIPcric_1!G449)</f>
        <v>成交金额(元)</v>
      </c>
      <c r="H456" t="str">
        <f>IF(VIPcric_1!H449="","",VIPcric_1!H449)</f>
        <v>供求比</v>
      </c>
      <c r="I456" t="str">
        <f>IF(VIPcric_1!M449="","",VIPcric_1!M449)</f>
        <v>CRIC-南通-市场监测.商品房市场.项目累计.供求.xlsx</v>
      </c>
    </row>
    <row r="457" spans="1:9">
      <c r="A457" t="str">
        <f>IF(VIPcric_1!A450="","",VIPcric_1!A450)</f>
        <v>2023年</v>
      </c>
      <c r="B457">
        <f>IF(VIPcric_1!B450="","",VIPcric_1!B450)</f>
        <v>829651</v>
      </c>
      <c r="C457">
        <f>IF(VIPcric_1!C450="","",VIPcric_1!C450)</f>
        <v>6989</v>
      </c>
      <c r="D457">
        <f>IF(VIPcric_1!D450="","",VIPcric_1!D450)</f>
        <v>754620</v>
      </c>
      <c r="E457">
        <f>IF(VIPcric_1!E450="","",VIPcric_1!E450)</f>
        <v>6263</v>
      </c>
      <c r="F457">
        <f>IF(VIPcric_1!F450="","",VIPcric_1!F450)</f>
        <v>22233</v>
      </c>
      <c r="G457">
        <f>IF(VIPcric_1!G450="","",VIPcric_1!G450)</f>
        <v>16777769292</v>
      </c>
      <c r="H457">
        <f>IF(VIPcric_1!H450="","",VIPcric_1!H450)</f>
        <v>1.1000000000000001</v>
      </c>
      <c r="I457" t="str">
        <f>IF(VIPcric_1!M450="","",VIPcric_1!M450)</f>
        <v>CRIC-南通-市场监测.商品房市场.项目累计.供求.xlsx</v>
      </c>
    </row>
    <row r="458" spans="1:9">
      <c r="A458" t="str">
        <f>IF(VIPcric_1!A451="","",VIPcric_1!A451)</f>
        <v>2022年</v>
      </c>
      <c r="B458">
        <f>IF(VIPcric_1!B451="","",VIPcric_1!B451)</f>
        <v>867932</v>
      </c>
      <c r="C458">
        <f>IF(VIPcric_1!C451="","",VIPcric_1!C451)</f>
        <v>6894</v>
      </c>
      <c r="D458">
        <f>IF(VIPcric_1!D451="","",VIPcric_1!D451)</f>
        <v>771376</v>
      </c>
      <c r="E458">
        <f>IF(VIPcric_1!E451="","",VIPcric_1!E451)</f>
        <v>6236</v>
      </c>
      <c r="F458">
        <f>IF(VIPcric_1!F451="","",VIPcric_1!F451)</f>
        <v>21963</v>
      </c>
      <c r="G458">
        <f>IF(VIPcric_1!G451="","",VIPcric_1!G451)</f>
        <v>16942104586</v>
      </c>
      <c r="H458">
        <f>IF(VIPcric_1!H451="","",VIPcric_1!H451)</f>
        <v>1.1299999999999999</v>
      </c>
      <c r="I458" t="str">
        <f>IF(VIPcric_1!M451="","",VIPcric_1!M451)</f>
        <v>CRIC-南通-市场监测.商品房市场.项目累计.供求.xlsx</v>
      </c>
    </row>
    <row r="459" spans="1:9">
      <c r="A459" t="str">
        <f>IF(VIPcric_1!A452="","",VIPcric_1!A452)</f>
        <v>2021年</v>
      </c>
      <c r="B459">
        <f>IF(VIPcric_1!B452="","",VIPcric_1!B452)</f>
        <v>2272107</v>
      </c>
      <c r="C459">
        <f>IF(VIPcric_1!C452="","",VIPcric_1!C452)</f>
        <v>18509</v>
      </c>
      <c r="D459">
        <f>IF(VIPcric_1!D452="","",VIPcric_1!D452)</f>
        <v>751882</v>
      </c>
      <c r="E459">
        <f>IF(VIPcric_1!E452="","",VIPcric_1!E452)</f>
        <v>6171</v>
      </c>
      <c r="F459">
        <f>IF(VIPcric_1!F452="","",VIPcric_1!F452)</f>
        <v>21044</v>
      </c>
      <c r="G459">
        <f>IF(VIPcric_1!G452="","",VIPcric_1!G452)</f>
        <v>15822548134</v>
      </c>
      <c r="H459">
        <f>IF(VIPcric_1!H452="","",VIPcric_1!H452)</f>
        <v>3.02</v>
      </c>
      <c r="I459" t="str">
        <f>IF(VIPcric_1!M452="","",VIPcric_1!M452)</f>
        <v>CRIC-南通-市场监测.商品房市场.项目累计.供求.xlsx</v>
      </c>
    </row>
    <row r="460" spans="1:9">
      <c r="A460" t="str">
        <f>IF(VIPcric_1!A453="","",VIPcric_1!A453)</f>
        <v>2020年</v>
      </c>
      <c r="B460">
        <f>IF(VIPcric_1!B453="","",VIPcric_1!B453)</f>
        <v>2474171</v>
      </c>
      <c r="C460">
        <f>IF(VIPcric_1!C453="","",VIPcric_1!C453)</f>
        <v>20032</v>
      </c>
      <c r="D460">
        <f>IF(VIPcric_1!D453="","",VIPcric_1!D453)</f>
        <v>34502</v>
      </c>
      <c r="E460">
        <f>IF(VIPcric_1!E453="","",VIPcric_1!E453)</f>
        <v>241</v>
      </c>
      <c r="F460">
        <f>IF(VIPcric_1!F453="","",VIPcric_1!F453)</f>
        <v>12565</v>
      </c>
      <c r="G460">
        <f>IF(VIPcric_1!G453="","",VIPcric_1!G453)</f>
        <v>433506200</v>
      </c>
      <c r="H460">
        <f>IF(VIPcric_1!H453="","",VIPcric_1!H453)</f>
        <v>71.709999999999994</v>
      </c>
      <c r="I460" t="str">
        <f>IF(VIPcric_1!M453="","",VIPcric_1!M453)</f>
        <v>CRIC-南通-市场监测.商品房市场.项目累计.供求.xlsx</v>
      </c>
    </row>
    <row r="461" spans="1:9">
      <c r="A461" t="str">
        <f>IF(VIPcric_1!A454="","",VIPcric_1!A454)</f>
        <v>2019年</v>
      </c>
      <c r="B461">
        <f>IF(VIPcric_1!B454="","",VIPcric_1!B454)</f>
        <v>2614971</v>
      </c>
      <c r="C461">
        <f>IF(VIPcric_1!C454="","",VIPcric_1!C454)</f>
        <v>21036</v>
      </c>
      <c r="D461">
        <f>IF(VIPcric_1!D454="","",VIPcric_1!D454)</f>
        <v>2892780</v>
      </c>
      <c r="E461">
        <f>IF(VIPcric_1!E454="","",VIPcric_1!E454)</f>
        <v>23386</v>
      </c>
      <c r="F461">
        <f>IF(VIPcric_1!F454="","",VIPcric_1!F454)</f>
        <v>17965</v>
      </c>
      <c r="G461">
        <f>IF(VIPcric_1!G454="","",VIPcric_1!G454)</f>
        <v>51969479677</v>
      </c>
      <c r="H461">
        <f>IF(VIPcric_1!H454="","",VIPcric_1!H454)</f>
        <v>0.9</v>
      </c>
      <c r="I461" t="str">
        <f>IF(VIPcric_1!M454="","",VIPcric_1!M454)</f>
        <v>CRIC-南通-市场监测.商品房市场.项目累计.供求.xlsx</v>
      </c>
    </row>
    <row r="462" spans="1:9">
      <c r="A462" t="str">
        <f>IF(VIPcric_1!A455="","",VIPcric_1!A455)</f>
        <v>汇总</v>
      </c>
      <c r="B462">
        <f>IF(VIPcric_1!B455="","",VIPcric_1!B455)</f>
        <v>9058832</v>
      </c>
      <c r="C462">
        <f>IF(VIPcric_1!C455="","",VIPcric_1!C455)</f>
        <v>73460</v>
      </c>
      <c r="D462">
        <f>IF(VIPcric_1!D455="","",VIPcric_1!D455)</f>
        <v>5205160</v>
      </c>
      <c r="E462">
        <f>IF(VIPcric_1!E455="","",VIPcric_1!E455)</f>
        <v>42297</v>
      </c>
      <c r="F462">
        <f>IF(VIPcric_1!F455="","",VIPcric_1!F455)</f>
        <v>19585</v>
      </c>
      <c r="G462">
        <f>IF(VIPcric_1!G455="","",VIPcric_1!G455)</f>
        <v>101945407890</v>
      </c>
      <c r="H462">
        <f>IF(VIPcric_1!H455="","",VIPcric_1!H455)</f>
        <v>1.74</v>
      </c>
      <c r="I462" t="str">
        <f>IF(VIPcric_1!M455="","",VIPcric_1!M455)</f>
        <v>CRIC-南通-市场监测.商品房市场.项目累计.供求.xlsx</v>
      </c>
    </row>
    <row r="463" spans="1:9">
      <c r="A463" t="str">
        <f>IF(VIPcric_1!A456="","",VIPcric_1!A456)</f>
        <v/>
      </c>
      <c r="B463" t="str">
        <f>IF(VIPcric_1!B456="","",VIPcric_1!B456)</f>
        <v/>
      </c>
      <c r="C463" t="str">
        <f>IF(VIPcric_1!C456="","",VIPcric_1!C456)</f>
        <v/>
      </c>
      <c r="D463" t="str">
        <f>IF(VIPcric_1!D456="","",VIPcric_1!D456)</f>
        <v/>
      </c>
      <c r="E463" t="str">
        <f>IF(VIPcric_1!E456="","",VIPcric_1!E456)</f>
        <v/>
      </c>
      <c r="F463" t="str">
        <f>IF(VIPcric_1!F456="","",VIPcric_1!F456)</f>
        <v/>
      </c>
      <c r="G463" t="str">
        <f>IF(VIPcric_1!G456="","",VIPcric_1!G456)</f>
        <v/>
      </c>
      <c r="H463" t="str">
        <f>IF(VIPcric_1!H456="","",VIPcric_1!H456)</f>
        <v/>
      </c>
      <c r="I463" t="str">
        <f>IF(VIPcric_1!M456="","",VIPcric_1!M456)</f>
        <v/>
      </c>
    </row>
    <row r="464" spans="1:9">
      <c r="A464" t="str">
        <f>IF(VIPcric_1!A457="","",VIPcric_1!A457)</f>
        <v/>
      </c>
      <c r="B464" t="str">
        <f>IF(VIPcric_1!B457="","",VIPcric_1!B457)</f>
        <v/>
      </c>
      <c r="C464" t="str">
        <f>IF(VIPcric_1!C457="","",VIPcric_1!C457)</f>
        <v/>
      </c>
      <c r="D464" t="str">
        <f>IF(VIPcric_1!D457="","",VIPcric_1!D457)</f>
        <v/>
      </c>
      <c r="E464" t="str">
        <f>IF(VIPcric_1!E457="","",VIPcric_1!E457)</f>
        <v/>
      </c>
      <c r="F464" t="str">
        <f>IF(VIPcric_1!F457="","",VIPcric_1!F457)</f>
        <v/>
      </c>
      <c r="G464" t="str">
        <f>IF(VIPcric_1!G457="","",VIPcric_1!G457)</f>
        <v/>
      </c>
      <c r="H464" t="str">
        <f>IF(VIPcric_1!H457="","",VIPcric_1!H457)</f>
        <v/>
      </c>
      <c r="I464" t="str">
        <f>IF(VIPcric_1!M457="","",VIPcric_1!M457)</f>
        <v>CRIC-南通-市场监测.商品房市场.项目累计.库存.xlsx</v>
      </c>
    </row>
    <row r="465" spans="1:14">
      <c r="A465" t="str">
        <f>IF(VIPcric_1!A458="","",VIPcric_1!A458)</f>
        <v>时间(年)</v>
      </c>
      <c r="B465" t="str">
        <f>IF(VIPcric_1!B458="","",VIPcric_1!B458)</f>
        <v>库存面积(㎡)</v>
      </c>
      <c r="C465" t="str">
        <f>IF(VIPcric_1!C458="","",VIPcric_1!C458)</f>
        <v>库存套数(套)</v>
      </c>
      <c r="D465" t="str">
        <f>IF(VIPcric_1!D458="","",VIPcric_1!D458)</f>
        <v>去化周期12'(月)</v>
      </c>
      <c r="E465" t="str">
        <f>IF(VIPcric_1!E458="","",VIPcric_1!E458)</f>
        <v>去化周期24'(月)</v>
      </c>
      <c r="F465" t="str">
        <f>IF(VIPcric_1!F458="","",VIPcric_1!F458)</f>
        <v/>
      </c>
      <c r="G465" t="str">
        <f>IF(VIPcric_1!G458="","",VIPcric_1!G458)</f>
        <v/>
      </c>
      <c r="H465" t="str">
        <f>IF(VIPcric_1!H458="","",VIPcric_1!H458)</f>
        <v/>
      </c>
      <c r="I465" t="str">
        <f>IF(VIPcric_1!M458="","",VIPcric_1!M458)</f>
        <v>CRIC-南通-市场监测.商品房市场.项目累计.库存.xlsx</v>
      </c>
    </row>
    <row r="466" spans="1:14">
      <c r="A466" t="str">
        <f>IF(VIPcric_1!A459="","",VIPcric_1!A459)</f>
        <v>2024年</v>
      </c>
      <c r="B466">
        <f>IF(VIPcric_1!B459="","",VIPcric_1!B459)</f>
        <v>0</v>
      </c>
      <c r="C466">
        <f>IF(VIPcric_1!C459="","",VIPcric_1!C459)</f>
        <v>0</v>
      </c>
      <c r="D466">
        <f>IF(VIPcric_1!D459="","",VIPcric_1!D459)</f>
        <v>0</v>
      </c>
      <c r="E466">
        <f>IF(VIPcric_1!E459="","",VIPcric_1!E459)</f>
        <v>0</v>
      </c>
      <c r="F466" t="str">
        <f>IF(VIPcric_1!F459="","",VIPcric_1!F459)</f>
        <v/>
      </c>
      <c r="G466" t="str">
        <f>IF(VIPcric_1!G459="","",VIPcric_1!G459)</f>
        <v/>
      </c>
      <c r="H466" t="str">
        <f>IF(VIPcric_1!H459="","",VIPcric_1!H459)</f>
        <v/>
      </c>
      <c r="I466" t="str">
        <f>IF(VIPcric_1!M459="","",VIPcric_1!M459)</f>
        <v>CRIC-南通-市场监测.商品房市场.项目累计.库存.xlsx</v>
      </c>
    </row>
    <row r="467" spans="1:14">
      <c r="A467" t="str">
        <f>IF(VIPcric_1!A460="","",VIPcric_1!A460)</f>
        <v>2023年</v>
      </c>
      <c r="B467">
        <f>IF(VIPcric_1!B460="","",VIPcric_1!B460)</f>
        <v>0</v>
      </c>
      <c r="C467">
        <f>IF(VIPcric_1!C460="","",VIPcric_1!C460)</f>
        <v>0</v>
      </c>
      <c r="D467">
        <f>5*12</f>
        <v>60</v>
      </c>
      <c r="E467">
        <f>IF(VIPcric_1!E460="","",VIPcric_1!E460)</f>
        <v>0</v>
      </c>
      <c r="F467" t="str">
        <f>IF(VIPcric_1!F460="","",VIPcric_1!F460)</f>
        <v/>
      </c>
      <c r="G467" t="str">
        <f>IF(VIPcric_1!G460="","",VIPcric_1!G460)</f>
        <v/>
      </c>
      <c r="H467" t="str">
        <f>IF(VIPcric_1!H460="","",VIPcric_1!H460)</f>
        <v/>
      </c>
      <c r="I467" t="str">
        <f>IF(VIPcric_1!M460="","",VIPcric_1!M460)</f>
        <v>CRIC-南通-市场监测.商品房市场.项目累计.库存.xlsx</v>
      </c>
      <c r="N467" t="s">
        <v>826</v>
      </c>
    </row>
    <row r="468" spans="1:14">
      <c r="A468" t="str">
        <f>IF(VIPcric_1!A461="","",VIPcric_1!A461)</f>
        <v>2022年</v>
      </c>
      <c r="B468">
        <f>IF(VIPcric_1!B461="","",VIPcric_1!B461)</f>
        <v>0</v>
      </c>
      <c r="C468">
        <f>IF(VIPcric_1!C461="","",VIPcric_1!C461)</f>
        <v>0</v>
      </c>
      <c r="D468">
        <f>IF(VIPcric_1!D461="","",VIPcric_1!D461)</f>
        <v>0</v>
      </c>
      <c r="E468">
        <f>IF(VIPcric_1!E461="","",VIPcric_1!E461)</f>
        <v>0</v>
      </c>
      <c r="F468" t="str">
        <f>IF(VIPcric_1!F461="","",VIPcric_1!F461)</f>
        <v/>
      </c>
      <c r="G468" t="str">
        <f>IF(VIPcric_1!G461="","",VIPcric_1!G461)</f>
        <v/>
      </c>
      <c r="H468" t="str">
        <f>IF(VIPcric_1!H461="","",VIPcric_1!H461)</f>
        <v/>
      </c>
      <c r="I468" t="str">
        <f>IF(VIPcric_1!M461="","",VIPcric_1!M461)</f>
        <v>CRIC-南通-市场监测.商品房市场.项目累计.库存.xlsx</v>
      </c>
    </row>
    <row r="469" spans="1:14">
      <c r="A469" t="str">
        <f>IF(VIPcric_1!A462="","",VIPcric_1!A462)</f>
        <v>2021年</v>
      </c>
      <c r="B469">
        <f>IF(VIPcric_1!B462="","",VIPcric_1!B462)</f>
        <v>0</v>
      </c>
      <c r="C469">
        <f>IF(VIPcric_1!C462="","",VIPcric_1!C462)</f>
        <v>0</v>
      </c>
      <c r="D469">
        <f>IF(VIPcric_1!D462="","",VIPcric_1!D462)</f>
        <v>0</v>
      </c>
      <c r="E469">
        <f>IF(VIPcric_1!E462="","",VIPcric_1!E462)</f>
        <v>0</v>
      </c>
      <c r="F469" t="str">
        <f>IF(VIPcric_1!F462="","",VIPcric_1!F462)</f>
        <v/>
      </c>
      <c r="G469" t="str">
        <f>IF(VIPcric_1!G462="","",VIPcric_1!G462)</f>
        <v/>
      </c>
      <c r="H469" t="str">
        <f>IF(VIPcric_1!H462="","",VIPcric_1!H462)</f>
        <v/>
      </c>
      <c r="I469" t="str">
        <f>IF(VIPcric_1!M462="","",VIPcric_1!M462)</f>
        <v>CRIC-南通-市场监测.商品房市场.项目累计.库存.xlsx</v>
      </c>
    </row>
    <row r="470" spans="1:14">
      <c r="A470" t="str">
        <f>IF(VIPcric_1!A463="","",VIPcric_1!A463)</f>
        <v>2020年</v>
      </c>
      <c r="B470">
        <f>IF(VIPcric_1!B463="","",VIPcric_1!B463)</f>
        <v>0</v>
      </c>
      <c r="C470">
        <f>IF(VIPcric_1!C463="","",VIPcric_1!C463)</f>
        <v>0</v>
      </c>
      <c r="D470">
        <f>IF(VIPcric_1!D463="","",VIPcric_1!D463)</f>
        <v>0</v>
      </c>
      <c r="E470">
        <f>IF(VIPcric_1!E463="","",VIPcric_1!E463)</f>
        <v>0</v>
      </c>
      <c r="F470" t="str">
        <f>IF(VIPcric_1!F463="","",VIPcric_1!F463)</f>
        <v/>
      </c>
      <c r="G470" t="str">
        <f>IF(VIPcric_1!G463="","",VIPcric_1!G463)</f>
        <v/>
      </c>
      <c r="H470" t="str">
        <f>IF(VIPcric_1!H463="","",VIPcric_1!H463)</f>
        <v/>
      </c>
      <c r="I470" t="str">
        <f>IF(VIPcric_1!M463="","",VIPcric_1!M463)</f>
        <v>CRIC-南通-市场监测.商品房市场.项目累计.库存.xlsx</v>
      </c>
    </row>
    <row r="471" spans="1:14">
      <c r="A471" t="str">
        <f>IF(VIPcric_1!A464="","",VIPcric_1!A464)</f>
        <v>2019年</v>
      </c>
      <c r="B471">
        <f>IF(VIPcric_1!B464="","",VIPcric_1!B464)</f>
        <v>898886</v>
      </c>
      <c r="C471">
        <f>IF(VIPcric_1!C464="","",VIPcric_1!C464)</f>
        <v>7172</v>
      </c>
      <c r="D471">
        <f>IF(VIPcric_1!D464="","",VIPcric_1!D464)</f>
        <v>3.7</v>
      </c>
      <c r="E471">
        <f>IF(VIPcric_1!E464="","",VIPcric_1!E464)</f>
        <v>3.9</v>
      </c>
      <c r="F471" t="str">
        <f>IF(VIPcric_1!F464="","",VIPcric_1!F464)</f>
        <v/>
      </c>
      <c r="G471" t="str">
        <f>IF(VIPcric_1!G464="","",VIPcric_1!G464)</f>
        <v/>
      </c>
      <c r="H471" t="str">
        <f>IF(VIPcric_1!H464="","",VIPcric_1!H464)</f>
        <v/>
      </c>
      <c r="I471" t="str">
        <f>IF(VIPcric_1!M464="","",VIPcric_1!M464)</f>
        <v>CRIC-南通-市场监测.商品房市场.项目累计.库存.xlsx</v>
      </c>
    </row>
    <row r="472" spans="1:14">
      <c r="A472" t="str">
        <f>IF(VIPcric_1!A465="","",VIPcric_1!A465)</f>
        <v/>
      </c>
      <c r="B472" t="str">
        <f>IF(VIPcric_1!B465="","",VIPcric_1!B465)</f>
        <v/>
      </c>
      <c r="C472" t="str">
        <f>IF(VIPcric_1!C465="","",VIPcric_1!C465)</f>
        <v/>
      </c>
      <c r="D472" t="str">
        <f>IF(VIPcric_1!D465="","",VIPcric_1!D465)</f>
        <v/>
      </c>
      <c r="E472" t="str">
        <f>IF(VIPcric_1!E465="","",VIPcric_1!E465)</f>
        <v/>
      </c>
      <c r="F472" t="str">
        <f>IF(VIPcric_1!F465="","",VIPcric_1!F465)</f>
        <v/>
      </c>
      <c r="G472" t="str">
        <f>IF(VIPcric_1!G465="","",VIPcric_1!G465)</f>
        <v/>
      </c>
      <c r="H472" t="str">
        <f>IF(VIPcric_1!H465="","",VIPcric_1!H465)</f>
        <v/>
      </c>
      <c r="I472" t="str">
        <f>IF(VIPcric_1!M465="","",VIPcric_1!M465)</f>
        <v/>
      </c>
    </row>
    <row r="473" spans="1:14">
      <c r="A473" t="str">
        <f>IF(VIPcric_1!A466="","",VIPcric_1!A466)</f>
        <v/>
      </c>
      <c r="B473" t="str">
        <f>IF(VIPcric_1!B466="","",VIPcric_1!B466)</f>
        <v/>
      </c>
      <c r="C473" t="str">
        <f>IF(VIPcric_1!C466="","",VIPcric_1!C466)</f>
        <v/>
      </c>
      <c r="D473" t="str">
        <f>IF(VIPcric_1!D466="","",VIPcric_1!D466)</f>
        <v/>
      </c>
      <c r="E473" t="str">
        <f>IF(VIPcric_1!E466="","",VIPcric_1!E466)</f>
        <v/>
      </c>
      <c r="F473" t="str">
        <f>IF(VIPcric_1!F466="","",VIPcric_1!F466)</f>
        <v/>
      </c>
      <c r="G473" t="str">
        <f>IF(VIPcric_1!G466="","",VIPcric_1!G466)</f>
        <v/>
      </c>
      <c r="H473" t="str">
        <f>IF(VIPcric_1!H466="","",VIPcric_1!H466)</f>
        <v/>
      </c>
      <c r="I473" t="str">
        <f>IF(VIPcric_1!M466="","",VIPcric_1!M466)</f>
        <v>CRIC-厦门-市场监测.商品房市场.项目累计.供求.xlsx</v>
      </c>
    </row>
    <row r="474" spans="1:14">
      <c r="A474" t="str">
        <f>IF(VIPcric_1!A467="","",VIPcric_1!A467)</f>
        <v>时间(年)</v>
      </c>
      <c r="B474" t="str">
        <f>IF(VIPcric_1!B467="","",VIPcric_1!B467)</f>
        <v>供应面积(㎡)</v>
      </c>
      <c r="C474" t="str">
        <f>IF(VIPcric_1!C467="","",VIPcric_1!C467)</f>
        <v>供应套数(套)</v>
      </c>
      <c r="D474" t="str">
        <f>IF(VIPcric_1!D467="","",VIPcric_1!D467)</f>
        <v>成交面积(㎡)</v>
      </c>
      <c r="E474" t="str">
        <f>IF(VIPcric_1!E467="","",VIPcric_1!E467)</f>
        <v>成交套数(套)</v>
      </c>
      <c r="F474" t="str">
        <f>IF(VIPcric_1!F467="","",VIPcric_1!F467)</f>
        <v>成交均价(元/㎡)</v>
      </c>
      <c r="G474" t="str">
        <f>IF(VIPcric_1!G467="","",VIPcric_1!G467)</f>
        <v>成交金额(元)</v>
      </c>
      <c r="H474" t="str">
        <f>IF(VIPcric_1!H467="","",VIPcric_1!H467)</f>
        <v>供求比</v>
      </c>
      <c r="I474" t="str">
        <f>IF(VIPcric_1!M467="","",VIPcric_1!M467)</f>
        <v>CRIC-厦门-市场监测.商品房市场.项目累计.供求.xlsx</v>
      </c>
    </row>
    <row r="475" spans="1:14">
      <c r="A475" t="str">
        <f>IF(VIPcric_1!A468="","",VIPcric_1!A468)</f>
        <v>2023年</v>
      </c>
      <c r="B475">
        <f>IF(VIPcric_1!B468="","",VIPcric_1!B468)</f>
        <v>1867715</v>
      </c>
      <c r="C475">
        <f>IF(VIPcric_1!C468="","",VIPcric_1!C468)</f>
        <v>16742</v>
      </c>
      <c r="D475">
        <f>IF(VIPcric_1!D468="","",VIPcric_1!D468)</f>
        <v>1921051</v>
      </c>
      <c r="E475">
        <f>IF(VIPcric_1!E468="","",VIPcric_1!E468)</f>
        <v>17729</v>
      </c>
      <c r="F475">
        <f>IF(VIPcric_1!F468="","",VIPcric_1!F468)</f>
        <v>43024</v>
      </c>
      <c r="G475">
        <f>IF(VIPcric_1!G468="","",VIPcric_1!G468)</f>
        <v>82651348150</v>
      </c>
      <c r="H475">
        <f>IF(VIPcric_1!H468="","",VIPcric_1!H468)</f>
        <v>0.97</v>
      </c>
      <c r="I475" t="str">
        <f>IF(VIPcric_1!M468="","",VIPcric_1!M468)</f>
        <v>CRIC-厦门-市场监测.商品房市场.项目累计.供求.xlsx</v>
      </c>
    </row>
    <row r="476" spans="1:14">
      <c r="A476" t="str">
        <f>IF(VIPcric_1!A469="","",VIPcric_1!A469)</f>
        <v>2022年</v>
      </c>
      <c r="B476">
        <f>IF(VIPcric_1!B469="","",VIPcric_1!B469)</f>
        <v>1754852</v>
      </c>
      <c r="C476">
        <f>IF(VIPcric_1!C469="","",VIPcric_1!C469)</f>
        <v>16964</v>
      </c>
      <c r="D476">
        <f>IF(VIPcric_1!D469="","",VIPcric_1!D469)</f>
        <v>1705933</v>
      </c>
      <c r="E476">
        <f>IF(VIPcric_1!E469="","",VIPcric_1!E469)</f>
        <v>16273</v>
      </c>
      <c r="F476">
        <f>IF(VIPcric_1!F469="","",VIPcric_1!F469)</f>
        <v>41324</v>
      </c>
      <c r="G476">
        <f>IF(VIPcric_1!G469="","",VIPcric_1!G469)</f>
        <v>70495726312</v>
      </c>
      <c r="H476">
        <f>IF(VIPcric_1!H469="","",VIPcric_1!H469)</f>
        <v>1.03</v>
      </c>
      <c r="I476" t="str">
        <f>IF(VIPcric_1!M469="","",VIPcric_1!M469)</f>
        <v>CRIC-厦门-市场监测.商品房市场.项目累计.供求.xlsx</v>
      </c>
    </row>
    <row r="477" spans="1:14">
      <c r="A477" t="str">
        <f>IF(VIPcric_1!A470="","",VIPcric_1!A470)</f>
        <v>2021年</v>
      </c>
      <c r="B477">
        <f>IF(VIPcric_1!B470="","",VIPcric_1!B470)</f>
        <v>2934300</v>
      </c>
      <c r="C477">
        <f>IF(VIPcric_1!C470="","",VIPcric_1!C470)</f>
        <v>29676</v>
      </c>
      <c r="D477">
        <f>IF(VIPcric_1!D470="","",VIPcric_1!D470)</f>
        <v>3365625</v>
      </c>
      <c r="E477">
        <f>IF(VIPcric_1!E470="","",VIPcric_1!E470)</f>
        <v>32945</v>
      </c>
      <c r="F477">
        <f>IF(VIPcric_1!F470="","",VIPcric_1!F470)</f>
        <v>38208</v>
      </c>
      <c r="G477">
        <f>IF(VIPcric_1!G470="","",VIPcric_1!G470)</f>
        <v>128594055506</v>
      </c>
      <c r="H477">
        <f>IF(VIPcric_1!H470="","",VIPcric_1!H470)</f>
        <v>0.87</v>
      </c>
      <c r="I477" t="str">
        <f>IF(VIPcric_1!M470="","",VIPcric_1!M470)</f>
        <v>CRIC-厦门-市场监测.商品房市场.项目累计.供求.xlsx</v>
      </c>
    </row>
    <row r="478" spans="1:14">
      <c r="A478" t="str">
        <f>IF(VIPcric_1!A471="","",VIPcric_1!A471)</f>
        <v>2020年</v>
      </c>
      <c r="B478">
        <f>IF(VIPcric_1!B471="","",VIPcric_1!B471)</f>
        <v>2594173</v>
      </c>
      <c r="C478">
        <f>IF(VIPcric_1!C471="","",VIPcric_1!C471)</f>
        <v>23621</v>
      </c>
      <c r="D478">
        <f>IF(VIPcric_1!D471="","",VIPcric_1!D471)</f>
        <v>2229551</v>
      </c>
      <c r="E478">
        <f>IF(VIPcric_1!E471="","",VIPcric_1!E471)</f>
        <v>20418</v>
      </c>
      <c r="F478">
        <f>IF(VIPcric_1!F471="","",VIPcric_1!F471)</f>
        <v>40237</v>
      </c>
      <c r="G478">
        <f>IF(VIPcric_1!G471="","",VIPcric_1!G471)</f>
        <v>89710726190</v>
      </c>
      <c r="H478">
        <f>IF(VIPcric_1!H471="","",VIPcric_1!H471)</f>
        <v>1.1599999999999999</v>
      </c>
      <c r="I478" t="str">
        <f>IF(VIPcric_1!M471="","",VIPcric_1!M471)</f>
        <v>CRIC-厦门-市场监测.商品房市场.项目累计.供求.xlsx</v>
      </c>
    </row>
    <row r="479" spans="1:14">
      <c r="A479" t="str">
        <f>IF(VIPcric_1!A472="","",VIPcric_1!A472)</f>
        <v>2019年</v>
      </c>
      <c r="B479">
        <f>IF(VIPcric_1!B472="","",VIPcric_1!B472)</f>
        <v>2332768</v>
      </c>
      <c r="C479">
        <f>IF(VIPcric_1!C472="","",VIPcric_1!C472)</f>
        <v>22914</v>
      </c>
      <c r="D479">
        <f>IF(VIPcric_1!D472="","",VIPcric_1!D472)</f>
        <v>1286276</v>
      </c>
      <c r="E479">
        <f>IF(VIPcric_1!E472="","",VIPcric_1!E472)</f>
        <v>11860</v>
      </c>
      <c r="F479">
        <f>IF(VIPcric_1!F472="","",VIPcric_1!F472)</f>
        <v>37758</v>
      </c>
      <c r="G479">
        <f>IF(VIPcric_1!G472="","",VIPcric_1!G472)</f>
        <v>48567042983</v>
      </c>
      <c r="H479">
        <f>IF(VIPcric_1!H472="","",VIPcric_1!H472)</f>
        <v>1.81</v>
      </c>
      <c r="I479" t="str">
        <f>IF(VIPcric_1!M472="","",VIPcric_1!M472)</f>
        <v>CRIC-厦门-市场监测.商品房市场.项目累计.供求.xlsx</v>
      </c>
    </row>
    <row r="480" spans="1:14">
      <c r="A480" t="str">
        <f>IF(VIPcric_1!A473="","",VIPcric_1!A473)</f>
        <v>汇总</v>
      </c>
      <c r="B480">
        <f>IF(VIPcric_1!B473="","",VIPcric_1!B473)</f>
        <v>11483808</v>
      </c>
      <c r="C480">
        <f>IF(VIPcric_1!C473="","",VIPcric_1!C473)</f>
        <v>109917</v>
      </c>
      <c r="D480">
        <f>IF(VIPcric_1!D473="","",VIPcric_1!D473)</f>
        <v>10508436</v>
      </c>
      <c r="E480">
        <f>IF(VIPcric_1!E473="","",VIPcric_1!E473)</f>
        <v>99225</v>
      </c>
      <c r="F480">
        <f>IF(VIPcric_1!F473="","",VIPcric_1!F473)</f>
        <v>39970</v>
      </c>
      <c r="G480">
        <f>IF(VIPcric_1!G473="","",VIPcric_1!G473)</f>
        <v>420018899141</v>
      </c>
      <c r="H480">
        <f>IF(VIPcric_1!H473="","",VIPcric_1!H473)</f>
        <v>1.0900000000000001</v>
      </c>
      <c r="I480" t="str">
        <f>IF(VIPcric_1!M473="","",VIPcric_1!M473)</f>
        <v>CRIC-厦门-市场监测.商品房市场.项目累计.供求.xlsx</v>
      </c>
    </row>
    <row r="481" spans="1:9">
      <c r="A481" t="str">
        <f>IF(VIPcric_1!A474="","",VIPcric_1!A474)</f>
        <v/>
      </c>
      <c r="B481" t="str">
        <f>IF(VIPcric_1!B474="","",VIPcric_1!B474)</f>
        <v/>
      </c>
      <c r="C481" t="str">
        <f>IF(VIPcric_1!C474="","",VIPcric_1!C474)</f>
        <v/>
      </c>
      <c r="D481" t="str">
        <f>IF(VIPcric_1!D474="","",VIPcric_1!D474)</f>
        <v/>
      </c>
      <c r="E481" t="str">
        <f>IF(VIPcric_1!E474="","",VIPcric_1!E474)</f>
        <v/>
      </c>
      <c r="F481" t="str">
        <f>IF(VIPcric_1!F474="","",VIPcric_1!F474)</f>
        <v/>
      </c>
      <c r="G481" t="str">
        <f>IF(VIPcric_1!G474="","",VIPcric_1!G474)</f>
        <v/>
      </c>
      <c r="H481" t="str">
        <f>IF(VIPcric_1!H474="","",VIPcric_1!H474)</f>
        <v/>
      </c>
      <c r="I481" t="str">
        <f>IF(VIPcric_1!M474="","",VIPcric_1!M474)</f>
        <v/>
      </c>
    </row>
    <row r="482" spans="1:9">
      <c r="A482" t="str">
        <f>IF(VIPcric_1!A475="","",VIPcric_1!A475)</f>
        <v/>
      </c>
      <c r="B482" t="str">
        <f>IF(VIPcric_1!B475="","",VIPcric_1!B475)</f>
        <v/>
      </c>
      <c r="C482" t="str">
        <f>IF(VIPcric_1!C475="","",VIPcric_1!C475)</f>
        <v/>
      </c>
      <c r="D482" t="str">
        <f>IF(VIPcric_1!D475="","",VIPcric_1!D475)</f>
        <v/>
      </c>
      <c r="E482" t="str">
        <f>IF(VIPcric_1!E475="","",VIPcric_1!E475)</f>
        <v/>
      </c>
      <c r="F482" t="str">
        <f>IF(VIPcric_1!F475="","",VIPcric_1!F475)</f>
        <v/>
      </c>
      <c r="G482" t="str">
        <f>IF(VIPcric_1!G475="","",VIPcric_1!G475)</f>
        <v/>
      </c>
      <c r="H482" t="str">
        <f>IF(VIPcric_1!H475="","",VIPcric_1!H475)</f>
        <v/>
      </c>
      <c r="I482" t="str">
        <f>IF(VIPcric_1!M475="","",VIPcric_1!M475)</f>
        <v>CRIC-厦门-市场监测.商品房市场.项目累计.库存 (1).xlsx</v>
      </c>
    </row>
    <row r="483" spans="1:9">
      <c r="A483" t="str">
        <f>IF(VIPcric_1!A476="","",VIPcric_1!A476)</f>
        <v>时间(年)</v>
      </c>
      <c r="B483" t="str">
        <f>IF(VIPcric_1!B476="","",VIPcric_1!B476)</f>
        <v>库存面积(㎡)</v>
      </c>
      <c r="C483" t="str">
        <f>IF(VIPcric_1!C476="","",VIPcric_1!C476)</f>
        <v>库存套数(套)</v>
      </c>
      <c r="D483" t="str">
        <f>IF(VIPcric_1!D476="","",VIPcric_1!D476)</f>
        <v>去化周期12'(月)</v>
      </c>
      <c r="E483" t="str">
        <f>IF(VIPcric_1!E476="","",VIPcric_1!E476)</f>
        <v>去化周期24'(月)</v>
      </c>
      <c r="F483" t="str">
        <f>IF(VIPcric_1!F476="","",VIPcric_1!F476)</f>
        <v/>
      </c>
      <c r="G483" t="str">
        <f>IF(VIPcric_1!G476="","",VIPcric_1!G476)</f>
        <v/>
      </c>
      <c r="H483" t="str">
        <f>IF(VIPcric_1!H476="","",VIPcric_1!H476)</f>
        <v/>
      </c>
      <c r="I483" t="str">
        <f>IF(VIPcric_1!M476="","",VIPcric_1!M476)</f>
        <v>CRIC-厦门-市场监测.商品房市场.项目累计.库存 (1).xlsx</v>
      </c>
    </row>
    <row r="484" spans="1:9">
      <c r="A484" t="str">
        <f>IF(VIPcric_1!A477="","",VIPcric_1!A477)</f>
        <v>2023年</v>
      </c>
      <c r="B484">
        <f>IF(VIPcric_1!B477="","",VIPcric_1!B477)</f>
        <v>2572994</v>
      </c>
      <c r="C484">
        <f>IF(VIPcric_1!C477="","",VIPcric_1!C477)</f>
        <v>23421</v>
      </c>
      <c r="D484">
        <f>IF(VIPcric_1!D477="","",VIPcric_1!D477)</f>
        <v>16.100000000000001</v>
      </c>
      <c r="E484">
        <f>IF(VIPcric_1!E477="","",VIPcric_1!E477)</f>
        <v>17</v>
      </c>
      <c r="F484" t="str">
        <f>IF(VIPcric_1!F477="","",VIPcric_1!F477)</f>
        <v/>
      </c>
      <c r="G484" t="str">
        <f>IF(VIPcric_1!G477="","",VIPcric_1!G477)</f>
        <v/>
      </c>
      <c r="H484" t="str">
        <f>IF(VIPcric_1!H477="","",VIPcric_1!H477)</f>
        <v/>
      </c>
      <c r="I484" t="str">
        <f>IF(VIPcric_1!M477="","",VIPcric_1!M477)</f>
        <v>CRIC-厦门-市场监测.商品房市场.项目累计.库存 (1).xlsx</v>
      </c>
    </row>
    <row r="485" spans="1:9">
      <c r="A485" t="str">
        <f>IF(VIPcric_1!A478="","",VIPcric_1!A478)</f>
        <v>2022年</v>
      </c>
      <c r="B485">
        <f>IF(VIPcric_1!B478="","",VIPcric_1!B478)</f>
        <v>2624674</v>
      </c>
      <c r="C485">
        <f>IF(VIPcric_1!C478="","",VIPcric_1!C478)</f>
        <v>24410</v>
      </c>
      <c r="D485">
        <f>IF(VIPcric_1!D478="","",VIPcric_1!D478)</f>
        <v>18.5</v>
      </c>
      <c r="E485">
        <f>IF(VIPcric_1!E478="","",VIPcric_1!E478)</f>
        <v>12.4</v>
      </c>
      <c r="F485" t="str">
        <f>IF(VIPcric_1!F478="","",VIPcric_1!F478)</f>
        <v/>
      </c>
      <c r="G485" t="str">
        <f>IF(VIPcric_1!G478="","",VIPcric_1!G478)</f>
        <v/>
      </c>
      <c r="H485" t="str">
        <f>IF(VIPcric_1!H478="","",VIPcric_1!H478)</f>
        <v/>
      </c>
      <c r="I485" t="str">
        <f>IF(VIPcric_1!M478="","",VIPcric_1!M478)</f>
        <v>CRIC-厦门-市场监测.商品房市场.项目累计.库存 (1).xlsx</v>
      </c>
    </row>
    <row r="486" spans="1:9">
      <c r="A486" t="str">
        <f>IF(VIPcric_1!A479="","",VIPcric_1!A479)</f>
        <v>2021年</v>
      </c>
      <c r="B486">
        <f>IF(VIPcric_1!B479="","",VIPcric_1!B479)</f>
        <v>2634657</v>
      </c>
      <c r="C486">
        <f>IF(VIPcric_1!C479="","",VIPcric_1!C479)</f>
        <v>24375</v>
      </c>
      <c r="D486">
        <f>IF(VIPcric_1!D479="","",VIPcric_1!D479)</f>
        <v>9.4</v>
      </c>
      <c r="E486">
        <f>IF(VIPcric_1!E479="","",VIPcric_1!E479)</f>
        <v>11.3</v>
      </c>
      <c r="F486" t="str">
        <f>IF(VIPcric_1!F479="","",VIPcric_1!F479)</f>
        <v/>
      </c>
      <c r="G486" t="str">
        <f>IF(VIPcric_1!G479="","",VIPcric_1!G479)</f>
        <v/>
      </c>
      <c r="H486" t="str">
        <f>IF(VIPcric_1!H479="","",VIPcric_1!H479)</f>
        <v/>
      </c>
      <c r="I486" t="str">
        <f>IF(VIPcric_1!M479="","",VIPcric_1!M479)</f>
        <v>CRIC-厦门-市场监测.商品房市场.项目累计.库存 (1).xlsx</v>
      </c>
    </row>
    <row r="487" spans="1:9">
      <c r="A487" t="str">
        <f>IF(VIPcric_1!A480="","",VIPcric_1!A480)</f>
        <v>2020年</v>
      </c>
      <c r="B487">
        <f>IF(VIPcric_1!B480="","",VIPcric_1!B480)</f>
        <v>2966193</v>
      </c>
      <c r="C487">
        <f>IF(VIPcric_1!C480="","",VIPcric_1!C480)</f>
        <v>26747</v>
      </c>
      <c r="D487">
        <f>IF(VIPcric_1!D480="","",VIPcric_1!D480)</f>
        <v>16</v>
      </c>
      <c r="E487">
        <f>IF(VIPcric_1!E480="","",VIPcric_1!E480)</f>
        <v>20.2</v>
      </c>
      <c r="F487" t="str">
        <f>IF(VIPcric_1!F480="","",VIPcric_1!F480)</f>
        <v/>
      </c>
      <c r="G487" t="str">
        <f>IF(VIPcric_1!G480="","",VIPcric_1!G480)</f>
        <v/>
      </c>
      <c r="H487" t="str">
        <f>IF(VIPcric_1!H480="","",VIPcric_1!H480)</f>
        <v/>
      </c>
      <c r="I487" t="str">
        <f>IF(VIPcric_1!M480="","",VIPcric_1!M480)</f>
        <v>CRIC-厦门-市场监测.商品房市场.项目累计.库存 (1).xlsx</v>
      </c>
    </row>
    <row r="488" spans="1:9">
      <c r="A488" t="str">
        <f>IF(VIPcric_1!A481="","",VIPcric_1!A481)</f>
        <v>2019年</v>
      </c>
      <c r="B488">
        <f>IF(VIPcric_1!B481="","",VIPcric_1!B481)</f>
        <v>2591228</v>
      </c>
      <c r="C488">
        <f>IF(VIPcric_1!C481="","",VIPcric_1!C481)</f>
        <v>23516</v>
      </c>
      <c r="D488">
        <f>IF(VIPcric_1!D481="","",VIPcric_1!D481)</f>
        <v>24.2</v>
      </c>
      <c r="E488">
        <f>IF(VIPcric_1!E481="","",VIPcric_1!E481)</f>
        <v>34.299999999999997</v>
      </c>
      <c r="F488" t="str">
        <f>IF(VIPcric_1!F481="","",VIPcric_1!F481)</f>
        <v/>
      </c>
      <c r="G488" t="str">
        <f>IF(VIPcric_1!G481="","",VIPcric_1!G481)</f>
        <v/>
      </c>
      <c r="H488" t="str">
        <f>IF(VIPcric_1!H481="","",VIPcric_1!H481)</f>
        <v/>
      </c>
      <c r="I488" t="str">
        <f>IF(VIPcric_1!M481="","",VIPcric_1!M481)</f>
        <v>CRIC-厦门-市场监测.商品房市场.项目累计.库存 (1).xlsx</v>
      </c>
    </row>
    <row r="489" spans="1:9">
      <c r="A489" t="str">
        <f>IF(VIPcric_1!A482="","",VIPcric_1!A482)</f>
        <v/>
      </c>
      <c r="B489" t="str">
        <f>IF(VIPcric_1!B482="","",VIPcric_1!B482)</f>
        <v/>
      </c>
      <c r="C489" t="str">
        <f>IF(VIPcric_1!C482="","",VIPcric_1!C482)</f>
        <v/>
      </c>
      <c r="D489" t="str">
        <f>IF(VIPcric_1!D482="","",VIPcric_1!D482)</f>
        <v/>
      </c>
      <c r="E489" t="str">
        <f>IF(VIPcric_1!E482="","",VIPcric_1!E482)</f>
        <v/>
      </c>
      <c r="F489" t="str">
        <f>IF(VIPcric_1!F482="","",VIPcric_1!F482)</f>
        <v/>
      </c>
      <c r="G489" t="str">
        <f>IF(VIPcric_1!G482="","",VIPcric_1!G482)</f>
        <v/>
      </c>
      <c r="H489" t="str">
        <f>IF(VIPcric_1!H482="","",VIPcric_1!H482)</f>
        <v/>
      </c>
      <c r="I489" t="str">
        <f>IF(VIPcric_1!M482="","",VIPcric_1!M482)</f>
        <v/>
      </c>
    </row>
    <row r="490" spans="1:9">
      <c r="A490" t="str">
        <f>IF(VIPcric_1!A483="","",VIPcric_1!A483)</f>
        <v/>
      </c>
      <c r="B490" t="str">
        <f>IF(VIPcric_1!B483="","",VIPcric_1!B483)</f>
        <v/>
      </c>
      <c r="C490" t="str">
        <f>IF(VIPcric_1!C483="","",VIPcric_1!C483)</f>
        <v/>
      </c>
      <c r="D490" t="str">
        <f>IF(VIPcric_1!D483="","",VIPcric_1!D483)</f>
        <v/>
      </c>
      <c r="E490" t="str">
        <f>IF(VIPcric_1!E483="","",VIPcric_1!E483)</f>
        <v/>
      </c>
      <c r="F490" t="str">
        <f>IF(VIPcric_1!F483="","",VIPcric_1!F483)</f>
        <v/>
      </c>
      <c r="G490" t="str">
        <f>IF(VIPcric_1!G483="","",VIPcric_1!G483)</f>
        <v/>
      </c>
      <c r="H490" t="str">
        <f>IF(VIPcric_1!H483="","",VIPcric_1!H483)</f>
        <v/>
      </c>
      <c r="I490" t="str">
        <f>IF(VIPcric_1!M483="","",VIPcric_1!M483)</f>
        <v>CRIC-台州-市场监测.商品房市场.项目累计.供求.xlsx</v>
      </c>
    </row>
    <row r="491" spans="1:9">
      <c r="A491" t="str">
        <f>IF(VIPcric_1!A484="","",VIPcric_1!A484)</f>
        <v>时间(年)</v>
      </c>
      <c r="B491" t="str">
        <f>IF(VIPcric_1!B484="","",VIPcric_1!B484)</f>
        <v>供应面积(㎡)</v>
      </c>
      <c r="C491" t="str">
        <f>IF(VIPcric_1!C484="","",VIPcric_1!C484)</f>
        <v>供应套数(套)</v>
      </c>
      <c r="D491" t="str">
        <f>IF(VIPcric_1!D484="","",VIPcric_1!D484)</f>
        <v>成交面积(㎡)</v>
      </c>
      <c r="E491" t="str">
        <f>IF(VIPcric_1!E484="","",VIPcric_1!E484)</f>
        <v>成交套数(套)</v>
      </c>
      <c r="F491" t="str">
        <f>IF(VIPcric_1!F484="","",VIPcric_1!F484)</f>
        <v>成交均价(元/㎡)</v>
      </c>
      <c r="G491" t="str">
        <f>IF(VIPcric_1!G484="","",VIPcric_1!G484)</f>
        <v>成交金额(元)</v>
      </c>
      <c r="H491" t="str">
        <f>IF(VIPcric_1!H484="","",VIPcric_1!H484)</f>
        <v>供求比</v>
      </c>
      <c r="I491" t="str">
        <f>IF(VIPcric_1!M484="","",VIPcric_1!M484)</f>
        <v>CRIC-台州-市场监测.商品房市场.项目累计.供求.xlsx</v>
      </c>
    </row>
    <row r="492" spans="1:9">
      <c r="A492" t="str">
        <f>IF(VIPcric_1!A485="","",VIPcric_1!A485)</f>
        <v>2024年</v>
      </c>
      <c r="B492">
        <f>IF(VIPcric_1!B485="","",VIPcric_1!B485)</f>
        <v>245827</v>
      </c>
      <c r="C492">
        <f>IF(VIPcric_1!C485="","",VIPcric_1!C485)</f>
        <v>1868</v>
      </c>
      <c r="D492">
        <f>IF(VIPcric_1!D485="","",VIPcric_1!D485)</f>
        <v>0</v>
      </c>
      <c r="E492">
        <f>IF(VIPcric_1!E485="","",VIPcric_1!E485)</f>
        <v>0</v>
      </c>
      <c r="F492">
        <f>IF(VIPcric_1!F485="","",VIPcric_1!F485)</f>
        <v>0</v>
      </c>
      <c r="G492">
        <f>IF(VIPcric_1!G485="","",VIPcric_1!G485)</f>
        <v>0</v>
      </c>
      <c r="H492">
        <f>IF(VIPcric_1!H485="","",VIPcric_1!H485)</f>
        <v>0</v>
      </c>
      <c r="I492" t="str">
        <f>IF(VIPcric_1!M485="","",VIPcric_1!M485)</f>
        <v>CRIC-台州-市场监测.商品房市场.项目累计.供求.xlsx</v>
      </c>
    </row>
    <row r="493" spans="1:9">
      <c r="A493" t="str">
        <f>IF(VIPcric_1!A486="","",VIPcric_1!A486)</f>
        <v>2023年</v>
      </c>
      <c r="B493">
        <f>IF(VIPcric_1!B486="","",VIPcric_1!B486)</f>
        <v>3072513</v>
      </c>
      <c r="C493">
        <f>IF(VIPcric_1!C486="","",VIPcric_1!C486)</f>
        <v>24345</v>
      </c>
      <c r="D493">
        <f>IF(VIPcric_1!D486="","",VIPcric_1!D486)</f>
        <v>0</v>
      </c>
      <c r="E493">
        <f>IF(VIPcric_1!E486="","",VIPcric_1!E486)</f>
        <v>0</v>
      </c>
      <c r="F493">
        <f>IF(VIPcric_1!F486="","",VIPcric_1!F486)</f>
        <v>0</v>
      </c>
      <c r="G493">
        <f>IF(VIPcric_1!G486="","",VIPcric_1!G486)</f>
        <v>0</v>
      </c>
      <c r="H493">
        <f>IF(VIPcric_1!H486="","",VIPcric_1!H486)</f>
        <v>0</v>
      </c>
      <c r="I493" t="str">
        <f>IF(VIPcric_1!M486="","",VIPcric_1!M486)</f>
        <v>CRIC-台州-市场监测.商品房市场.项目累计.供求.xlsx</v>
      </c>
    </row>
    <row r="494" spans="1:9">
      <c r="A494" t="str">
        <f>IF(VIPcric_1!A487="","",VIPcric_1!A487)</f>
        <v>2022年</v>
      </c>
      <c r="B494">
        <f>IF(VIPcric_1!B487="","",VIPcric_1!B487)</f>
        <v>3289798</v>
      </c>
      <c r="C494">
        <f>IF(VIPcric_1!C487="","",VIPcric_1!C487)</f>
        <v>25252</v>
      </c>
      <c r="D494">
        <f>IF(VIPcric_1!D487="","",VIPcric_1!D487)</f>
        <v>0</v>
      </c>
      <c r="E494">
        <f>IF(VIPcric_1!E487="","",VIPcric_1!E487)</f>
        <v>0</v>
      </c>
      <c r="F494">
        <f>IF(VIPcric_1!F487="","",VIPcric_1!F487)</f>
        <v>0</v>
      </c>
      <c r="G494">
        <f>IF(VIPcric_1!G487="","",VIPcric_1!G487)</f>
        <v>0</v>
      </c>
      <c r="H494">
        <f>IF(VIPcric_1!H487="","",VIPcric_1!H487)</f>
        <v>0</v>
      </c>
      <c r="I494" t="str">
        <f>IF(VIPcric_1!M487="","",VIPcric_1!M487)</f>
        <v>CRIC-台州-市场监测.商品房市场.项目累计.供求.xlsx</v>
      </c>
    </row>
    <row r="495" spans="1:9">
      <c r="A495" t="str">
        <f>IF(VIPcric_1!A488="","",VIPcric_1!A488)</f>
        <v>2021年</v>
      </c>
      <c r="B495">
        <f>IF(VIPcric_1!B488="","",VIPcric_1!B488)</f>
        <v>5355639</v>
      </c>
      <c r="C495">
        <f>IF(VIPcric_1!C488="","",VIPcric_1!C488)</f>
        <v>43966</v>
      </c>
      <c r="D495">
        <f>IF(VIPcric_1!D488="","",VIPcric_1!D488)</f>
        <v>0</v>
      </c>
      <c r="E495">
        <f>IF(VIPcric_1!E488="","",VIPcric_1!E488)</f>
        <v>0</v>
      </c>
      <c r="F495">
        <f>IF(VIPcric_1!F488="","",VIPcric_1!F488)</f>
        <v>0</v>
      </c>
      <c r="G495">
        <f>IF(VIPcric_1!G488="","",VIPcric_1!G488)</f>
        <v>0</v>
      </c>
      <c r="H495">
        <f>IF(VIPcric_1!H488="","",VIPcric_1!H488)</f>
        <v>0</v>
      </c>
      <c r="I495" t="str">
        <f>IF(VIPcric_1!M488="","",VIPcric_1!M488)</f>
        <v>CRIC-台州-市场监测.商品房市场.项目累计.供求.xlsx</v>
      </c>
    </row>
    <row r="496" spans="1:9">
      <c r="A496" t="str">
        <f>IF(VIPcric_1!A489="","",VIPcric_1!A489)</f>
        <v>2020年</v>
      </c>
      <c r="B496">
        <f>IF(VIPcric_1!B489="","",VIPcric_1!B489)</f>
        <v>7323825</v>
      </c>
      <c r="C496">
        <f>IF(VIPcric_1!C489="","",VIPcric_1!C489)</f>
        <v>61070</v>
      </c>
      <c r="D496">
        <f>IF(VIPcric_1!D489="","",VIPcric_1!D489)</f>
        <v>885036</v>
      </c>
      <c r="E496">
        <f>IF(VIPcric_1!E489="","",VIPcric_1!E489)</f>
        <v>7211</v>
      </c>
      <c r="F496">
        <f>IF(VIPcric_1!F489="","",VIPcric_1!F489)</f>
        <v>15375</v>
      </c>
      <c r="G496">
        <f>IF(VIPcric_1!G489="","",VIPcric_1!G489)</f>
        <v>13607444362</v>
      </c>
      <c r="H496">
        <f>IF(VIPcric_1!H489="","",VIPcric_1!H489)</f>
        <v>8.2799999999999994</v>
      </c>
      <c r="I496" t="str">
        <f>IF(VIPcric_1!M489="","",VIPcric_1!M489)</f>
        <v>CRIC-台州-市场监测.商品房市场.项目累计.供求.xlsx</v>
      </c>
    </row>
    <row r="497" spans="1:9">
      <c r="A497" t="str">
        <f>IF(VIPcric_1!A490="","",VIPcric_1!A490)</f>
        <v>2019年</v>
      </c>
      <c r="B497">
        <f>IF(VIPcric_1!B490="","",VIPcric_1!B490)</f>
        <v>5019422</v>
      </c>
      <c r="C497">
        <f>IF(VIPcric_1!C490="","",VIPcric_1!C490)</f>
        <v>41019</v>
      </c>
      <c r="D497">
        <f>IF(VIPcric_1!D490="","",VIPcric_1!D490)</f>
        <v>2698616</v>
      </c>
      <c r="E497">
        <f>IF(VIPcric_1!E490="","",VIPcric_1!E490)</f>
        <v>22111</v>
      </c>
      <c r="F497">
        <f>IF(VIPcric_1!F490="","",VIPcric_1!F490)</f>
        <v>14223</v>
      </c>
      <c r="G497">
        <f>IF(VIPcric_1!G490="","",VIPcric_1!G490)</f>
        <v>38381125112</v>
      </c>
      <c r="H497">
        <f>IF(VIPcric_1!H490="","",VIPcric_1!H490)</f>
        <v>1.86</v>
      </c>
      <c r="I497" t="str">
        <f>IF(VIPcric_1!M490="","",VIPcric_1!M490)</f>
        <v>CRIC-台州-市场监测.商品房市场.项目累计.供求.xlsx</v>
      </c>
    </row>
    <row r="498" spans="1:9">
      <c r="A498" t="str">
        <f>IF(VIPcric_1!A491="","",VIPcric_1!A491)</f>
        <v>汇总</v>
      </c>
      <c r="B498">
        <f>IF(VIPcric_1!B491="","",VIPcric_1!B491)</f>
        <v>24307023</v>
      </c>
      <c r="C498">
        <f>IF(VIPcric_1!C491="","",VIPcric_1!C491)</f>
        <v>197520</v>
      </c>
      <c r="D498">
        <f>IF(VIPcric_1!D491="","",VIPcric_1!D491)</f>
        <v>3583652</v>
      </c>
      <c r="E498">
        <f>IF(VIPcric_1!E491="","",VIPcric_1!E491)</f>
        <v>29322</v>
      </c>
      <c r="F498">
        <f>IF(VIPcric_1!F491="","",VIPcric_1!F491)</f>
        <v>14507</v>
      </c>
      <c r="G498">
        <f>IF(VIPcric_1!G491="","",VIPcric_1!G491)</f>
        <v>51988569474</v>
      </c>
      <c r="H498">
        <f>IF(VIPcric_1!H491="","",VIPcric_1!H491)</f>
        <v>6.78</v>
      </c>
      <c r="I498" t="str">
        <f>IF(VIPcric_1!M491="","",VIPcric_1!M491)</f>
        <v>CRIC-台州-市场监测.商品房市场.项目累计.供求.xlsx</v>
      </c>
    </row>
    <row r="499" spans="1:9">
      <c r="A499" t="str">
        <f>IF(VIPcric_1!A492="","",VIPcric_1!A492)</f>
        <v/>
      </c>
      <c r="B499" t="str">
        <f>IF(VIPcric_1!B492="","",VIPcric_1!B492)</f>
        <v/>
      </c>
      <c r="C499" t="str">
        <f>IF(VIPcric_1!C492="","",VIPcric_1!C492)</f>
        <v/>
      </c>
      <c r="D499" t="str">
        <f>IF(VIPcric_1!D492="","",VIPcric_1!D492)</f>
        <v/>
      </c>
      <c r="E499" t="str">
        <f>IF(VIPcric_1!E492="","",VIPcric_1!E492)</f>
        <v/>
      </c>
      <c r="F499" t="str">
        <f>IF(VIPcric_1!F492="","",VIPcric_1!F492)</f>
        <v/>
      </c>
      <c r="G499" t="str">
        <f>IF(VIPcric_1!G492="","",VIPcric_1!G492)</f>
        <v/>
      </c>
      <c r="H499" t="str">
        <f>IF(VIPcric_1!H492="","",VIPcric_1!H492)</f>
        <v/>
      </c>
      <c r="I499" t="str">
        <f>IF(VIPcric_1!M492="","",VIPcric_1!M492)</f>
        <v/>
      </c>
    </row>
    <row r="500" spans="1:9">
      <c r="A500" t="str">
        <f>IF(VIPcric_1!A493="","",VIPcric_1!A493)</f>
        <v/>
      </c>
      <c r="B500" t="str">
        <f>IF(VIPcric_1!B493="","",VIPcric_1!B493)</f>
        <v/>
      </c>
      <c r="C500" t="str">
        <f>IF(VIPcric_1!C493="","",VIPcric_1!C493)</f>
        <v/>
      </c>
      <c r="D500" t="str">
        <f>IF(VIPcric_1!D493="","",VIPcric_1!D493)</f>
        <v/>
      </c>
      <c r="E500" t="str">
        <f>IF(VIPcric_1!E493="","",VIPcric_1!E493)</f>
        <v/>
      </c>
      <c r="F500" t="str">
        <f>IF(VIPcric_1!F493="","",VIPcric_1!F493)</f>
        <v/>
      </c>
      <c r="G500" t="str">
        <f>IF(VIPcric_1!G493="","",VIPcric_1!G493)</f>
        <v/>
      </c>
      <c r="H500" t="str">
        <f>IF(VIPcric_1!H493="","",VIPcric_1!H493)</f>
        <v/>
      </c>
      <c r="I500" t="str">
        <f>IF(VIPcric_1!M493="","",VIPcric_1!M493)</f>
        <v>CRIC-台州-市场监测.商品房市场.项目累计.库存.xlsx</v>
      </c>
    </row>
    <row r="501" spans="1:9">
      <c r="A501" t="str">
        <f>IF(VIPcric_1!A494="","",VIPcric_1!A494)</f>
        <v>时间(年)</v>
      </c>
      <c r="B501" t="str">
        <f>IF(VIPcric_1!B494="","",VIPcric_1!B494)</f>
        <v>库存面积(㎡)</v>
      </c>
      <c r="C501" t="str">
        <f>IF(VIPcric_1!C494="","",VIPcric_1!C494)</f>
        <v>库存套数(套)</v>
      </c>
      <c r="D501" t="str">
        <f>IF(VIPcric_1!D494="","",VIPcric_1!D494)</f>
        <v>去化周期12'(月)</v>
      </c>
      <c r="E501" t="str">
        <f>IF(VIPcric_1!E494="","",VIPcric_1!E494)</f>
        <v/>
      </c>
      <c r="F501" t="str">
        <f>IF(VIPcric_1!F494="","",VIPcric_1!F494)</f>
        <v/>
      </c>
      <c r="G501" t="str">
        <f>IF(VIPcric_1!G494="","",VIPcric_1!G494)</f>
        <v/>
      </c>
      <c r="H501" t="str">
        <f>IF(VIPcric_1!H494="","",VIPcric_1!H494)</f>
        <v/>
      </c>
      <c r="I501" t="str">
        <f>IF(VIPcric_1!M494="","",VIPcric_1!M494)</f>
        <v>CRIC-台州-市场监测.商品房市场.项目累计.库存.xlsx</v>
      </c>
    </row>
    <row r="502" spans="1:9">
      <c r="A502">
        <v>2023</v>
      </c>
    </row>
    <row r="503" spans="1:9">
      <c r="A503" t="str">
        <f>IF(VIPcric_1!A495="","",VIPcric_1!A495)</f>
        <v>2020年</v>
      </c>
      <c r="B503">
        <f>IF(VIPcric_1!B495="","",VIPcric_1!B495)</f>
        <v>5585604</v>
      </c>
      <c r="C503">
        <f>IF(VIPcric_1!C495="","",VIPcric_1!C495)</f>
        <v>44678</v>
      </c>
      <c r="D503">
        <f>IF(VIPcric_1!D495="","",VIPcric_1!D495)</f>
        <v>21.8</v>
      </c>
      <c r="E503" t="str">
        <f>IF(VIPcric_1!E495="","",VIPcric_1!E495)</f>
        <v/>
      </c>
      <c r="F503" t="str">
        <f>IF(VIPcric_1!F495="","",VIPcric_1!F495)</f>
        <v/>
      </c>
      <c r="G503" t="str">
        <f>IF(VIPcric_1!G495="","",VIPcric_1!G495)</f>
        <v/>
      </c>
      <c r="H503" t="str">
        <f>IF(VIPcric_1!H495="","",VIPcric_1!H495)</f>
        <v/>
      </c>
      <c r="I503" t="str">
        <f>IF(VIPcric_1!M495="","",VIPcric_1!M495)</f>
        <v>CRIC-台州-市场监测.商品房市场.项目累计.库存.xlsx</v>
      </c>
    </row>
    <row r="504" spans="1:9">
      <c r="A504" t="str">
        <f>IF(VIPcric_1!A496="","",VIPcric_1!A496)</f>
        <v>2019年</v>
      </c>
      <c r="B504">
        <f>IF(VIPcric_1!B496="","",VIPcric_1!B496)</f>
        <v>4969463</v>
      </c>
      <c r="C504">
        <f>IF(VIPcric_1!C496="","",VIPcric_1!C496)</f>
        <v>40092</v>
      </c>
      <c r="D504">
        <f>IF(VIPcric_1!D496="","",VIPcric_1!D496)</f>
        <v>22.1</v>
      </c>
      <c r="E504" t="str">
        <f>IF(VIPcric_1!E496="","",VIPcric_1!E496)</f>
        <v/>
      </c>
      <c r="F504" t="str">
        <f>IF(VIPcric_1!F496="","",VIPcric_1!F496)</f>
        <v/>
      </c>
      <c r="G504" t="str">
        <f>IF(VIPcric_1!G496="","",VIPcric_1!G496)</f>
        <v/>
      </c>
      <c r="H504" t="str">
        <f>IF(VIPcric_1!H496="","",VIPcric_1!H496)</f>
        <v/>
      </c>
      <c r="I504" t="str">
        <f>IF(VIPcric_1!M496="","",VIPcric_1!M496)</f>
        <v>CRIC-台州-市场监测.商品房市场.项目累计.库存.xlsx</v>
      </c>
    </row>
    <row r="505" spans="1:9">
      <c r="A505" t="str">
        <f>IF(VIPcric_1!A497="","",VIPcric_1!A497)</f>
        <v>2018年</v>
      </c>
      <c r="B505">
        <f>IF(VIPcric_1!B497="","",VIPcric_1!B497)</f>
        <v>3720758</v>
      </c>
      <c r="C505">
        <f>IF(VIPcric_1!C497="","",VIPcric_1!C497)</f>
        <v>29674</v>
      </c>
      <c r="D505">
        <f>IF(VIPcric_1!D497="","",VIPcric_1!D497)</f>
        <v>16.399999999999999</v>
      </c>
      <c r="E505" t="str">
        <f>IF(VIPcric_1!E497="","",VIPcric_1!E497)</f>
        <v/>
      </c>
      <c r="F505" t="str">
        <f>IF(VIPcric_1!F497="","",VIPcric_1!F497)</f>
        <v/>
      </c>
      <c r="G505" t="str">
        <f>IF(VIPcric_1!G497="","",VIPcric_1!G497)</f>
        <v/>
      </c>
      <c r="H505" t="str">
        <f>IF(VIPcric_1!H497="","",VIPcric_1!H497)</f>
        <v/>
      </c>
      <c r="I505" t="str">
        <f>IF(VIPcric_1!M497="","",VIPcric_1!M497)</f>
        <v>CRIC-台州-市场监测.商品房市场.项目累计.库存.xlsx</v>
      </c>
    </row>
    <row r="506" spans="1:9">
      <c r="A506" t="str">
        <f>IF(VIPcric_1!A498="","",VIPcric_1!A498)</f>
        <v/>
      </c>
      <c r="B506" t="str">
        <f>IF(VIPcric_1!B498="","",VIPcric_1!B498)</f>
        <v/>
      </c>
      <c r="C506" t="str">
        <f>IF(VIPcric_1!C498="","",VIPcric_1!C498)</f>
        <v/>
      </c>
      <c r="D506" t="str">
        <f>IF(VIPcric_1!D498="","",VIPcric_1!D498)</f>
        <v/>
      </c>
      <c r="E506" t="str">
        <f>IF(VIPcric_1!E498="","",VIPcric_1!E498)</f>
        <v/>
      </c>
      <c r="F506" t="str">
        <f>IF(VIPcric_1!F498="","",VIPcric_1!F498)</f>
        <v/>
      </c>
      <c r="G506" t="str">
        <f>IF(VIPcric_1!G498="","",VIPcric_1!G498)</f>
        <v/>
      </c>
      <c r="H506" t="str">
        <f>IF(VIPcric_1!H498="","",VIPcric_1!H498)</f>
        <v/>
      </c>
      <c r="I506" t="str">
        <f>IF(VIPcric_1!M498="","",VIPcric_1!M498)</f>
        <v/>
      </c>
    </row>
    <row r="507" spans="1:9">
      <c r="A507" t="str">
        <f>IF(VIPcric_1!A499="","",VIPcric_1!A499)</f>
        <v/>
      </c>
      <c r="B507" t="str">
        <f>IF(VIPcric_1!B499="","",VIPcric_1!B499)</f>
        <v/>
      </c>
      <c r="C507" t="str">
        <f>IF(VIPcric_1!C499="","",VIPcric_1!C499)</f>
        <v/>
      </c>
      <c r="D507" t="str">
        <f>IF(VIPcric_1!D499="","",VIPcric_1!D499)</f>
        <v/>
      </c>
      <c r="E507" t="str">
        <f>IF(VIPcric_1!E499="","",VIPcric_1!E499)</f>
        <v/>
      </c>
      <c r="F507" t="str">
        <f>IF(VIPcric_1!F499="","",VIPcric_1!F499)</f>
        <v/>
      </c>
      <c r="G507" t="str">
        <f>IF(VIPcric_1!G499="","",VIPcric_1!G499)</f>
        <v/>
      </c>
      <c r="H507" t="str">
        <f>IF(VIPcric_1!H499="","",VIPcric_1!H499)</f>
        <v/>
      </c>
      <c r="I507" t="str">
        <f>IF(VIPcric_1!M499="","",VIPcric_1!M499)</f>
        <v>CRIC-合肥-市场监测.商品房市场.项目累计.供求.xlsx</v>
      </c>
    </row>
    <row r="508" spans="1:9">
      <c r="A508" t="str">
        <f>IF(VIPcric_1!A500="","",VIPcric_1!A500)</f>
        <v>时间(年)</v>
      </c>
      <c r="B508" t="str">
        <f>IF(VIPcric_1!B500="","",VIPcric_1!B500)</f>
        <v>供应面积(㎡)</v>
      </c>
      <c r="C508" t="str">
        <f>IF(VIPcric_1!C500="","",VIPcric_1!C500)</f>
        <v>供应套数(套)</v>
      </c>
      <c r="D508" t="str">
        <f>IF(VIPcric_1!D500="","",VIPcric_1!D500)</f>
        <v>成交面积(㎡)</v>
      </c>
      <c r="E508" t="str">
        <f>IF(VIPcric_1!E500="","",VIPcric_1!E500)</f>
        <v>成交套数(套)</v>
      </c>
      <c r="F508" t="str">
        <f>IF(VIPcric_1!F500="","",VIPcric_1!F500)</f>
        <v>成交均价(元/㎡)</v>
      </c>
      <c r="G508" t="str">
        <f>IF(VIPcric_1!G500="","",VIPcric_1!G500)</f>
        <v>成交金额(元)</v>
      </c>
      <c r="H508" t="str">
        <f>IF(VIPcric_1!H500="","",VIPcric_1!H500)</f>
        <v>供求比</v>
      </c>
      <c r="I508" t="str">
        <f>IF(VIPcric_1!M500="","",VIPcric_1!M500)</f>
        <v>CRIC-合肥-市场监测.商品房市场.项目累计.供求.xlsx</v>
      </c>
    </row>
    <row r="509" spans="1:9">
      <c r="A509" t="str">
        <f>IF(VIPcric_1!A501="","",VIPcric_1!A501)</f>
        <v>2023年</v>
      </c>
      <c r="B509">
        <f>IF(VIPcric_1!B501="","",VIPcric_1!B501)</f>
        <v>5022525</v>
      </c>
      <c r="C509">
        <f>IF(VIPcric_1!C501="","",VIPcric_1!C501)</f>
        <v>40442</v>
      </c>
      <c r="D509">
        <f>IF(VIPcric_1!D501="","",VIPcric_1!D501)</f>
        <v>4916760</v>
      </c>
      <c r="E509">
        <f>IF(VIPcric_1!E501="","",VIPcric_1!E501)</f>
        <v>39407</v>
      </c>
      <c r="F509">
        <f>IF(VIPcric_1!F501="","",VIPcric_1!F501)</f>
        <v>21353</v>
      </c>
      <c r="G509">
        <f>IF(VIPcric_1!G501="","",VIPcric_1!G501)</f>
        <v>104985463671</v>
      </c>
      <c r="H509">
        <f>IF(VIPcric_1!H501="","",VIPcric_1!H501)</f>
        <v>1.02</v>
      </c>
      <c r="I509" t="str">
        <f>IF(VIPcric_1!M501="","",VIPcric_1!M501)</f>
        <v>CRIC-合肥-市场监测.商品房市场.项目累计.供求.xlsx</v>
      </c>
    </row>
    <row r="510" spans="1:9">
      <c r="A510" t="str">
        <f>IF(VIPcric_1!A502="","",VIPcric_1!A502)</f>
        <v>2022年</v>
      </c>
      <c r="B510">
        <f>IF(VIPcric_1!B502="","",VIPcric_1!B502)</f>
        <v>5843841</v>
      </c>
      <c r="C510">
        <f>IF(VIPcric_1!C502="","",VIPcric_1!C502)</f>
        <v>50076</v>
      </c>
      <c r="D510">
        <f>IF(VIPcric_1!D502="","",VIPcric_1!D502)</f>
        <v>5395120</v>
      </c>
      <c r="E510">
        <f>IF(VIPcric_1!E502="","",VIPcric_1!E502)</f>
        <v>44268</v>
      </c>
      <c r="F510">
        <f>IF(VIPcric_1!F502="","",VIPcric_1!F502)</f>
        <v>19788</v>
      </c>
      <c r="G510">
        <f>IF(VIPcric_1!G502="","",VIPcric_1!G502)</f>
        <v>106758047352</v>
      </c>
      <c r="H510">
        <f>IF(VIPcric_1!H502="","",VIPcric_1!H502)</f>
        <v>1.08</v>
      </c>
      <c r="I510" t="str">
        <f>IF(VIPcric_1!M502="","",VIPcric_1!M502)</f>
        <v>CRIC-合肥-市场监测.商品房市场.项目累计.供求.xlsx</v>
      </c>
    </row>
    <row r="511" spans="1:9">
      <c r="A511" t="str">
        <f>IF(VIPcric_1!A503="","",VIPcric_1!A503)</f>
        <v>2021年</v>
      </c>
      <c r="B511">
        <f>IF(VIPcric_1!B503="","",VIPcric_1!B503)</f>
        <v>6399170</v>
      </c>
      <c r="C511">
        <f>IF(VIPcric_1!C503="","",VIPcric_1!C503)</f>
        <v>53585</v>
      </c>
      <c r="D511">
        <f>IF(VIPcric_1!D503="","",VIPcric_1!D503)</f>
        <v>8118144</v>
      </c>
      <c r="E511">
        <f>IF(VIPcric_1!E503="","",VIPcric_1!E503)</f>
        <v>66655</v>
      </c>
      <c r="F511">
        <f>IF(VIPcric_1!F503="","",VIPcric_1!F503)</f>
        <v>18157</v>
      </c>
      <c r="G511">
        <f>IF(VIPcric_1!G503="","",VIPcric_1!G503)</f>
        <v>147397946000</v>
      </c>
      <c r="H511">
        <f>IF(VIPcric_1!H503="","",VIPcric_1!H503)</f>
        <v>0.79</v>
      </c>
      <c r="I511" t="str">
        <f>IF(VIPcric_1!M503="","",VIPcric_1!M503)</f>
        <v>CRIC-合肥-市场监测.商品房市场.项目累计.供求.xlsx</v>
      </c>
    </row>
    <row r="512" spans="1:9">
      <c r="A512" t="str">
        <f>IF(VIPcric_1!A504="","",VIPcric_1!A504)</f>
        <v>2020年</v>
      </c>
      <c r="B512">
        <f>IF(VIPcric_1!B504="","",VIPcric_1!B504)</f>
        <v>7241576</v>
      </c>
      <c r="C512">
        <f>IF(VIPcric_1!C504="","",VIPcric_1!C504)</f>
        <v>59813</v>
      </c>
      <c r="D512">
        <f>IF(VIPcric_1!D504="","",VIPcric_1!D504)</f>
        <v>8034991</v>
      </c>
      <c r="E512">
        <f>IF(VIPcric_1!E504="","",VIPcric_1!E504)</f>
        <v>67323</v>
      </c>
      <c r="F512">
        <f>IF(VIPcric_1!F504="","",VIPcric_1!F504)</f>
        <v>19584</v>
      </c>
      <c r="G512">
        <f>IF(VIPcric_1!G504="","",VIPcric_1!G504)</f>
        <v>157356393939</v>
      </c>
      <c r="H512">
        <f>IF(VIPcric_1!H504="","",VIPcric_1!H504)</f>
        <v>0.9</v>
      </c>
      <c r="I512" t="str">
        <f>IF(VIPcric_1!M504="","",VIPcric_1!M504)</f>
        <v>CRIC-合肥-市场监测.商品房市场.项目累计.供求.xlsx</v>
      </c>
    </row>
    <row r="513" spans="1:9">
      <c r="A513" t="str">
        <f>IF(VIPcric_1!A505="","",VIPcric_1!A505)</f>
        <v>2019年</v>
      </c>
      <c r="B513">
        <f>IF(VIPcric_1!B505="","",VIPcric_1!B505)</f>
        <v>7300588</v>
      </c>
      <c r="C513">
        <f>IF(VIPcric_1!C505="","",VIPcric_1!C505)</f>
        <v>61225</v>
      </c>
      <c r="D513">
        <f>IF(VIPcric_1!D505="","",VIPcric_1!D505)</f>
        <v>6680407</v>
      </c>
      <c r="E513">
        <f>IF(VIPcric_1!E505="","",VIPcric_1!E505)</f>
        <v>58136</v>
      </c>
      <c r="F513">
        <f>IF(VIPcric_1!F505="","",VIPcric_1!F505)</f>
        <v>17847</v>
      </c>
      <c r="G513">
        <f>IF(VIPcric_1!G505="","",VIPcric_1!G505)</f>
        <v>119228483350</v>
      </c>
      <c r="H513">
        <f>IF(VIPcric_1!H505="","",VIPcric_1!H505)</f>
        <v>1.0900000000000001</v>
      </c>
      <c r="I513" t="str">
        <f>IF(VIPcric_1!M505="","",VIPcric_1!M505)</f>
        <v>CRIC-合肥-市场监测.商品房市场.项目累计.供求.xlsx</v>
      </c>
    </row>
    <row r="514" spans="1:9">
      <c r="A514" t="str">
        <f>IF(VIPcric_1!A506="","",VIPcric_1!A506)</f>
        <v>汇总</v>
      </c>
      <c r="B514">
        <f>IF(VIPcric_1!B506="","",VIPcric_1!B506)</f>
        <v>31807700</v>
      </c>
      <c r="C514">
        <f>IF(VIPcric_1!C506="","",VIPcric_1!C506)</f>
        <v>265141</v>
      </c>
      <c r="D514">
        <f>IF(VIPcric_1!D506="","",VIPcric_1!D506)</f>
        <v>33145422</v>
      </c>
      <c r="E514">
        <f>IF(VIPcric_1!E506="","",VIPcric_1!E506)</f>
        <v>275789</v>
      </c>
      <c r="F514">
        <f>IF(VIPcric_1!F506="","",VIPcric_1!F506)</f>
        <v>19180</v>
      </c>
      <c r="G514">
        <f>IF(VIPcric_1!G506="","",VIPcric_1!G506)</f>
        <v>635726334311</v>
      </c>
      <c r="H514">
        <f>IF(VIPcric_1!H506="","",VIPcric_1!H506)</f>
        <v>0.96</v>
      </c>
      <c r="I514" t="str">
        <f>IF(VIPcric_1!M506="","",VIPcric_1!M506)</f>
        <v>CRIC-合肥-市场监测.商品房市场.项目累计.供求.xlsx</v>
      </c>
    </row>
    <row r="515" spans="1:9">
      <c r="A515" t="str">
        <f>IF(VIPcric_1!A507="","",VIPcric_1!A507)</f>
        <v/>
      </c>
      <c r="B515" t="str">
        <f>IF(VIPcric_1!B507="","",VIPcric_1!B507)</f>
        <v/>
      </c>
      <c r="C515" t="str">
        <f>IF(VIPcric_1!C507="","",VIPcric_1!C507)</f>
        <v/>
      </c>
      <c r="D515" t="str">
        <f>IF(VIPcric_1!D507="","",VIPcric_1!D507)</f>
        <v/>
      </c>
      <c r="E515" t="str">
        <f>IF(VIPcric_1!E507="","",VIPcric_1!E507)</f>
        <v/>
      </c>
      <c r="F515" t="str">
        <f>IF(VIPcric_1!F507="","",VIPcric_1!F507)</f>
        <v/>
      </c>
      <c r="G515" t="str">
        <f>IF(VIPcric_1!G507="","",VIPcric_1!G507)</f>
        <v/>
      </c>
      <c r="H515" t="str">
        <f>IF(VIPcric_1!H507="","",VIPcric_1!H507)</f>
        <v/>
      </c>
      <c r="I515" t="str">
        <f>IF(VIPcric_1!M507="","",VIPcric_1!M507)</f>
        <v/>
      </c>
    </row>
    <row r="516" spans="1:9">
      <c r="A516" t="str">
        <f>IF(VIPcric_1!A508="","",VIPcric_1!A508)</f>
        <v/>
      </c>
      <c r="B516" t="str">
        <f>IF(VIPcric_1!B508="","",VIPcric_1!B508)</f>
        <v/>
      </c>
      <c r="C516" t="str">
        <f>IF(VIPcric_1!C508="","",VIPcric_1!C508)</f>
        <v/>
      </c>
      <c r="D516" t="str">
        <f>IF(VIPcric_1!D508="","",VIPcric_1!D508)</f>
        <v/>
      </c>
      <c r="E516" t="str">
        <f>IF(VIPcric_1!E508="","",VIPcric_1!E508)</f>
        <v/>
      </c>
      <c r="F516" t="str">
        <f>IF(VIPcric_1!F508="","",VIPcric_1!F508)</f>
        <v/>
      </c>
      <c r="G516" t="str">
        <f>IF(VIPcric_1!G508="","",VIPcric_1!G508)</f>
        <v/>
      </c>
      <c r="H516" t="str">
        <f>IF(VIPcric_1!H508="","",VIPcric_1!H508)</f>
        <v/>
      </c>
      <c r="I516" t="str">
        <f>IF(VIPcric_1!M508="","",VIPcric_1!M508)</f>
        <v>CRIC-合肥-市场监测.商品房市场.项目累计.库存.xlsx</v>
      </c>
    </row>
    <row r="517" spans="1:9">
      <c r="A517" t="str">
        <f>IF(VIPcric_1!A509="","",VIPcric_1!A509)</f>
        <v>时间(年)</v>
      </c>
      <c r="B517" t="str">
        <f>IF(VIPcric_1!B509="","",VIPcric_1!B509)</f>
        <v>库存面积(㎡)</v>
      </c>
      <c r="C517" t="str">
        <f>IF(VIPcric_1!C509="","",VIPcric_1!C509)</f>
        <v>库存套数(套)</v>
      </c>
      <c r="D517" t="str">
        <f>IF(VIPcric_1!D509="","",VIPcric_1!D509)</f>
        <v>去化周期12'(月)</v>
      </c>
      <c r="E517" t="str">
        <f>IF(VIPcric_1!E509="","",VIPcric_1!E509)</f>
        <v/>
      </c>
      <c r="F517" t="str">
        <f>IF(VIPcric_1!F509="","",VIPcric_1!F509)</f>
        <v/>
      </c>
      <c r="G517" t="str">
        <f>IF(VIPcric_1!G509="","",VIPcric_1!G509)</f>
        <v/>
      </c>
      <c r="H517" t="str">
        <f>IF(VIPcric_1!H509="","",VIPcric_1!H509)</f>
        <v/>
      </c>
      <c r="I517" t="str">
        <f>IF(VIPcric_1!M509="","",VIPcric_1!M509)</f>
        <v>CRIC-合肥-市场监测.商品房市场.项目累计.库存.xlsx</v>
      </c>
    </row>
    <row r="518" spans="1:9">
      <c r="A518" t="str">
        <f>IF(VIPcric_1!A510="","",VIPcric_1!A510)</f>
        <v>2023年</v>
      </c>
      <c r="B518">
        <f>IF(VIPcric_1!B510="","",VIPcric_1!B510)</f>
        <v>2902917</v>
      </c>
      <c r="C518">
        <f>IF(VIPcric_1!C510="","",VIPcric_1!C510)</f>
        <v>24116</v>
      </c>
      <c r="D518">
        <f>IF(VIPcric_1!D510="","",VIPcric_1!D510)</f>
        <v>7.1</v>
      </c>
      <c r="E518" t="str">
        <f>IF(VIPcric_1!E510="","",VIPcric_1!E510)</f>
        <v/>
      </c>
      <c r="F518" t="str">
        <f>IF(VIPcric_1!F510="","",VIPcric_1!F510)</f>
        <v/>
      </c>
      <c r="G518" t="str">
        <f>IF(VIPcric_1!G510="","",VIPcric_1!G510)</f>
        <v/>
      </c>
      <c r="H518" t="str">
        <f>IF(VIPcric_1!H510="","",VIPcric_1!H510)</f>
        <v/>
      </c>
      <c r="I518" t="str">
        <f>IF(VIPcric_1!M510="","",VIPcric_1!M510)</f>
        <v>CRIC-合肥-市场监测.商品房市场.项目累计.库存.xlsx</v>
      </c>
    </row>
    <row r="519" spans="1:9">
      <c r="A519" t="str">
        <f>IF(VIPcric_1!A511="","",VIPcric_1!A511)</f>
        <v>2022年</v>
      </c>
      <c r="B519">
        <f>IF(VIPcric_1!B511="","",VIPcric_1!B511)</f>
        <v>2663146</v>
      </c>
      <c r="C519">
        <f>IF(VIPcric_1!C511="","",VIPcric_1!C511)</f>
        <v>21923</v>
      </c>
      <c r="D519">
        <f>IF(VIPcric_1!D511="","",VIPcric_1!D511)</f>
        <v>5.9</v>
      </c>
      <c r="E519" t="str">
        <f>IF(VIPcric_1!E511="","",VIPcric_1!E511)</f>
        <v/>
      </c>
      <c r="F519" t="str">
        <f>IF(VIPcric_1!F511="","",VIPcric_1!F511)</f>
        <v/>
      </c>
      <c r="G519" t="str">
        <f>IF(VIPcric_1!G511="","",VIPcric_1!G511)</f>
        <v/>
      </c>
      <c r="H519" t="str">
        <f>IF(VIPcric_1!H511="","",VIPcric_1!H511)</f>
        <v/>
      </c>
      <c r="I519" t="str">
        <f>IF(VIPcric_1!M511="","",VIPcric_1!M511)</f>
        <v>CRIC-合肥-市场监测.商品房市场.项目累计.库存.xlsx</v>
      </c>
    </row>
    <row r="520" spans="1:9">
      <c r="A520" t="str">
        <f>IF(VIPcric_1!A512="","",VIPcric_1!A512)</f>
        <v>2021年</v>
      </c>
      <c r="B520">
        <f>IF(VIPcric_1!B512="","",VIPcric_1!B512)</f>
        <v>2431769</v>
      </c>
      <c r="C520">
        <f>IF(VIPcric_1!C512="","",VIPcric_1!C512)</f>
        <v>18009</v>
      </c>
      <c r="D520">
        <f>IF(VIPcric_1!D512="","",VIPcric_1!D512)</f>
        <v>3.6</v>
      </c>
      <c r="E520" t="str">
        <f>IF(VIPcric_1!E512="","",VIPcric_1!E512)</f>
        <v/>
      </c>
      <c r="F520" t="str">
        <f>IF(VIPcric_1!F512="","",VIPcric_1!F512)</f>
        <v/>
      </c>
      <c r="G520" t="str">
        <f>IF(VIPcric_1!G512="","",VIPcric_1!G512)</f>
        <v/>
      </c>
      <c r="H520" t="str">
        <f>IF(VIPcric_1!H512="","",VIPcric_1!H512)</f>
        <v/>
      </c>
      <c r="I520" t="str">
        <f>IF(VIPcric_1!M512="","",VIPcric_1!M512)</f>
        <v>CRIC-合肥-市场监测.商品房市场.项目累计.库存.xlsx</v>
      </c>
    </row>
    <row r="521" spans="1:9">
      <c r="A521" t="str">
        <f>IF(VIPcric_1!A513="","",VIPcric_1!A513)</f>
        <v>2020年</v>
      </c>
      <c r="B521">
        <f>IF(VIPcric_1!B513="","",VIPcric_1!B513)</f>
        <v>4021462</v>
      </c>
      <c r="C521">
        <f>IF(VIPcric_1!C513="","",VIPcric_1!C513)</f>
        <v>31007</v>
      </c>
      <c r="D521">
        <f>IF(VIPcric_1!D513="","",VIPcric_1!D513)</f>
        <v>6</v>
      </c>
      <c r="E521" t="str">
        <f>IF(VIPcric_1!E513="","",VIPcric_1!E513)</f>
        <v/>
      </c>
      <c r="F521" t="str">
        <f>IF(VIPcric_1!F513="","",VIPcric_1!F513)</f>
        <v/>
      </c>
      <c r="G521" t="str">
        <f>IF(VIPcric_1!G513="","",VIPcric_1!G513)</f>
        <v/>
      </c>
      <c r="H521" t="str">
        <f>IF(VIPcric_1!H513="","",VIPcric_1!H513)</f>
        <v/>
      </c>
      <c r="I521" t="str">
        <f>IF(VIPcric_1!M513="","",VIPcric_1!M513)</f>
        <v>CRIC-合肥-市场监测.商品房市场.项目累计.库存.xlsx</v>
      </c>
    </row>
    <row r="522" spans="1:9">
      <c r="A522" t="str">
        <f>IF(VIPcric_1!A514="","",VIPcric_1!A514)</f>
        <v>2019年</v>
      </c>
      <c r="B522">
        <f>IF(VIPcric_1!B514="","",VIPcric_1!B514)</f>
        <v>5302257</v>
      </c>
      <c r="C522">
        <f>IF(VIPcric_1!C514="","",VIPcric_1!C514)</f>
        <v>42999</v>
      </c>
      <c r="D522">
        <f>IF(VIPcric_1!D514="","",VIPcric_1!D514)</f>
        <v>9.5</v>
      </c>
      <c r="E522" t="str">
        <f>IF(VIPcric_1!E514="","",VIPcric_1!E514)</f>
        <v/>
      </c>
      <c r="F522" t="str">
        <f>IF(VIPcric_1!F514="","",VIPcric_1!F514)</f>
        <v/>
      </c>
      <c r="G522" t="str">
        <f>IF(VIPcric_1!G514="","",VIPcric_1!G514)</f>
        <v/>
      </c>
      <c r="H522" t="str">
        <f>IF(VIPcric_1!H514="","",VIPcric_1!H514)</f>
        <v/>
      </c>
      <c r="I522" t="str">
        <f>IF(VIPcric_1!M514="","",VIPcric_1!M514)</f>
        <v>CRIC-合肥-市场监测.商品房市场.项目累计.库存.xlsx</v>
      </c>
    </row>
    <row r="523" spans="1:9">
      <c r="A523" t="str">
        <f>IF(VIPcric_1!A515="","",VIPcric_1!A515)</f>
        <v/>
      </c>
      <c r="B523" t="str">
        <f>IF(VIPcric_1!B515="","",VIPcric_1!B515)</f>
        <v/>
      </c>
      <c r="C523" t="str">
        <f>IF(VIPcric_1!C515="","",VIPcric_1!C515)</f>
        <v/>
      </c>
      <c r="D523" t="str">
        <f>IF(VIPcric_1!D515="","",VIPcric_1!D515)</f>
        <v/>
      </c>
      <c r="E523" t="str">
        <f>IF(VIPcric_1!E515="","",VIPcric_1!E515)</f>
        <v/>
      </c>
      <c r="F523" t="str">
        <f>IF(VIPcric_1!F515="","",VIPcric_1!F515)</f>
        <v/>
      </c>
      <c r="G523" t="str">
        <f>IF(VIPcric_1!G515="","",VIPcric_1!G515)</f>
        <v/>
      </c>
      <c r="H523" t="str">
        <f>IF(VIPcric_1!H515="","",VIPcric_1!H515)</f>
        <v/>
      </c>
      <c r="I523" t="str">
        <f>IF(VIPcric_1!M515="","",VIPcric_1!M515)</f>
        <v/>
      </c>
    </row>
    <row r="524" spans="1:9">
      <c r="A524" t="str">
        <f>IF(VIPcric_1!A516="","",VIPcric_1!A516)</f>
        <v/>
      </c>
      <c r="B524" t="str">
        <f>IF(VIPcric_1!B516="","",VIPcric_1!B516)</f>
        <v/>
      </c>
      <c r="C524" t="str">
        <f>IF(VIPcric_1!C516="","",VIPcric_1!C516)</f>
        <v/>
      </c>
      <c r="D524" t="str">
        <f>IF(VIPcric_1!D516="","",VIPcric_1!D516)</f>
        <v/>
      </c>
      <c r="E524" t="str">
        <f>IF(VIPcric_1!E516="","",VIPcric_1!E516)</f>
        <v/>
      </c>
      <c r="F524" t="str">
        <f>IF(VIPcric_1!F516="","",VIPcric_1!F516)</f>
        <v/>
      </c>
      <c r="G524" t="str">
        <f>IF(VIPcric_1!G516="","",VIPcric_1!G516)</f>
        <v/>
      </c>
      <c r="H524" t="str">
        <f>IF(VIPcric_1!H516="","",VIPcric_1!H516)</f>
        <v/>
      </c>
      <c r="I524" t="str">
        <f>IF(VIPcric_1!M516="","",VIPcric_1!M516)</f>
        <v>CRIC-吉林-市场监测.商品房市场.项目累计.供求.xlsx</v>
      </c>
    </row>
    <row r="525" spans="1:9">
      <c r="A525" t="str">
        <f>IF(VIPcric_1!A517="","",VIPcric_1!A517)</f>
        <v>时间(年)</v>
      </c>
      <c r="B525" t="str">
        <f>IF(VIPcric_1!B517="","",VIPcric_1!B517)</f>
        <v>供应面积(㎡)</v>
      </c>
      <c r="C525" t="str">
        <f>IF(VIPcric_1!C517="","",VIPcric_1!C517)</f>
        <v>供应套数(套)</v>
      </c>
      <c r="D525" t="str">
        <f>IF(VIPcric_1!D517="","",VIPcric_1!D517)</f>
        <v>成交面积(㎡)</v>
      </c>
      <c r="E525" t="str">
        <f>IF(VIPcric_1!E517="","",VIPcric_1!E517)</f>
        <v>成交套数(套)</v>
      </c>
      <c r="F525" t="str">
        <f>IF(VIPcric_1!F517="","",VIPcric_1!F517)</f>
        <v>成交均价(元/㎡)</v>
      </c>
      <c r="G525" t="str">
        <f>IF(VIPcric_1!G517="","",VIPcric_1!G517)</f>
        <v>成交金额(元)</v>
      </c>
      <c r="H525" t="str">
        <f>IF(VIPcric_1!H517="","",VIPcric_1!H517)</f>
        <v>供求比</v>
      </c>
      <c r="I525" t="str">
        <f>IF(VIPcric_1!M517="","",VIPcric_1!M517)</f>
        <v>CRIC-吉林-市场监测.商品房市场.项目累计.供求.xlsx</v>
      </c>
    </row>
    <row r="526" spans="1:9">
      <c r="A526" t="str">
        <f>IF(VIPcric_1!A518="","",VIPcric_1!A518)</f>
        <v>2023年</v>
      </c>
      <c r="B526">
        <f>IF(VIPcric_1!B518="","",VIPcric_1!B518)</f>
        <v>359280</v>
      </c>
      <c r="C526">
        <f>IF(VIPcric_1!C518="","",VIPcric_1!C518)</f>
        <v>3263</v>
      </c>
      <c r="D526">
        <f>IF(VIPcric_1!D518="","",VIPcric_1!D518)</f>
        <v>713308</v>
      </c>
      <c r="E526">
        <f>IF(VIPcric_1!E518="","",VIPcric_1!E518)</f>
        <v>6973</v>
      </c>
      <c r="F526">
        <f>IF(VIPcric_1!F518="","",VIPcric_1!F518)</f>
        <v>6593</v>
      </c>
      <c r="G526">
        <f>IF(VIPcric_1!G518="","",VIPcric_1!G518)</f>
        <v>4702681227</v>
      </c>
      <c r="H526">
        <f>IF(VIPcric_1!H518="","",VIPcric_1!H518)</f>
        <v>0.5</v>
      </c>
      <c r="I526" t="str">
        <f>IF(VIPcric_1!M518="","",VIPcric_1!M518)</f>
        <v>CRIC-吉林-市场监测.商品房市场.项目累计.供求.xlsx</v>
      </c>
    </row>
    <row r="527" spans="1:9">
      <c r="A527" t="str">
        <f>IF(VIPcric_1!A519="","",VIPcric_1!A519)</f>
        <v>2022年</v>
      </c>
      <c r="B527">
        <f>IF(VIPcric_1!B519="","",VIPcric_1!B519)</f>
        <v>260694</v>
      </c>
      <c r="C527">
        <f>IF(VIPcric_1!C519="","",VIPcric_1!C519)</f>
        <v>2376</v>
      </c>
      <c r="D527">
        <f>IF(VIPcric_1!D519="","",VIPcric_1!D519)</f>
        <v>892688</v>
      </c>
      <c r="E527">
        <f>IF(VIPcric_1!E519="","",VIPcric_1!E519)</f>
        <v>8677</v>
      </c>
      <c r="F527">
        <f>IF(VIPcric_1!F519="","",VIPcric_1!F519)</f>
        <v>6450</v>
      </c>
      <c r="G527">
        <f>IF(VIPcric_1!G519="","",VIPcric_1!G519)</f>
        <v>5758144365</v>
      </c>
      <c r="H527">
        <f>IF(VIPcric_1!H519="","",VIPcric_1!H519)</f>
        <v>0.28999999999999998</v>
      </c>
      <c r="I527" t="str">
        <f>IF(VIPcric_1!M519="","",VIPcric_1!M519)</f>
        <v>CRIC-吉林-市场监测.商品房市场.项目累计.供求.xlsx</v>
      </c>
    </row>
    <row r="528" spans="1:9">
      <c r="A528" t="str">
        <f>IF(VIPcric_1!A520="","",VIPcric_1!A520)</f>
        <v>2021年</v>
      </c>
      <c r="B528">
        <f>IF(VIPcric_1!B520="","",VIPcric_1!B520)</f>
        <v>1634399</v>
      </c>
      <c r="C528">
        <f>IF(VIPcric_1!C520="","",VIPcric_1!C520)</f>
        <v>15097</v>
      </c>
      <c r="D528">
        <f>IF(VIPcric_1!D520="","",VIPcric_1!D520)</f>
        <v>1541387</v>
      </c>
      <c r="E528">
        <f>IF(VIPcric_1!E520="","",VIPcric_1!E520)</f>
        <v>14571</v>
      </c>
      <c r="F528">
        <f>IF(VIPcric_1!F520="","",VIPcric_1!F520)</f>
        <v>7124</v>
      </c>
      <c r="G528">
        <f>IF(VIPcric_1!G520="","",VIPcric_1!G520)</f>
        <v>10980532264</v>
      </c>
      <c r="H528">
        <f>IF(VIPcric_1!H520="","",VIPcric_1!H520)</f>
        <v>1.06</v>
      </c>
      <c r="I528" t="str">
        <f>IF(VIPcric_1!M520="","",VIPcric_1!M520)</f>
        <v>CRIC-吉林-市场监测.商品房市场.项目累计.供求.xlsx</v>
      </c>
    </row>
    <row r="529" spans="1:9">
      <c r="A529" t="str">
        <f>IF(VIPcric_1!A521="","",VIPcric_1!A521)</f>
        <v>2020年</v>
      </c>
      <c r="B529">
        <f>IF(VIPcric_1!B521="","",VIPcric_1!B521)</f>
        <v>3376594</v>
      </c>
      <c r="C529">
        <f>IF(VIPcric_1!C521="","",VIPcric_1!C521)</f>
        <v>33807</v>
      </c>
      <c r="D529">
        <f>IF(VIPcric_1!D521="","",VIPcric_1!D521)</f>
        <v>479742</v>
      </c>
      <c r="E529">
        <f>IF(VIPcric_1!E521="","",VIPcric_1!E521)</f>
        <v>4739</v>
      </c>
      <c r="F529">
        <f>IF(VIPcric_1!F521="","",VIPcric_1!F521)</f>
        <v>7252</v>
      </c>
      <c r="G529">
        <f>IF(VIPcric_1!G521="","",VIPcric_1!G521)</f>
        <v>3479018370</v>
      </c>
      <c r="H529">
        <f>IF(VIPcric_1!H521="","",VIPcric_1!H521)</f>
        <v>7.04</v>
      </c>
      <c r="I529" t="str">
        <f>IF(VIPcric_1!M521="","",VIPcric_1!M521)</f>
        <v>CRIC-吉林-市场监测.商品房市场.项目累计.供求.xlsx</v>
      </c>
    </row>
    <row r="530" spans="1:9">
      <c r="A530" t="str">
        <f>IF(VIPcric_1!A522="","",VIPcric_1!A522)</f>
        <v>2019年</v>
      </c>
      <c r="B530">
        <f>IF(VIPcric_1!B522="","",VIPcric_1!B522)</f>
        <v>3764779</v>
      </c>
      <c r="C530">
        <f>IF(VIPcric_1!C522="","",VIPcric_1!C522)</f>
        <v>39340</v>
      </c>
      <c r="D530">
        <f>IF(VIPcric_1!D522="","",VIPcric_1!D522)</f>
        <v>0</v>
      </c>
      <c r="E530">
        <f>IF(VIPcric_1!E522="","",VIPcric_1!E522)</f>
        <v>0</v>
      </c>
      <c r="F530">
        <f>IF(VIPcric_1!F522="","",VIPcric_1!F522)</f>
        <v>0</v>
      </c>
      <c r="G530">
        <f>IF(VIPcric_1!G522="","",VIPcric_1!G522)</f>
        <v>0</v>
      </c>
      <c r="H530">
        <f>IF(VIPcric_1!H522="","",VIPcric_1!H522)</f>
        <v>0</v>
      </c>
      <c r="I530" t="str">
        <f>IF(VIPcric_1!M522="","",VIPcric_1!M522)</f>
        <v>CRIC-吉林-市场监测.商品房市场.项目累计.供求.xlsx</v>
      </c>
    </row>
    <row r="531" spans="1:9">
      <c r="A531" t="str">
        <f>IF(VIPcric_1!A523="","",VIPcric_1!A523)</f>
        <v>汇总</v>
      </c>
      <c r="B531">
        <f>IF(VIPcric_1!B523="","",VIPcric_1!B523)</f>
        <v>9395744</v>
      </c>
      <c r="C531">
        <f>IF(VIPcric_1!C523="","",VIPcric_1!C523)</f>
        <v>93883</v>
      </c>
      <c r="D531">
        <f>IF(VIPcric_1!D523="","",VIPcric_1!D523)</f>
        <v>3627125</v>
      </c>
      <c r="E531">
        <f>IF(VIPcric_1!E523="","",VIPcric_1!E523)</f>
        <v>34960</v>
      </c>
      <c r="F531">
        <f>IF(VIPcric_1!F523="","",VIPcric_1!F523)</f>
        <v>6871</v>
      </c>
      <c r="G531">
        <f>IF(VIPcric_1!G523="","",VIPcric_1!G523)</f>
        <v>24920376226</v>
      </c>
      <c r="H531">
        <f>IF(VIPcric_1!H523="","",VIPcric_1!H523)</f>
        <v>2.59</v>
      </c>
      <c r="I531" t="str">
        <f>IF(VIPcric_1!M523="","",VIPcric_1!M523)</f>
        <v>CRIC-吉林-市场监测.商品房市场.项目累计.供求.xlsx</v>
      </c>
    </row>
    <row r="532" spans="1:9">
      <c r="A532" t="str">
        <f>IF(VIPcric_1!A524="","",VIPcric_1!A524)</f>
        <v/>
      </c>
      <c r="B532" t="str">
        <f>IF(VIPcric_1!B524="","",VIPcric_1!B524)</f>
        <v/>
      </c>
      <c r="C532" t="str">
        <f>IF(VIPcric_1!C524="","",VIPcric_1!C524)</f>
        <v/>
      </c>
      <c r="D532" t="str">
        <f>IF(VIPcric_1!D524="","",VIPcric_1!D524)</f>
        <v/>
      </c>
      <c r="E532" t="str">
        <f>IF(VIPcric_1!E524="","",VIPcric_1!E524)</f>
        <v/>
      </c>
      <c r="F532" t="str">
        <f>IF(VIPcric_1!F524="","",VIPcric_1!F524)</f>
        <v/>
      </c>
      <c r="G532" t="str">
        <f>IF(VIPcric_1!G524="","",VIPcric_1!G524)</f>
        <v/>
      </c>
      <c r="H532" t="str">
        <f>IF(VIPcric_1!H524="","",VIPcric_1!H524)</f>
        <v/>
      </c>
      <c r="I532" t="str">
        <f>IF(VIPcric_1!M524="","",VIPcric_1!M524)</f>
        <v/>
      </c>
    </row>
    <row r="533" spans="1:9">
      <c r="A533" t="str">
        <f>IF(VIPcric_1!A525="","",VIPcric_1!A525)</f>
        <v/>
      </c>
      <c r="B533" t="str">
        <f>IF(VIPcric_1!B525="","",VIPcric_1!B525)</f>
        <v/>
      </c>
      <c r="C533" t="str">
        <f>IF(VIPcric_1!C525="","",VIPcric_1!C525)</f>
        <v/>
      </c>
      <c r="D533" t="str">
        <f>IF(VIPcric_1!D525="","",VIPcric_1!D525)</f>
        <v/>
      </c>
      <c r="E533" t="str">
        <f>IF(VIPcric_1!E525="","",VIPcric_1!E525)</f>
        <v/>
      </c>
      <c r="F533" t="str">
        <f>IF(VIPcric_1!F525="","",VIPcric_1!F525)</f>
        <v/>
      </c>
      <c r="G533" t="str">
        <f>IF(VIPcric_1!G525="","",VIPcric_1!G525)</f>
        <v/>
      </c>
      <c r="H533" t="str">
        <f>IF(VIPcric_1!H525="","",VIPcric_1!H525)</f>
        <v/>
      </c>
      <c r="I533" t="str">
        <f>IF(VIPcric_1!M525="","",VIPcric_1!M525)</f>
        <v>CRIC-吉林-市场监测.商品房市场.项目累计.库存.xlsx</v>
      </c>
    </row>
    <row r="534" spans="1:9">
      <c r="A534" t="str">
        <f>IF(VIPcric_1!A526="","",VIPcric_1!A526)</f>
        <v>时间(年)</v>
      </c>
      <c r="B534" t="str">
        <f>IF(VIPcric_1!B526="","",VIPcric_1!B526)</f>
        <v>库存面积(㎡)</v>
      </c>
      <c r="C534" t="str">
        <f>IF(VIPcric_1!C526="","",VIPcric_1!C526)</f>
        <v>库存套数(套)</v>
      </c>
      <c r="D534" t="str">
        <f>IF(VIPcric_1!D526="","",VIPcric_1!D526)</f>
        <v>去化周期12'(月)</v>
      </c>
      <c r="E534" t="str">
        <f>IF(VIPcric_1!E526="","",VIPcric_1!E526)</f>
        <v>去化周期24'(月)</v>
      </c>
      <c r="F534" t="str">
        <f>IF(VIPcric_1!F526="","",VIPcric_1!F526)</f>
        <v/>
      </c>
      <c r="G534" t="str">
        <f>IF(VIPcric_1!G526="","",VIPcric_1!G526)</f>
        <v/>
      </c>
      <c r="H534" t="str">
        <f>IF(VIPcric_1!H526="","",VIPcric_1!H526)</f>
        <v/>
      </c>
      <c r="I534" t="str">
        <f>IF(VIPcric_1!M526="","",VIPcric_1!M526)</f>
        <v>CRIC-吉林-市场监测.商品房市场.项目累计.库存.xlsx</v>
      </c>
    </row>
    <row r="535" spans="1:9">
      <c r="A535" t="str">
        <f>IF(VIPcric_1!A527="","",VIPcric_1!A527)</f>
        <v>2024年</v>
      </c>
      <c r="B535">
        <f>IF(VIPcric_1!B527="","",VIPcric_1!B527)</f>
        <v>2205103</v>
      </c>
      <c r="C535">
        <f>IF(VIPcric_1!C527="","",VIPcric_1!C527)</f>
        <v>22580</v>
      </c>
      <c r="D535">
        <f>IF(VIPcric_1!D527="","",VIPcric_1!D527)</f>
        <v>37.6</v>
      </c>
      <c r="E535">
        <f>IF(VIPcric_1!E527="","",VIPcric_1!E527)</f>
        <v>33.6</v>
      </c>
      <c r="F535" t="str">
        <f>IF(VIPcric_1!F527="","",VIPcric_1!F527)</f>
        <v/>
      </c>
      <c r="G535" t="str">
        <f>IF(VIPcric_1!G527="","",VIPcric_1!G527)</f>
        <v/>
      </c>
      <c r="H535" t="str">
        <f>IF(VIPcric_1!H527="","",VIPcric_1!H527)</f>
        <v/>
      </c>
      <c r="I535" t="str">
        <f>IF(VIPcric_1!M527="","",VIPcric_1!M527)</f>
        <v>CRIC-吉林-市场监测.商品房市场.项目累计.库存.xlsx</v>
      </c>
    </row>
    <row r="536" spans="1:9">
      <c r="A536" t="str">
        <f>IF(VIPcric_1!A528="","",VIPcric_1!A528)</f>
        <v>2023年</v>
      </c>
      <c r="B536">
        <f>IF(VIPcric_1!B528="","",VIPcric_1!B528)</f>
        <v>2239446</v>
      </c>
      <c r="C536">
        <f>IF(VIPcric_1!C528="","",VIPcric_1!C528)</f>
        <v>22962</v>
      </c>
      <c r="D536">
        <f>IF(VIPcric_1!D528="","",VIPcric_1!D528)</f>
        <v>37.700000000000003</v>
      </c>
      <c r="E536">
        <f>IF(VIPcric_1!E528="","",VIPcric_1!E528)</f>
        <v>33.5</v>
      </c>
      <c r="F536" t="str">
        <f>IF(VIPcric_1!F528="","",VIPcric_1!F528)</f>
        <v/>
      </c>
      <c r="G536" t="str">
        <f>IF(VIPcric_1!G528="","",VIPcric_1!G528)</f>
        <v/>
      </c>
      <c r="H536" t="str">
        <f>IF(VIPcric_1!H528="","",VIPcric_1!H528)</f>
        <v/>
      </c>
      <c r="I536" t="str">
        <f>IF(VIPcric_1!M528="","",VIPcric_1!M528)</f>
        <v>CRIC-吉林-市场监测.商品房市场.项目累计.库存.xlsx</v>
      </c>
    </row>
    <row r="537" spans="1:9">
      <c r="A537" t="str">
        <f>IF(VIPcric_1!A529="","",VIPcric_1!A529)</f>
        <v>2022年</v>
      </c>
      <c r="B537">
        <f>IF(VIPcric_1!B529="","",VIPcric_1!B529)</f>
        <v>2503638</v>
      </c>
      <c r="C537">
        <f>IF(VIPcric_1!C529="","",VIPcric_1!C529)</f>
        <v>25707</v>
      </c>
      <c r="D537">
        <f>IF(VIPcric_1!D529="","",VIPcric_1!D529)</f>
        <v>33.700000000000003</v>
      </c>
      <c r="E537">
        <f>IF(VIPcric_1!E529="","",VIPcric_1!E529)</f>
        <v>24.7</v>
      </c>
      <c r="F537" t="str">
        <f>IF(VIPcric_1!F529="","",VIPcric_1!F529)</f>
        <v/>
      </c>
      <c r="G537" t="str">
        <f>IF(VIPcric_1!G529="","",VIPcric_1!G529)</f>
        <v/>
      </c>
      <c r="H537" t="str">
        <f>IF(VIPcric_1!H529="","",VIPcric_1!H529)</f>
        <v/>
      </c>
      <c r="I537" t="str">
        <f>IF(VIPcric_1!M529="","",VIPcric_1!M529)</f>
        <v>CRIC-吉林-市场监测.商品房市场.项目累计.库存.xlsx</v>
      </c>
    </row>
    <row r="538" spans="1:9">
      <c r="A538" t="str">
        <f>IF(VIPcric_1!A530="","",VIPcric_1!A530)</f>
        <v>2021年</v>
      </c>
      <c r="B538">
        <f>IF(VIPcric_1!B530="","",VIPcric_1!B530)</f>
        <v>3123971</v>
      </c>
      <c r="C538">
        <f>IF(VIPcric_1!C530="","",VIPcric_1!C530)</f>
        <v>31922</v>
      </c>
      <c r="D538">
        <f>IF(VIPcric_1!D530="","",VIPcric_1!D530)</f>
        <v>24.3</v>
      </c>
      <c r="E538">
        <f>IF(VIPcric_1!E530="","",VIPcric_1!E530)</f>
        <v>37.1</v>
      </c>
      <c r="F538" t="str">
        <f>IF(VIPcric_1!F530="","",VIPcric_1!F530)</f>
        <v/>
      </c>
      <c r="G538" t="str">
        <f>IF(VIPcric_1!G530="","",VIPcric_1!G530)</f>
        <v/>
      </c>
      <c r="H538" t="str">
        <f>IF(VIPcric_1!H530="","",VIPcric_1!H530)</f>
        <v/>
      </c>
      <c r="I538" t="str">
        <f>IF(VIPcric_1!M530="","",VIPcric_1!M530)</f>
        <v>CRIC-吉林-市场监测.商品房市场.项目累计.库存.xlsx</v>
      </c>
    </row>
    <row r="539" spans="1:9">
      <c r="A539" t="str">
        <f>IF(VIPcric_1!A531="","",VIPcric_1!A531)</f>
        <v>2020年</v>
      </c>
      <c r="B539">
        <f>IF(VIPcric_1!B531="","",VIPcric_1!B531)</f>
        <v>3014151</v>
      </c>
      <c r="C539">
        <f>IF(VIPcric_1!C531="","",VIPcric_1!C531)</f>
        <v>31216</v>
      </c>
      <c r="D539">
        <f>IF(VIPcric_1!D531="","",VIPcric_1!D531)</f>
        <v>75.400000000000006</v>
      </c>
      <c r="E539">
        <f>IF(VIPcric_1!E531="","",VIPcric_1!E531)</f>
        <v>150.80000000000001</v>
      </c>
      <c r="F539" t="str">
        <f>IF(VIPcric_1!F531="","",VIPcric_1!F531)</f>
        <v/>
      </c>
      <c r="G539" t="str">
        <f>IF(VIPcric_1!G531="","",VIPcric_1!G531)</f>
        <v/>
      </c>
      <c r="H539" t="str">
        <f>IF(VIPcric_1!H531="","",VIPcric_1!H531)</f>
        <v/>
      </c>
      <c r="I539" t="str">
        <f>IF(VIPcric_1!M531="","",VIPcric_1!M531)</f>
        <v>CRIC-吉林-市场监测.商品房市场.项目累计.库存.xlsx</v>
      </c>
    </row>
    <row r="540" spans="1:9">
      <c r="A540" t="str">
        <f>IF(VIPcric_1!A532="","",VIPcric_1!A532)</f>
        <v/>
      </c>
      <c r="B540" t="str">
        <f>IF(VIPcric_1!B532="","",VIPcric_1!B532)</f>
        <v/>
      </c>
      <c r="C540" t="str">
        <f>IF(VIPcric_1!C532="","",VIPcric_1!C532)</f>
        <v/>
      </c>
      <c r="D540" t="str">
        <f>IF(VIPcric_1!D532="","",VIPcric_1!D532)</f>
        <v/>
      </c>
      <c r="E540" t="str">
        <f>IF(VIPcric_1!E532="","",VIPcric_1!E532)</f>
        <v/>
      </c>
      <c r="F540" t="str">
        <f>IF(VIPcric_1!F532="","",VIPcric_1!F532)</f>
        <v/>
      </c>
      <c r="G540" t="str">
        <f>IF(VIPcric_1!G532="","",VIPcric_1!G532)</f>
        <v/>
      </c>
      <c r="H540" t="str">
        <f>IF(VIPcric_1!H532="","",VIPcric_1!H532)</f>
        <v/>
      </c>
      <c r="I540" t="str">
        <f>IF(VIPcric_1!M532="","",VIPcric_1!M532)</f>
        <v/>
      </c>
    </row>
    <row r="541" spans="1:9">
      <c r="A541" t="str">
        <f>IF(VIPcric_1!A533="","",VIPcric_1!A533)</f>
        <v/>
      </c>
      <c r="B541" t="str">
        <f>IF(VIPcric_1!B533="","",VIPcric_1!B533)</f>
        <v/>
      </c>
      <c r="C541" t="str">
        <f>IF(VIPcric_1!C533="","",VIPcric_1!C533)</f>
        <v/>
      </c>
      <c r="D541" t="str">
        <f>IF(VIPcric_1!D533="","",VIPcric_1!D533)</f>
        <v/>
      </c>
      <c r="E541" t="str">
        <f>IF(VIPcric_1!E533="","",VIPcric_1!E533)</f>
        <v/>
      </c>
      <c r="F541" t="str">
        <f>IF(VIPcric_1!F533="","",VIPcric_1!F533)</f>
        <v/>
      </c>
      <c r="G541" t="str">
        <f>IF(VIPcric_1!G533="","",VIPcric_1!G533)</f>
        <v/>
      </c>
      <c r="H541" t="str">
        <f>IF(VIPcric_1!H533="","",VIPcric_1!H533)</f>
        <v/>
      </c>
      <c r="I541" t="str">
        <f>IF(VIPcric_1!M533="","",VIPcric_1!M533)</f>
        <v>CRIC-启东-市场监测.商品房市场.项目累计.供求.xlsx</v>
      </c>
    </row>
    <row r="542" spans="1:9">
      <c r="A542" t="str">
        <f>IF(VIPcric_1!A534="","",VIPcric_1!A534)</f>
        <v>时间(年)</v>
      </c>
      <c r="B542" t="str">
        <f>IF(VIPcric_1!B534="","",VIPcric_1!B534)</f>
        <v>供应面积(㎡)</v>
      </c>
      <c r="C542" t="str">
        <f>IF(VIPcric_1!C534="","",VIPcric_1!C534)</f>
        <v>供应套数(套)</v>
      </c>
      <c r="D542" t="str">
        <f>IF(VIPcric_1!D534="","",VIPcric_1!D534)</f>
        <v>成交面积(㎡)</v>
      </c>
      <c r="E542" t="str">
        <f>IF(VIPcric_1!E534="","",VIPcric_1!E534)</f>
        <v>成交套数(套)</v>
      </c>
      <c r="F542" t="str">
        <f>IF(VIPcric_1!F534="","",VIPcric_1!F534)</f>
        <v>成交均价(元/㎡)</v>
      </c>
      <c r="G542" t="str">
        <f>IF(VIPcric_1!G534="","",VIPcric_1!G534)</f>
        <v>成交金额(元)</v>
      </c>
      <c r="H542" t="str">
        <f>IF(VIPcric_1!H534="","",VIPcric_1!H534)</f>
        <v>供求比</v>
      </c>
      <c r="I542" t="str">
        <f>IF(VIPcric_1!M534="","",VIPcric_1!M534)</f>
        <v>CRIC-启东-市场监测.商品房市场.项目累计.供求.xlsx</v>
      </c>
    </row>
    <row r="543" spans="1:9">
      <c r="A543" t="str">
        <f>IF(VIPcric_1!A535="","",VIPcric_1!A535)</f>
        <v>2024年</v>
      </c>
      <c r="B543">
        <f>IF(VIPcric_1!B535="","",VIPcric_1!B535)</f>
        <v>122654</v>
      </c>
      <c r="C543">
        <f>IF(VIPcric_1!C535="","",VIPcric_1!C535)</f>
        <v>677</v>
      </c>
      <c r="D543">
        <f>IF(VIPcric_1!D535="","",VIPcric_1!D535)</f>
        <v>39673</v>
      </c>
      <c r="E543">
        <f>IF(VIPcric_1!E535="","",VIPcric_1!E535)</f>
        <v>461</v>
      </c>
      <c r="F543">
        <f>IF(VIPcric_1!F535="","",VIPcric_1!F535)</f>
        <v>11783</v>
      </c>
      <c r="G543">
        <f>IF(VIPcric_1!G535="","",VIPcric_1!G535)</f>
        <v>467448180</v>
      </c>
      <c r="H543">
        <f>IF(VIPcric_1!H535="","",VIPcric_1!H535)</f>
        <v>3.09</v>
      </c>
      <c r="I543" t="str">
        <f>IF(VIPcric_1!M535="","",VIPcric_1!M535)</f>
        <v>CRIC-启东-市场监测.商品房市场.项目累计.供求.xlsx</v>
      </c>
    </row>
    <row r="544" spans="1:9">
      <c r="A544" t="str">
        <f>IF(VIPcric_1!A536="","",VIPcric_1!A536)</f>
        <v>2023年</v>
      </c>
      <c r="B544">
        <f>IF(VIPcric_1!B536="","",VIPcric_1!B536)</f>
        <v>222098</v>
      </c>
      <c r="C544">
        <f>IF(VIPcric_1!C536="","",VIPcric_1!C536)</f>
        <v>1654</v>
      </c>
      <c r="D544">
        <f>IF(VIPcric_1!D536="","",VIPcric_1!D536)</f>
        <v>520796</v>
      </c>
      <c r="E544">
        <f>IF(VIPcric_1!E536="","",VIPcric_1!E536)</f>
        <v>5338</v>
      </c>
      <c r="F544">
        <f>IF(VIPcric_1!F536="","",VIPcric_1!F536)</f>
        <v>13606</v>
      </c>
      <c r="G544">
        <f>IF(VIPcric_1!G536="","",VIPcric_1!G536)</f>
        <v>7085887387</v>
      </c>
      <c r="H544">
        <f>IF(VIPcric_1!H536="","",VIPcric_1!H536)</f>
        <v>0.43</v>
      </c>
      <c r="I544" t="str">
        <f>IF(VIPcric_1!M536="","",VIPcric_1!M536)</f>
        <v>CRIC-启东-市场监测.商品房市场.项目累计.供求.xlsx</v>
      </c>
    </row>
    <row r="545" spans="1:9">
      <c r="A545" t="str">
        <f>IF(VIPcric_1!A537="","",VIPcric_1!A537)</f>
        <v>2022年</v>
      </c>
      <c r="B545">
        <f>IF(VIPcric_1!B537="","",VIPcric_1!B537)</f>
        <v>746246</v>
      </c>
      <c r="C545">
        <f>IF(VIPcric_1!C537="","",VIPcric_1!C537)</f>
        <v>7027</v>
      </c>
      <c r="D545">
        <f>IF(VIPcric_1!D537="","",VIPcric_1!D537)</f>
        <v>492993</v>
      </c>
      <c r="E545">
        <f>IF(VIPcric_1!E537="","",VIPcric_1!E537)</f>
        <v>4802</v>
      </c>
      <c r="F545">
        <f>IF(VIPcric_1!F537="","",VIPcric_1!F537)</f>
        <v>14247</v>
      </c>
      <c r="G545">
        <f>IF(VIPcric_1!G537="","",VIPcric_1!G537)</f>
        <v>7023627475</v>
      </c>
      <c r="H545">
        <f>IF(VIPcric_1!H537="","",VIPcric_1!H537)</f>
        <v>1.51</v>
      </c>
      <c r="I545" t="str">
        <f>IF(VIPcric_1!M537="","",VIPcric_1!M537)</f>
        <v>CRIC-启东-市场监测.商品房市场.项目累计.供求.xlsx</v>
      </c>
    </row>
    <row r="546" spans="1:9">
      <c r="A546" t="str">
        <f>IF(VIPcric_1!A538="","",VIPcric_1!A538)</f>
        <v>2021年</v>
      </c>
      <c r="B546">
        <f>IF(VIPcric_1!B538="","",VIPcric_1!B538)</f>
        <v>1837776</v>
      </c>
      <c r="C546">
        <f>IF(VIPcric_1!C538="","",VIPcric_1!C538)</f>
        <v>18513</v>
      </c>
      <c r="D546">
        <f>IF(VIPcric_1!D538="","",VIPcric_1!D538)</f>
        <v>1419764</v>
      </c>
      <c r="E546">
        <f>IF(VIPcric_1!E538="","",VIPcric_1!E538)</f>
        <v>14495</v>
      </c>
      <c r="F546">
        <f>IF(VIPcric_1!F538="","",VIPcric_1!F538)</f>
        <v>12310</v>
      </c>
      <c r="G546">
        <f>IF(VIPcric_1!G538="","",VIPcric_1!G538)</f>
        <v>17476686098</v>
      </c>
      <c r="H546">
        <f>IF(VIPcric_1!H538="","",VIPcric_1!H538)</f>
        <v>1.29</v>
      </c>
      <c r="I546" t="str">
        <f>IF(VIPcric_1!M538="","",VIPcric_1!M538)</f>
        <v>CRIC-启东-市场监测.商品房市场.项目累计.供求.xlsx</v>
      </c>
    </row>
    <row r="547" spans="1:9">
      <c r="A547" t="str">
        <f>IF(VIPcric_1!A539="","",VIPcric_1!A539)</f>
        <v>2020年</v>
      </c>
      <c r="B547">
        <f>IF(VIPcric_1!B539="","",VIPcric_1!B539)</f>
        <v>2017655</v>
      </c>
      <c r="C547">
        <f>IF(VIPcric_1!C539="","",VIPcric_1!C539)</f>
        <v>20823</v>
      </c>
      <c r="D547">
        <f>IF(VIPcric_1!D539="","",VIPcric_1!D539)</f>
        <v>1715685</v>
      </c>
      <c r="E547">
        <f>IF(VIPcric_1!E539="","",VIPcric_1!E539)</f>
        <v>17184</v>
      </c>
      <c r="F547">
        <f>IF(VIPcric_1!F539="","",VIPcric_1!F539)</f>
        <v>12816</v>
      </c>
      <c r="G547">
        <f>IF(VIPcric_1!G539="","",VIPcric_1!G539)</f>
        <v>21989047275</v>
      </c>
      <c r="H547">
        <f>IF(VIPcric_1!H539="","",VIPcric_1!H539)</f>
        <v>1.18</v>
      </c>
      <c r="I547" t="str">
        <f>IF(VIPcric_1!M539="","",VIPcric_1!M539)</f>
        <v>CRIC-启东-市场监测.商品房市场.项目累计.供求.xlsx</v>
      </c>
    </row>
    <row r="548" spans="1:9">
      <c r="A548" t="str">
        <f>IF(VIPcric_1!A540="","",VIPcric_1!A540)</f>
        <v>2019年</v>
      </c>
      <c r="B548">
        <f>IF(VIPcric_1!B540="","",VIPcric_1!B540)</f>
        <v>1855046</v>
      </c>
      <c r="C548">
        <f>IF(VIPcric_1!C540="","",VIPcric_1!C540)</f>
        <v>17392</v>
      </c>
      <c r="D548">
        <f>IF(VIPcric_1!D540="","",VIPcric_1!D540)</f>
        <v>1489951</v>
      </c>
      <c r="E548">
        <f>IF(VIPcric_1!E540="","",VIPcric_1!E540)</f>
        <v>13937</v>
      </c>
      <c r="F548">
        <f>IF(VIPcric_1!F540="","",VIPcric_1!F540)</f>
        <v>12305</v>
      </c>
      <c r="G548">
        <f>IF(VIPcric_1!G540="","",VIPcric_1!G540)</f>
        <v>18334502213</v>
      </c>
      <c r="H548">
        <f>IF(VIPcric_1!H540="","",VIPcric_1!H540)</f>
        <v>1.25</v>
      </c>
      <c r="I548" t="str">
        <f>IF(VIPcric_1!M540="","",VIPcric_1!M540)</f>
        <v>CRIC-启东-市场监测.商品房市场.项目累计.供求.xlsx</v>
      </c>
    </row>
    <row r="549" spans="1:9">
      <c r="A549" t="str">
        <f>IF(VIPcric_1!A541="","",VIPcric_1!A541)</f>
        <v>汇总</v>
      </c>
      <c r="B549">
        <f>IF(VIPcric_1!B541="","",VIPcric_1!B541)</f>
        <v>6801476</v>
      </c>
      <c r="C549">
        <f>IF(VIPcric_1!C541="","",VIPcric_1!C541)</f>
        <v>66086</v>
      </c>
      <c r="D549">
        <f>IF(VIPcric_1!D541="","",VIPcric_1!D541)</f>
        <v>5678861</v>
      </c>
      <c r="E549">
        <f>IF(VIPcric_1!E541="","",VIPcric_1!E541)</f>
        <v>56217</v>
      </c>
      <c r="F549">
        <f>IF(VIPcric_1!F541="","",VIPcric_1!F541)</f>
        <v>12745</v>
      </c>
      <c r="G549">
        <f>IF(VIPcric_1!G541="","",VIPcric_1!G541)</f>
        <v>72377198627</v>
      </c>
      <c r="H549">
        <f>IF(VIPcric_1!H541="","",VIPcric_1!H541)</f>
        <v>1.2</v>
      </c>
      <c r="I549" t="str">
        <f>IF(VIPcric_1!M541="","",VIPcric_1!M541)</f>
        <v>CRIC-启东-市场监测.商品房市场.项目累计.供求.xlsx</v>
      </c>
    </row>
    <row r="550" spans="1:9">
      <c r="I550" t="str">
        <f>IF(VIPcric_1!M542="","",VIPcric_1!M542)</f>
        <v/>
      </c>
    </row>
    <row r="551" spans="1:9">
      <c r="A551" t="str">
        <f>A565</f>
        <v>时间(年)</v>
      </c>
      <c r="B551" t="str">
        <f t="shared" ref="B551:F551" si="0">B565</f>
        <v>库存面积(㎡)</v>
      </c>
      <c r="C551" t="str">
        <f t="shared" si="0"/>
        <v>库存套数(套)</v>
      </c>
      <c r="D551" t="str">
        <f t="shared" si="0"/>
        <v>去化周期12'(月)</v>
      </c>
      <c r="E551" t="str">
        <f t="shared" si="0"/>
        <v>去化周期24'(月)</v>
      </c>
      <c r="F551" t="str">
        <f t="shared" si="0"/>
        <v/>
      </c>
      <c r="I551" t="str">
        <f>I549</f>
        <v>CRIC-启东-市场监测.商品房市场.项目累计.供求.xlsx</v>
      </c>
    </row>
    <row r="552" spans="1:9">
      <c r="A552">
        <v>2023</v>
      </c>
      <c r="B552" t="str">
        <f>IF(VIPcric_1!B542="","",VIPcric_1!B542)</f>
        <v/>
      </c>
      <c r="C552" t="str">
        <f>IF(VIPcric_1!C542="","",VIPcric_1!C542)</f>
        <v/>
      </c>
      <c r="D552">
        <v>59</v>
      </c>
      <c r="E552" t="str">
        <f>IF(VIPcric_1!E542="","",VIPcric_1!E542)</f>
        <v/>
      </c>
      <c r="F552" t="str">
        <f>IF(VIPcric_1!F542="","",VIPcric_1!F542)</f>
        <v/>
      </c>
      <c r="G552" t="str">
        <f>IF(VIPcric_1!G542="","",VIPcric_1!G542)</f>
        <v/>
      </c>
      <c r="H552" t="str">
        <f>IF(VIPcric_1!H542="","",VIPcric_1!H542)</f>
        <v/>
      </c>
      <c r="I552" t="str">
        <f>I551</f>
        <v>CRIC-启东-市场监测.商品房市场.项目累计.供求.xlsx</v>
      </c>
    </row>
    <row r="554" spans="1:9">
      <c r="A554" t="str">
        <f>IF(VIPcric_1!A543="","",VIPcric_1!A543)</f>
        <v/>
      </c>
      <c r="B554" t="str">
        <f>IF(VIPcric_1!B543="","",VIPcric_1!B543)</f>
        <v/>
      </c>
      <c r="C554" t="str">
        <f>IF(VIPcric_1!C543="","",VIPcric_1!C543)</f>
        <v/>
      </c>
      <c r="D554" t="str">
        <f>IF(VIPcric_1!D543="","",VIPcric_1!D543)</f>
        <v/>
      </c>
      <c r="E554" t="str">
        <f>IF(VIPcric_1!E543="","",VIPcric_1!E543)</f>
        <v/>
      </c>
      <c r="F554" t="str">
        <f>IF(VIPcric_1!F543="","",VIPcric_1!F543)</f>
        <v/>
      </c>
      <c r="G554" t="str">
        <f>IF(VIPcric_1!G543="","",VIPcric_1!G543)</f>
        <v/>
      </c>
      <c r="H554" t="str">
        <f>IF(VIPcric_1!H543="","",VIPcric_1!H543)</f>
        <v/>
      </c>
      <c r="I554" t="str">
        <f>IF(VIPcric_1!M543="","",VIPcric_1!M543)</f>
        <v>CRIC-吴忠-市场监测.商品房市场.项目累计.供求.xlsx</v>
      </c>
    </row>
    <row r="555" spans="1:9">
      <c r="A555" t="str">
        <f>IF(VIPcric_1!A544="","",VIPcric_1!A544)</f>
        <v>时间(年)</v>
      </c>
      <c r="B555" t="str">
        <f>IF(VIPcric_1!B544="","",VIPcric_1!B544)</f>
        <v>供应面积(㎡)</v>
      </c>
      <c r="C555" t="str">
        <f>IF(VIPcric_1!C544="","",VIPcric_1!C544)</f>
        <v>供应套数(套)</v>
      </c>
      <c r="D555" t="str">
        <f>IF(VIPcric_1!D544="","",VIPcric_1!D544)</f>
        <v>成交面积(㎡)</v>
      </c>
      <c r="E555" t="str">
        <f>IF(VIPcric_1!E544="","",VIPcric_1!E544)</f>
        <v>成交套数(套)</v>
      </c>
      <c r="F555" t="str">
        <f>IF(VIPcric_1!F544="","",VIPcric_1!F544)</f>
        <v>成交均价(元/㎡)</v>
      </c>
      <c r="G555" t="str">
        <f>IF(VIPcric_1!G544="","",VIPcric_1!G544)</f>
        <v>成交金额(元)</v>
      </c>
      <c r="H555" t="str">
        <f>IF(VIPcric_1!H544="","",VIPcric_1!H544)</f>
        <v>供求比</v>
      </c>
      <c r="I555" t="str">
        <f>IF(VIPcric_1!M544="","",VIPcric_1!M544)</f>
        <v>CRIC-吴忠-市场监测.商品房市场.项目累计.供求.xlsx</v>
      </c>
    </row>
    <row r="556" spans="1:9">
      <c r="A556" t="str">
        <f>IF(VIPcric_1!A545="","",VIPcric_1!A545)</f>
        <v>2024年</v>
      </c>
      <c r="B556">
        <f>IF(VIPcric_1!B545="","",VIPcric_1!B545)</f>
        <v>0</v>
      </c>
      <c r="C556">
        <f>IF(VIPcric_1!C545="","",VIPcric_1!C545)</f>
        <v>0</v>
      </c>
      <c r="D556">
        <f>IF(VIPcric_1!D545="","",VIPcric_1!D545)</f>
        <v>158095</v>
      </c>
      <c r="E556">
        <f>IF(VIPcric_1!E545="","",VIPcric_1!E545)</f>
        <v>1159</v>
      </c>
      <c r="F556">
        <f>IF(VIPcric_1!F545="","",VIPcric_1!F545)</f>
        <v>5658</v>
      </c>
      <c r="G556">
        <f>IF(VIPcric_1!G545="","",VIPcric_1!G545)</f>
        <v>894582036</v>
      </c>
      <c r="H556">
        <f>IF(VIPcric_1!H545="","",VIPcric_1!H545)</f>
        <v>0</v>
      </c>
      <c r="I556" t="str">
        <f>IF(VIPcric_1!M545="","",VIPcric_1!M545)</f>
        <v>CRIC-吴忠-市场监测.商品房市场.项目累计.供求.xlsx</v>
      </c>
    </row>
    <row r="557" spans="1:9">
      <c r="A557" t="str">
        <f>IF(VIPcric_1!A546="","",VIPcric_1!A546)</f>
        <v>2023年</v>
      </c>
      <c r="B557">
        <f>IF(VIPcric_1!B546="","",VIPcric_1!B546)</f>
        <v>1935925</v>
      </c>
      <c r="C557">
        <f>IF(VIPcric_1!C546="","",VIPcric_1!C546)</f>
        <v>14468</v>
      </c>
      <c r="D557">
        <f>IF(VIPcric_1!D546="","",VIPcric_1!D546)</f>
        <v>1541414</v>
      </c>
      <c r="E557">
        <f>IF(VIPcric_1!E546="","",VIPcric_1!E546)</f>
        <v>11701</v>
      </c>
      <c r="F557">
        <f>IF(VIPcric_1!F546="","",VIPcric_1!F546)</f>
        <v>5487</v>
      </c>
      <c r="G557">
        <f>IF(VIPcric_1!G546="","",VIPcric_1!G546)</f>
        <v>8457702142</v>
      </c>
      <c r="H557">
        <f>IF(VIPcric_1!H546="","",VIPcric_1!H546)</f>
        <v>1.26</v>
      </c>
      <c r="I557" t="str">
        <f>IF(VIPcric_1!M546="","",VIPcric_1!M546)</f>
        <v>CRIC-吴忠-市场监测.商品房市场.项目累计.供求.xlsx</v>
      </c>
    </row>
    <row r="558" spans="1:9">
      <c r="A558" t="str">
        <f>IF(VIPcric_1!A547="","",VIPcric_1!A547)</f>
        <v>2022年</v>
      </c>
      <c r="B558">
        <f>IF(VIPcric_1!B547="","",VIPcric_1!B547)</f>
        <v>1560340</v>
      </c>
      <c r="C558">
        <f>IF(VIPcric_1!C547="","",VIPcric_1!C547)</f>
        <v>11842</v>
      </c>
      <c r="D558">
        <f>IF(VIPcric_1!D547="","",VIPcric_1!D547)</f>
        <v>1187728</v>
      </c>
      <c r="E558">
        <f>IF(VIPcric_1!E547="","",VIPcric_1!E547)</f>
        <v>9136</v>
      </c>
      <c r="F558">
        <f>IF(VIPcric_1!F547="","",VIPcric_1!F547)</f>
        <v>5397</v>
      </c>
      <c r="G558">
        <f>IF(VIPcric_1!G547="","",VIPcric_1!G547)</f>
        <v>6410380397</v>
      </c>
      <c r="H558">
        <f>IF(VIPcric_1!H547="","",VIPcric_1!H547)</f>
        <v>1.31</v>
      </c>
      <c r="I558" t="str">
        <f>IF(VIPcric_1!M547="","",VIPcric_1!M547)</f>
        <v>CRIC-吴忠-市场监测.商品房市场.项目累计.供求.xlsx</v>
      </c>
    </row>
    <row r="559" spans="1:9">
      <c r="A559" t="str">
        <f>IF(VIPcric_1!A548="","",VIPcric_1!A548)</f>
        <v>2021年</v>
      </c>
      <c r="B559">
        <f>IF(VIPcric_1!B548="","",VIPcric_1!B548)</f>
        <v>1557321</v>
      </c>
      <c r="C559">
        <f>IF(VIPcric_1!C548="","",VIPcric_1!C548)</f>
        <v>11814</v>
      </c>
      <c r="D559">
        <f>IF(VIPcric_1!D548="","",VIPcric_1!D548)</f>
        <v>691672</v>
      </c>
      <c r="E559">
        <f>IF(VIPcric_1!E548="","",VIPcric_1!E548)</f>
        <v>5334</v>
      </c>
      <c r="F559">
        <f>IF(VIPcric_1!F548="","",VIPcric_1!F548)</f>
        <v>5577</v>
      </c>
      <c r="G559">
        <f>IF(VIPcric_1!G548="","",VIPcric_1!G548)</f>
        <v>3857597890</v>
      </c>
      <c r="H559">
        <f>IF(VIPcric_1!H548="","",VIPcric_1!H548)</f>
        <v>2.25</v>
      </c>
      <c r="I559" t="str">
        <f>IF(VIPcric_1!M548="","",VIPcric_1!M548)</f>
        <v>CRIC-吴忠-市场监测.商品房市场.项目累计.供求.xlsx</v>
      </c>
    </row>
    <row r="560" spans="1:9">
      <c r="A560" t="str">
        <f>IF(VIPcric_1!A549="","",VIPcric_1!A549)</f>
        <v>2020年</v>
      </c>
      <c r="B560">
        <f>IF(VIPcric_1!B549="","",VIPcric_1!B549)</f>
        <v>1218523</v>
      </c>
      <c r="C560">
        <f>IF(VIPcric_1!C549="","",VIPcric_1!C549)</f>
        <v>9306</v>
      </c>
      <c r="D560">
        <f>IF(VIPcric_1!D549="","",VIPcric_1!D549)</f>
        <v>0</v>
      </c>
      <c r="E560">
        <f>IF(VIPcric_1!E549="","",VIPcric_1!E549)</f>
        <v>0</v>
      </c>
      <c r="F560">
        <f>IF(VIPcric_1!F549="","",VIPcric_1!F549)</f>
        <v>0</v>
      </c>
      <c r="G560">
        <f>IF(VIPcric_1!G549="","",VIPcric_1!G549)</f>
        <v>0</v>
      </c>
      <c r="H560">
        <f>IF(VIPcric_1!H549="","",VIPcric_1!H549)</f>
        <v>0</v>
      </c>
      <c r="I560" t="str">
        <f>IF(VIPcric_1!M549="","",VIPcric_1!M549)</f>
        <v>CRIC-吴忠-市场监测.商品房市场.项目累计.供求.xlsx</v>
      </c>
    </row>
    <row r="561" spans="1:9">
      <c r="A561" t="str">
        <f>IF(VIPcric_1!A550="","",VIPcric_1!A550)</f>
        <v>2019年</v>
      </c>
      <c r="B561">
        <f>IF(VIPcric_1!B550="","",VIPcric_1!B550)</f>
        <v>1295055</v>
      </c>
      <c r="C561">
        <f>IF(VIPcric_1!C550="","",VIPcric_1!C550)</f>
        <v>9986</v>
      </c>
      <c r="D561">
        <f>IF(VIPcric_1!D550="","",VIPcric_1!D550)</f>
        <v>0</v>
      </c>
      <c r="E561">
        <f>IF(VIPcric_1!E550="","",VIPcric_1!E550)</f>
        <v>0</v>
      </c>
      <c r="F561">
        <f>IF(VIPcric_1!F550="","",VIPcric_1!F550)</f>
        <v>0</v>
      </c>
      <c r="G561">
        <f>IF(VIPcric_1!G550="","",VIPcric_1!G550)</f>
        <v>0</v>
      </c>
      <c r="H561">
        <f>IF(VIPcric_1!H550="","",VIPcric_1!H550)</f>
        <v>0</v>
      </c>
      <c r="I561" t="str">
        <f>IF(VIPcric_1!M550="","",VIPcric_1!M550)</f>
        <v>CRIC-吴忠-市场监测.商品房市场.项目累计.供求.xlsx</v>
      </c>
    </row>
    <row r="562" spans="1:9">
      <c r="A562" t="str">
        <f>IF(VIPcric_1!A551="","",VIPcric_1!A551)</f>
        <v>汇总</v>
      </c>
      <c r="B562">
        <f>IF(VIPcric_1!B551="","",VIPcric_1!B551)</f>
        <v>7567163</v>
      </c>
      <c r="C562">
        <f>IF(VIPcric_1!C551="","",VIPcric_1!C551)</f>
        <v>57416</v>
      </c>
      <c r="D562">
        <f>IF(VIPcric_1!D551="","",VIPcric_1!D551)</f>
        <v>3578909</v>
      </c>
      <c r="E562">
        <f>IF(VIPcric_1!E551="","",VIPcric_1!E551)</f>
        <v>27330</v>
      </c>
      <c r="F562">
        <f>IF(VIPcric_1!F551="","",VIPcric_1!F551)</f>
        <v>5482</v>
      </c>
      <c r="G562">
        <f>IF(VIPcric_1!G551="","",VIPcric_1!G551)</f>
        <v>19620262465</v>
      </c>
      <c r="H562">
        <f>IF(VIPcric_1!H551="","",VIPcric_1!H551)</f>
        <v>2.11</v>
      </c>
      <c r="I562" t="str">
        <f>IF(VIPcric_1!M551="","",VIPcric_1!M551)</f>
        <v>CRIC-吴忠-市场监测.商品房市场.项目累计.供求.xlsx</v>
      </c>
    </row>
    <row r="563" spans="1:9">
      <c r="A563" t="str">
        <f>IF(VIPcric_1!A552="","",VIPcric_1!A552)</f>
        <v/>
      </c>
      <c r="B563" t="str">
        <f>IF(VIPcric_1!B552="","",VIPcric_1!B552)</f>
        <v/>
      </c>
      <c r="C563" t="str">
        <f>IF(VIPcric_1!C552="","",VIPcric_1!C552)</f>
        <v/>
      </c>
      <c r="D563" t="str">
        <f>IF(VIPcric_1!D552="","",VIPcric_1!D552)</f>
        <v/>
      </c>
      <c r="E563" t="str">
        <f>IF(VIPcric_1!E552="","",VIPcric_1!E552)</f>
        <v/>
      </c>
      <c r="F563" t="str">
        <f>IF(VIPcric_1!F552="","",VIPcric_1!F552)</f>
        <v/>
      </c>
      <c r="G563" t="str">
        <f>IF(VIPcric_1!G552="","",VIPcric_1!G552)</f>
        <v/>
      </c>
      <c r="H563" t="str">
        <f>IF(VIPcric_1!H552="","",VIPcric_1!H552)</f>
        <v/>
      </c>
      <c r="I563" t="str">
        <f>IF(VIPcric_1!M552="","",VIPcric_1!M552)</f>
        <v/>
      </c>
    </row>
    <row r="564" spans="1:9">
      <c r="A564" t="str">
        <f>IF(VIPcric_1!A553="","",VIPcric_1!A553)</f>
        <v/>
      </c>
      <c r="B564" t="str">
        <f>IF(VIPcric_1!B553="","",VIPcric_1!B553)</f>
        <v/>
      </c>
      <c r="C564" t="str">
        <f>IF(VIPcric_1!C553="","",VIPcric_1!C553)</f>
        <v/>
      </c>
      <c r="D564" t="str">
        <f>IF(VIPcric_1!D553="","",VIPcric_1!D553)</f>
        <v/>
      </c>
      <c r="E564" t="str">
        <f>IF(VIPcric_1!E553="","",VIPcric_1!E553)</f>
        <v/>
      </c>
      <c r="F564" t="str">
        <f>IF(VIPcric_1!F553="","",VIPcric_1!F553)</f>
        <v/>
      </c>
      <c r="G564" t="str">
        <f>IF(VIPcric_1!G553="","",VIPcric_1!G553)</f>
        <v/>
      </c>
      <c r="H564" t="str">
        <f>IF(VIPcric_1!H553="","",VIPcric_1!H553)</f>
        <v/>
      </c>
      <c r="I564" t="str">
        <f>IF(VIPcric_1!M553="","",VIPcric_1!M553)</f>
        <v>CRIC-吴忠-市场监测.商品房市场.项目累计.库存.xlsx</v>
      </c>
    </row>
    <row r="565" spans="1:9">
      <c r="A565" t="str">
        <f>IF(VIPcric_1!A554="","",VIPcric_1!A554)</f>
        <v>时间(年)</v>
      </c>
      <c r="B565" t="str">
        <f>IF(VIPcric_1!B554="","",VIPcric_1!B554)</f>
        <v>库存面积(㎡)</v>
      </c>
      <c r="C565" t="str">
        <f>IF(VIPcric_1!C554="","",VIPcric_1!C554)</f>
        <v>库存套数(套)</v>
      </c>
      <c r="D565" t="str">
        <f>IF(VIPcric_1!D554="","",VIPcric_1!D554)</f>
        <v>去化周期12'(月)</v>
      </c>
      <c r="E565" t="str">
        <f>IF(VIPcric_1!E554="","",VIPcric_1!E554)</f>
        <v>去化周期24'(月)</v>
      </c>
      <c r="F565" t="str">
        <f>IF(VIPcric_1!F554="","",VIPcric_1!F554)</f>
        <v/>
      </c>
      <c r="G565" t="str">
        <f>IF(VIPcric_1!G554="","",VIPcric_1!G554)</f>
        <v/>
      </c>
      <c r="H565" t="str">
        <f>IF(VIPcric_1!H554="","",VIPcric_1!H554)</f>
        <v/>
      </c>
      <c r="I565" t="str">
        <f>IF(VIPcric_1!M554="","",VIPcric_1!M554)</f>
        <v>CRIC-吴忠-市场监测.商品房市场.项目累计.库存.xlsx</v>
      </c>
    </row>
    <row r="566" spans="1:9">
      <c r="A566" t="str">
        <f>IF(VIPcric_1!A555="","",VIPcric_1!A555)</f>
        <v>2023年</v>
      </c>
      <c r="B566">
        <f>IF(VIPcric_1!B555="","",VIPcric_1!B555)</f>
        <v>5936920</v>
      </c>
      <c r="C566">
        <f>IF(VIPcric_1!C555="","",VIPcric_1!C555)</f>
        <v>50121</v>
      </c>
      <c r="D566">
        <f>IF(VIPcric_1!D555="","",VIPcric_1!D555)</f>
        <v>46.2</v>
      </c>
      <c r="E566">
        <f>IF(VIPcric_1!E555="","",VIPcric_1!E555)</f>
        <v>52.2</v>
      </c>
      <c r="F566" t="str">
        <f>IF(VIPcric_1!F555="","",VIPcric_1!F555)</f>
        <v/>
      </c>
      <c r="G566" t="str">
        <f>IF(VIPcric_1!G555="","",VIPcric_1!G555)</f>
        <v/>
      </c>
      <c r="H566" t="str">
        <f>IF(VIPcric_1!H555="","",VIPcric_1!H555)</f>
        <v/>
      </c>
      <c r="I566" t="str">
        <f>IF(VIPcric_1!M555="","",VIPcric_1!M555)</f>
        <v>CRIC-吴忠-市场监测.商品房市场.项目累计.库存.xlsx</v>
      </c>
    </row>
    <row r="567" spans="1:9">
      <c r="A567" t="str">
        <f>IF(VIPcric_1!A556="","",VIPcric_1!A556)</f>
        <v>2022年</v>
      </c>
      <c r="B567">
        <f>IF(VIPcric_1!B556="","",VIPcric_1!B556)</f>
        <v>5616739</v>
      </c>
      <c r="C567">
        <f>IF(VIPcric_1!C556="","",VIPcric_1!C556)</f>
        <v>47935</v>
      </c>
      <c r="D567">
        <f>IF(VIPcric_1!D556="","",VIPcric_1!D556)</f>
        <v>56.7</v>
      </c>
      <c r="E567">
        <f>IF(VIPcric_1!E556="","",VIPcric_1!E556)</f>
        <v>71.7</v>
      </c>
      <c r="F567" t="str">
        <f>IF(VIPcric_1!F556="","",VIPcric_1!F556)</f>
        <v/>
      </c>
      <c r="G567" t="str">
        <f>IF(VIPcric_1!G556="","",VIPcric_1!G556)</f>
        <v/>
      </c>
      <c r="H567" t="str">
        <f>IF(VIPcric_1!H556="","",VIPcric_1!H556)</f>
        <v/>
      </c>
      <c r="I567" t="str">
        <f>IF(VIPcric_1!M556="","",VIPcric_1!M556)</f>
        <v>CRIC-吴忠-市场监测.商品房市场.项目累计.库存.xlsx</v>
      </c>
    </row>
    <row r="568" spans="1:9">
      <c r="A568" t="str">
        <f>IF(VIPcric_1!A557="","",VIPcric_1!A557)</f>
        <v/>
      </c>
      <c r="B568" t="str">
        <f>IF(VIPcric_1!B557="","",VIPcric_1!B557)</f>
        <v/>
      </c>
      <c r="C568" t="str">
        <f>IF(VIPcric_1!C557="","",VIPcric_1!C557)</f>
        <v/>
      </c>
      <c r="D568" t="str">
        <f>IF(VIPcric_1!D557="","",VIPcric_1!D557)</f>
        <v/>
      </c>
      <c r="E568" t="str">
        <f>IF(VIPcric_1!E557="","",VIPcric_1!E557)</f>
        <v/>
      </c>
      <c r="F568" t="str">
        <f>IF(VIPcric_1!F557="","",VIPcric_1!F557)</f>
        <v/>
      </c>
      <c r="G568" t="str">
        <f>IF(VIPcric_1!G557="","",VIPcric_1!G557)</f>
        <v/>
      </c>
      <c r="H568" t="str">
        <f>IF(VIPcric_1!H557="","",VIPcric_1!H557)</f>
        <v/>
      </c>
      <c r="I568" t="str">
        <f>IF(VIPcric_1!M557="","",VIPcric_1!M557)</f>
        <v/>
      </c>
    </row>
    <row r="569" spans="1:9">
      <c r="A569" t="str">
        <f>IF(VIPcric_1!A558="","",VIPcric_1!A558)</f>
        <v/>
      </c>
      <c r="B569" t="str">
        <f>IF(VIPcric_1!B558="","",VIPcric_1!B558)</f>
        <v/>
      </c>
      <c r="C569" t="str">
        <f>IF(VIPcric_1!C558="","",VIPcric_1!C558)</f>
        <v/>
      </c>
      <c r="D569" t="str">
        <f>IF(VIPcric_1!D558="","",VIPcric_1!D558)</f>
        <v/>
      </c>
      <c r="E569" t="str">
        <f>IF(VIPcric_1!E558="","",VIPcric_1!E558)</f>
        <v/>
      </c>
      <c r="F569" t="str">
        <f>IF(VIPcric_1!F558="","",VIPcric_1!F558)</f>
        <v/>
      </c>
      <c r="G569" t="str">
        <f>IF(VIPcric_1!G558="","",VIPcric_1!G558)</f>
        <v/>
      </c>
      <c r="H569" t="str">
        <f>IF(VIPcric_1!H558="","",VIPcric_1!H558)</f>
        <v/>
      </c>
      <c r="I569" t="str">
        <f>IF(VIPcric_1!M558="","",VIPcric_1!M558)</f>
        <v>CRIC-呼和浩特-市场监测.商品房市场.项目累计.供求.xlsx</v>
      </c>
    </row>
    <row r="570" spans="1:9">
      <c r="A570" t="str">
        <f>IF(VIPcric_1!A559="","",VIPcric_1!A559)</f>
        <v>时间(年)</v>
      </c>
      <c r="B570" t="str">
        <f>IF(VIPcric_1!B559="","",VIPcric_1!B559)</f>
        <v>供应面积(㎡)</v>
      </c>
      <c r="C570" t="str">
        <f>IF(VIPcric_1!C559="","",VIPcric_1!C559)</f>
        <v>供应套数(套)</v>
      </c>
      <c r="D570" t="str">
        <f>IF(VIPcric_1!D559="","",VIPcric_1!D559)</f>
        <v>成交面积(㎡)</v>
      </c>
      <c r="E570" t="str">
        <f>IF(VIPcric_1!E559="","",VIPcric_1!E559)</f>
        <v>成交套数(套)</v>
      </c>
      <c r="F570" t="str">
        <f>IF(VIPcric_1!F559="","",VIPcric_1!F559)</f>
        <v>成交均价(元/㎡)</v>
      </c>
      <c r="G570" t="str">
        <f>IF(VIPcric_1!G559="","",VIPcric_1!G559)</f>
        <v>成交金额(元)</v>
      </c>
      <c r="H570" t="str">
        <f>IF(VIPcric_1!H559="","",VIPcric_1!H559)</f>
        <v/>
      </c>
      <c r="I570" t="str">
        <f>IF(VIPcric_1!M559="","",VIPcric_1!M559)</f>
        <v>CRIC-呼和浩特-市场监测.商品房市场.项目累计.供求.xlsx</v>
      </c>
    </row>
    <row r="571" spans="1:9">
      <c r="A571" t="str">
        <f>IF(VIPcric_1!A560="","",VIPcric_1!A560)</f>
        <v>2023年</v>
      </c>
      <c r="B571">
        <f>IF(VIPcric_1!B560="","",VIPcric_1!B560)</f>
        <v>908065</v>
      </c>
      <c r="C571">
        <f>IF(VIPcric_1!C560="","",VIPcric_1!C560)</f>
        <v>7310</v>
      </c>
      <c r="D571">
        <f>IF(VIPcric_1!D560="","",VIPcric_1!D560)</f>
        <v>3597775</v>
      </c>
      <c r="E571">
        <f>IF(VIPcric_1!E560="","",VIPcric_1!E560)</f>
        <v>31948</v>
      </c>
      <c r="F571">
        <f>IF(VIPcric_1!F560="","",VIPcric_1!F560)</f>
        <v>10230</v>
      </c>
      <c r="G571">
        <f>IF(VIPcric_1!G560="","",VIPcric_1!G560)</f>
        <v>36804865724</v>
      </c>
      <c r="H571" t="str">
        <f>IF(VIPcric_1!H560="","",VIPcric_1!H560)</f>
        <v/>
      </c>
      <c r="I571" t="str">
        <f>IF(VIPcric_1!M560="","",VIPcric_1!M560)</f>
        <v>CRIC-呼和浩特-市场监测.商品房市场.项目累计.供求.xlsx</v>
      </c>
    </row>
    <row r="572" spans="1:9">
      <c r="A572" t="str">
        <f>IF(VIPcric_1!A561="","",VIPcric_1!A561)</f>
        <v>2022年</v>
      </c>
      <c r="B572">
        <f>IF(VIPcric_1!B561="","",VIPcric_1!B561)</f>
        <v>1373969</v>
      </c>
      <c r="C572">
        <f>IF(VIPcric_1!C561="","",VIPcric_1!C561)</f>
        <v>10592</v>
      </c>
      <c r="D572">
        <f>IF(VIPcric_1!D561="","",VIPcric_1!D561)</f>
        <v>2346523</v>
      </c>
      <c r="E572">
        <f>IF(VIPcric_1!E561="","",VIPcric_1!E561)</f>
        <v>19602</v>
      </c>
      <c r="F572">
        <f>IF(VIPcric_1!F561="","",VIPcric_1!F561)</f>
        <v>10502</v>
      </c>
      <c r="G572">
        <f>IF(VIPcric_1!G561="","",VIPcric_1!G561)</f>
        <v>24643619979</v>
      </c>
      <c r="H572" t="str">
        <f>IF(VIPcric_1!H561="","",VIPcric_1!H561)</f>
        <v/>
      </c>
      <c r="I572" t="str">
        <f>IF(VIPcric_1!M561="","",VIPcric_1!M561)</f>
        <v>CRIC-呼和浩特-市场监测.商品房市场.项目累计.供求.xlsx</v>
      </c>
    </row>
    <row r="573" spans="1:9">
      <c r="A573" t="str">
        <f>IF(VIPcric_1!A562="","",VIPcric_1!A562)</f>
        <v>2021年</v>
      </c>
      <c r="B573">
        <f>IF(VIPcric_1!B562="","",VIPcric_1!B562)</f>
        <v>3431684</v>
      </c>
      <c r="C573">
        <f>IF(VIPcric_1!C562="","",VIPcric_1!C562)</f>
        <v>29623</v>
      </c>
      <c r="D573">
        <f>IF(VIPcric_1!D562="","",VIPcric_1!D562)</f>
        <v>6750666</v>
      </c>
      <c r="E573">
        <f>IF(VIPcric_1!E562="","",VIPcric_1!E562)</f>
        <v>56980</v>
      </c>
      <c r="F573">
        <f>IF(VIPcric_1!F562="","",VIPcric_1!F562)</f>
        <v>10387</v>
      </c>
      <c r="G573">
        <f>IF(VIPcric_1!G562="","",VIPcric_1!G562)</f>
        <v>70117511454</v>
      </c>
      <c r="H573" t="str">
        <f>IF(VIPcric_1!H562="","",VIPcric_1!H562)</f>
        <v/>
      </c>
      <c r="I573" t="str">
        <f>IF(VIPcric_1!M562="","",VIPcric_1!M562)</f>
        <v>CRIC-呼和浩特-市场监测.商品房市场.项目累计.供求.xlsx</v>
      </c>
    </row>
    <row r="574" spans="1:9">
      <c r="A574" t="str">
        <f>IF(VIPcric_1!A563="","",VIPcric_1!A563)</f>
        <v>2020年</v>
      </c>
      <c r="B574">
        <f>IF(VIPcric_1!B563="","",VIPcric_1!B563)</f>
        <v>5208770</v>
      </c>
      <c r="C574">
        <f>IF(VIPcric_1!C563="","",VIPcric_1!C563)</f>
        <v>44039</v>
      </c>
      <c r="D574">
        <f>IF(VIPcric_1!D563="","",VIPcric_1!D563)</f>
        <v>6198556</v>
      </c>
      <c r="E574">
        <f>IF(VIPcric_1!E563="","",VIPcric_1!E563)</f>
        <v>53268</v>
      </c>
      <c r="F574">
        <f>IF(VIPcric_1!F563="","",VIPcric_1!F563)</f>
        <v>9643</v>
      </c>
      <c r="G574">
        <f>IF(VIPcric_1!G563="","",VIPcric_1!G563)</f>
        <v>59771721551</v>
      </c>
      <c r="H574" t="str">
        <f>IF(VIPcric_1!H563="","",VIPcric_1!H563)</f>
        <v/>
      </c>
      <c r="I574" t="str">
        <f>IF(VIPcric_1!M563="","",VIPcric_1!M563)</f>
        <v>CRIC-呼和浩特-市场监测.商品房市场.项目累计.供求.xlsx</v>
      </c>
    </row>
    <row r="575" spans="1:9">
      <c r="A575" t="str">
        <f>IF(VIPcric_1!A564="","",VIPcric_1!A564)</f>
        <v>2019年</v>
      </c>
      <c r="B575">
        <f>IF(VIPcric_1!B564="","",VIPcric_1!B564)</f>
        <v>3215106</v>
      </c>
      <c r="C575">
        <f>IF(VIPcric_1!C564="","",VIPcric_1!C564)</f>
        <v>25146</v>
      </c>
      <c r="D575">
        <f>IF(VIPcric_1!D564="","",VIPcric_1!D564)</f>
        <v>6312841</v>
      </c>
      <c r="E575">
        <f>IF(VIPcric_1!E564="","",VIPcric_1!E564)</f>
        <v>51428</v>
      </c>
      <c r="F575">
        <f>IF(VIPcric_1!F564="","",VIPcric_1!F564)</f>
        <v>9014</v>
      </c>
      <c r="G575">
        <f>IF(VIPcric_1!G564="","",VIPcric_1!G564)</f>
        <v>56906076188</v>
      </c>
      <c r="H575" t="str">
        <f>IF(VIPcric_1!H564="","",VIPcric_1!H564)</f>
        <v/>
      </c>
      <c r="I575" t="str">
        <f>IF(VIPcric_1!M564="","",VIPcric_1!M564)</f>
        <v>CRIC-呼和浩特-市场监测.商品房市场.项目累计.供求.xlsx</v>
      </c>
    </row>
    <row r="576" spans="1:9">
      <c r="A576" t="str">
        <f>IF(VIPcric_1!A565="","",VIPcric_1!A565)</f>
        <v>汇总</v>
      </c>
      <c r="B576">
        <f>IF(VIPcric_1!B565="","",VIPcric_1!B565)</f>
        <v>14137594</v>
      </c>
      <c r="C576">
        <f>IF(VIPcric_1!C565="","",VIPcric_1!C565)</f>
        <v>116710</v>
      </c>
      <c r="D576">
        <f>IF(VIPcric_1!D565="","",VIPcric_1!D565)</f>
        <v>25206361</v>
      </c>
      <c r="E576">
        <f>IF(VIPcric_1!E565="","",VIPcric_1!E565)</f>
        <v>213226</v>
      </c>
      <c r="F576">
        <f>IF(VIPcric_1!F565="","",VIPcric_1!F565)</f>
        <v>9848</v>
      </c>
      <c r="G576">
        <f>IF(VIPcric_1!G565="","",VIPcric_1!G565)</f>
        <v>248243794896</v>
      </c>
      <c r="H576" t="str">
        <f>IF(VIPcric_1!H565="","",VIPcric_1!H565)</f>
        <v/>
      </c>
      <c r="I576" t="str">
        <f>IF(VIPcric_1!M565="","",VIPcric_1!M565)</f>
        <v>CRIC-呼和浩特-市场监测.商品房市场.项目累计.供求.xlsx</v>
      </c>
    </row>
    <row r="577" spans="1:9">
      <c r="A577" t="str">
        <f>IF(VIPcric_1!A566="","",VIPcric_1!A566)</f>
        <v/>
      </c>
      <c r="B577" t="str">
        <f>IF(VIPcric_1!B566="","",VIPcric_1!B566)</f>
        <v/>
      </c>
      <c r="C577" t="str">
        <f>IF(VIPcric_1!C566="","",VIPcric_1!C566)</f>
        <v/>
      </c>
      <c r="D577" t="str">
        <f>IF(VIPcric_1!D566="","",VIPcric_1!D566)</f>
        <v/>
      </c>
      <c r="E577" t="str">
        <f>IF(VIPcric_1!E566="","",VIPcric_1!E566)</f>
        <v/>
      </c>
      <c r="F577" t="str">
        <f>IF(VIPcric_1!F566="","",VIPcric_1!F566)</f>
        <v/>
      </c>
      <c r="G577" t="str">
        <f>IF(VIPcric_1!G566="","",VIPcric_1!G566)</f>
        <v/>
      </c>
      <c r="H577" t="str">
        <f>IF(VIPcric_1!H566="","",VIPcric_1!H566)</f>
        <v/>
      </c>
      <c r="I577" t="str">
        <f>IF(VIPcric_1!M566="","",VIPcric_1!M566)</f>
        <v/>
      </c>
    </row>
    <row r="578" spans="1:9">
      <c r="A578" t="str">
        <f>IF(VIPcric_1!A567="","",VIPcric_1!A567)</f>
        <v/>
      </c>
      <c r="B578" t="str">
        <f>IF(VIPcric_1!B567="","",VIPcric_1!B567)</f>
        <v/>
      </c>
      <c r="C578" t="str">
        <f>IF(VIPcric_1!C567="","",VIPcric_1!C567)</f>
        <v/>
      </c>
      <c r="D578" t="str">
        <f>IF(VIPcric_1!D567="","",VIPcric_1!D567)</f>
        <v/>
      </c>
      <c r="E578" t="str">
        <f>IF(VIPcric_1!E567="","",VIPcric_1!E567)</f>
        <v/>
      </c>
      <c r="F578" t="str">
        <f>IF(VIPcric_1!F567="","",VIPcric_1!F567)</f>
        <v/>
      </c>
      <c r="G578" t="str">
        <f>IF(VIPcric_1!G567="","",VIPcric_1!G567)</f>
        <v/>
      </c>
      <c r="H578" t="str">
        <f>IF(VIPcric_1!H567="","",VIPcric_1!H567)</f>
        <v/>
      </c>
      <c r="I578" t="str">
        <f>IF(VIPcric_1!M567="","",VIPcric_1!M567)</f>
        <v>CRIC-呼和浩特-市场监测.商品房市场.项目累计.库存.xlsx</v>
      </c>
    </row>
    <row r="579" spans="1:9">
      <c r="A579" t="str">
        <f>IF(VIPcric_1!A568="","",VIPcric_1!A568)</f>
        <v>时间(年)</v>
      </c>
      <c r="B579" t="str">
        <f>IF(VIPcric_1!B568="","",VIPcric_1!B568)</f>
        <v>库存面积(㎡)</v>
      </c>
      <c r="C579" t="str">
        <f>IF(VIPcric_1!C568="","",VIPcric_1!C568)</f>
        <v>库存套数(套)</v>
      </c>
      <c r="D579" t="str">
        <f>IF(VIPcric_1!D568="","",VIPcric_1!D568)</f>
        <v>去化周期12'(月)</v>
      </c>
      <c r="E579" t="str">
        <f>IF(VIPcric_1!E568="","",VIPcric_1!E568)</f>
        <v/>
      </c>
      <c r="F579" t="str">
        <f>IF(VIPcric_1!F568="","",VIPcric_1!F568)</f>
        <v/>
      </c>
      <c r="G579" t="str">
        <f>IF(VIPcric_1!G568="","",VIPcric_1!G568)</f>
        <v/>
      </c>
      <c r="H579" t="str">
        <f>IF(VIPcric_1!H568="","",VIPcric_1!H568)</f>
        <v/>
      </c>
      <c r="I579" t="str">
        <f>IF(VIPcric_1!M568="","",VIPcric_1!M568)</f>
        <v>CRIC-呼和浩特-市场监测.商品房市场.项目累计.库存.xlsx</v>
      </c>
    </row>
    <row r="580" spans="1:9">
      <c r="A580" t="str">
        <f>IF(VIPcric_1!A569="","",VIPcric_1!A569)</f>
        <v>2023年</v>
      </c>
      <c r="B580">
        <f>IF(VIPcric_1!B569="","",VIPcric_1!B569)</f>
        <v>11432442</v>
      </c>
      <c r="C580">
        <f>IF(VIPcric_1!C569="","",VIPcric_1!C569)</f>
        <v>106156</v>
      </c>
      <c r="D580">
        <f>IF(VIPcric_1!D569="","",VIPcric_1!D569)</f>
        <v>38.1</v>
      </c>
      <c r="E580" t="str">
        <f>IF(VIPcric_1!E569="","",VIPcric_1!E569)</f>
        <v/>
      </c>
      <c r="F580" t="str">
        <f>IF(VIPcric_1!F569="","",VIPcric_1!F569)</f>
        <v/>
      </c>
      <c r="G580" t="str">
        <f>IF(VIPcric_1!G569="","",VIPcric_1!G569)</f>
        <v/>
      </c>
      <c r="H580" t="str">
        <f>IF(VIPcric_1!H569="","",VIPcric_1!H569)</f>
        <v/>
      </c>
      <c r="I580" t="str">
        <f>IF(VIPcric_1!M569="","",VIPcric_1!M569)</f>
        <v>CRIC-呼和浩特-市场监测.商品房市场.项目累计.库存.xlsx</v>
      </c>
    </row>
    <row r="581" spans="1:9">
      <c r="A581" t="str">
        <f>IF(VIPcric_1!A570="","",VIPcric_1!A570)</f>
        <v>2022年</v>
      </c>
      <c r="B581">
        <f>IF(VIPcric_1!B570="","",VIPcric_1!B570)</f>
        <v>12053806</v>
      </c>
      <c r="C581">
        <f>IF(VIPcric_1!C570="","",VIPcric_1!C570)</f>
        <v>112336</v>
      </c>
      <c r="D581">
        <f>IF(VIPcric_1!D570="","",VIPcric_1!D570)</f>
        <v>61.6</v>
      </c>
      <c r="E581" t="str">
        <f>IF(VIPcric_1!E570="","",VIPcric_1!E570)</f>
        <v/>
      </c>
      <c r="F581" t="str">
        <f>IF(VIPcric_1!F570="","",VIPcric_1!F570)</f>
        <v/>
      </c>
      <c r="G581" t="str">
        <f>IF(VIPcric_1!G570="","",VIPcric_1!G570)</f>
        <v/>
      </c>
      <c r="H581" t="str">
        <f>IF(VIPcric_1!H570="","",VIPcric_1!H570)</f>
        <v/>
      </c>
      <c r="I581" t="str">
        <f>IF(VIPcric_1!M570="","",VIPcric_1!M570)</f>
        <v>CRIC-呼和浩特-市场监测.商品房市场.项目累计.库存.xlsx</v>
      </c>
    </row>
    <row r="582" spans="1:9">
      <c r="A582" t="str">
        <f>IF(VIPcric_1!A571="","",VIPcric_1!A571)</f>
        <v>2021年</v>
      </c>
      <c r="B582">
        <f>IF(VIPcric_1!B571="","",VIPcric_1!B571)</f>
        <v>10883495</v>
      </c>
      <c r="C582">
        <f>IF(VIPcric_1!C571="","",VIPcric_1!C571)</f>
        <v>92628</v>
      </c>
      <c r="D582">
        <f>IF(VIPcric_1!D571="","",VIPcric_1!D571)</f>
        <v>19.3</v>
      </c>
      <c r="E582" t="str">
        <f>IF(VIPcric_1!E571="","",VIPcric_1!E571)</f>
        <v/>
      </c>
      <c r="F582" t="str">
        <f>IF(VIPcric_1!F571="","",VIPcric_1!F571)</f>
        <v/>
      </c>
      <c r="G582" t="str">
        <f>IF(VIPcric_1!G571="","",VIPcric_1!G571)</f>
        <v/>
      </c>
      <c r="H582" t="str">
        <f>IF(VIPcric_1!H571="","",VIPcric_1!H571)</f>
        <v/>
      </c>
      <c r="I582" t="str">
        <f>IF(VIPcric_1!M571="","",VIPcric_1!M571)</f>
        <v>CRIC-呼和浩特-市场监测.商品房市场.项目累计.库存.xlsx</v>
      </c>
    </row>
    <row r="583" spans="1:9">
      <c r="A583" t="str">
        <f>IF(VIPcric_1!A572="","",VIPcric_1!A572)</f>
        <v>2020年</v>
      </c>
      <c r="B583">
        <f>IF(VIPcric_1!B572="","",VIPcric_1!B572)</f>
        <v>12868607</v>
      </c>
      <c r="C583">
        <f>IF(VIPcric_1!C572="","",VIPcric_1!C572)</f>
        <v>109123</v>
      </c>
      <c r="D583">
        <f>IF(VIPcric_1!D572="","",VIPcric_1!D572)</f>
        <v>24.9</v>
      </c>
      <c r="E583" t="str">
        <f>IF(VIPcric_1!E572="","",VIPcric_1!E572)</f>
        <v/>
      </c>
      <c r="F583" t="str">
        <f>IF(VIPcric_1!F572="","",VIPcric_1!F572)</f>
        <v/>
      </c>
      <c r="G583" t="str">
        <f>IF(VIPcric_1!G572="","",VIPcric_1!G572)</f>
        <v/>
      </c>
      <c r="H583" t="str">
        <f>IF(VIPcric_1!H572="","",VIPcric_1!H572)</f>
        <v/>
      </c>
      <c r="I583" t="str">
        <f>IF(VIPcric_1!M572="","",VIPcric_1!M572)</f>
        <v>CRIC-呼和浩特-市场监测.商品房市场.项目累计.库存.xlsx</v>
      </c>
    </row>
    <row r="584" spans="1:9">
      <c r="A584" t="str">
        <f>IF(VIPcric_1!A573="","",VIPcric_1!A573)</f>
        <v>2019年</v>
      </c>
      <c r="B584">
        <f>IF(VIPcric_1!B573="","",VIPcric_1!B573)</f>
        <v>10077292</v>
      </c>
      <c r="C584">
        <f>IF(VIPcric_1!C573="","",VIPcric_1!C573)</f>
        <v>86149</v>
      </c>
      <c r="D584">
        <f>IF(VIPcric_1!D573="","",VIPcric_1!D573)</f>
        <v>19.2</v>
      </c>
      <c r="E584" t="str">
        <f>IF(VIPcric_1!E573="","",VIPcric_1!E573)</f>
        <v/>
      </c>
      <c r="F584" t="str">
        <f>IF(VIPcric_1!F573="","",VIPcric_1!F573)</f>
        <v/>
      </c>
      <c r="G584" t="str">
        <f>IF(VIPcric_1!G573="","",VIPcric_1!G573)</f>
        <v/>
      </c>
      <c r="H584" t="str">
        <f>IF(VIPcric_1!H573="","",VIPcric_1!H573)</f>
        <v/>
      </c>
      <c r="I584" t="str">
        <f>IF(VIPcric_1!M573="","",VIPcric_1!M573)</f>
        <v>CRIC-呼和浩特-市场监测.商品房市场.项目累计.库存.xlsx</v>
      </c>
    </row>
    <row r="585" spans="1:9">
      <c r="A585" t="str">
        <f>IF(VIPcric_1!A574="","",VIPcric_1!A574)</f>
        <v/>
      </c>
      <c r="B585" t="str">
        <f>IF(VIPcric_1!B574="","",VIPcric_1!B574)</f>
        <v/>
      </c>
      <c r="C585" t="str">
        <f>IF(VIPcric_1!C574="","",VIPcric_1!C574)</f>
        <v/>
      </c>
      <c r="D585" t="str">
        <f>IF(VIPcric_1!D574="","",VIPcric_1!D574)</f>
        <v/>
      </c>
      <c r="E585" t="str">
        <f>IF(VIPcric_1!E574="","",VIPcric_1!E574)</f>
        <v/>
      </c>
      <c r="F585" t="str">
        <f>IF(VIPcric_1!F574="","",VIPcric_1!F574)</f>
        <v/>
      </c>
      <c r="G585" t="str">
        <f>IF(VIPcric_1!G574="","",VIPcric_1!G574)</f>
        <v/>
      </c>
      <c r="H585" t="str">
        <f>IF(VIPcric_1!H574="","",VIPcric_1!H574)</f>
        <v/>
      </c>
      <c r="I585" t="str">
        <f>IF(VIPcric_1!M574="","",VIPcric_1!M574)</f>
        <v/>
      </c>
    </row>
    <row r="586" spans="1:9">
      <c r="A586" t="str">
        <f>IF(VIPcric_1!A575="","",VIPcric_1!A575)</f>
        <v/>
      </c>
      <c r="B586" t="str">
        <f>IF(VIPcric_1!B575="","",VIPcric_1!B575)</f>
        <v/>
      </c>
      <c r="C586" t="str">
        <f>IF(VIPcric_1!C575="","",VIPcric_1!C575)</f>
        <v/>
      </c>
      <c r="D586" t="str">
        <f>IF(VIPcric_1!D575="","",VIPcric_1!D575)</f>
        <v/>
      </c>
      <c r="E586" t="str">
        <f>IF(VIPcric_1!E575="","",VIPcric_1!E575)</f>
        <v/>
      </c>
      <c r="F586" t="str">
        <f>IF(VIPcric_1!F575="","",VIPcric_1!F575)</f>
        <v/>
      </c>
      <c r="G586" t="str">
        <f>IF(VIPcric_1!G575="","",VIPcric_1!G575)</f>
        <v/>
      </c>
      <c r="H586" t="str">
        <f>IF(VIPcric_1!H575="","",VIPcric_1!H575)</f>
        <v/>
      </c>
      <c r="I586" t="str">
        <f>IF(VIPcric_1!M575="","",VIPcric_1!M575)</f>
        <v>CRIC-哈尔滨-市场监测.商品房市场.项目累计.供求.xlsx</v>
      </c>
    </row>
    <row r="587" spans="1:9">
      <c r="A587" t="str">
        <f>IF(VIPcric_1!A576="","",VIPcric_1!A576)</f>
        <v>时间(年)</v>
      </c>
      <c r="B587" t="str">
        <f>IF(VIPcric_1!B576="","",VIPcric_1!B576)</f>
        <v>供应面积(㎡)</v>
      </c>
      <c r="C587" t="str">
        <f>IF(VIPcric_1!C576="","",VIPcric_1!C576)</f>
        <v>供应套数(套)</v>
      </c>
      <c r="D587" t="str">
        <f>IF(VIPcric_1!D576="","",VIPcric_1!D576)</f>
        <v>成交面积(㎡)</v>
      </c>
      <c r="E587" t="str">
        <f>IF(VIPcric_1!E576="","",VIPcric_1!E576)</f>
        <v>成交套数(套)</v>
      </c>
      <c r="F587" t="str">
        <f>IF(VIPcric_1!F576="","",VIPcric_1!F576)</f>
        <v>成交均价(元/㎡)</v>
      </c>
      <c r="G587" t="str">
        <f>IF(VIPcric_1!G576="","",VIPcric_1!G576)</f>
        <v>成交金额(元)</v>
      </c>
      <c r="H587" t="str">
        <f>IF(VIPcric_1!H576="","",VIPcric_1!H576)</f>
        <v>供求比</v>
      </c>
      <c r="I587" t="str">
        <f>IF(VIPcric_1!M576="","",VIPcric_1!M576)</f>
        <v>CRIC-哈尔滨-市场监测.商品房市场.项目累计.供求.xlsx</v>
      </c>
    </row>
    <row r="588" spans="1:9">
      <c r="A588" t="str">
        <f>IF(VIPcric_1!A577="","",VIPcric_1!A577)</f>
        <v>2023年</v>
      </c>
      <c r="B588">
        <f>IF(VIPcric_1!B577="","",VIPcric_1!B577)</f>
        <v>1431902</v>
      </c>
      <c r="C588">
        <f>IF(VIPcric_1!C577="","",VIPcric_1!C577)</f>
        <v>14645</v>
      </c>
      <c r="D588">
        <f>IF(VIPcric_1!D577="","",VIPcric_1!D577)</f>
        <v>1411607</v>
      </c>
      <c r="E588">
        <f>IF(VIPcric_1!E577="","",VIPcric_1!E577)</f>
        <v>14178</v>
      </c>
      <c r="F588">
        <f>IF(VIPcric_1!F577="","",VIPcric_1!F577)</f>
        <v>12452</v>
      </c>
      <c r="G588">
        <f>IF(VIPcric_1!G577="","",VIPcric_1!G577)</f>
        <v>17577918957</v>
      </c>
      <c r="H588">
        <f>IF(VIPcric_1!H577="","",VIPcric_1!H577)</f>
        <v>1.01</v>
      </c>
      <c r="I588" t="str">
        <f>IF(VIPcric_1!M577="","",VIPcric_1!M577)</f>
        <v>CRIC-哈尔滨-市场监测.商品房市场.项目累计.供求.xlsx</v>
      </c>
    </row>
    <row r="589" spans="1:9">
      <c r="A589" t="str">
        <f>IF(VIPcric_1!A578="","",VIPcric_1!A578)</f>
        <v>2022年</v>
      </c>
      <c r="B589">
        <f>IF(VIPcric_1!B578="","",VIPcric_1!B578)</f>
        <v>1941032</v>
      </c>
      <c r="C589">
        <f>IF(VIPcric_1!C578="","",VIPcric_1!C578)</f>
        <v>18879</v>
      </c>
      <c r="D589">
        <f>IF(VIPcric_1!D578="","",VIPcric_1!D578)</f>
        <v>1699876</v>
      </c>
      <c r="E589">
        <f>IF(VIPcric_1!E578="","",VIPcric_1!E578)</f>
        <v>16582</v>
      </c>
      <c r="F589">
        <f>IF(VIPcric_1!F578="","",VIPcric_1!F578)</f>
        <v>12683</v>
      </c>
      <c r="G589">
        <f>IF(VIPcric_1!G578="","",VIPcric_1!G578)</f>
        <v>21559729964</v>
      </c>
      <c r="H589">
        <f>IF(VIPcric_1!H578="","",VIPcric_1!H578)</f>
        <v>1.1399999999999999</v>
      </c>
      <c r="I589" t="str">
        <f>IF(VIPcric_1!M578="","",VIPcric_1!M578)</f>
        <v>CRIC-哈尔滨-市场监测.商品房市场.项目累计.供求.xlsx</v>
      </c>
    </row>
    <row r="590" spans="1:9">
      <c r="A590" t="str">
        <f>IF(VIPcric_1!A579="","",VIPcric_1!A579)</f>
        <v>2021年</v>
      </c>
      <c r="B590">
        <f>IF(VIPcric_1!B579="","",VIPcric_1!B579)</f>
        <v>3175223</v>
      </c>
      <c r="C590">
        <f>IF(VIPcric_1!C579="","",VIPcric_1!C579)</f>
        <v>31955</v>
      </c>
      <c r="D590">
        <f>IF(VIPcric_1!D579="","",VIPcric_1!D579)</f>
        <v>3145225</v>
      </c>
      <c r="E590">
        <f>IF(VIPcric_1!E579="","",VIPcric_1!E579)</f>
        <v>30248</v>
      </c>
      <c r="F590">
        <f>IF(VIPcric_1!F579="","",VIPcric_1!F579)</f>
        <v>14031</v>
      </c>
      <c r="G590">
        <f>IF(VIPcric_1!G579="","",VIPcric_1!G579)</f>
        <v>44130061112</v>
      </c>
      <c r="H590">
        <f>IF(VIPcric_1!H579="","",VIPcric_1!H579)</f>
        <v>1.01</v>
      </c>
      <c r="I590" t="str">
        <f>IF(VIPcric_1!M579="","",VIPcric_1!M579)</f>
        <v>CRIC-哈尔滨-市场监测.商品房市场.项目累计.供求.xlsx</v>
      </c>
    </row>
    <row r="591" spans="1:9">
      <c r="A591" t="str">
        <f>IF(VIPcric_1!A580="","",VIPcric_1!A580)</f>
        <v>2020年</v>
      </c>
      <c r="B591">
        <f>IF(VIPcric_1!B580="","",VIPcric_1!B580)</f>
        <v>8536025</v>
      </c>
      <c r="C591">
        <f>IF(VIPcric_1!C580="","",VIPcric_1!C580)</f>
        <v>81977</v>
      </c>
      <c r="D591">
        <f>IF(VIPcric_1!D580="","",VIPcric_1!D580)</f>
        <v>255338</v>
      </c>
      <c r="E591">
        <f>IF(VIPcric_1!E580="","",VIPcric_1!E580)</f>
        <v>2535</v>
      </c>
      <c r="F591">
        <f>IF(VIPcric_1!F580="","",VIPcric_1!F580)</f>
        <v>13239</v>
      </c>
      <c r="G591">
        <f>IF(VIPcric_1!G580="","",VIPcric_1!G580)</f>
        <v>3380309128</v>
      </c>
      <c r="H591">
        <f>IF(VIPcric_1!H580="","",VIPcric_1!H580)</f>
        <v>33.43</v>
      </c>
      <c r="I591" t="str">
        <f>IF(VIPcric_1!M580="","",VIPcric_1!M580)</f>
        <v>CRIC-哈尔滨-市场监测.商品房市场.项目累计.供求.xlsx</v>
      </c>
    </row>
    <row r="592" spans="1:9">
      <c r="A592" t="str">
        <f>IF(VIPcric_1!A581="","",VIPcric_1!A581)</f>
        <v>2019年</v>
      </c>
      <c r="B592">
        <f>IF(VIPcric_1!B581="","",VIPcric_1!B581)</f>
        <v>7370529</v>
      </c>
      <c r="C592">
        <f>IF(VIPcric_1!C581="","",VIPcric_1!C581)</f>
        <v>70972</v>
      </c>
      <c r="D592">
        <f>IF(VIPcric_1!D581="","",VIPcric_1!D581)</f>
        <v>2357015</v>
      </c>
      <c r="E592">
        <f>IF(VIPcric_1!E581="","",VIPcric_1!E581)</f>
        <v>22702</v>
      </c>
      <c r="F592">
        <f>IF(VIPcric_1!F581="","",VIPcric_1!F581)</f>
        <v>15355</v>
      </c>
      <c r="G592">
        <f>IF(VIPcric_1!G581="","",VIPcric_1!G581)</f>
        <v>36191409349</v>
      </c>
      <c r="H592">
        <f>IF(VIPcric_1!H581="","",VIPcric_1!H581)</f>
        <v>3.13</v>
      </c>
      <c r="I592" t="str">
        <f>IF(VIPcric_1!M581="","",VIPcric_1!M581)</f>
        <v>CRIC-哈尔滨-市场监测.商品房市场.项目累计.供求.xlsx</v>
      </c>
    </row>
    <row r="593" spans="1:9">
      <c r="A593" t="str">
        <f>IF(VIPcric_1!A582="","",VIPcric_1!A582)</f>
        <v>汇总</v>
      </c>
      <c r="B593">
        <f>IF(VIPcric_1!B582="","",VIPcric_1!B582)</f>
        <v>22454712</v>
      </c>
      <c r="C593">
        <f>IF(VIPcric_1!C582="","",VIPcric_1!C582)</f>
        <v>218428</v>
      </c>
      <c r="D593">
        <f>IF(VIPcric_1!D582="","",VIPcric_1!D582)</f>
        <v>8869061</v>
      </c>
      <c r="E593">
        <f>IF(VIPcric_1!E582="","",VIPcric_1!E582)</f>
        <v>86245</v>
      </c>
      <c r="F593">
        <f>IF(VIPcric_1!F582="","",VIPcric_1!F582)</f>
        <v>13850</v>
      </c>
      <c r="G593">
        <f>IF(VIPcric_1!G582="","",VIPcric_1!G582)</f>
        <v>122839428510</v>
      </c>
      <c r="H593">
        <f>IF(VIPcric_1!H582="","",VIPcric_1!H582)</f>
        <v>2.5299999999999998</v>
      </c>
      <c r="I593" t="str">
        <f>IF(VIPcric_1!M582="","",VIPcric_1!M582)</f>
        <v>CRIC-哈尔滨-市场监测.商品房市场.项目累计.供求.xlsx</v>
      </c>
    </row>
    <row r="594" spans="1:9">
      <c r="A594" t="str">
        <f>IF(VIPcric_1!A583="","",VIPcric_1!A583)</f>
        <v/>
      </c>
      <c r="B594" t="str">
        <f>IF(VIPcric_1!B583="","",VIPcric_1!B583)</f>
        <v/>
      </c>
      <c r="C594" t="str">
        <f>IF(VIPcric_1!C583="","",VIPcric_1!C583)</f>
        <v/>
      </c>
      <c r="D594" t="str">
        <f>IF(VIPcric_1!D583="","",VIPcric_1!D583)</f>
        <v/>
      </c>
      <c r="E594" t="str">
        <f>IF(VIPcric_1!E583="","",VIPcric_1!E583)</f>
        <v/>
      </c>
      <c r="F594" t="str">
        <f>IF(VIPcric_1!F583="","",VIPcric_1!F583)</f>
        <v/>
      </c>
      <c r="G594" t="str">
        <f>IF(VIPcric_1!G583="","",VIPcric_1!G583)</f>
        <v/>
      </c>
      <c r="H594" t="str">
        <f>IF(VIPcric_1!H583="","",VIPcric_1!H583)</f>
        <v/>
      </c>
      <c r="I594" t="str">
        <f>IF(VIPcric_1!M583="","",VIPcric_1!M583)</f>
        <v/>
      </c>
    </row>
    <row r="595" spans="1:9">
      <c r="A595" t="str">
        <f>IF(VIPcric_1!A584="","",VIPcric_1!A584)</f>
        <v/>
      </c>
      <c r="B595" t="str">
        <f>IF(VIPcric_1!B584="","",VIPcric_1!B584)</f>
        <v/>
      </c>
      <c r="C595" t="str">
        <f>IF(VIPcric_1!C584="","",VIPcric_1!C584)</f>
        <v/>
      </c>
      <c r="D595" t="str">
        <f>IF(VIPcric_1!D584="","",VIPcric_1!D584)</f>
        <v/>
      </c>
      <c r="E595" t="str">
        <f>IF(VIPcric_1!E584="","",VIPcric_1!E584)</f>
        <v/>
      </c>
      <c r="F595" t="str">
        <f>IF(VIPcric_1!F584="","",VIPcric_1!F584)</f>
        <v/>
      </c>
      <c r="G595" t="str">
        <f>IF(VIPcric_1!G584="","",VIPcric_1!G584)</f>
        <v/>
      </c>
      <c r="H595" t="str">
        <f>IF(VIPcric_1!H584="","",VIPcric_1!H584)</f>
        <v/>
      </c>
      <c r="I595" t="str">
        <f>IF(VIPcric_1!M584="","",VIPcric_1!M584)</f>
        <v>CRIC-哈尔滨-市场监测.商品房市场.项目累计.库存.xlsx</v>
      </c>
    </row>
    <row r="596" spans="1:9">
      <c r="A596" t="str">
        <f>IF(VIPcric_1!A585="","",VIPcric_1!A585)</f>
        <v>时间(年)</v>
      </c>
      <c r="B596" t="str">
        <f>IF(VIPcric_1!B585="","",VIPcric_1!B585)</f>
        <v>库存面积(㎡)</v>
      </c>
      <c r="C596" t="str">
        <f>IF(VIPcric_1!C585="","",VIPcric_1!C585)</f>
        <v>库存套数(套)</v>
      </c>
      <c r="D596" t="str">
        <f>IF(VIPcric_1!D585="","",VIPcric_1!D585)</f>
        <v>去化周期12'(月)</v>
      </c>
      <c r="E596" t="str">
        <f>IF(VIPcric_1!E585="","",VIPcric_1!E585)</f>
        <v/>
      </c>
      <c r="F596" t="str">
        <f>IF(VIPcric_1!F585="","",VIPcric_1!F585)</f>
        <v/>
      </c>
      <c r="G596" t="str">
        <f>IF(VIPcric_1!G585="","",VIPcric_1!G585)</f>
        <v/>
      </c>
      <c r="H596" t="str">
        <f>IF(VIPcric_1!H585="","",VIPcric_1!H585)</f>
        <v/>
      </c>
      <c r="I596" t="str">
        <f>IF(VIPcric_1!M585="","",VIPcric_1!M585)</f>
        <v>CRIC-哈尔滨-市场监测.商品房市场.项目累计.库存.xlsx</v>
      </c>
    </row>
    <row r="597" spans="1:9">
      <c r="A597" t="str">
        <f>IF(VIPcric_1!A586="","",VIPcric_1!A586)</f>
        <v>2023年</v>
      </c>
      <c r="B597">
        <f>IF(VIPcric_1!B586="","",VIPcric_1!B586)</f>
        <v>7029817</v>
      </c>
      <c r="C597">
        <f>IF(VIPcric_1!C586="","",VIPcric_1!C586)</f>
        <v>67577</v>
      </c>
      <c r="D597">
        <f>IF(VIPcric_1!D586="","",VIPcric_1!D586)</f>
        <v>59.8</v>
      </c>
      <c r="E597" t="str">
        <f>IF(VIPcric_1!E586="","",VIPcric_1!E586)</f>
        <v/>
      </c>
      <c r="F597" t="str">
        <f>IF(VIPcric_1!F586="","",VIPcric_1!F586)</f>
        <v/>
      </c>
      <c r="G597" t="str">
        <f>IF(VIPcric_1!G586="","",VIPcric_1!G586)</f>
        <v/>
      </c>
      <c r="H597" t="str">
        <f>IF(VIPcric_1!H586="","",VIPcric_1!H586)</f>
        <v/>
      </c>
      <c r="I597" t="str">
        <f>IF(VIPcric_1!M586="","",VIPcric_1!M586)</f>
        <v>CRIC-哈尔滨-市场监测.商品房市场.项目累计.库存.xlsx</v>
      </c>
    </row>
    <row r="598" spans="1:9">
      <c r="A598" t="str">
        <f>IF(VIPcric_1!A587="","",VIPcric_1!A587)</f>
        <v>2022年</v>
      </c>
      <c r="B598">
        <f>IF(VIPcric_1!B587="","",VIPcric_1!B587)</f>
        <v>7458782</v>
      </c>
      <c r="C598">
        <f>IF(VIPcric_1!C587="","",VIPcric_1!C587)</f>
        <v>71502</v>
      </c>
      <c r="D598">
        <f>IF(VIPcric_1!D587="","",VIPcric_1!D587)</f>
        <v>52.7</v>
      </c>
      <c r="E598" t="str">
        <f>IF(VIPcric_1!E587="","",VIPcric_1!E587)</f>
        <v/>
      </c>
      <c r="F598" t="str">
        <f>IF(VIPcric_1!F587="","",VIPcric_1!F587)</f>
        <v/>
      </c>
      <c r="G598" t="str">
        <f>IF(VIPcric_1!G587="","",VIPcric_1!G587)</f>
        <v/>
      </c>
      <c r="H598" t="str">
        <f>IF(VIPcric_1!H587="","",VIPcric_1!H587)</f>
        <v/>
      </c>
      <c r="I598" t="str">
        <f>IF(VIPcric_1!M587="","",VIPcric_1!M587)</f>
        <v>CRIC-哈尔滨-市场监测.商品房市场.项目累计.库存.xlsx</v>
      </c>
    </row>
    <row r="599" spans="1:9">
      <c r="A599" t="str">
        <f>IF(VIPcric_1!A588="","",VIPcric_1!A588)</f>
        <v>2021年</v>
      </c>
      <c r="B599">
        <f>IF(VIPcric_1!B588="","",VIPcric_1!B588)</f>
        <v>7531864</v>
      </c>
      <c r="C599">
        <f>IF(VIPcric_1!C588="","",VIPcric_1!C588)</f>
        <v>71259</v>
      </c>
      <c r="D599">
        <f>IF(VIPcric_1!D588="","",VIPcric_1!D588)</f>
        <v>28.7</v>
      </c>
      <c r="E599" t="str">
        <f>IF(VIPcric_1!E588="","",VIPcric_1!E588)</f>
        <v/>
      </c>
      <c r="F599" t="str">
        <f>IF(VIPcric_1!F588="","",VIPcric_1!F588)</f>
        <v/>
      </c>
      <c r="G599" t="str">
        <f>IF(VIPcric_1!G588="","",VIPcric_1!G588)</f>
        <v/>
      </c>
      <c r="H599" t="str">
        <f>IF(VIPcric_1!H588="","",VIPcric_1!H588)</f>
        <v/>
      </c>
      <c r="I599" t="str">
        <f>IF(VIPcric_1!M588="","",VIPcric_1!M588)</f>
        <v>CRIC-哈尔滨-市场监测.商品房市场.项目累计.库存.xlsx</v>
      </c>
    </row>
    <row r="600" spans="1:9">
      <c r="A600" t="str">
        <f>IF(VIPcric_1!A589="","",VIPcric_1!A589)</f>
        <v>2020年</v>
      </c>
      <c r="B600">
        <f>IF(VIPcric_1!B589="","",VIPcric_1!B589)</f>
        <v>9160076</v>
      </c>
      <c r="C600">
        <f>IF(VIPcric_1!C589="","",VIPcric_1!C589)</f>
        <v>86298</v>
      </c>
      <c r="D600">
        <f>IF(VIPcric_1!D589="","",VIPcric_1!D589)</f>
        <v>430.5</v>
      </c>
      <c r="E600" t="str">
        <f>IF(VIPcric_1!E589="","",VIPcric_1!E589)</f>
        <v/>
      </c>
      <c r="F600" t="str">
        <f>IF(VIPcric_1!F589="","",VIPcric_1!F589)</f>
        <v/>
      </c>
      <c r="G600" t="str">
        <f>IF(VIPcric_1!G589="","",VIPcric_1!G589)</f>
        <v/>
      </c>
      <c r="H600" t="str">
        <f>IF(VIPcric_1!H589="","",VIPcric_1!H589)</f>
        <v/>
      </c>
      <c r="I600" t="str">
        <f>IF(VIPcric_1!M589="","",VIPcric_1!M589)</f>
        <v>CRIC-哈尔滨-市场监测.商品房市场.项目累计.库存.xlsx</v>
      </c>
    </row>
    <row r="601" spans="1:9">
      <c r="A601" t="str">
        <f>IF(VIPcric_1!A590="","",VIPcric_1!A590)</f>
        <v>2019年</v>
      </c>
      <c r="B601">
        <f>IF(VIPcric_1!B590="","",VIPcric_1!B590)</f>
        <v>0</v>
      </c>
      <c r="C601">
        <f>IF(VIPcric_1!C590="","",VIPcric_1!C590)</f>
        <v>0</v>
      </c>
      <c r="D601">
        <f>IF(VIPcric_1!D590="","",VIPcric_1!D590)</f>
        <v>0</v>
      </c>
      <c r="E601" t="str">
        <f>IF(VIPcric_1!E590="","",VIPcric_1!E590)</f>
        <v/>
      </c>
      <c r="F601" t="str">
        <f>IF(VIPcric_1!F590="","",VIPcric_1!F590)</f>
        <v/>
      </c>
      <c r="G601" t="str">
        <f>IF(VIPcric_1!G590="","",VIPcric_1!G590)</f>
        <v/>
      </c>
      <c r="H601" t="str">
        <f>IF(VIPcric_1!H590="","",VIPcric_1!H590)</f>
        <v/>
      </c>
      <c r="I601" t="str">
        <f>IF(VIPcric_1!M590="","",VIPcric_1!M590)</f>
        <v>CRIC-哈尔滨-市场监测.商品房市场.项目累计.库存.xlsx</v>
      </c>
    </row>
    <row r="602" spans="1:9">
      <c r="A602" t="str">
        <f>IF(VIPcric_1!A591="","",VIPcric_1!A591)</f>
        <v/>
      </c>
      <c r="B602" t="str">
        <f>IF(VIPcric_1!B591="","",VIPcric_1!B591)</f>
        <v/>
      </c>
      <c r="C602" t="str">
        <f>IF(VIPcric_1!C591="","",VIPcric_1!C591)</f>
        <v/>
      </c>
      <c r="D602" t="str">
        <f>IF(VIPcric_1!D591="","",VIPcric_1!D591)</f>
        <v/>
      </c>
      <c r="E602" t="str">
        <f>IF(VIPcric_1!E591="","",VIPcric_1!E591)</f>
        <v/>
      </c>
      <c r="F602" t="str">
        <f>IF(VIPcric_1!F591="","",VIPcric_1!F591)</f>
        <v/>
      </c>
      <c r="G602" t="str">
        <f>IF(VIPcric_1!G591="","",VIPcric_1!G591)</f>
        <v/>
      </c>
      <c r="H602" t="str">
        <f>IF(VIPcric_1!H591="","",VIPcric_1!H591)</f>
        <v/>
      </c>
      <c r="I602" t="str">
        <f>IF(VIPcric_1!M591="","",VIPcric_1!M591)</f>
        <v/>
      </c>
    </row>
    <row r="603" spans="1:9">
      <c r="A603" t="str">
        <f>IF(VIPcric_1!A592="","",VIPcric_1!A592)</f>
        <v/>
      </c>
      <c r="B603" t="str">
        <f>IF(VIPcric_1!B592="","",VIPcric_1!B592)</f>
        <v/>
      </c>
      <c r="C603" t="str">
        <f>IF(VIPcric_1!C592="","",VIPcric_1!C592)</f>
        <v/>
      </c>
      <c r="D603" t="str">
        <f>IF(VIPcric_1!D592="","",VIPcric_1!D592)</f>
        <v/>
      </c>
      <c r="E603" t="str">
        <f>IF(VIPcric_1!E592="","",VIPcric_1!E592)</f>
        <v/>
      </c>
      <c r="F603" t="str">
        <f>IF(VIPcric_1!F592="","",VIPcric_1!F592)</f>
        <v/>
      </c>
      <c r="G603" t="str">
        <f>IF(VIPcric_1!G592="","",VIPcric_1!G592)</f>
        <v/>
      </c>
      <c r="H603" t="str">
        <f>IF(VIPcric_1!H592="","",VIPcric_1!H592)</f>
        <v/>
      </c>
      <c r="I603" t="str">
        <f>IF(VIPcric_1!M592="","",VIPcric_1!M592)</f>
        <v>CRIC-嘉兴-市场监测.商品房市场.项目累计.供求.xlsx</v>
      </c>
    </row>
    <row r="604" spans="1:9">
      <c r="A604" t="str">
        <f>IF(VIPcric_1!A593="","",VIPcric_1!A593)</f>
        <v>时间(年)</v>
      </c>
      <c r="B604" t="str">
        <f>IF(VIPcric_1!B593="","",VIPcric_1!B593)</f>
        <v>供应面积(㎡)</v>
      </c>
      <c r="C604" t="str">
        <f>IF(VIPcric_1!C593="","",VIPcric_1!C593)</f>
        <v>供应套数(套)</v>
      </c>
      <c r="D604" t="str">
        <f>IF(VIPcric_1!D593="","",VIPcric_1!D593)</f>
        <v>成交面积(㎡)</v>
      </c>
      <c r="E604" t="str">
        <f>IF(VIPcric_1!E593="","",VIPcric_1!E593)</f>
        <v>成交套数(套)</v>
      </c>
      <c r="F604" t="str">
        <f>IF(VIPcric_1!F593="","",VIPcric_1!F593)</f>
        <v>成交均价(元/㎡)</v>
      </c>
      <c r="G604" t="str">
        <f>IF(VIPcric_1!G593="","",VIPcric_1!G593)</f>
        <v>成交金额(元)</v>
      </c>
      <c r="H604" t="str">
        <f>IF(VIPcric_1!H593="","",VIPcric_1!H593)</f>
        <v>供求比</v>
      </c>
      <c r="I604" t="str">
        <f>IF(VIPcric_1!M593="","",VIPcric_1!M593)</f>
        <v>CRIC-嘉兴-市场监测.商品房市场.项目累计.供求.xlsx</v>
      </c>
    </row>
    <row r="605" spans="1:9">
      <c r="A605" t="str">
        <f>IF(VIPcric_1!A594="","",VIPcric_1!A594)</f>
        <v>2023年</v>
      </c>
      <c r="B605">
        <f>IF(VIPcric_1!B594="","",VIPcric_1!B594)</f>
        <v>21791</v>
      </c>
      <c r="C605">
        <f>IF(VIPcric_1!C594="","",VIPcric_1!C594)</f>
        <v>190</v>
      </c>
      <c r="D605">
        <f>IF(VIPcric_1!D594="","",VIPcric_1!D594)</f>
        <v>0</v>
      </c>
      <c r="E605">
        <f>IF(VIPcric_1!E594="","",VIPcric_1!E594)</f>
        <v>0</v>
      </c>
      <c r="F605">
        <f>IF(VIPcric_1!F594="","",VIPcric_1!F594)</f>
        <v>0</v>
      </c>
      <c r="G605">
        <f>IF(VIPcric_1!G594="","",VIPcric_1!G594)</f>
        <v>0</v>
      </c>
      <c r="H605">
        <f>IF(VIPcric_1!H594="","",VIPcric_1!H594)</f>
        <v>0</v>
      </c>
      <c r="I605" t="str">
        <f>IF(VIPcric_1!M594="","",VIPcric_1!M594)</f>
        <v>CRIC-嘉兴-市场监测.商品房市场.项目累计.供求.xlsx</v>
      </c>
    </row>
    <row r="606" spans="1:9">
      <c r="A606" t="str">
        <f>IF(VIPcric_1!A595="","",VIPcric_1!A595)</f>
        <v>2022年</v>
      </c>
      <c r="B606">
        <f>IF(VIPcric_1!B595="","",VIPcric_1!B595)</f>
        <v>1541653</v>
      </c>
      <c r="C606">
        <f>IF(VIPcric_1!C595="","",VIPcric_1!C595)</f>
        <v>11569</v>
      </c>
      <c r="D606">
        <f>IF(VIPcric_1!D595="","",VIPcric_1!D595)</f>
        <v>1369343</v>
      </c>
      <c r="E606">
        <f>IF(VIPcric_1!E595="","",VIPcric_1!E595)</f>
        <v>10407</v>
      </c>
      <c r="F606">
        <f>IF(VIPcric_1!F595="","",VIPcric_1!F595)</f>
        <v>17448</v>
      </c>
      <c r="G606">
        <f>IF(VIPcric_1!G595="","",VIPcric_1!G595)</f>
        <v>23892778403</v>
      </c>
      <c r="H606">
        <f>IF(VIPcric_1!H595="","",VIPcric_1!H595)</f>
        <v>1.1299999999999999</v>
      </c>
      <c r="I606" t="str">
        <f>IF(VIPcric_1!M595="","",VIPcric_1!M595)</f>
        <v>CRIC-嘉兴-市场监测.商品房市场.项目累计.供求.xlsx</v>
      </c>
    </row>
    <row r="607" spans="1:9">
      <c r="A607" t="str">
        <f>IF(VIPcric_1!A596="","",VIPcric_1!A596)</f>
        <v>2021年</v>
      </c>
      <c r="B607">
        <f>IF(VIPcric_1!B596="","",VIPcric_1!B596)</f>
        <v>2110881</v>
      </c>
      <c r="C607">
        <f>IF(VIPcric_1!C596="","",VIPcric_1!C596)</f>
        <v>16149</v>
      </c>
      <c r="D607">
        <f>IF(VIPcric_1!D596="","",VIPcric_1!D596)</f>
        <v>2016666</v>
      </c>
      <c r="E607">
        <f>IF(VIPcric_1!E596="","",VIPcric_1!E596)</f>
        <v>16847</v>
      </c>
      <c r="F607">
        <f>IF(VIPcric_1!F596="","",VIPcric_1!F596)</f>
        <v>14604</v>
      </c>
      <c r="G607">
        <f>IF(VIPcric_1!G596="","",VIPcric_1!G596)</f>
        <v>29451034393</v>
      </c>
      <c r="H607">
        <f>IF(VIPcric_1!H596="","",VIPcric_1!H596)</f>
        <v>1.05</v>
      </c>
      <c r="I607" t="str">
        <f>IF(VIPcric_1!M596="","",VIPcric_1!M596)</f>
        <v>CRIC-嘉兴-市场监测.商品房市场.项目累计.供求.xlsx</v>
      </c>
    </row>
    <row r="608" spans="1:9">
      <c r="A608" t="str">
        <f>IF(VIPcric_1!A597="","",VIPcric_1!A597)</f>
        <v>2020年</v>
      </c>
      <c r="B608">
        <f>IF(VIPcric_1!B597="","",VIPcric_1!B597)</f>
        <v>2637358</v>
      </c>
      <c r="C608">
        <f>IF(VIPcric_1!C597="","",VIPcric_1!C597)</f>
        <v>23565</v>
      </c>
      <c r="D608">
        <f>IF(VIPcric_1!D597="","",VIPcric_1!D597)</f>
        <v>1470764</v>
      </c>
      <c r="E608">
        <f>IF(VIPcric_1!E597="","",VIPcric_1!E597)</f>
        <v>13024</v>
      </c>
      <c r="F608">
        <f>IF(VIPcric_1!F597="","",VIPcric_1!F597)</f>
        <v>14280</v>
      </c>
      <c r="G608">
        <f>IF(VIPcric_1!G597="","",VIPcric_1!G597)</f>
        <v>21001891406</v>
      </c>
      <c r="H608">
        <f>IF(VIPcric_1!H597="","",VIPcric_1!H597)</f>
        <v>1.79</v>
      </c>
      <c r="I608" t="str">
        <f>IF(VIPcric_1!M597="","",VIPcric_1!M597)</f>
        <v>CRIC-嘉兴-市场监测.商品房市场.项目累计.供求.xlsx</v>
      </c>
    </row>
    <row r="609" spans="1:9">
      <c r="A609" t="str">
        <f>IF(VIPcric_1!A598="","",VIPcric_1!A598)</f>
        <v>2019年</v>
      </c>
      <c r="B609">
        <f>IF(VIPcric_1!B598="","",VIPcric_1!B598)</f>
        <v>2749592</v>
      </c>
      <c r="C609">
        <f>IF(VIPcric_1!C598="","",VIPcric_1!C598)</f>
        <v>23215</v>
      </c>
      <c r="D609">
        <f>IF(VIPcric_1!D598="","",VIPcric_1!D598)</f>
        <v>187924</v>
      </c>
      <c r="E609">
        <f>IF(VIPcric_1!E598="","",VIPcric_1!E598)</f>
        <v>1652</v>
      </c>
      <c r="F609">
        <f>IF(VIPcric_1!F598="","",VIPcric_1!F598)</f>
        <v>13519</v>
      </c>
      <c r="G609">
        <f>IF(VIPcric_1!G598="","",VIPcric_1!G598)</f>
        <v>2540452923</v>
      </c>
      <c r="H609">
        <f>IF(VIPcric_1!H598="","",VIPcric_1!H598)</f>
        <v>14.63</v>
      </c>
      <c r="I609" t="str">
        <f>IF(VIPcric_1!M598="","",VIPcric_1!M598)</f>
        <v>CRIC-嘉兴-市场监测.商品房市场.项目累计.供求.xlsx</v>
      </c>
    </row>
    <row r="610" spans="1:9">
      <c r="A610" t="str">
        <f>IF(VIPcric_1!A599="","",VIPcric_1!A599)</f>
        <v>2018年</v>
      </c>
      <c r="B610">
        <f>IF(VIPcric_1!B599="","",VIPcric_1!B599)</f>
        <v>1834450</v>
      </c>
      <c r="C610">
        <f>IF(VIPcric_1!C599="","",VIPcric_1!C599)</f>
        <v>15854</v>
      </c>
      <c r="D610">
        <f>IF(VIPcric_1!D599="","",VIPcric_1!D599)</f>
        <v>5319</v>
      </c>
      <c r="E610">
        <f>IF(VIPcric_1!E599="","",VIPcric_1!E599)</f>
        <v>40</v>
      </c>
      <c r="F610">
        <f>IF(VIPcric_1!F599="","",VIPcric_1!F599)</f>
        <v>13591</v>
      </c>
      <c r="G610">
        <f>IF(VIPcric_1!G599="","",VIPcric_1!G599)</f>
        <v>72291214</v>
      </c>
      <c r="H610">
        <f>IF(VIPcric_1!H599="","",VIPcric_1!H599)</f>
        <v>344.88</v>
      </c>
      <c r="I610" t="str">
        <f>IF(VIPcric_1!M599="","",VIPcric_1!M599)</f>
        <v>CRIC-嘉兴-市场监测.商品房市场.项目累计.供求.xlsx</v>
      </c>
    </row>
    <row r="611" spans="1:9">
      <c r="A611" t="str">
        <f>IF(VIPcric_1!A600="","",VIPcric_1!A600)</f>
        <v>汇总</v>
      </c>
      <c r="B611">
        <f>IF(VIPcric_1!B600="","",VIPcric_1!B600)</f>
        <v>10895727</v>
      </c>
      <c r="C611">
        <f>IF(VIPcric_1!C600="","",VIPcric_1!C600)</f>
        <v>90542</v>
      </c>
      <c r="D611">
        <f>IF(VIPcric_1!D600="","",VIPcric_1!D600)</f>
        <v>5050016</v>
      </c>
      <c r="E611">
        <f>IF(VIPcric_1!E600="","",VIPcric_1!E600)</f>
        <v>41970</v>
      </c>
      <c r="F611">
        <f>IF(VIPcric_1!F600="","",VIPcric_1!F600)</f>
        <v>15239</v>
      </c>
      <c r="G611">
        <f>IF(VIPcric_1!G600="","",VIPcric_1!G600)</f>
        <v>76958448339</v>
      </c>
      <c r="H611">
        <f>IF(VIPcric_1!H600="","",VIPcric_1!H600)</f>
        <v>2.16</v>
      </c>
      <c r="I611" t="str">
        <f>IF(VIPcric_1!M600="","",VIPcric_1!M600)</f>
        <v>CRIC-嘉兴-市场监测.商品房市场.项目累计.供求.xlsx</v>
      </c>
    </row>
    <row r="612" spans="1:9">
      <c r="A612" t="str">
        <f>IF(VIPcric_1!A601="","",VIPcric_1!A601)</f>
        <v/>
      </c>
      <c r="B612" t="str">
        <f>IF(VIPcric_1!B601="","",VIPcric_1!B601)</f>
        <v/>
      </c>
      <c r="C612" t="str">
        <f>IF(VIPcric_1!C601="","",VIPcric_1!C601)</f>
        <v/>
      </c>
      <c r="D612" t="str">
        <f>IF(VIPcric_1!D601="","",VIPcric_1!D601)</f>
        <v/>
      </c>
      <c r="E612" t="str">
        <f>IF(VIPcric_1!E601="","",VIPcric_1!E601)</f>
        <v/>
      </c>
      <c r="F612" t="str">
        <f>IF(VIPcric_1!F601="","",VIPcric_1!F601)</f>
        <v/>
      </c>
      <c r="G612" t="str">
        <f>IF(VIPcric_1!G601="","",VIPcric_1!G601)</f>
        <v/>
      </c>
      <c r="H612" t="str">
        <f>IF(VIPcric_1!H601="","",VIPcric_1!H601)</f>
        <v/>
      </c>
      <c r="I612" t="str">
        <f>IF(VIPcric_1!M601="","",VIPcric_1!M601)</f>
        <v/>
      </c>
    </row>
    <row r="613" spans="1:9">
      <c r="A613" t="str">
        <f>IF(VIPcric_1!A602="","",VIPcric_1!A602)</f>
        <v/>
      </c>
      <c r="B613" t="str">
        <f>IF(VIPcric_1!B602="","",VIPcric_1!B602)</f>
        <v/>
      </c>
      <c r="C613" t="str">
        <f>IF(VIPcric_1!C602="","",VIPcric_1!C602)</f>
        <v/>
      </c>
      <c r="D613" t="str">
        <f>IF(VIPcric_1!D602="","",VIPcric_1!D602)</f>
        <v/>
      </c>
      <c r="E613" t="str">
        <f>IF(VIPcric_1!E602="","",VIPcric_1!E602)</f>
        <v/>
      </c>
      <c r="F613" t="str">
        <f>IF(VIPcric_1!F602="","",VIPcric_1!F602)</f>
        <v/>
      </c>
      <c r="G613" t="str">
        <f>IF(VIPcric_1!G602="","",VIPcric_1!G602)</f>
        <v/>
      </c>
      <c r="H613" t="str">
        <f>IF(VIPcric_1!H602="","",VIPcric_1!H602)</f>
        <v/>
      </c>
      <c r="I613" t="str">
        <f>IF(VIPcric_1!M602="","",VIPcric_1!M602)</f>
        <v>CRIC-嘉兴-市场监测.商品房市场.项目累计.库存.xlsx</v>
      </c>
    </row>
    <row r="614" spans="1:9">
      <c r="A614" t="str">
        <f>IF(VIPcric_1!A603="","",VIPcric_1!A603)</f>
        <v>时间(年)</v>
      </c>
      <c r="B614" t="str">
        <f>IF(VIPcric_1!B603="","",VIPcric_1!B603)</f>
        <v>库存面积(㎡)</v>
      </c>
      <c r="C614" t="str">
        <f>IF(VIPcric_1!C603="","",VIPcric_1!C603)</f>
        <v>库存套数(套)</v>
      </c>
      <c r="D614" t="str">
        <f>IF(VIPcric_1!D603="","",VIPcric_1!D603)</f>
        <v>去化周期12'(月)</v>
      </c>
      <c r="E614" t="str">
        <f>IF(VIPcric_1!E603="","",VIPcric_1!E603)</f>
        <v/>
      </c>
      <c r="F614" t="str">
        <f>IF(VIPcric_1!F603="","",VIPcric_1!F603)</f>
        <v/>
      </c>
      <c r="G614" t="str">
        <f>IF(VIPcric_1!G603="","",VIPcric_1!G603)</f>
        <v/>
      </c>
      <c r="H614" t="str">
        <f>IF(VIPcric_1!H603="","",VIPcric_1!H603)</f>
        <v/>
      </c>
      <c r="I614" t="str">
        <f>IF(VIPcric_1!M603="","",VIPcric_1!M603)</f>
        <v>CRIC-嘉兴-市场监测.商品房市场.项目累计.库存.xlsx</v>
      </c>
    </row>
    <row r="615" spans="1:9">
      <c r="A615" t="str">
        <f>IF(VIPcric_1!A604="","",VIPcric_1!A604)</f>
        <v>2022年</v>
      </c>
      <c r="B615">
        <f>IF(VIPcric_1!B604="","",VIPcric_1!B604)</f>
        <v>1660982</v>
      </c>
      <c r="C615">
        <f>IF(VIPcric_1!C604="","",VIPcric_1!C604)</f>
        <v>13195</v>
      </c>
      <c r="D615">
        <f>IF(VIPcric_1!D604="","",VIPcric_1!D604)</f>
        <v>14.6</v>
      </c>
      <c r="E615" t="str">
        <f>IF(VIPcric_1!E604="","",VIPcric_1!E604)</f>
        <v/>
      </c>
      <c r="F615" t="str">
        <f>IF(VIPcric_1!F604="","",VIPcric_1!F604)</f>
        <v/>
      </c>
      <c r="G615" t="str">
        <f>IF(VIPcric_1!G604="","",VIPcric_1!G604)</f>
        <v/>
      </c>
      <c r="H615" t="str">
        <f>IF(VIPcric_1!H604="","",VIPcric_1!H604)</f>
        <v/>
      </c>
      <c r="I615" t="str">
        <f>IF(VIPcric_1!M604="","",VIPcric_1!M604)</f>
        <v>CRIC-嘉兴-市场监测.商品房市场.项目累计.库存.xlsx</v>
      </c>
    </row>
    <row r="616" spans="1:9">
      <c r="A616" t="str">
        <f>IF(VIPcric_1!A605="","",VIPcric_1!A605)</f>
        <v>2021年</v>
      </c>
      <c r="B616">
        <f>IF(VIPcric_1!B605="","",VIPcric_1!B605)</f>
        <v>1576122</v>
      </c>
      <c r="C616">
        <f>IF(VIPcric_1!C605="","",VIPcric_1!C605)</f>
        <v>13194</v>
      </c>
      <c r="D616">
        <f>IF(VIPcric_1!D605="","",VIPcric_1!D605)</f>
        <v>9.4</v>
      </c>
      <c r="E616" t="str">
        <f>IF(VIPcric_1!E605="","",VIPcric_1!E605)</f>
        <v/>
      </c>
      <c r="F616" t="str">
        <f>IF(VIPcric_1!F605="","",VIPcric_1!F605)</f>
        <v/>
      </c>
      <c r="G616" t="str">
        <f>IF(VIPcric_1!G605="","",VIPcric_1!G605)</f>
        <v/>
      </c>
      <c r="H616" t="str">
        <f>IF(VIPcric_1!H605="","",VIPcric_1!H605)</f>
        <v/>
      </c>
      <c r="I616" t="str">
        <f>IF(VIPcric_1!M605="","",VIPcric_1!M605)</f>
        <v>CRIC-嘉兴-市场监测.商品房市场.项目累计.库存.xlsx</v>
      </c>
    </row>
    <row r="617" spans="1:9">
      <c r="A617" t="str">
        <f>IF(VIPcric_1!A606="","",VIPcric_1!A606)</f>
        <v>2020年</v>
      </c>
      <c r="B617">
        <f>IF(VIPcric_1!B606="","",VIPcric_1!B606)</f>
        <v>1134308</v>
      </c>
      <c r="C617">
        <f>IF(VIPcric_1!C606="","",VIPcric_1!C606)</f>
        <v>10777</v>
      </c>
      <c r="D617">
        <f>IF(VIPcric_1!D606="","",VIPcric_1!D606)</f>
        <v>9.3000000000000007</v>
      </c>
      <c r="E617" t="str">
        <f>IF(VIPcric_1!E606="","",VIPcric_1!E606)</f>
        <v/>
      </c>
      <c r="F617" t="str">
        <f>IF(VIPcric_1!F606="","",VIPcric_1!F606)</f>
        <v/>
      </c>
      <c r="G617" t="str">
        <f>IF(VIPcric_1!G606="","",VIPcric_1!G606)</f>
        <v/>
      </c>
      <c r="H617" t="str">
        <f>IF(VIPcric_1!H606="","",VIPcric_1!H606)</f>
        <v/>
      </c>
      <c r="I617" t="str">
        <f>IF(VIPcric_1!M606="","",VIPcric_1!M606)</f>
        <v>CRIC-嘉兴-市场监测.商品房市场.项目累计.库存.xlsx</v>
      </c>
    </row>
    <row r="618" spans="1:9">
      <c r="A618" t="str">
        <f>IF(VIPcric_1!A607="","",VIPcric_1!A607)</f>
        <v/>
      </c>
      <c r="B618" t="str">
        <f>IF(VIPcric_1!B607="","",VIPcric_1!B607)</f>
        <v/>
      </c>
      <c r="C618" t="str">
        <f>IF(VIPcric_1!C607="","",VIPcric_1!C607)</f>
        <v/>
      </c>
      <c r="D618" t="str">
        <f>IF(VIPcric_1!D607="","",VIPcric_1!D607)</f>
        <v/>
      </c>
      <c r="E618" t="str">
        <f>IF(VIPcric_1!E607="","",VIPcric_1!E607)</f>
        <v/>
      </c>
      <c r="F618" t="str">
        <f>IF(VIPcric_1!F607="","",VIPcric_1!F607)</f>
        <v/>
      </c>
      <c r="G618" t="str">
        <f>IF(VIPcric_1!G607="","",VIPcric_1!G607)</f>
        <v/>
      </c>
      <c r="H618" t="str">
        <f>IF(VIPcric_1!H607="","",VIPcric_1!H607)</f>
        <v/>
      </c>
      <c r="I618" t="str">
        <f>IF(VIPcric_1!M607="","",VIPcric_1!M607)</f>
        <v/>
      </c>
    </row>
    <row r="619" spans="1:9">
      <c r="A619" t="str">
        <f>IF(VIPcric_1!A608="","",VIPcric_1!A608)</f>
        <v/>
      </c>
      <c r="B619" t="str">
        <f>IF(VIPcric_1!B608="","",VIPcric_1!B608)</f>
        <v/>
      </c>
      <c r="C619" t="str">
        <f>IF(VIPcric_1!C608="","",VIPcric_1!C608)</f>
        <v/>
      </c>
      <c r="D619" t="str">
        <f>IF(VIPcric_1!D608="","",VIPcric_1!D608)</f>
        <v/>
      </c>
      <c r="E619" t="str">
        <f>IF(VIPcric_1!E608="","",VIPcric_1!E608)</f>
        <v/>
      </c>
      <c r="F619" t="str">
        <f>IF(VIPcric_1!F608="","",VIPcric_1!F608)</f>
        <v/>
      </c>
      <c r="G619" t="str">
        <f>IF(VIPcric_1!G608="","",VIPcric_1!G608)</f>
        <v/>
      </c>
      <c r="H619" t="str">
        <f>IF(VIPcric_1!H608="","",VIPcric_1!H608)</f>
        <v/>
      </c>
      <c r="I619" t="str">
        <f>IF(VIPcric_1!M608="","",VIPcric_1!M608)</f>
        <v>CRIC-嘉善-市场监测.商品房市场.项目累计.供求.xlsx</v>
      </c>
    </row>
    <row r="620" spans="1:9">
      <c r="A620" t="str">
        <f>IF(VIPcric_1!A609="","",VIPcric_1!A609)</f>
        <v>时间(年)</v>
      </c>
      <c r="B620" t="str">
        <f>IF(VIPcric_1!B609="","",VIPcric_1!B609)</f>
        <v>供应面积(㎡)</v>
      </c>
      <c r="C620" t="str">
        <f>IF(VIPcric_1!C609="","",VIPcric_1!C609)</f>
        <v>供应套数(套)</v>
      </c>
      <c r="D620" t="str">
        <f>IF(VIPcric_1!D609="","",VIPcric_1!D609)</f>
        <v>成交面积(㎡)</v>
      </c>
      <c r="E620" t="str">
        <f>IF(VIPcric_1!E609="","",VIPcric_1!E609)</f>
        <v>成交套数(套)</v>
      </c>
      <c r="F620" t="str">
        <f>IF(VIPcric_1!F609="","",VIPcric_1!F609)</f>
        <v>成交均价(元/㎡)</v>
      </c>
      <c r="G620" t="str">
        <f>IF(VIPcric_1!G609="","",VIPcric_1!G609)</f>
        <v>成交金额(元)</v>
      </c>
      <c r="H620" t="str">
        <f>IF(VIPcric_1!H609="","",VIPcric_1!H609)</f>
        <v>供求比</v>
      </c>
      <c r="I620" t="str">
        <f>IF(VIPcric_1!M609="","",VIPcric_1!M609)</f>
        <v>CRIC-嘉善-市场监测.商品房市场.项目累计.供求.xlsx</v>
      </c>
    </row>
    <row r="621" spans="1:9">
      <c r="A621" t="str">
        <f>IF(VIPcric_1!A610="","",VIPcric_1!A610)</f>
        <v>2024年</v>
      </c>
      <c r="B621">
        <f>IF(VIPcric_1!B610="","",VIPcric_1!B610)</f>
        <v>0</v>
      </c>
      <c r="C621">
        <f>IF(VIPcric_1!C610="","",VIPcric_1!C610)</f>
        <v>0</v>
      </c>
      <c r="D621">
        <f>IF(VIPcric_1!D610="","",VIPcric_1!D610)</f>
        <v>12093</v>
      </c>
      <c r="E621">
        <f>IF(VIPcric_1!E610="","",VIPcric_1!E610)</f>
        <v>108</v>
      </c>
      <c r="F621">
        <f>IF(VIPcric_1!F610="","",VIPcric_1!F610)</f>
        <v>15044</v>
      </c>
      <c r="G621">
        <f>IF(VIPcric_1!G610="","",VIPcric_1!G610)</f>
        <v>181916637</v>
      </c>
      <c r="H621">
        <f>IF(VIPcric_1!H610="","",VIPcric_1!H610)</f>
        <v>0</v>
      </c>
      <c r="I621" t="str">
        <f>IF(VIPcric_1!M610="","",VIPcric_1!M610)</f>
        <v>CRIC-嘉善-市场监测.商品房市场.项目累计.供求.xlsx</v>
      </c>
    </row>
    <row r="622" spans="1:9">
      <c r="A622" t="str">
        <f>IF(VIPcric_1!A611="","",VIPcric_1!A611)</f>
        <v>2023年</v>
      </c>
      <c r="B622">
        <f>IF(VIPcric_1!B611="","",VIPcric_1!B611)</f>
        <v>184485</v>
      </c>
      <c r="C622">
        <f>IF(VIPcric_1!C611="","",VIPcric_1!C611)</f>
        <v>1692</v>
      </c>
      <c r="D622">
        <f>IF(VIPcric_1!D611="","",VIPcric_1!D611)</f>
        <v>359872</v>
      </c>
      <c r="E622">
        <f>IF(VIPcric_1!E611="","",VIPcric_1!E611)</f>
        <v>3462</v>
      </c>
      <c r="F622">
        <f>IF(VIPcric_1!F611="","",VIPcric_1!F611)</f>
        <v>19253</v>
      </c>
      <c r="G622">
        <f>IF(VIPcric_1!G611="","",VIPcric_1!G611)</f>
        <v>6928519578</v>
      </c>
      <c r="H622">
        <f>IF(VIPcric_1!H611="","",VIPcric_1!H611)</f>
        <v>0.51</v>
      </c>
      <c r="I622" t="str">
        <f>IF(VIPcric_1!M611="","",VIPcric_1!M611)</f>
        <v>CRIC-嘉善-市场监测.商品房市场.项目累计.供求.xlsx</v>
      </c>
    </row>
    <row r="623" spans="1:9">
      <c r="A623" t="str">
        <f>IF(VIPcric_1!A612="","",VIPcric_1!A612)</f>
        <v>2022年</v>
      </c>
      <c r="B623">
        <f>IF(VIPcric_1!B612="","",VIPcric_1!B612)</f>
        <v>512722</v>
      </c>
      <c r="C623">
        <f>IF(VIPcric_1!C612="","",VIPcric_1!C612)</f>
        <v>4644</v>
      </c>
      <c r="D623">
        <f>IF(VIPcric_1!D612="","",VIPcric_1!D612)</f>
        <v>309643</v>
      </c>
      <c r="E623">
        <f>IF(VIPcric_1!E612="","",VIPcric_1!E612)</f>
        <v>2974</v>
      </c>
      <c r="F623">
        <f>IF(VIPcric_1!F612="","",VIPcric_1!F612)</f>
        <v>18815</v>
      </c>
      <c r="G623">
        <f>IF(VIPcric_1!G612="","",VIPcric_1!G612)</f>
        <v>5826046493</v>
      </c>
      <c r="H623">
        <f>IF(VIPcric_1!H612="","",VIPcric_1!H612)</f>
        <v>1.66</v>
      </c>
      <c r="I623" t="str">
        <f>IF(VIPcric_1!M612="","",VIPcric_1!M612)</f>
        <v>CRIC-嘉善-市场监测.商品房市场.项目累计.供求.xlsx</v>
      </c>
    </row>
    <row r="624" spans="1:9">
      <c r="A624" t="str">
        <f>IF(VIPcric_1!A613="","",VIPcric_1!A613)</f>
        <v>2021年</v>
      </c>
      <c r="B624">
        <f>IF(VIPcric_1!B613="","",VIPcric_1!B613)</f>
        <v>716302</v>
      </c>
      <c r="C624">
        <f>IF(VIPcric_1!C613="","",VIPcric_1!C613)</f>
        <v>8180</v>
      </c>
      <c r="D624">
        <f>IF(VIPcric_1!D613="","",VIPcric_1!D613)</f>
        <v>0</v>
      </c>
      <c r="E624">
        <f>IF(VIPcric_1!E613="","",VIPcric_1!E613)</f>
        <v>0</v>
      </c>
      <c r="F624">
        <f>IF(VIPcric_1!F613="","",VIPcric_1!F613)</f>
        <v>0</v>
      </c>
      <c r="G624">
        <f>IF(VIPcric_1!G613="","",VIPcric_1!G613)</f>
        <v>0</v>
      </c>
      <c r="H624">
        <f>IF(VIPcric_1!H613="","",VIPcric_1!H613)</f>
        <v>0</v>
      </c>
      <c r="I624" t="str">
        <f>IF(VIPcric_1!M613="","",VIPcric_1!M613)</f>
        <v>CRIC-嘉善-市场监测.商品房市场.项目累计.供求.xlsx</v>
      </c>
    </row>
    <row r="625" spans="1:9">
      <c r="A625" t="str">
        <f>IF(VIPcric_1!A614="","",VIPcric_1!A614)</f>
        <v>2020年</v>
      </c>
      <c r="B625">
        <f>IF(VIPcric_1!B614="","",VIPcric_1!B614)</f>
        <v>1134322</v>
      </c>
      <c r="C625">
        <f>IF(VIPcric_1!C614="","",VIPcric_1!C614)</f>
        <v>12524</v>
      </c>
      <c r="D625">
        <f>IF(VIPcric_1!D614="","",VIPcric_1!D614)</f>
        <v>0</v>
      </c>
      <c r="E625">
        <f>IF(VIPcric_1!E614="","",VIPcric_1!E614)</f>
        <v>0</v>
      </c>
      <c r="F625">
        <f>IF(VIPcric_1!F614="","",VIPcric_1!F614)</f>
        <v>0</v>
      </c>
      <c r="G625">
        <f>IF(VIPcric_1!G614="","",VIPcric_1!G614)</f>
        <v>0</v>
      </c>
      <c r="H625">
        <f>IF(VIPcric_1!H614="","",VIPcric_1!H614)</f>
        <v>0</v>
      </c>
      <c r="I625" t="str">
        <f>IF(VIPcric_1!M614="","",VIPcric_1!M614)</f>
        <v>CRIC-嘉善-市场监测.商品房市场.项目累计.供求.xlsx</v>
      </c>
    </row>
    <row r="626" spans="1:9">
      <c r="A626" t="str">
        <f>IF(VIPcric_1!A615="","",VIPcric_1!A615)</f>
        <v>2019年</v>
      </c>
      <c r="B626">
        <f>IF(VIPcric_1!B615="","",VIPcric_1!B615)</f>
        <v>1096910</v>
      </c>
      <c r="C626">
        <f>IF(VIPcric_1!C615="","",VIPcric_1!C615)</f>
        <v>12425</v>
      </c>
      <c r="D626">
        <f>IF(VIPcric_1!D615="","",VIPcric_1!D615)</f>
        <v>0</v>
      </c>
      <c r="E626">
        <f>IF(VIPcric_1!E615="","",VIPcric_1!E615)</f>
        <v>0</v>
      </c>
      <c r="F626">
        <f>IF(VIPcric_1!F615="","",VIPcric_1!F615)</f>
        <v>0</v>
      </c>
      <c r="G626">
        <f>IF(VIPcric_1!G615="","",VIPcric_1!G615)</f>
        <v>0</v>
      </c>
      <c r="H626">
        <f>IF(VIPcric_1!H615="","",VIPcric_1!H615)</f>
        <v>0</v>
      </c>
      <c r="I626" t="str">
        <f>IF(VIPcric_1!M615="","",VIPcric_1!M615)</f>
        <v>CRIC-嘉善-市场监测.商品房市场.项目累计.供求.xlsx</v>
      </c>
    </row>
    <row r="627" spans="1:9">
      <c r="A627" t="str">
        <f>IF(VIPcric_1!A616="","",VIPcric_1!A616)</f>
        <v>汇总</v>
      </c>
      <c r="B627">
        <f>IF(VIPcric_1!B616="","",VIPcric_1!B616)</f>
        <v>3644741</v>
      </c>
      <c r="C627">
        <f>IF(VIPcric_1!C616="","",VIPcric_1!C616)</f>
        <v>39465</v>
      </c>
      <c r="D627">
        <f>IF(VIPcric_1!D616="","",VIPcric_1!D616)</f>
        <v>681607</v>
      </c>
      <c r="E627">
        <f>IF(VIPcric_1!E616="","",VIPcric_1!E616)</f>
        <v>6544</v>
      </c>
      <c r="F627">
        <f>IF(VIPcric_1!F616="","",VIPcric_1!F616)</f>
        <v>18979</v>
      </c>
      <c r="G627">
        <f>IF(VIPcric_1!G616="","",VIPcric_1!G616)</f>
        <v>12936482708</v>
      </c>
      <c r="H627">
        <f>IF(VIPcric_1!H616="","",VIPcric_1!H616)</f>
        <v>5.35</v>
      </c>
      <c r="I627" t="str">
        <f>IF(VIPcric_1!M616="","",VIPcric_1!M616)</f>
        <v>CRIC-嘉善-市场监测.商品房市场.项目累计.供求.xlsx</v>
      </c>
    </row>
    <row r="628" spans="1:9">
      <c r="A628" t="str">
        <f>IF(VIPcric_1!A617="","",VIPcric_1!A617)</f>
        <v/>
      </c>
      <c r="B628" t="str">
        <f>IF(VIPcric_1!B617="","",VIPcric_1!B617)</f>
        <v/>
      </c>
      <c r="C628" t="str">
        <f>IF(VIPcric_1!C617="","",VIPcric_1!C617)</f>
        <v/>
      </c>
      <c r="D628" t="str">
        <f>IF(VIPcric_1!D617="","",VIPcric_1!D617)</f>
        <v/>
      </c>
      <c r="E628" t="str">
        <f>IF(VIPcric_1!E617="","",VIPcric_1!E617)</f>
        <v/>
      </c>
      <c r="F628" t="str">
        <f>IF(VIPcric_1!F617="","",VIPcric_1!F617)</f>
        <v/>
      </c>
      <c r="G628" t="str">
        <f>IF(VIPcric_1!G617="","",VIPcric_1!G617)</f>
        <v/>
      </c>
      <c r="H628" t="str">
        <f>IF(VIPcric_1!H617="","",VIPcric_1!H617)</f>
        <v/>
      </c>
      <c r="I628" t="str">
        <f>IF(VIPcric_1!M617="","",VIPcric_1!M617)</f>
        <v/>
      </c>
    </row>
    <row r="629" spans="1:9">
      <c r="A629" t="str">
        <f>IF(VIPcric_1!A618="","",VIPcric_1!A618)</f>
        <v/>
      </c>
      <c r="B629" t="str">
        <f>IF(VIPcric_1!B618="","",VIPcric_1!B618)</f>
        <v/>
      </c>
      <c r="C629" t="str">
        <f>IF(VIPcric_1!C618="","",VIPcric_1!C618)</f>
        <v/>
      </c>
      <c r="D629" t="str">
        <f>IF(VIPcric_1!D618="","",VIPcric_1!D618)</f>
        <v/>
      </c>
      <c r="E629" t="str">
        <f>IF(VIPcric_1!E618="","",VIPcric_1!E618)</f>
        <v/>
      </c>
      <c r="F629" t="str">
        <f>IF(VIPcric_1!F618="","",VIPcric_1!F618)</f>
        <v/>
      </c>
      <c r="G629" t="str">
        <f>IF(VIPcric_1!G618="","",VIPcric_1!G618)</f>
        <v/>
      </c>
      <c r="H629" t="str">
        <f>IF(VIPcric_1!H618="","",VIPcric_1!H618)</f>
        <v/>
      </c>
      <c r="I629" t="str">
        <f>IF(VIPcric_1!M618="","",VIPcric_1!M618)</f>
        <v>CRIC-嘉善-市场监测.商品房市场.项目累计.库存.xlsx</v>
      </c>
    </row>
    <row r="630" spans="1:9">
      <c r="A630" t="str">
        <f>IF(VIPcric_1!A619="","",VIPcric_1!A619)</f>
        <v>时间(年)</v>
      </c>
      <c r="B630" t="str">
        <f>IF(VIPcric_1!B619="","",VIPcric_1!B619)</f>
        <v>库存面积(㎡)</v>
      </c>
      <c r="C630" t="str">
        <f>IF(VIPcric_1!C619="","",VIPcric_1!C619)</f>
        <v>库存套数(套)</v>
      </c>
      <c r="D630" t="str">
        <f>IF(VIPcric_1!D619="","",VIPcric_1!D619)</f>
        <v>去化周期12'(月)</v>
      </c>
      <c r="E630" t="str">
        <f>IF(VIPcric_1!E619="","",VIPcric_1!E619)</f>
        <v/>
      </c>
      <c r="F630" t="str">
        <f>IF(VIPcric_1!F619="","",VIPcric_1!F619)</f>
        <v/>
      </c>
      <c r="G630" t="str">
        <f>IF(VIPcric_1!G619="","",VIPcric_1!G619)</f>
        <v/>
      </c>
      <c r="H630" t="str">
        <f>IF(VIPcric_1!H619="","",VIPcric_1!H619)</f>
        <v/>
      </c>
      <c r="I630" t="str">
        <f>IF(VIPcric_1!M619="","",VIPcric_1!M619)</f>
        <v>CRIC-嘉善-市场监测.商品房市场.项目累计.库存.xlsx</v>
      </c>
    </row>
    <row r="631" spans="1:9">
      <c r="A631" t="str">
        <f>IF(VIPcric_1!A620="","",VIPcric_1!A620)</f>
        <v>2024年</v>
      </c>
      <c r="B631">
        <f>IF(VIPcric_1!B620="","",VIPcric_1!B620)</f>
        <v>565650</v>
      </c>
      <c r="C631">
        <f>IF(VIPcric_1!C620="","",VIPcric_1!C620)</f>
        <v>5773</v>
      </c>
      <c r="D631">
        <f>IF(VIPcric_1!D620="","",VIPcric_1!D620)</f>
        <v>21.2</v>
      </c>
      <c r="E631" t="str">
        <f>IF(VIPcric_1!E620="","",VIPcric_1!E620)</f>
        <v/>
      </c>
      <c r="F631" t="str">
        <f>IF(VIPcric_1!F620="","",VIPcric_1!F620)</f>
        <v/>
      </c>
      <c r="G631" t="str">
        <f>IF(VIPcric_1!G620="","",VIPcric_1!G620)</f>
        <v/>
      </c>
      <c r="H631" t="str">
        <f>IF(VIPcric_1!H620="","",VIPcric_1!H620)</f>
        <v/>
      </c>
      <c r="I631" t="str">
        <f>IF(VIPcric_1!M620="","",VIPcric_1!M620)</f>
        <v>CRIC-嘉善-市场监测.商品房市场.项目累计.库存.xlsx</v>
      </c>
    </row>
    <row r="632" spans="1:9">
      <c r="A632" t="str">
        <f>IF(VIPcric_1!A621="","",VIPcric_1!A621)</f>
        <v>2023年</v>
      </c>
      <c r="B632">
        <f>IF(VIPcric_1!B621="","",VIPcric_1!B621)</f>
        <v>574259</v>
      </c>
      <c r="C632">
        <f>IF(VIPcric_1!C621="","",VIPcric_1!C621)</f>
        <v>5848</v>
      </c>
      <c r="D632">
        <f>IF(VIPcric_1!D621="","",VIPcric_1!D621)</f>
        <v>19.100000000000001</v>
      </c>
      <c r="E632" t="str">
        <f>IF(VIPcric_1!E621="","",VIPcric_1!E621)</f>
        <v/>
      </c>
      <c r="F632" t="str">
        <f>IF(VIPcric_1!F621="","",VIPcric_1!F621)</f>
        <v/>
      </c>
      <c r="G632" t="str">
        <f>IF(VIPcric_1!G621="","",VIPcric_1!G621)</f>
        <v/>
      </c>
      <c r="H632" t="str">
        <f>IF(VIPcric_1!H621="","",VIPcric_1!H621)</f>
        <v/>
      </c>
      <c r="I632" t="str">
        <f>IF(VIPcric_1!M621="","",VIPcric_1!M621)</f>
        <v>CRIC-嘉善-市场监测.商品房市场.项目累计.库存.xlsx</v>
      </c>
    </row>
    <row r="633" spans="1:9">
      <c r="A633" t="str">
        <f>IF(VIPcric_1!A622="","",VIPcric_1!A622)</f>
        <v>2022年</v>
      </c>
      <c r="B633">
        <f>IF(VIPcric_1!B622="","",VIPcric_1!B622)</f>
        <v>650508</v>
      </c>
      <c r="C633">
        <f>IF(VIPcric_1!C622="","",VIPcric_1!C622)</f>
        <v>6623</v>
      </c>
      <c r="D633">
        <f>IF(VIPcric_1!D622="","",VIPcric_1!D622)</f>
        <v>25.2</v>
      </c>
      <c r="E633" t="str">
        <f>IF(VIPcric_1!E622="","",VIPcric_1!E622)</f>
        <v/>
      </c>
      <c r="F633" t="str">
        <f>IF(VIPcric_1!F622="","",VIPcric_1!F622)</f>
        <v/>
      </c>
      <c r="G633" t="str">
        <f>IF(VIPcric_1!G622="","",VIPcric_1!G622)</f>
        <v/>
      </c>
      <c r="H633" t="str">
        <f>IF(VIPcric_1!H622="","",VIPcric_1!H622)</f>
        <v/>
      </c>
      <c r="I633" t="str">
        <f>IF(VIPcric_1!M622="","",VIPcric_1!M622)</f>
        <v>CRIC-嘉善-市场监测.商品房市场.项目累计.库存.xlsx</v>
      </c>
    </row>
    <row r="634" spans="1:9">
      <c r="A634" t="str">
        <f>IF(VIPcric_1!A623="","",VIPcric_1!A623)</f>
        <v>2021年</v>
      </c>
      <c r="B634">
        <f>IF(VIPcric_1!B623="","",VIPcric_1!B623)</f>
        <v>0</v>
      </c>
      <c r="C634">
        <f>IF(VIPcric_1!C623="","",VIPcric_1!C623)</f>
        <v>0</v>
      </c>
      <c r="D634">
        <f>IF(VIPcric_1!D623="","",VIPcric_1!D623)</f>
        <v>0</v>
      </c>
      <c r="E634" t="str">
        <f>IF(VIPcric_1!E623="","",VIPcric_1!E623)</f>
        <v/>
      </c>
      <c r="F634" t="str">
        <f>IF(VIPcric_1!F623="","",VIPcric_1!F623)</f>
        <v/>
      </c>
      <c r="G634" t="str">
        <f>IF(VIPcric_1!G623="","",VIPcric_1!G623)</f>
        <v/>
      </c>
      <c r="H634" t="str">
        <f>IF(VIPcric_1!H623="","",VIPcric_1!H623)</f>
        <v/>
      </c>
      <c r="I634" t="str">
        <f>IF(VIPcric_1!M623="","",VIPcric_1!M623)</f>
        <v>CRIC-嘉善-市场监测.商品房市场.项目累计.库存.xlsx</v>
      </c>
    </row>
    <row r="635" spans="1:9">
      <c r="A635" t="str">
        <f>IF(VIPcric_1!A624="","",VIPcric_1!A624)</f>
        <v>2020年</v>
      </c>
      <c r="B635">
        <f>IF(VIPcric_1!B624="","",VIPcric_1!B624)</f>
        <v>0</v>
      </c>
      <c r="C635">
        <f>IF(VIPcric_1!C624="","",VIPcric_1!C624)</f>
        <v>0</v>
      </c>
      <c r="D635">
        <f>IF(VIPcric_1!D624="","",VIPcric_1!D624)</f>
        <v>0</v>
      </c>
      <c r="E635" t="str">
        <f>IF(VIPcric_1!E624="","",VIPcric_1!E624)</f>
        <v/>
      </c>
      <c r="F635" t="str">
        <f>IF(VIPcric_1!F624="","",VIPcric_1!F624)</f>
        <v/>
      </c>
      <c r="G635" t="str">
        <f>IF(VIPcric_1!G624="","",VIPcric_1!G624)</f>
        <v/>
      </c>
      <c r="H635" t="str">
        <f>IF(VIPcric_1!H624="","",VIPcric_1!H624)</f>
        <v/>
      </c>
      <c r="I635" t="str">
        <f>IF(VIPcric_1!M624="","",VIPcric_1!M624)</f>
        <v>CRIC-嘉善-市场监测.商品房市场.项目累计.库存.xlsx</v>
      </c>
    </row>
    <row r="636" spans="1:9">
      <c r="A636" t="str">
        <f>IF(VIPcric_1!A625="","",VIPcric_1!A625)</f>
        <v>2019年</v>
      </c>
      <c r="B636">
        <f>IF(VIPcric_1!B625="","",VIPcric_1!B625)</f>
        <v>0</v>
      </c>
      <c r="C636">
        <f>IF(VIPcric_1!C625="","",VIPcric_1!C625)</f>
        <v>0</v>
      </c>
      <c r="D636">
        <f>IF(VIPcric_1!D625="","",VIPcric_1!D625)</f>
        <v>0</v>
      </c>
      <c r="E636" t="str">
        <f>IF(VIPcric_1!E625="","",VIPcric_1!E625)</f>
        <v/>
      </c>
      <c r="F636" t="str">
        <f>IF(VIPcric_1!F625="","",VIPcric_1!F625)</f>
        <v/>
      </c>
      <c r="G636" t="str">
        <f>IF(VIPcric_1!G625="","",VIPcric_1!G625)</f>
        <v/>
      </c>
      <c r="H636" t="str">
        <f>IF(VIPcric_1!H625="","",VIPcric_1!H625)</f>
        <v/>
      </c>
      <c r="I636" t="str">
        <f>IF(VIPcric_1!M625="","",VIPcric_1!M625)</f>
        <v>CRIC-嘉善-市场监测.商品房市场.项目累计.库存.xlsx</v>
      </c>
    </row>
    <row r="637" spans="1:9">
      <c r="A637" t="str">
        <f>IF(VIPcric_1!A626="","",VIPcric_1!A626)</f>
        <v/>
      </c>
      <c r="B637" t="str">
        <f>IF(VIPcric_1!B626="","",VIPcric_1!B626)</f>
        <v/>
      </c>
      <c r="C637" t="str">
        <f>IF(VIPcric_1!C626="","",VIPcric_1!C626)</f>
        <v/>
      </c>
      <c r="D637" t="str">
        <f>IF(VIPcric_1!D626="","",VIPcric_1!D626)</f>
        <v/>
      </c>
      <c r="E637" t="str">
        <f>IF(VIPcric_1!E626="","",VIPcric_1!E626)</f>
        <v/>
      </c>
      <c r="F637" t="str">
        <f>IF(VIPcric_1!F626="","",VIPcric_1!F626)</f>
        <v/>
      </c>
      <c r="G637" t="str">
        <f>IF(VIPcric_1!G626="","",VIPcric_1!G626)</f>
        <v/>
      </c>
      <c r="H637" t="str">
        <f>IF(VIPcric_1!H626="","",VIPcric_1!H626)</f>
        <v/>
      </c>
      <c r="I637" t="str">
        <f>IF(VIPcric_1!M626="","",VIPcric_1!M626)</f>
        <v/>
      </c>
    </row>
    <row r="638" spans="1:9">
      <c r="A638" t="str">
        <f>IF(VIPcric_1!A627="","",VIPcric_1!A627)</f>
        <v/>
      </c>
      <c r="B638" t="str">
        <f>IF(VIPcric_1!B627="","",VIPcric_1!B627)</f>
        <v/>
      </c>
      <c r="C638" t="str">
        <f>IF(VIPcric_1!C627="","",VIPcric_1!C627)</f>
        <v/>
      </c>
      <c r="D638" t="str">
        <f>IF(VIPcric_1!D627="","",VIPcric_1!D627)</f>
        <v/>
      </c>
      <c r="E638" t="str">
        <f>IF(VIPcric_1!E627="","",VIPcric_1!E627)</f>
        <v/>
      </c>
      <c r="F638" t="str">
        <f>IF(VIPcric_1!F627="","",VIPcric_1!F627)</f>
        <v/>
      </c>
      <c r="G638" t="str">
        <f>IF(VIPcric_1!G627="","",VIPcric_1!G627)</f>
        <v/>
      </c>
      <c r="H638" t="str">
        <f>IF(VIPcric_1!H627="","",VIPcric_1!H627)</f>
        <v/>
      </c>
      <c r="I638" t="str">
        <f>IF(VIPcric_1!M627="","",VIPcric_1!M627)</f>
        <v>CRIC-嘉峪关-市场监测.商品房市场.项目累计.供求.xlsx</v>
      </c>
    </row>
    <row r="639" spans="1:9">
      <c r="A639" t="str">
        <f>IF(VIPcric_1!A628="","",VIPcric_1!A628)</f>
        <v>时间(年)</v>
      </c>
      <c r="B639" t="str">
        <f>IF(VIPcric_1!B628="","",VIPcric_1!B628)</f>
        <v>供应面积(㎡)</v>
      </c>
      <c r="C639" t="str">
        <f>IF(VIPcric_1!C628="","",VIPcric_1!C628)</f>
        <v>供应套数(套)</v>
      </c>
      <c r="D639" t="str">
        <f>IF(VIPcric_1!D628="","",VIPcric_1!D628)</f>
        <v>成交面积(㎡)</v>
      </c>
      <c r="E639" t="str">
        <f>IF(VIPcric_1!E628="","",VIPcric_1!E628)</f>
        <v>成交套数(套)</v>
      </c>
      <c r="F639" t="str">
        <f>IF(VIPcric_1!F628="","",VIPcric_1!F628)</f>
        <v>成交均价(元/㎡)</v>
      </c>
      <c r="G639" t="str">
        <f>IF(VIPcric_1!G628="","",VIPcric_1!G628)</f>
        <v>成交金额(元)</v>
      </c>
      <c r="H639" t="str">
        <f>IF(VIPcric_1!H628="","",VIPcric_1!H628)</f>
        <v>供求比</v>
      </c>
      <c r="I639" t="str">
        <f>IF(VIPcric_1!M628="","",VIPcric_1!M628)</f>
        <v>CRIC-嘉峪关-市场监测.商品房市场.项目累计.供求.xlsx</v>
      </c>
    </row>
    <row r="640" spans="1:9">
      <c r="A640" t="str">
        <f>IF(VIPcric_1!A629="","",VIPcric_1!A629)</f>
        <v>2023年</v>
      </c>
      <c r="B640">
        <f>IF(VIPcric_1!B629="","",VIPcric_1!B629)</f>
        <v>311490</v>
      </c>
      <c r="C640">
        <f>IF(VIPcric_1!C629="","",VIPcric_1!C629)</f>
        <v>2530</v>
      </c>
      <c r="D640">
        <f>IF(VIPcric_1!D629="","",VIPcric_1!D629)</f>
        <v>327505</v>
      </c>
      <c r="E640">
        <f>IF(VIPcric_1!E629="","",VIPcric_1!E629)</f>
        <v>2600</v>
      </c>
      <c r="F640">
        <f>IF(VIPcric_1!F629="","",VIPcric_1!F629)</f>
        <v>4628</v>
      </c>
      <c r="G640">
        <f>IF(VIPcric_1!G629="","",VIPcric_1!G629)</f>
        <v>1515801989</v>
      </c>
      <c r="H640">
        <f>IF(VIPcric_1!H629="","",VIPcric_1!H629)</f>
        <v>0.95</v>
      </c>
      <c r="I640" t="str">
        <f>IF(VIPcric_1!M629="","",VIPcric_1!M629)</f>
        <v>CRIC-嘉峪关-市场监测.商品房市场.项目累计.供求.xlsx</v>
      </c>
    </row>
    <row r="641" spans="1:9">
      <c r="A641" t="str">
        <f>IF(VIPcric_1!A630="","",VIPcric_1!A630)</f>
        <v>2022年</v>
      </c>
      <c r="B641">
        <f>IF(VIPcric_1!B630="","",VIPcric_1!B630)</f>
        <v>422180</v>
      </c>
      <c r="C641">
        <f>IF(VIPcric_1!C630="","",VIPcric_1!C630)</f>
        <v>3632</v>
      </c>
      <c r="D641">
        <f>IF(VIPcric_1!D630="","",VIPcric_1!D630)</f>
        <v>327741</v>
      </c>
      <c r="E641">
        <f>IF(VIPcric_1!E630="","",VIPcric_1!E630)</f>
        <v>2627</v>
      </c>
      <c r="F641">
        <f>IF(VIPcric_1!F630="","",VIPcric_1!F630)</f>
        <v>4591</v>
      </c>
      <c r="G641">
        <f>IF(VIPcric_1!G630="","",VIPcric_1!G630)</f>
        <v>1504742972</v>
      </c>
      <c r="H641">
        <f>IF(VIPcric_1!H630="","",VIPcric_1!H630)</f>
        <v>1.29</v>
      </c>
      <c r="I641" t="str">
        <f>IF(VIPcric_1!M630="","",VIPcric_1!M630)</f>
        <v>CRIC-嘉峪关-市场监测.商品房市场.项目累计.供求.xlsx</v>
      </c>
    </row>
    <row r="642" spans="1:9">
      <c r="A642" t="str">
        <f>IF(VIPcric_1!A631="","",VIPcric_1!A631)</f>
        <v>2021年</v>
      </c>
      <c r="B642">
        <f>IF(VIPcric_1!B631="","",VIPcric_1!B631)</f>
        <v>559747</v>
      </c>
      <c r="C642">
        <f>IF(VIPcric_1!C631="","",VIPcric_1!C631)</f>
        <v>3916</v>
      </c>
      <c r="D642">
        <f>IF(VIPcric_1!D631="","",VIPcric_1!D631)</f>
        <v>321283</v>
      </c>
      <c r="E642">
        <f>IF(VIPcric_1!E631="","",VIPcric_1!E631)</f>
        <v>2407</v>
      </c>
      <c r="F642">
        <f>IF(VIPcric_1!F631="","",VIPcric_1!F631)</f>
        <v>4397</v>
      </c>
      <c r="G642">
        <f>IF(VIPcric_1!G631="","",VIPcric_1!G631)</f>
        <v>1412543758</v>
      </c>
      <c r="H642">
        <f>IF(VIPcric_1!H631="","",VIPcric_1!H631)</f>
        <v>1.74</v>
      </c>
      <c r="I642" t="str">
        <f>IF(VIPcric_1!M631="","",VIPcric_1!M631)</f>
        <v>CRIC-嘉峪关-市场监测.商品房市场.项目累计.供求.xlsx</v>
      </c>
    </row>
    <row r="643" spans="1:9">
      <c r="A643" t="str">
        <f>IF(VIPcric_1!A632="","",VIPcric_1!A632)</f>
        <v>2020年</v>
      </c>
      <c r="B643">
        <f>IF(VIPcric_1!B632="","",VIPcric_1!B632)</f>
        <v>259702</v>
      </c>
      <c r="C643">
        <f>IF(VIPcric_1!C632="","",VIPcric_1!C632)</f>
        <v>1942</v>
      </c>
      <c r="D643">
        <f>IF(VIPcric_1!D632="","",VIPcric_1!D632)</f>
        <v>413130</v>
      </c>
      <c r="E643">
        <f>IF(VIPcric_1!E632="","",VIPcric_1!E632)</f>
        <v>3378</v>
      </c>
      <c r="F643">
        <f>IF(VIPcric_1!F632="","",VIPcric_1!F632)</f>
        <v>4361</v>
      </c>
      <c r="G643">
        <f>IF(VIPcric_1!G632="","",VIPcric_1!G632)</f>
        <v>1801606354</v>
      </c>
      <c r="H643">
        <f>IF(VIPcric_1!H632="","",VIPcric_1!H632)</f>
        <v>0.63</v>
      </c>
      <c r="I643" t="str">
        <f>IF(VIPcric_1!M632="","",VIPcric_1!M632)</f>
        <v>CRIC-嘉峪关-市场监测.商品房市场.项目累计.供求.xlsx</v>
      </c>
    </row>
    <row r="644" spans="1:9">
      <c r="A644" t="str">
        <f>IF(VIPcric_1!A633="","",VIPcric_1!A633)</f>
        <v>2019年</v>
      </c>
      <c r="B644">
        <f>IF(VIPcric_1!B633="","",VIPcric_1!B633)</f>
        <v>442948</v>
      </c>
      <c r="C644">
        <f>IF(VIPcric_1!C633="","",VIPcric_1!C633)</f>
        <v>3360</v>
      </c>
      <c r="D644">
        <f>IF(VIPcric_1!D633="","",VIPcric_1!D633)</f>
        <v>184251</v>
      </c>
      <c r="E644">
        <f>IF(VIPcric_1!E633="","",VIPcric_1!E633)</f>
        <v>1508</v>
      </c>
      <c r="F644">
        <f>IF(VIPcric_1!F633="","",VIPcric_1!F633)</f>
        <v>4369</v>
      </c>
      <c r="G644">
        <f>IF(VIPcric_1!G633="","",VIPcric_1!G633)</f>
        <v>805056101</v>
      </c>
      <c r="H644">
        <f>IF(VIPcric_1!H633="","",VIPcric_1!H633)</f>
        <v>2.4</v>
      </c>
      <c r="I644" t="str">
        <f>IF(VIPcric_1!M633="","",VIPcric_1!M633)</f>
        <v>CRIC-嘉峪关-市场监测.商品房市场.项目累计.供求.xlsx</v>
      </c>
    </row>
    <row r="645" spans="1:9">
      <c r="A645" t="str">
        <f>IF(VIPcric_1!A634="","",VIPcric_1!A634)</f>
        <v>汇总</v>
      </c>
      <c r="B645">
        <f>IF(VIPcric_1!B634="","",VIPcric_1!B634)</f>
        <v>1996067</v>
      </c>
      <c r="C645">
        <f>IF(VIPcric_1!C634="","",VIPcric_1!C634)</f>
        <v>15380</v>
      </c>
      <c r="D645">
        <f>IF(VIPcric_1!D634="","",VIPcric_1!D634)</f>
        <v>1573911</v>
      </c>
      <c r="E645">
        <f>IF(VIPcric_1!E634="","",VIPcric_1!E634)</f>
        <v>12520</v>
      </c>
      <c r="F645">
        <f>IF(VIPcric_1!F634="","",VIPcric_1!F634)</f>
        <v>4473</v>
      </c>
      <c r="G645">
        <f>IF(VIPcric_1!G634="","",VIPcric_1!G634)</f>
        <v>7039751173</v>
      </c>
      <c r="H645">
        <f>IF(VIPcric_1!H634="","",VIPcric_1!H634)</f>
        <v>1.27</v>
      </c>
      <c r="I645" t="str">
        <f>IF(VIPcric_1!M634="","",VIPcric_1!M634)</f>
        <v>CRIC-嘉峪关-市场监测.商品房市场.项目累计.供求.xlsx</v>
      </c>
    </row>
    <row r="646" spans="1:9">
      <c r="A646" t="str">
        <f>IF(VIPcric_1!A635="","",VIPcric_1!A635)</f>
        <v/>
      </c>
      <c r="B646" t="str">
        <f>IF(VIPcric_1!B635="","",VIPcric_1!B635)</f>
        <v/>
      </c>
      <c r="C646" t="str">
        <f>IF(VIPcric_1!C635="","",VIPcric_1!C635)</f>
        <v/>
      </c>
      <c r="D646" t="str">
        <f>IF(VIPcric_1!D635="","",VIPcric_1!D635)</f>
        <v/>
      </c>
      <c r="E646" t="str">
        <f>IF(VIPcric_1!E635="","",VIPcric_1!E635)</f>
        <v/>
      </c>
      <c r="F646" t="str">
        <f>IF(VIPcric_1!F635="","",VIPcric_1!F635)</f>
        <v/>
      </c>
      <c r="G646" t="str">
        <f>IF(VIPcric_1!G635="","",VIPcric_1!G635)</f>
        <v/>
      </c>
      <c r="H646" t="str">
        <f>IF(VIPcric_1!H635="","",VIPcric_1!H635)</f>
        <v/>
      </c>
      <c r="I646" t="str">
        <f>IF(VIPcric_1!M635="","",VIPcric_1!M635)</f>
        <v/>
      </c>
    </row>
    <row r="647" spans="1:9">
      <c r="A647" t="str">
        <f>IF(VIPcric_1!A636="","",VIPcric_1!A636)</f>
        <v/>
      </c>
      <c r="B647" t="str">
        <f>IF(VIPcric_1!B636="","",VIPcric_1!B636)</f>
        <v/>
      </c>
      <c r="C647" t="str">
        <f>IF(VIPcric_1!C636="","",VIPcric_1!C636)</f>
        <v/>
      </c>
      <c r="D647" t="str">
        <f>IF(VIPcric_1!D636="","",VIPcric_1!D636)</f>
        <v/>
      </c>
      <c r="E647" t="str">
        <f>IF(VIPcric_1!E636="","",VIPcric_1!E636)</f>
        <v/>
      </c>
      <c r="F647" t="str">
        <f>IF(VIPcric_1!F636="","",VIPcric_1!F636)</f>
        <v/>
      </c>
      <c r="G647" t="str">
        <f>IF(VIPcric_1!G636="","",VIPcric_1!G636)</f>
        <v/>
      </c>
      <c r="H647" t="str">
        <f>IF(VIPcric_1!H636="","",VIPcric_1!H636)</f>
        <v/>
      </c>
      <c r="I647" t="str">
        <f>IF(VIPcric_1!M636="","",VIPcric_1!M636)</f>
        <v>CRIC-嘉峪关-市场监测.商品房市场.项目累计.库存.xlsx</v>
      </c>
    </row>
    <row r="648" spans="1:9">
      <c r="A648" t="str">
        <f>IF(VIPcric_1!A637="","",VIPcric_1!A637)</f>
        <v>时间(年)</v>
      </c>
      <c r="B648" t="str">
        <f>IF(VIPcric_1!B637="","",VIPcric_1!B637)</f>
        <v>库存面积(㎡)</v>
      </c>
      <c r="C648" t="str">
        <f>IF(VIPcric_1!C637="","",VIPcric_1!C637)</f>
        <v>库存套数(套)</v>
      </c>
      <c r="D648" t="str">
        <f>IF(VIPcric_1!D637="","",VIPcric_1!D637)</f>
        <v>去化周期12'(月)</v>
      </c>
      <c r="E648" t="str">
        <f>IF(VIPcric_1!E637="","",VIPcric_1!E637)</f>
        <v>去化周期24'(月)</v>
      </c>
      <c r="F648" t="str">
        <f>IF(VIPcric_1!F637="","",VIPcric_1!F637)</f>
        <v/>
      </c>
      <c r="G648" t="str">
        <f>IF(VIPcric_1!G637="","",VIPcric_1!G637)</f>
        <v/>
      </c>
      <c r="H648" t="str">
        <f>IF(VIPcric_1!H637="","",VIPcric_1!H637)</f>
        <v/>
      </c>
      <c r="I648" t="str">
        <f>IF(VIPcric_1!M637="","",VIPcric_1!M637)</f>
        <v>CRIC-嘉峪关-市场监测.商品房市场.项目累计.库存.xlsx</v>
      </c>
    </row>
    <row r="649" spans="1:9">
      <c r="A649" t="str">
        <f>IF(VIPcric_1!A638="","",VIPcric_1!A638)</f>
        <v>2024年</v>
      </c>
      <c r="B649">
        <f>IF(VIPcric_1!B638="","",VIPcric_1!B638)</f>
        <v>1854600</v>
      </c>
      <c r="C649">
        <f>IF(VIPcric_1!C638="","",VIPcric_1!C638)</f>
        <v>16046</v>
      </c>
      <c r="D649">
        <f>IF(VIPcric_1!D638="","",VIPcric_1!D638)</f>
        <v>69.5</v>
      </c>
      <c r="E649">
        <f>IF(VIPcric_1!E638="","",VIPcric_1!E638)</f>
        <v>69.5</v>
      </c>
      <c r="F649" t="str">
        <f>IF(VIPcric_1!F638="","",VIPcric_1!F638)</f>
        <v/>
      </c>
      <c r="G649" t="str">
        <f>IF(VIPcric_1!G638="","",VIPcric_1!G638)</f>
        <v/>
      </c>
      <c r="H649" t="str">
        <f>IF(VIPcric_1!H638="","",VIPcric_1!H638)</f>
        <v/>
      </c>
      <c r="I649" t="str">
        <f>IF(VIPcric_1!M638="","",VIPcric_1!M638)</f>
        <v>CRIC-嘉峪关-市场监测.商品房市场.项目累计.库存.xlsx</v>
      </c>
    </row>
    <row r="650" spans="1:9">
      <c r="A650" t="str">
        <f>IF(VIPcric_1!A639="","",VIPcric_1!A639)</f>
        <v>2023年</v>
      </c>
      <c r="B650">
        <f>IF(VIPcric_1!B639="","",VIPcric_1!B639)</f>
        <v>1873147</v>
      </c>
      <c r="C650">
        <f>IF(VIPcric_1!C639="","",VIPcric_1!C639)</f>
        <v>16194</v>
      </c>
      <c r="D650">
        <f>IF(VIPcric_1!D639="","",VIPcric_1!D639)</f>
        <v>68.599999999999994</v>
      </c>
      <c r="E650">
        <f>IF(VIPcric_1!E639="","",VIPcric_1!E639)</f>
        <v>68.599999999999994</v>
      </c>
      <c r="F650" t="str">
        <f>IF(VIPcric_1!F639="","",VIPcric_1!F639)</f>
        <v/>
      </c>
      <c r="G650" t="str">
        <f>IF(VIPcric_1!G639="","",VIPcric_1!G639)</f>
        <v/>
      </c>
      <c r="H650" t="str">
        <f>IF(VIPcric_1!H639="","",VIPcric_1!H639)</f>
        <v/>
      </c>
      <c r="I650" t="str">
        <f>IF(VIPcric_1!M639="","",VIPcric_1!M639)</f>
        <v>CRIC-嘉峪关-市场监测.商品房市场.项目累计.库存.xlsx</v>
      </c>
    </row>
    <row r="651" spans="1:9">
      <c r="A651" t="str">
        <f>IF(VIPcric_1!A640="","",VIPcric_1!A640)</f>
        <v>2022年</v>
      </c>
      <c r="B651">
        <f>IF(VIPcric_1!B640="","",VIPcric_1!B640)</f>
        <v>1883349</v>
      </c>
      <c r="C651">
        <f>IF(VIPcric_1!C640="","",VIPcric_1!C640)</f>
        <v>16228</v>
      </c>
      <c r="D651">
        <f>IF(VIPcric_1!D640="","",VIPcric_1!D640)</f>
        <v>69</v>
      </c>
      <c r="E651">
        <f>IF(VIPcric_1!E640="","",VIPcric_1!E640)</f>
        <v>69.599999999999994</v>
      </c>
      <c r="F651" t="str">
        <f>IF(VIPcric_1!F640="","",VIPcric_1!F640)</f>
        <v/>
      </c>
      <c r="G651" t="str">
        <f>IF(VIPcric_1!G640="","",VIPcric_1!G640)</f>
        <v/>
      </c>
      <c r="H651" t="str">
        <f>IF(VIPcric_1!H640="","",VIPcric_1!H640)</f>
        <v/>
      </c>
      <c r="I651" t="str">
        <f>IF(VIPcric_1!M640="","",VIPcric_1!M640)</f>
        <v>CRIC-嘉峪关-市场监测.商品房市场.项目累计.库存.xlsx</v>
      </c>
    </row>
    <row r="652" spans="1:9">
      <c r="A652" t="str">
        <f>IF(VIPcric_1!A641="","",VIPcric_1!A641)</f>
        <v>2021年</v>
      </c>
      <c r="B652">
        <f>IF(VIPcric_1!B641="","",VIPcric_1!B641)</f>
        <v>1780203</v>
      </c>
      <c r="C652">
        <f>IF(VIPcric_1!C641="","",VIPcric_1!C641)</f>
        <v>15157</v>
      </c>
      <c r="D652">
        <f>IF(VIPcric_1!D641="","",VIPcric_1!D641)</f>
        <v>66.5</v>
      </c>
      <c r="E652">
        <f>IF(VIPcric_1!E641="","",VIPcric_1!E641)</f>
        <v>58.2</v>
      </c>
      <c r="F652" t="str">
        <f>IF(VIPcric_1!F641="","",VIPcric_1!F641)</f>
        <v/>
      </c>
      <c r="G652" t="str">
        <f>IF(VIPcric_1!G641="","",VIPcric_1!G641)</f>
        <v/>
      </c>
      <c r="H652" t="str">
        <f>IF(VIPcric_1!H641="","",VIPcric_1!H641)</f>
        <v/>
      </c>
      <c r="I652" t="str">
        <f>IF(VIPcric_1!M641="","",VIPcric_1!M641)</f>
        <v>CRIC-嘉峪关-市场监测.商品房市场.项目累计.库存.xlsx</v>
      </c>
    </row>
    <row r="653" spans="1:9">
      <c r="A653" t="str">
        <f>IF(VIPcric_1!A642="","",VIPcric_1!A642)</f>
        <v>2020年</v>
      </c>
      <c r="B653">
        <f>IF(VIPcric_1!B642="","",VIPcric_1!B642)</f>
        <v>1464238</v>
      </c>
      <c r="C653">
        <f>IF(VIPcric_1!C642="","",VIPcric_1!C642)</f>
        <v>13046</v>
      </c>
      <c r="D653">
        <f>IF(VIPcric_1!D642="","",VIPcric_1!D642)</f>
        <v>42.5</v>
      </c>
      <c r="E653">
        <f>IF(VIPcric_1!E642="","",VIPcric_1!E642)</f>
        <v>58.8</v>
      </c>
      <c r="F653" t="str">
        <f>IF(VIPcric_1!F642="","",VIPcric_1!F642)</f>
        <v/>
      </c>
      <c r="G653" t="str">
        <f>IF(VIPcric_1!G642="","",VIPcric_1!G642)</f>
        <v/>
      </c>
      <c r="H653" t="str">
        <f>IF(VIPcric_1!H642="","",VIPcric_1!H642)</f>
        <v/>
      </c>
      <c r="I653" t="str">
        <f>IF(VIPcric_1!M642="","",VIPcric_1!M642)</f>
        <v>CRIC-嘉峪关-市场监测.商品房市场.项目累计.库存.xlsx</v>
      </c>
    </row>
    <row r="654" spans="1:9">
      <c r="A654" t="str">
        <f>IF(VIPcric_1!A643="","",VIPcric_1!A643)</f>
        <v>2019年</v>
      </c>
      <c r="B654">
        <f>IF(VIPcric_1!B643="","",VIPcric_1!B643)</f>
        <v>1494555</v>
      </c>
      <c r="C654">
        <f>IF(VIPcric_1!C643="","",VIPcric_1!C643)</f>
        <v>13382</v>
      </c>
      <c r="D654">
        <f>IF(VIPcric_1!D643="","",VIPcric_1!D643)</f>
        <v>97.3</v>
      </c>
      <c r="E654">
        <f>IF(VIPcric_1!E643="","",VIPcric_1!E643)</f>
        <v>194.7</v>
      </c>
      <c r="F654" t="str">
        <f>IF(VIPcric_1!F643="","",VIPcric_1!F643)</f>
        <v/>
      </c>
      <c r="G654" t="str">
        <f>IF(VIPcric_1!G643="","",VIPcric_1!G643)</f>
        <v/>
      </c>
      <c r="H654" t="str">
        <f>IF(VIPcric_1!H643="","",VIPcric_1!H643)</f>
        <v/>
      </c>
      <c r="I654" t="str">
        <f>IF(VIPcric_1!M643="","",VIPcric_1!M643)</f>
        <v>CRIC-嘉峪关-市场监测.商品房市场.项目累计.库存.xlsx</v>
      </c>
    </row>
    <row r="655" spans="1:9">
      <c r="A655" t="str">
        <f>IF(VIPcric_1!A644="","",VIPcric_1!A644)</f>
        <v/>
      </c>
      <c r="B655" t="str">
        <f>IF(VIPcric_1!B644="","",VIPcric_1!B644)</f>
        <v/>
      </c>
      <c r="C655" t="str">
        <f>IF(VIPcric_1!C644="","",VIPcric_1!C644)</f>
        <v/>
      </c>
      <c r="D655" t="str">
        <f>IF(VIPcric_1!D644="","",VIPcric_1!D644)</f>
        <v/>
      </c>
      <c r="E655" t="str">
        <f>IF(VIPcric_1!E644="","",VIPcric_1!E644)</f>
        <v/>
      </c>
      <c r="F655" t="str">
        <f>IF(VIPcric_1!F644="","",VIPcric_1!F644)</f>
        <v/>
      </c>
      <c r="G655" t="str">
        <f>IF(VIPcric_1!G644="","",VIPcric_1!G644)</f>
        <v/>
      </c>
      <c r="H655" t="str">
        <f>IF(VIPcric_1!H644="","",VIPcric_1!H644)</f>
        <v/>
      </c>
      <c r="I655" t="str">
        <f>IF(VIPcric_1!M644="","",VIPcric_1!M644)</f>
        <v/>
      </c>
    </row>
    <row r="656" spans="1:9">
      <c r="A656" t="str">
        <f>IF(VIPcric_1!A645="","",VIPcric_1!A645)</f>
        <v/>
      </c>
      <c r="B656" t="str">
        <f>IF(VIPcric_1!B645="","",VIPcric_1!B645)</f>
        <v/>
      </c>
      <c r="C656" t="str">
        <f>IF(VIPcric_1!C645="","",VIPcric_1!C645)</f>
        <v/>
      </c>
      <c r="D656" t="str">
        <f>IF(VIPcric_1!D645="","",VIPcric_1!D645)</f>
        <v/>
      </c>
      <c r="E656" t="str">
        <f>IF(VIPcric_1!E645="","",VIPcric_1!E645)</f>
        <v/>
      </c>
      <c r="F656" t="str">
        <f>IF(VIPcric_1!F645="","",VIPcric_1!F645)</f>
        <v/>
      </c>
      <c r="G656" t="str">
        <f>IF(VIPcric_1!G645="","",VIPcric_1!G645)</f>
        <v/>
      </c>
      <c r="H656" t="str">
        <f>IF(VIPcric_1!H645="","",VIPcric_1!H645)</f>
        <v/>
      </c>
      <c r="I656" t="str">
        <f>IF(VIPcric_1!M645="","",VIPcric_1!M645)</f>
        <v>CRIC-固原-市场监测.商品房市场.项目累计.供求 (1).xlsx</v>
      </c>
    </row>
    <row r="657" spans="1:9">
      <c r="A657" t="str">
        <f>IF(VIPcric_1!A646="","",VIPcric_1!A646)</f>
        <v>时间(年)</v>
      </c>
      <c r="B657" t="str">
        <f>IF(VIPcric_1!B646="","",VIPcric_1!B646)</f>
        <v>供应面积(㎡)</v>
      </c>
      <c r="C657" t="str">
        <f>IF(VIPcric_1!C646="","",VIPcric_1!C646)</f>
        <v>供应套数(套)</v>
      </c>
      <c r="D657" t="str">
        <f>IF(VIPcric_1!D646="","",VIPcric_1!D646)</f>
        <v>成交面积(㎡)</v>
      </c>
      <c r="E657" t="str">
        <f>IF(VIPcric_1!E646="","",VIPcric_1!E646)</f>
        <v>成交套数(套)</v>
      </c>
      <c r="F657" t="str">
        <f>IF(VIPcric_1!F646="","",VIPcric_1!F646)</f>
        <v>成交均价(元/㎡)</v>
      </c>
      <c r="G657" t="str">
        <f>IF(VIPcric_1!G646="","",VIPcric_1!G646)</f>
        <v>成交金额(元)</v>
      </c>
      <c r="H657" t="str">
        <f>IF(VIPcric_1!H646="","",VIPcric_1!H646)</f>
        <v>供求比</v>
      </c>
      <c r="I657" t="str">
        <f>IF(VIPcric_1!M646="","",VIPcric_1!M646)</f>
        <v>CRIC-固原-市场监测.商品房市场.项目累计.供求 (1).xlsx</v>
      </c>
    </row>
    <row r="658" spans="1:9">
      <c r="A658" t="str">
        <f>IF(VIPcric_1!A647="","",VIPcric_1!A647)</f>
        <v>2023年</v>
      </c>
      <c r="B658">
        <f>IF(VIPcric_1!B647="","",VIPcric_1!B647)</f>
        <v>707741</v>
      </c>
      <c r="C658">
        <f>IF(VIPcric_1!C647="","",VIPcric_1!C647)</f>
        <v>5308</v>
      </c>
      <c r="D658">
        <f>IF(VIPcric_1!D647="","",VIPcric_1!D647)</f>
        <v>816221</v>
      </c>
      <c r="E658">
        <f>IF(VIPcric_1!E647="","",VIPcric_1!E647)</f>
        <v>6257</v>
      </c>
      <c r="F658">
        <f>IF(VIPcric_1!F647="","",VIPcric_1!F647)</f>
        <v>5329</v>
      </c>
      <c r="G658">
        <f>IF(VIPcric_1!G647="","",VIPcric_1!G647)</f>
        <v>4350050158</v>
      </c>
      <c r="H658">
        <f>IF(VIPcric_1!H647="","",VIPcric_1!H647)</f>
        <v>0.87</v>
      </c>
      <c r="I658" t="str">
        <f>IF(VIPcric_1!M647="","",VIPcric_1!M647)</f>
        <v>CRIC-固原-市场监测.商品房市场.项目累计.供求 (1).xlsx</v>
      </c>
    </row>
    <row r="659" spans="1:9">
      <c r="A659" t="str">
        <f>IF(VIPcric_1!A648="","",VIPcric_1!A648)</f>
        <v>2022年</v>
      </c>
      <c r="B659">
        <f>IF(VIPcric_1!B648="","",VIPcric_1!B648)</f>
        <v>729716</v>
      </c>
      <c r="C659">
        <f>IF(VIPcric_1!C648="","",VIPcric_1!C648)</f>
        <v>5535</v>
      </c>
      <c r="D659">
        <f>IF(VIPcric_1!D648="","",VIPcric_1!D648)</f>
        <v>660279</v>
      </c>
      <c r="E659">
        <f>IF(VIPcric_1!E648="","",VIPcric_1!E648)</f>
        <v>5167</v>
      </c>
      <c r="F659">
        <f>IF(VIPcric_1!F648="","",VIPcric_1!F648)</f>
        <v>5224</v>
      </c>
      <c r="G659">
        <f>IF(VIPcric_1!G648="","",VIPcric_1!G648)</f>
        <v>3449595535</v>
      </c>
      <c r="H659">
        <f>IF(VIPcric_1!H648="","",VIPcric_1!H648)</f>
        <v>1.1100000000000001</v>
      </c>
      <c r="I659" t="str">
        <f>IF(VIPcric_1!M648="","",VIPcric_1!M648)</f>
        <v>CRIC-固原-市场监测.商品房市场.项目累计.供求 (1).xlsx</v>
      </c>
    </row>
    <row r="660" spans="1:9">
      <c r="A660" t="str">
        <f>IF(VIPcric_1!A649="","",VIPcric_1!A649)</f>
        <v>2021年</v>
      </c>
      <c r="B660">
        <f>IF(VIPcric_1!B649="","",VIPcric_1!B649)</f>
        <v>942867</v>
      </c>
      <c r="C660">
        <f>IF(VIPcric_1!C649="","",VIPcric_1!C649)</f>
        <v>7580</v>
      </c>
      <c r="D660">
        <f>IF(VIPcric_1!D649="","",VIPcric_1!D649)</f>
        <v>329569</v>
      </c>
      <c r="E660">
        <f>IF(VIPcric_1!E649="","",VIPcric_1!E649)</f>
        <v>2609</v>
      </c>
      <c r="F660">
        <f>IF(VIPcric_1!F649="","",VIPcric_1!F649)</f>
        <v>5120</v>
      </c>
      <c r="G660">
        <f>IF(VIPcric_1!G649="","",VIPcric_1!G649)</f>
        <v>1687395884</v>
      </c>
      <c r="H660">
        <f>IF(VIPcric_1!H649="","",VIPcric_1!H649)</f>
        <v>2.86</v>
      </c>
      <c r="I660" t="str">
        <f>IF(VIPcric_1!M649="","",VIPcric_1!M649)</f>
        <v>CRIC-固原-市场监测.商品房市场.项目累计.供求 (1).xlsx</v>
      </c>
    </row>
    <row r="661" spans="1:9">
      <c r="A661" t="str">
        <f>IF(VIPcric_1!A650="","",VIPcric_1!A650)</f>
        <v>2020年</v>
      </c>
      <c r="B661">
        <f>IF(VIPcric_1!B650="","",VIPcric_1!B650)</f>
        <v>685303</v>
      </c>
      <c r="C661">
        <f>IF(VIPcric_1!C650="","",VIPcric_1!C650)</f>
        <v>5540</v>
      </c>
      <c r="D661">
        <f>IF(VIPcric_1!D650="","",VIPcric_1!D650)</f>
        <v>0</v>
      </c>
      <c r="E661">
        <f>IF(VIPcric_1!E650="","",VIPcric_1!E650)</f>
        <v>0</v>
      </c>
      <c r="F661">
        <f>IF(VIPcric_1!F650="","",VIPcric_1!F650)</f>
        <v>0</v>
      </c>
      <c r="G661">
        <f>IF(VIPcric_1!G650="","",VIPcric_1!G650)</f>
        <v>0</v>
      </c>
      <c r="H661">
        <f>IF(VIPcric_1!H650="","",VIPcric_1!H650)</f>
        <v>0</v>
      </c>
      <c r="I661" t="str">
        <f>IF(VIPcric_1!M650="","",VIPcric_1!M650)</f>
        <v>CRIC-固原-市场监测.商品房市场.项目累计.供求 (1).xlsx</v>
      </c>
    </row>
    <row r="662" spans="1:9">
      <c r="A662" t="str">
        <f>IF(VIPcric_1!A651="","",VIPcric_1!A651)</f>
        <v>2019年</v>
      </c>
      <c r="B662">
        <f>IF(VIPcric_1!B651="","",VIPcric_1!B651)</f>
        <v>941747</v>
      </c>
      <c r="C662">
        <f>IF(VIPcric_1!C651="","",VIPcric_1!C651)</f>
        <v>7377</v>
      </c>
      <c r="D662">
        <f>IF(VIPcric_1!D651="","",VIPcric_1!D651)</f>
        <v>0</v>
      </c>
      <c r="E662">
        <f>IF(VIPcric_1!E651="","",VIPcric_1!E651)</f>
        <v>0</v>
      </c>
      <c r="F662">
        <f>IF(VIPcric_1!F651="","",VIPcric_1!F651)</f>
        <v>0</v>
      </c>
      <c r="G662">
        <f>IF(VIPcric_1!G651="","",VIPcric_1!G651)</f>
        <v>0</v>
      </c>
      <c r="H662">
        <f>IF(VIPcric_1!H651="","",VIPcric_1!H651)</f>
        <v>0</v>
      </c>
      <c r="I662" t="str">
        <f>IF(VIPcric_1!M651="","",VIPcric_1!M651)</f>
        <v>CRIC-固原-市场监测.商品房市场.项目累计.供求 (1).xlsx</v>
      </c>
    </row>
    <row r="663" spans="1:9">
      <c r="A663" t="str">
        <f>IF(VIPcric_1!A652="","",VIPcric_1!A652)</f>
        <v>汇总</v>
      </c>
      <c r="B663">
        <f>IF(VIPcric_1!B652="","",VIPcric_1!B652)</f>
        <v>4007374</v>
      </c>
      <c r="C663">
        <f>IF(VIPcric_1!C652="","",VIPcric_1!C652)</f>
        <v>31340</v>
      </c>
      <c r="D663">
        <f>IF(VIPcric_1!D652="","",VIPcric_1!D652)</f>
        <v>1806070</v>
      </c>
      <c r="E663">
        <f>IF(VIPcric_1!E652="","",VIPcric_1!E652)</f>
        <v>14033</v>
      </c>
      <c r="F663">
        <f>IF(VIPcric_1!F652="","",VIPcric_1!F652)</f>
        <v>5253</v>
      </c>
      <c r="G663">
        <f>IF(VIPcric_1!G652="","",VIPcric_1!G652)</f>
        <v>9487041576</v>
      </c>
      <c r="H663">
        <f>IF(VIPcric_1!H652="","",VIPcric_1!H652)</f>
        <v>2.2200000000000002</v>
      </c>
      <c r="I663" t="str">
        <f>IF(VIPcric_1!M652="","",VIPcric_1!M652)</f>
        <v>CRIC-固原-市场监测.商品房市场.项目累计.供求 (1).xlsx</v>
      </c>
    </row>
    <row r="664" spans="1:9">
      <c r="A664" t="str">
        <f>IF(VIPcric_1!A653="","",VIPcric_1!A653)</f>
        <v/>
      </c>
      <c r="B664" t="str">
        <f>IF(VIPcric_1!B653="","",VIPcric_1!B653)</f>
        <v/>
      </c>
      <c r="C664" t="str">
        <f>IF(VIPcric_1!C653="","",VIPcric_1!C653)</f>
        <v/>
      </c>
      <c r="D664" t="str">
        <f>IF(VIPcric_1!D653="","",VIPcric_1!D653)</f>
        <v/>
      </c>
      <c r="E664" t="str">
        <f>IF(VIPcric_1!E653="","",VIPcric_1!E653)</f>
        <v/>
      </c>
      <c r="F664" t="str">
        <f>IF(VIPcric_1!F653="","",VIPcric_1!F653)</f>
        <v/>
      </c>
      <c r="G664" t="str">
        <f>IF(VIPcric_1!G653="","",VIPcric_1!G653)</f>
        <v/>
      </c>
      <c r="H664" t="str">
        <f>IF(VIPcric_1!H653="","",VIPcric_1!H653)</f>
        <v/>
      </c>
      <c r="I664" t="str">
        <f>IF(VIPcric_1!M653="","",VIPcric_1!M653)</f>
        <v/>
      </c>
    </row>
    <row r="665" spans="1:9">
      <c r="A665" t="str">
        <f>IF(VIPcric_1!A654="","",VIPcric_1!A654)</f>
        <v/>
      </c>
      <c r="B665" t="str">
        <f>IF(VIPcric_1!B654="","",VIPcric_1!B654)</f>
        <v/>
      </c>
      <c r="C665" t="str">
        <f>IF(VIPcric_1!C654="","",VIPcric_1!C654)</f>
        <v/>
      </c>
      <c r="D665" t="str">
        <f>IF(VIPcric_1!D654="","",VIPcric_1!D654)</f>
        <v/>
      </c>
      <c r="E665" t="str">
        <f>IF(VIPcric_1!E654="","",VIPcric_1!E654)</f>
        <v/>
      </c>
      <c r="F665" t="str">
        <f>IF(VIPcric_1!F654="","",VIPcric_1!F654)</f>
        <v/>
      </c>
      <c r="G665" t="str">
        <f>IF(VIPcric_1!G654="","",VIPcric_1!G654)</f>
        <v/>
      </c>
      <c r="H665" t="str">
        <f>IF(VIPcric_1!H654="","",VIPcric_1!H654)</f>
        <v/>
      </c>
      <c r="I665" t="str">
        <f>IF(VIPcric_1!M654="","",VIPcric_1!M654)</f>
        <v>CRIC-固原-市场监测.商品房市场.项目累计.供求.xlsx</v>
      </c>
    </row>
    <row r="666" spans="1:9">
      <c r="A666" t="str">
        <f>IF(VIPcric_1!A655="","",VIPcric_1!A655)</f>
        <v>时间(年)</v>
      </c>
      <c r="B666" t="str">
        <f>IF(VIPcric_1!B655="","",VIPcric_1!B655)</f>
        <v>供应面积(㎡)</v>
      </c>
      <c r="C666" t="str">
        <f>IF(VIPcric_1!C655="","",VIPcric_1!C655)</f>
        <v>供应套数(套)</v>
      </c>
      <c r="D666" t="str">
        <f>IF(VIPcric_1!D655="","",VIPcric_1!D655)</f>
        <v>成交面积(㎡)</v>
      </c>
      <c r="E666" t="str">
        <f>IF(VIPcric_1!E655="","",VIPcric_1!E655)</f>
        <v>成交套数(套)</v>
      </c>
      <c r="F666" t="str">
        <f>IF(VIPcric_1!F655="","",VIPcric_1!F655)</f>
        <v>成交均价(元/㎡)</v>
      </c>
      <c r="G666" t="str">
        <f>IF(VIPcric_1!G655="","",VIPcric_1!G655)</f>
        <v>成交金额(元)</v>
      </c>
      <c r="H666" t="str">
        <f>IF(VIPcric_1!H655="","",VIPcric_1!H655)</f>
        <v>供求比</v>
      </c>
      <c r="I666" t="str">
        <f>IF(VIPcric_1!M655="","",VIPcric_1!M655)</f>
        <v>CRIC-固原-市场监测.商品房市场.项目累计.供求.xlsx</v>
      </c>
    </row>
    <row r="667" spans="1:9">
      <c r="A667" t="str">
        <f>IF(VIPcric_1!A656="","",VIPcric_1!A656)</f>
        <v>2023年</v>
      </c>
      <c r="B667">
        <f>IF(VIPcric_1!B656="","",VIPcric_1!B656)</f>
        <v>707741</v>
      </c>
      <c r="C667">
        <f>IF(VIPcric_1!C656="","",VIPcric_1!C656)</f>
        <v>5308</v>
      </c>
      <c r="D667">
        <f>IF(VIPcric_1!D656="","",VIPcric_1!D656)</f>
        <v>816221</v>
      </c>
      <c r="E667">
        <f>IF(VIPcric_1!E656="","",VIPcric_1!E656)</f>
        <v>6257</v>
      </c>
      <c r="F667">
        <f>IF(VIPcric_1!F656="","",VIPcric_1!F656)</f>
        <v>5329</v>
      </c>
      <c r="G667">
        <f>IF(VIPcric_1!G656="","",VIPcric_1!G656)</f>
        <v>4350050158</v>
      </c>
      <c r="H667">
        <f>IF(VIPcric_1!H656="","",VIPcric_1!H656)</f>
        <v>0.87</v>
      </c>
      <c r="I667" t="str">
        <f>IF(VIPcric_1!M656="","",VIPcric_1!M656)</f>
        <v>CRIC-固原-市场监测.商品房市场.项目累计.供求.xlsx</v>
      </c>
    </row>
    <row r="668" spans="1:9">
      <c r="A668" t="str">
        <f>IF(VIPcric_1!A657="","",VIPcric_1!A657)</f>
        <v>2022年</v>
      </c>
      <c r="B668">
        <f>IF(VIPcric_1!B657="","",VIPcric_1!B657)</f>
        <v>729716</v>
      </c>
      <c r="C668">
        <f>IF(VIPcric_1!C657="","",VIPcric_1!C657)</f>
        <v>5535</v>
      </c>
      <c r="D668">
        <f>IF(VIPcric_1!D657="","",VIPcric_1!D657)</f>
        <v>660279</v>
      </c>
      <c r="E668">
        <f>IF(VIPcric_1!E657="","",VIPcric_1!E657)</f>
        <v>5167</v>
      </c>
      <c r="F668">
        <f>IF(VIPcric_1!F657="","",VIPcric_1!F657)</f>
        <v>5224</v>
      </c>
      <c r="G668">
        <f>IF(VIPcric_1!G657="","",VIPcric_1!G657)</f>
        <v>3449595535</v>
      </c>
      <c r="H668">
        <f>IF(VIPcric_1!H657="","",VIPcric_1!H657)</f>
        <v>1.1100000000000001</v>
      </c>
      <c r="I668" t="str">
        <f>IF(VIPcric_1!M657="","",VIPcric_1!M657)</f>
        <v>CRIC-固原-市场监测.商品房市场.项目累计.供求.xlsx</v>
      </c>
    </row>
    <row r="669" spans="1:9">
      <c r="A669" t="str">
        <f>IF(VIPcric_1!A658="","",VIPcric_1!A658)</f>
        <v>2021年</v>
      </c>
      <c r="B669">
        <f>IF(VIPcric_1!B658="","",VIPcric_1!B658)</f>
        <v>942867</v>
      </c>
      <c r="C669">
        <f>IF(VIPcric_1!C658="","",VIPcric_1!C658)</f>
        <v>7580</v>
      </c>
      <c r="D669">
        <f>IF(VIPcric_1!D658="","",VIPcric_1!D658)</f>
        <v>329569</v>
      </c>
      <c r="E669">
        <f>IF(VIPcric_1!E658="","",VIPcric_1!E658)</f>
        <v>2609</v>
      </c>
      <c r="F669">
        <f>IF(VIPcric_1!F658="","",VIPcric_1!F658)</f>
        <v>5120</v>
      </c>
      <c r="G669">
        <f>IF(VIPcric_1!G658="","",VIPcric_1!G658)</f>
        <v>1687395884</v>
      </c>
      <c r="H669">
        <f>IF(VIPcric_1!H658="","",VIPcric_1!H658)</f>
        <v>2.86</v>
      </c>
      <c r="I669" t="str">
        <f>IF(VIPcric_1!M658="","",VIPcric_1!M658)</f>
        <v>CRIC-固原-市场监测.商品房市场.项目累计.供求.xlsx</v>
      </c>
    </row>
    <row r="670" spans="1:9">
      <c r="A670" t="str">
        <f>IF(VIPcric_1!A659="","",VIPcric_1!A659)</f>
        <v>2020年</v>
      </c>
      <c r="B670">
        <f>IF(VIPcric_1!B659="","",VIPcric_1!B659)</f>
        <v>685303</v>
      </c>
      <c r="C670">
        <f>IF(VIPcric_1!C659="","",VIPcric_1!C659)</f>
        <v>5540</v>
      </c>
      <c r="D670">
        <f>IF(VIPcric_1!D659="","",VIPcric_1!D659)</f>
        <v>0</v>
      </c>
      <c r="E670">
        <f>IF(VIPcric_1!E659="","",VIPcric_1!E659)</f>
        <v>0</v>
      </c>
      <c r="F670">
        <f>IF(VIPcric_1!F659="","",VIPcric_1!F659)</f>
        <v>0</v>
      </c>
      <c r="G670">
        <f>IF(VIPcric_1!G659="","",VIPcric_1!G659)</f>
        <v>0</v>
      </c>
      <c r="H670">
        <f>IF(VIPcric_1!H659="","",VIPcric_1!H659)</f>
        <v>0</v>
      </c>
      <c r="I670" t="str">
        <f>IF(VIPcric_1!M659="","",VIPcric_1!M659)</f>
        <v>CRIC-固原-市场监测.商品房市场.项目累计.供求.xlsx</v>
      </c>
    </row>
    <row r="671" spans="1:9">
      <c r="A671" t="str">
        <f>IF(VIPcric_1!A660="","",VIPcric_1!A660)</f>
        <v>2019年</v>
      </c>
      <c r="B671">
        <f>IF(VIPcric_1!B660="","",VIPcric_1!B660)</f>
        <v>941747</v>
      </c>
      <c r="C671">
        <f>IF(VIPcric_1!C660="","",VIPcric_1!C660)</f>
        <v>7377</v>
      </c>
      <c r="D671">
        <f>IF(VIPcric_1!D660="","",VIPcric_1!D660)</f>
        <v>0</v>
      </c>
      <c r="E671">
        <f>IF(VIPcric_1!E660="","",VIPcric_1!E660)</f>
        <v>0</v>
      </c>
      <c r="F671">
        <f>IF(VIPcric_1!F660="","",VIPcric_1!F660)</f>
        <v>0</v>
      </c>
      <c r="G671">
        <f>IF(VIPcric_1!G660="","",VIPcric_1!G660)</f>
        <v>0</v>
      </c>
      <c r="H671">
        <f>IF(VIPcric_1!H660="","",VIPcric_1!H660)</f>
        <v>0</v>
      </c>
      <c r="I671" t="str">
        <f>IF(VIPcric_1!M660="","",VIPcric_1!M660)</f>
        <v>CRIC-固原-市场监测.商品房市场.项目累计.供求.xlsx</v>
      </c>
    </row>
    <row r="672" spans="1:9">
      <c r="A672" t="str">
        <f>IF(VIPcric_1!A661="","",VIPcric_1!A661)</f>
        <v>汇总</v>
      </c>
      <c r="B672">
        <f>IF(VIPcric_1!B661="","",VIPcric_1!B661)</f>
        <v>4007374</v>
      </c>
      <c r="C672">
        <f>IF(VIPcric_1!C661="","",VIPcric_1!C661)</f>
        <v>31340</v>
      </c>
      <c r="D672">
        <f>IF(VIPcric_1!D661="","",VIPcric_1!D661)</f>
        <v>1806070</v>
      </c>
      <c r="E672">
        <f>IF(VIPcric_1!E661="","",VIPcric_1!E661)</f>
        <v>14033</v>
      </c>
      <c r="F672">
        <f>IF(VIPcric_1!F661="","",VIPcric_1!F661)</f>
        <v>5253</v>
      </c>
      <c r="G672">
        <f>IF(VIPcric_1!G661="","",VIPcric_1!G661)</f>
        <v>9487041576</v>
      </c>
      <c r="H672">
        <f>IF(VIPcric_1!H661="","",VIPcric_1!H661)</f>
        <v>2.2200000000000002</v>
      </c>
      <c r="I672" t="str">
        <f>IF(VIPcric_1!M661="","",VIPcric_1!M661)</f>
        <v>CRIC-固原-市场监测.商品房市场.项目累计.供求.xlsx</v>
      </c>
    </row>
    <row r="673" spans="1:9">
      <c r="A673" t="str">
        <f>IF(VIPcric_1!A662="","",VIPcric_1!A662)</f>
        <v/>
      </c>
      <c r="B673" t="str">
        <f>IF(VIPcric_1!B662="","",VIPcric_1!B662)</f>
        <v/>
      </c>
      <c r="C673" t="str">
        <f>IF(VIPcric_1!C662="","",VIPcric_1!C662)</f>
        <v/>
      </c>
      <c r="D673" t="str">
        <f>IF(VIPcric_1!D662="","",VIPcric_1!D662)</f>
        <v/>
      </c>
      <c r="E673" t="str">
        <f>IF(VIPcric_1!E662="","",VIPcric_1!E662)</f>
        <v/>
      </c>
      <c r="F673" t="str">
        <f>IF(VIPcric_1!F662="","",VIPcric_1!F662)</f>
        <v/>
      </c>
      <c r="G673" t="str">
        <f>IF(VIPcric_1!G662="","",VIPcric_1!G662)</f>
        <v/>
      </c>
      <c r="H673" t="str">
        <f>IF(VIPcric_1!H662="","",VIPcric_1!H662)</f>
        <v/>
      </c>
      <c r="I673" t="str">
        <f>IF(VIPcric_1!M662="","",VIPcric_1!M662)</f>
        <v/>
      </c>
    </row>
    <row r="674" spans="1:9">
      <c r="A674" t="str">
        <f>IF(VIPcric_1!A663="","",VIPcric_1!A663)</f>
        <v/>
      </c>
      <c r="B674" t="str">
        <f>IF(VIPcric_1!B663="","",VIPcric_1!B663)</f>
        <v/>
      </c>
      <c r="C674" t="str">
        <f>IF(VIPcric_1!C663="","",VIPcric_1!C663)</f>
        <v/>
      </c>
      <c r="D674" t="str">
        <f>IF(VIPcric_1!D663="","",VIPcric_1!D663)</f>
        <v/>
      </c>
      <c r="E674" t="str">
        <f>IF(VIPcric_1!E663="","",VIPcric_1!E663)</f>
        <v/>
      </c>
      <c r="F674" t="str">
        <f>IF(VIPcric_1!F663="","",VIPcric_1!F663)</f>
        <v/>
      </c>
      <c r="G674" t="str">
        <f>IF(VIPcric_1!G663="","",VIPcric_1!G663)</f>
        <v/>
      </c>
      <c r="H674" t="str">
        <f>IF(VIPcric_1!H663="","",VIPcric_1!H663)</f>
        <v/>
      </c>
      <c r="I674" t="str">
        <f>IF(VIPcric_1!M663="","",VIPcric_1!M663)</f>
        <v>CRIC-固原-市场监测.商品房市场.项目累计.库存.xlsx</v>
      </c>
    </row>
    <row r="675" spans="1:9">
      <c r="A675" t="str">
        <f>IF(VIPcric_1!A664="","",VIPcric_1!A664)</f>
        <v>时间(年)</v>
      </c>
      <c r="B675" t="str">
        <f>IF(VIPcric_1!B664="","",VIPcric_1!B664)</f>
        <v>库存面积(㎡)</v>
      </c>
      <c r="C675" t="str">
        <f>IF(VIPcric_1!C664="","",VIPcric_1!C664)</f>
        <v>库存套数(套)</v>
      </c>
      <c r="D675" t="str">
        <f>IF(VIPcric_1!D664="","",VIPcric_1!D664)</f>
        <v>去化周期12'(月)</v>
      </c>
      <c r="E675" t="str">
        <f>IF(VIPcric_1!E664="","",VIPcric_1!E664)</f>
        <v/>
      </c>
      <c r="F675" t="str">
        <f>IF(VIPcric_1!F664="","",VIPcric_1!F664)</f>
        <v/>
      </c>
      <c r="G675" t="str">
        <f>IF(VIPcric_1!G664="","",VIPcric_1!G664)</f>
        <v/>
      </c>
      <c r="H675" t="str">
        <f>IF(VIPcric_1!H664="","",VIPcric_1!H664)</f>
        <v/>
      </c>
      <c r="I675" t="str">
        <f>IF(VIPcric_1!M664="","",VIPcric_1!M664)</f>
        <v>CRIC-固原-市场监测.商品房市场.项目累计.库存.xlsx</v>
      </c>
    </row>
    <row r="676" spans="1:9">
      <c r="A676" t="str">
        <f>IF(VIPcric_1!A665="","",VIPcric_1!A665)</f>
        <v>2023年</v>
      </c>
      <c r="B676">
        <f>IF(VIPcric_1!B665="","",VIPcric_1!B665)</f>
        <v>2575965</v>
      </c>
      <c r="C676">
        <f>IF(VIPcric_1!C665="","",VIPcric_1!C665)</f>
        <v>21818</v>
      </c>
      <c r="D676">
        <f>IF(VIPcric_1!D665="","",VIPcric_1!D665)</f>
        <v>37.9</v>
      </c>
      <c r="E676" t="str">
        <f>IF(VIPcric_1!E665="","",VIPcric_1!E665)</f>
        <v/>
      </c>
      <c r="F676" t="str">
        <f>IF(VIPcric_1!F665="","",VIPcric_1!F665)</f>
        <v/>
      </c>
      <c r="G676" t="str">
        <f>IF(VIPcric_1!G665="","",VIPcric_1!G665)</f>
        <v/>
      </c>
      <c r="H676" t="str">
        <f>IF(VIPcric_1!H665="","",VIPcric_1!H665)</f>
        <v/>
      </c>
      <c r="I676" t="str">
        <f>IF(VIPcric_1!M665="","",VIPcric_1!M665)</f>
        <v>CRIC-固原-市场监测.商品房市场.项目累计.库存.xlsx</v>
      </c>
    </row>
    <row r="677" spans="1:9">
      <c r="A677" t="str">
        <f>IF(VIPcric_1!A666="","",VIPcric_1!A666)</f>
        <v>2022年</v>
      </c>
      <c r="B677">
        <f>IF(VIPcric_1!B666="","",VIPcric_1!B666)</f>
        <v>2723357</v>
      </c>
      <c r="C677">
        <f>IF(VIPcric_1!C666="","",VIPcric_1!C666)</f>
        <v>23119</v>
      </c>
      <c r="D677">
        <f>IF(VIPcric_1!D666="","",VIPcric_1!D666)</f>
        <v>49.5</v>
      </c>
      <c r="E677" t="str">
        <f>IF(VIPcric_1!E666="","",VIPcric_1!E666)</f>
        <v/>
      </c>
      <c r="F677" t="str">
        <f>IF(VIPcric_1!F666="","",VIPcric_1!F666)</f>
        <v/>
      </c>
      <c r="G677" t="str">
        <f>IF(VIPcric_1!G666="","",VIPcric_1!G666)</f>
        <v/>
      </c>
      <c r="H677" t="str">
        <f>IF(VIPcric_1!H666="","",VIPcric_1!H666)</f>
        <v/>
      </c>
      <c r="I677" t="str">
        <f>IF(VIPcric_1!M666="","",VIPcric_1!M666)</f>
        <v>CRIC-固原-市场监测.商品房市场.项目累计.库存.xlsx</v>
      </c>
    </row>
    <row r="678" spans="1:9">
      <c r="A678" t="str">
        <f>IF(VIPcric_1!A667="","",VIPcric_1!A667)</f>
        <v/>
      </c>
      <c r="B678" t="str">
        <f>IF(VIPcric_1!B667="","",VIPcric_1!B667)</f>
        <v/>
      </c>
      <c r="C678" t="str">
        <f>IF(VIPcric_1!C667="","",VIPcric_1!C667)</f>
        <v/>
      </c>
      <c r="D678" t="str">
        <f>IF(VIPcric_1!D667="","",VIPcric_1!D667)</f>
        <v/>
      </c>
      <c r="E678" t="str">
        <f>IF(VIPcric_1!E667="","",VIPcric_1!E667)</f>
        <v/>
      </c>
      <c r="F678" t="str">
        <f>IF(VIPcric_1!F667="","",VIPcric_1!F667)</f>
        <v/>
      </c>
      <c r="G678" t="str">
        <f>IF(VIPcric_1!G667="","",VIPcric_1!G667)</f>
        <v/>
      </c>
      <c r="H678" t="str">
        <f>IF(VIPcric_1!H667="","",VIPcric_1!H667)</f>
        <v/>
      </c>
      <c r="I678" t="str">
        <f>IF(VIPcric_1!M667="","",VIPcric_1!M667)</f>
        <v/>
      </c>
    </row>
    <row r="679" spans="1:9">
      <c r="A679" t="str">
        <f>IF(VIPcric_1!A668="","",VIPcric_1!A668)</f>
        <v/>
      </c>
      <c r="B679" t="str">
        <f>IF(VIPcric_1!B668="","",VIPcric_1!B668)</f>
        <v/>
      </c>
      <c r="C679" t="str">
        <f>IF(VIPcric_1!C668="","",VIPcric_1!C668)</f>
        <v/>
      </c>
      <c r="D679" t="str">
        <f>IF(VIPcric_1!D668="","",VIPcric_1!D668)</f>
        <v/>
      </c>
      <c r="E679" t="str">
        <f>IF(VIPcric_1!E668="","",VIPcric_1!E668)</f>
        <v/>
      </c>
      <c r="F679" t="str">
        <f>IF(VIPcric_1!F668="","",VIPcric_1!F668)</f>
        <v/>
      </c>
      <c r="G679" t="str">
        <f>IF(VIPcric_1!G668="","",VIPcric_1!G668)</f>
        <v/>
      </c>
      <c r="H679" t="str">
        <f>IF(VIPcric_1!H668="","",VIPcric_1!H668)</f>
        <v/>
      </c>
      <c r="I679" t="str">
        <f>IF(VIPcric_1!M668="","",VIPcric_1!M668)</f>
        <v>CRIC-固安-市场监测.商品房市场.项目累计.供求.xlsx</v>
      </c>
    </row>
    <row r="680" spans="1:9">
      <c r="A680" t="str">
        <f>IF(VIPcric_1!A669="","",VIPcric_1!A669)</f>
        <v>时间(年)</v>
      </c>
      <c r="B680" t="str">
        <f>IF(VIPcric_1!B669="","",VIPcric_1!B669)</f>
        <v>供应面积(㎡)</v>
      </c>
      <c r="C680" t="str">
        <f>IF(VIPcric_1!C669="","",VIPcric_1!C669)</f>
        <v>供应套数(套)</v>
      </c>
      <c r="D680" t="str">
        <f>IF(VIPcric_1!D669="","",VIPcric_1!D669)</f>
        <v>成交面积(㎡)</v>
      </c>
      <c r="E680" t="str">
        <f>IF(VIPcric_1!E669="","",VIPcric_1!E669)</f>
        <v>成交套数(套)</v>
      </c>
      <c r="F680" t="str">
        <f>IF(VIPcric_1!F669="","",VIPcric_1!F669)</f>
        <v>成交均价(元/㎡)</v>
      </c>
      <c r="G680" t="str">
        <f>IF(VIPcric_1!G669="","",VIPcric_1!G669)</f>
        <v>成交金额(元)</v>
      </c>
      <c r="H680" t="str">
        <f>IF(VIPcric_1!H669="","",VIPcric_1!H669)</f>
        <v>供求比</v>
      </c>
      <c r="I680" t="str">
        <f>IF(VIPcric_1!M669="","",VIPcric_1!M669)</f>
        <v>CRIC-固安-市场监测.商品房市场.项目累计.供求.xlsx</v>
      </c>
    </row>
    <row r="681" spans="1:9">
      <c r="A681" t="str">
        <f>IF(VIPcric_1!A670="","",VIPcric_1!A670)</f>
        <v>2023年</v>
      </c>
      <c r="B681">
        <f>IF(VIPcric_1!B670="","",VIPcric_1!B670)</f>
        <v>0</v>
      </c>
      <c r="C681">
        <f>IF(VIPcric_1!C670="","",VIPcric_1!C670)</f>
        <v>0</v>
      </c>
      <c r="D681">
        <f>IF(VIPcric_1!D670="","",VIPcric_1!D670)</f>
        <v>583909</v>
      </c>
      <c r="E681">
        <f>IF(VIPcric_1!E670="","",VIPcric_1!E670)</f>
        <v>5684</v>
      </c>
      <c r="F681">
        <f>IF(VIPcric_1!F670="","",VIPcric_1!F670)</f>
        <v>10886</v>
      </c>
      <c r="G681">
        <f>IF(VIPcric_1!G670="","",VIPcric_1!G670)</f>
        <v>6356533747</v>
      </c>
      <c r="H681">
        <f>IF(VIPcric_1!H670="","",VIPcric_1!H670)</f>
        <v>0</v>
      </c>
      <c r="I681" t="str">
        <f>IF(VIPcric_1!M670="","",VIPcric_1!M670)</f>
        <v>CRIC-固安-市场监测.商品房市场.项目累计.供求.xlsx</v>
      </c>
    </row>
    <row r="682" spans="1:9">
      <c r="A682" t="str">
        <f>IF(VIPcric_1!A671="","",VIPcric_1!A671)</f>
        <v>2022年</v>
      </c>
      <c r="B682">
        <f>IF(VIPcric_1!B671="","",VIPcric_1!B671)</f>
        <v>0</v>
      </c>
      <c r="C682">
        <f>IF(VIPcric_1!C671="","",VIPcric_1!C671)</f>
        <v>0</v>
      </c>
      <c r="D682">
        <f>IF(VIPcric_1!D671="","",VIPcric_1!D671)</f>
        <v>445508</v>
      </c>
      <c r="E682">
        <f>IF(VIPcric_1!E671="","",VIPcric_1!E671)</f>
        <v>4280</v>
      </c>
      <c r="F682">
        <f>IF(VIPcric_1!F671="","",VIPcric_1!F671)</f>
        <v>11475</v>
      </c>
      <c r="G682">
        <f>IF(VIPcric_1!G671="","",VIPcric_1!G671)</f>
        <v>5112026298</v>
      </c>
      <c r="H682">
        <f>IF(VIPcric_1!H671="","",VIPcric_1!H671)</f>
        <v>0</v>
      </c>
      <c r="I682" t="str">
        <f>IF(VIPcric_1!M671="","",VIPcric_1!M671)</f>
        <v>CRIC-固安-市场监测.商品房市场.项目累计.供求.xlsx</v>
      </c>
    </row>
    <row r="683" spans="1:9">
      <c r="A683" t="str">
        <f>IF(VIPcric_1!A672="","",VIPcric_1!A672)</f>
        <v>2021年</v>
      </c>
      <c r="B683">
        <f>IF(VIPcric_1!B672="","",VIPcric_1!B672)</f>
        <v>0</v>
      </c>
      <c r="C683">
        <f>IF(VIPcric_1!C672="","",VIPcric_1!C672)</f>
        <v>0</v>
      </c>
      <c r="D683">
        <f>IF(VIPcric_1!D672="","",VIPcric_1!D672)</f>
        <v>477524</v>
      </c>
      <c r="E683">
        <f>IF(VIPcric_1!E672="","",VIPcric_1!E672)</f>
        <v>4710</v>
      </c>
      <c r="F683">
        <f>IF(VIPcric_1!F672="","",VIPcric_1!F672)</f>
        <v>11997</v>
      </c>
      <c r="G683">
        <f>IF(VIPcric_1!G672="","",VIPcric_1!G672)</f>
        <v>5728652676</v>
      </c>
      <c r="H683">
        <f>IF(VIPcric_1!H672="","",VIPcric_1!H672)</f>
        <v>0</v>
      </c>
      <c r="I683" t="str">
        <f>IF(VIPcric_1!M672="","",VIPcric_1!M672)</f>
        <v>CRIC-固安-市场监测.商品房市场.项目累计.供求.xlsx</v>
      </c>
    </row>
    <row r="684" spans="1:9">
      <c r="A684" t="str">
        <f>IF(VIPcric_1!A673="","",VIPcric_1!A673)</f>
        <v>2020年</v>
      </c>
      <c r="B684">
        <f>IF(VIPcric_1!B673="","",VIPcric_1!B673)</f>
        <v>0</v>
      </c>
      <c r="C684">
        <f>IF(VIPcric_1!C673="","",VIPcric_1!C673)</f>
        <v>0</v>
      </c>
      <c r="D684">
        <f>IF(VIPcric_1!D673="","",VIPcric_1!D673)</f>
        <v>739992</v>
      </c>
      <c r="E684">
        <f>IF(VIPcric_1!E673="","",VIPcric_1!E673)</f>
        <v>7384</v>
      </c>
      <c r="F684">
        <f>IF(VIPcric_1!F673="","",VIPcric_1!F673)</f>
        <v>12790</v>
      </c>
      <c r="G684">
        <f>IF(VIPcric_1!G673="","",VIPcric_1!G673)</f>
        <v>9464282160</v>
      </c>
      <c r="H684">
        <f>IF(VIPcric_1!H673="","",VIPcric_1!H673)</f>
        <v>0</v>
      </c>
      <c r="I684" t="str">
        <f>IF(VIPcric_1!M673="","",VIPcric_1!M673)</f>
        <v>CRIC-固安-市场监测.商品房市场.项目累计.供求.xlsx</v>
      </c>
    </row>
    <row r="685" spans="1:9">
      <c r="A685" t="str">
        <f>IF(VIPcric_1!A674="","",VIPcric_1!A674)</f>
        <v>2019年</v>
      </c>
      <c r="B685">
        <f>IF(VIPcric_1!B674="","",VIPcric_1!B674)</f>
        <v>0</v>
      </c>
      <c r="C685">
        <f>IF(VIPcric_1!C674="","",VIPcric_1!C674)</f>
        <v>0</v>
      </c>
      <c r="D685">
        <f>IF(VIPcric_1!D674="","",VIPcric_1!D674)</f>
        <v>906151</v>
      </c>
      <c r="E685">
        <f>IF(VIPcric_1!E674="","",VIPcric_1!E674)</f>
        <v>9546</v>
      </c>
      <c r="F685">
        <f>IF(VIPcric_1!F674="","",VIPcric_1!F674)</f>
        <v>13369</v>
      </c>
      <c r="G685">
        <f>IF(VIPcric_1!G674="","",VIPcric_1!G674)</f>
        <v>12114280645</v>
      </c>
      <c r="H685">
        <f>IF(VIPcric_1!H674="","",VIPcric_1!H674)</f>
        <v>0</v>
      </c>
      <c r="I685" t="str">
        <f>IF(VIPcric_1!M674="","",VIPcric_1!M674)</f>
        <v>CRIC-固安-市场监测.商品房市场.项目累计.供求.xlsx</v>
      </c>
    </row>
    <row r="686" spans="1:9">
      <c r="A686" t="str">
        <f>IF(VIPcric_1!A675="","",VIPcric_1!A675)</f>
        <v>2018年</v>
      </c>
      <c r="B686">
        <f>IF(VIPcric_1!B675="","",VIPcric_1!B675)</f>
        <v>0</v>
      </c>
      <c r="C686">
        <f>IF(VIPcric_1!C675="","",VIPcric_1!C675)</f>
        <v>0</v>
      </c>
      <c r="D686">
        <f>IF(VIPcric_1!D675="","",VIPcric_1!D675)</f>
        <v>298123</v>
      </c>
      <c r="E686">
        <f>IF(VIPcric_1!E675="","",VIPcric_1!E675)</f>
        <v>3152</v>
      </c>
      <c r="F686">
        <f>IF(VIPcric_1!F675="","",VIPcric_1!F675)</f>
        <v>11219</v>
      </c>
      <c r="G686">
        <f>IF(VIPcric_1!G675="","",VIPcric_1!G675)</f>
        <v>3344694560</v>
      </c>
      <c r="H686">
        <f>IF(VIPcric_1!H675="","",VIPcric_1!H675)</f>
        <v>0</v>
      </c>
      <c r="I686" t="str">
        <f>IF(VIPcric_1!M675="","",VIPcric_1!M675)</f>
        <v>CRIC-固安-市场监测.商品房市场.项目累计.供求.xlsx</v>
      </c>
    </row>
    <row r="687" spans="1:9">
      <c r="A687" t="str">
        <f>IF(VIPcric_1!A676="","",VIPcric_1!A676)</f>
        <v>汇总</v>
      </c>
      <c r="B687">
        <f>IF(VIPcric_1!B676="","",VIPcric_1!B676)</f>
        <v>0</v>
      </c>
      <c r="C687">
        <f>IF(VIPcric_1!C676="","",VIPcric_1!C676)</f>
        <v>0</v>
      </c>
      <c r="D687">
        <f>IF(VIPcric_1!D676="","",VIPcric_1!D676)</f>
        <v>3451207</v>
      </c>
      <c r="E687">
        <f>IF(VIPcric_1!E676="","",VIPcric_1!E676)</f>
        <v>34756</v>
      </c>
      <c r="F687">
        <f>IF(VIPcric_1!F676="","",VIPcric_1!F676)</f>
        <v>12205</v>
      </c>
      <c r="G687">
        <f>IF(VIPcric_1!G676="","",VIPcric_1!G676)</f>
        <v>42120470087</v>
      </c>
      <c r="H687">
        <f>IF(VIPcric_1!H676="","",VIPcric_1!H676)</f>
        <v>0</v>
      </c>
      <c r="I687" t="str">
        <f>IF(VIPcric_1!M676="","",VIPcric_1!M676)</f>
        <v>CRIC-固安-市场监测.商品房市场.项目累计.供求.xlsx</v>
      </c>
    </row>
    <row r="688" spans="1:9">
      <c r="A688" t="str">
        <f>IF(VIPcric_1!A677="","",VIPcric_1!A677)</f>
        <v/>
      </c>
      <c r="B688" t="str">
        <f>IF(VIPcric_1!B677="","",VIPcric_1!B677)</f>
        <v/>
      </c>
      <c r="C688" t="str">
        <f>IF(VIPcric_1!C677="","",VIPcric_1!C677)</f>
        <v/>
      </c>
      <c r="D688" t="str">
        <f>IF(VIPcric_1!D677="","",VIPcric_1!D677)</f>
        <v/>
      </c>
      <c r="E688" t="str">
        <f>IF(VIPcric_1!E677="","",VIPcric_1!E677)</f>
        <v/>
      </c>
      <c r="F688" t="str">
        <f>IF(VIPcric_1!F677="","",VIPcric_1!F677)</f>
        <v/>
      </c>
      <c r="G688" t="str">
        <f>IF(VIPcric_1!G677="","",VIPcric_1!G677)</f>
        <v/>
      </c>
      <c r="H688" t="str">
        <f>IF(VIPcric_1!H677="","",VIPcric_1!H677)</f>
        <v/>
      </c>
      <c r="I688" t="str">
        <f>IF(VIPcric_1!M677="","",VIPcric_1!M677)</f>
        <v/>
      </c>
    </row>
    <row r="689" spans="1:9">
      <c r="A689" t="str">
        <f>IF(VIPcric_1!A678="","",VIPcric_1!A678)</f>
        <v/>
      </c>
      <c r="B689" t="str">
        <f>IF(VIPcric_1!B678="","",VIPcric_1!B678)</f>
        <v/>
      </c>
      <c r="C689" t="str">
        <f>IF(VIPcric_1!C678="","",VIPcric_1!C678)</f>
        <v/>
      </c>
      <c r="D689" t="str">
        <f>IF(VIPcric_1!D678="","",VIPcric_1!D678)</f>
        <v/>
      </c>
      <c r="E689" t="str">
        <f>IF(VIPcric_1!E678="","",VIPcric_1!E678)</f>
        <v/>
      </c>
      <c r="F689" t="str">
        <f>IF(VIPcric_1!F678="","",VIPcric_1!F678)</f>
        <v/>
      </c>
      <c r="G689" t="str">
        <f>IF(VIPcric_1!G678="","",VIPcric_1!G678)</f>
        <v/>
      </c>
      <c r="H689" t="str">
        <f>IF(VIPcric_1!H678="","",VIPcric_1!H678)</f>
        <v/>
      </c>
      <c r="I689" t="str">
        <f>IF(VIPcric_1!M678="","",VIPcric_1!M678)</f>
        <v>CRIC-大厂-市场监测.商品房市场.项目累计.供求.xlsx</v>
      </c>
    </row>
    <row r="690" spans="1:9">
      <c r="A690" t="str">
        <f>IF(VIPcric_1!A679="","",VIPcric_1!A679)</f>
        <v>时间(年)</v>
      </c>
      <c r="B690" t="str">
        <f>IF(VIPcric_1!B679="","",VIPcric_1!B679)</f>
        <v>供应面积(㎡)</v>
      </c>
      <c r="C690" t="str">
        <f>IF(VIPcric_1!C679="","",VIPcric_1!C679)</f>
        <v>供应套数(套)</v>
      </c>
      <c r="D690" t="str">
        <f>IF(VIPcric_1!D679="","",VIPcric_1!D679)</f>
        <v>成交面积(㎡)</v>
      </c>
      <c r="E690" t="str">
        <f>IF(VIPcric_1!E679="","",VIPcric_1!E679)</f>
        <v>成交套数(套)</v>
      </c>
      <c r="F690" t="str">
        <f>IF(VIPcric_1!F679="","",VIPcric_1!F679)</f>
        <v>成交均价(元/㎡)</v>
      </c>
      <c r="G690" t="str">
        <f>IF(VIPcric_1!G679="","",VIPcric_1!G679)</f>
        <v>成交金额(元)</v>
      </c>
      <c r="H690" t="str">
        <f>IF(VIPcric_1!H679="","",VIPcric_1!H679)</f>
        <v>供求比</v>
      </c>
      <c r="I690" t="str">
        <f>IF(VIPcric_1!M679="","",VIPcric_1!M679)</f>
        <v>CRIC-大厂-市场监测.商品房市场.项目累计.供求.xlsx</v>
      </c>
    </row>
    <row r="691" spans="1:9">
      <c r="A691" t="str">
        <f>IF(VIPcric_1!A680="","",VIPcric_1!A680)</f>
        <v>2023年</v>
      </c>
      <c r="B691">
        <f>IF(VIPcric_1!B680="","",VIPcric_1!B680)</f>
        <v>0</v>
      </c>
      <c r="C691">
        <f>IF(VIPcric_1!C680="","",VIPcric_1!C680)</f>
        <v>0</v>
      </c>
      <c r="D691">
        <f>IF(VIPcric_1!D680="","",VIPcric_1!D680)</f>
        <v>295280</v>
      </c>
      <c r="E691">
        <f>IF(VIPcric_1!E680="","",VIPcric_1!E680)</f>
        <v>2894</v>
      </c>
      <c r="F691">
        <f>IF(VIPcric_1!F680="","",VIPcric_1!F680)</f>
        <v>11871</v>
      </c>
      <c r="G691">
        <f>IF(VIPcric_1!G680="","",VIPcric_1!G680)</f>
        <v>3505387338</v>
      </c>
      <c r="H691">
        <f>IF(VIPcric_1!H680="","",VIPcric_1!H680)</f>
        <v>0</v>
      </c>
      <c r="I691" t="str">
        <f>IF(VIPcric_1!M680="","",VIPcric_1!M680)</f>
        <v>CRIC-大厂-市场监测.商品房市场.项目累计.供求.xlsx</v>
      </c>
    </row>
    <row r="692" spans="1:9">
      <c r="A692" t="str">
        <f>IF(VIPcric_1!A681="","",VIPcric_1!A681)</f>
        <v>2022年</v>
      </c>
      <c r="B692">
        <f>IF(VIPcric_1!B681="","",VIPcric_1!B681)</f>
        <v>0</v>
      </c>
      <c r="C692">
        <f>IF(VIPcric_1!C681="","",VIPcric_1!C681)</f>
        <v>0</v>
      </c>
      <c r="D692">
        <f>IF(VIPcric_1!D681="","",VIPcric_1!D681)</f>
        <v>1176004</v>
      </c>
      <c r="E692">
        <f>IF(VIPcric_1!E681="","",VIPcric_1!E681)</f>
        <v>11403</v>
      </c>
      <c r="F692">
        <f>IF(VIPcric_1!F681="","",VIPcric_1!F681)</f>
        <v>12482</v>
      </c>
      <c r="G692">
        <f>IF(VIPcric_1!G681="","",VIPcric_1!G681)</f>
        <v>14678756065</v>
      </c>
      <c r="H692">
        <f>IF(VIPcric_1!H681="","",VIPcric_1!H681)</f>
        <v>0</v>
      </c>
      <c r="I692" t="str">
        <f>IF(VIPcric_1!M681="","",VIPcric_1!M681)</f>
        <v>CRIC-大厂-市场监测.商品房市场.项目累计.供求.xlsx</v>
      </c>
    </row>
    <row r="693" spans="1:9">
      <c r="A693" t="str">
        <f>IF(VIPcric_1!A682="","",VIPcric_1!A682)</f>
        <v>2021年</v>
      </c>
      <c r="B693">
        <f>IF(VIPcric_1!B682="","",VIPcric_1!B682)</f>
        <v>0</v>
      </c>
      <c r="C693">
        <f>IF(VIPcric_1!C682="","",VIPcric_1!C682)</f>
        <v>0</v>
      </c>
      <c r="D693">
        <f>IF(VIPcric_1!D682="","",VIPcric_1!D682)</f>
        <v>1125657</v>
      </c>
      <c r="E693">
        <f>IF(VIPcric_1!E682="","",VIPcric_1!E682)</f>
        <v>11335</v>
      </c>
      <c r="F693">
        <f>IF(VIPcric_1!F682="","",VIPcric_1!F682)</f>
        <v>13680</v>
      </c>
      <c r="G693">
        <f>IF(VIPcric_1!G682="","",VIPcric_1!G682)</f>
        <v>15399061640</v>
      </c>
      <c r="H693">
        <f>IF(VIPcric_1!H682="","",VIPcric_1!H682)</f>
        <v>0</v>
      </c>
      <c r="I693" t="str">
        <f>IF(VIPcric_1!M682="","",VIPcric_1!M682)</f>
        <v>CRIC-大厂-市场监测.商品房市场.项目累计.供求.xlsx</v>
      </c>
    </row>
    <row r="694" spans="1:9">
      <c r="A694" t="str">
        <f>IF(VIPcric_1!A683="","",VIPcric_1!A683)</f>
        <v>2020年</v>
      </c>
      <c r="B694">
        <f>IF(VIPcric_1!B683="","",VIPcric_1!B683)</f>
        <v>0</v>
      </c>
      <c r="C694">
        <f>IF(VIPcric_1!C683="","",VIPcric_1!C683)</f>
        <v>0</v>
      </c>
      <c r="D694">
        <f>IF(VIPcric_1!D683="","",VIPcric_1!D683)</f>
        <v>732906</v>
      </c>
      <c r="E694">
        <f>IF(VIPcric_1!E683="","",VIPcric_1!E683)</f>
        <v>7351</v>
      </c>
      <c r="F694">
        <f>IF(VIPcric_1!F683="","",VIPcric_1!F683)</f>
        <v>13271</v>
      </c>
      <c r="G694">
        <f>IF(VIPcric_1!G683="","",VIPcric_1!G683)</f>
        <v>9726321342</v>
      </c>
      <c r="H694">
        <f>IF(VIPcric_1!H683="","",VIPcric_1!H683)</f>
        <v>0</v>
      </c>
      <c r="I694" t="str">
        <f>IF(VIPcric_1!M683="","",VIPcric_1!M683)</f>
        <v>CRIC-大厂-市场监测.商品房市场.项目累计.供求.xlsx</v>
      </c>
    </row>
    <row r="695" spans="1:9">
      <c r="A695" t="str">
        <f>IF(VIPcric_1!A684="","",VIPcric_1!A684)</f>
        <v>2019年</v>
      </c>
      <c r="B695">
        <f>IF(VIPcric_1!B684="","",VIPcric_1!B684)</f>
        <v>0</v>
      </c>
      <c r="C695">
        <f>IF(VIPcric_1!C684="","",VIPcric_1!C684)</f>
        <v>0</v>
      </c>
      <c r="D695">
        <f>IF(VIPcric_1!D684="","",VIPcric_1!D684)</f>
        <v>195081</v>
      </c>
      <c r="E695">
        <f>IF(VIPcric_1!E684="","",VIPcric_1!E684)</f>
        <v>1872</v>
      </c>
      <c r="F695">
        <f>IF(VIPcric_1!F684="","",VIPcric_1!F684)</f>
        <v>11948</v>
      </c>
      <c r="G695">
        <f>IF(VIPcric_1!G684="","",VIPcric_1!G684)</f>
        <v>2330880213</v>
      </c>
      <c r="H695">
        <f>IF(VIPcric_1!H684="","",VIPcric_1!H684)</f>
        <v>0</v>
      </c>
      <c r="I695" t="str">
        <f>IF(VIPcric_1!M684="","",VIPcric_1!M684)</f>
        <v>CRIC-大厂-市场监测.商品房市场.项目累计.供求.xlsx</v>
      </c>
    </row>
    <row r="696" spans="1:9">
      <c r="A696" t="str">
        <f>IF(VIPcric_1!A685="","",VIPcric_1!A685)</f>
        <v>2018年</v>
      </c>
      <c r="B696">
        <f>IF(VIPcric_1!B685="","",VIPcric_1!B685)</f>
        <v>0</v>
      </c>
      <c r="C696">
        <f>IF(VIPcric_1!C685="","",VIPcric_1!C685)</f>
        <v>0</v>
      </c>
      <c r="D696">
        <f>IF(VIPcric_1!D685="","",VIPcric_1!D685)</f>
        <v>97180</v>
      </c>
      <c r="E696">
        <f>IF(VIPcric_1!E685="","",VIPcric_1!E685)</f>
        <v>861</v>
      </c>
      <c r="F696">
        <f>IF(VIPcric_1!F685="","",VIPcric_1!F685)</f>
        <v>11400</v>
      </c>
      <c r="G696">
        <f>IF(VIPcric_1!G685="","",VIPcric_1!G685)</f>
        <v>1107878408</v>
      </c>
      <c r="H696">
        <f>IF(VIPcric_1!H685="","",VIPcric_1!H685)</f>
        <v>0</v>
      </c>
      <c r="I696" t="str">
        <f>IF(VIPcric_1!M685="","",VIPcric_1!M685)</f>
        <v>CRIC-大厂-市场监测.商品房市场.项目累计.供求.xlsx</v>
      </c>
    </row>
    <row r="697" spans="1:9">
      <c r="A697" t="str">
        <f>IF(VIPcric_1!A686="","",VIPcric_1!A686)</f>
        <v>汇总</v>
      </c>
      <c r="B697">
        <f>IF(VIPcric_1!B686="","",VIPcric_1!B686)</f>
        <v>0</v>
      </c>
      <c r="C697">
        <f>IF(VIPcric_1!C686="","",VIPcric_1!C686)</f>
        <v>0</v>
      </c>
      <c r="D697">
        <f>IF(VIPcric_1!D686="","",VIPcric_1!D686)</f>
        <v>3622108</v>
      </c>
      <c r="E697">
        <f>IF(VIPcric_1!E686="","",VIPcric_1!E686)</f>
        <v>35716</v>
      </c>
      <c r="F697">
        <f>IF(VIPcric_1!F686="","",VIPcric_1!F686)</f>
        <v>12906</v>
      </c>
      <c r="G697">
        <f>IF(VIPcric_1!G686="","",VIPcric_1!G686)</f>
        <v>46748285007</v>
      </c>
      <c r="H697">
        <f>IF(VIPcric_1!H686="","",VIPcric_1!H686)</f>
        <v>0</v>
      </c>
      <c r="I697" t="str">
        <f>IF(VIPcric_1!M686="","",VIPcric_1!M686)</f>
        <v>CRIC-大厂-市场监测.商品房市场.项目累计.供求.xlsx</v>
      </c>
    </row>
    <row r="698" spans="1:9">
      <c r="A698" t="str">
        <f>IF(VIPcric_1!A687="","",VIPcric_1!A687)</f>
        <v/>
      </c>
      <c r="B698" t="str">
        <f>IF(VIPcric_1!B687="","",VIPcric_1!B687)</f>
        <v/>
      </c>
      <c r="C698" t="str">
        <f>IF(VIPcric_1!C687="","",VIPcric_1!C687)</f>
        <v/>
      </c>
      <c r="D698" t="str">
        <f>IF(VIPcric_1!D687="","",VIPcric_1!D687)</f>
        <v/>
      </c>
      <c r="E698" t="str">
        <f>IF(VIPcric_1!E687="","",VIPcric_1!E687)</f>
        <v/>
      </c>
      <c r="F698" t="str">
        <f>IF(VIPcric_1!F687="","",VIPcric_1!F687)</f>
        <v/>
      </c>
      <c r="G698" t="str">
        <f>IF(VIPcric_1!G687="","",VIPcric_1!G687)</f>
        <v/>
      </c>
      <c r="H698" t="str">
        <f>IF(VIPcric_1!H687="","",VIPcric_1!H687)</f>
        <v/>
      </c>
      <c r="I698" t="str">
        <f>IF(VIPcric_1!M687="","",VIPcric_1!M687)</f>
        <v/>
      </c>
    </row>
    <row r="699" spans="1:9">
      <c r="A699" t="str">
        <f>IF(VIPcric_1!A688="","",VIPcric_1!A688)</f>
        <v/>
      </c>
      <c r="B699" t="str">
        <f>IF(VIPcric_1!B688="","",VIPcric_1!B688)</f>
        <v/>
      </c>
      <c r="C699" t="str">
        <f>IF(VIPcric_1!C688="","",VIPcric_1!C688)</f>
        <v/>
      </c>
      <c r="D699" t="str">
        <f>IF(VIPcric_1!D688="","",VIPcric_1!D688)</f>
        <v/>
      </c>
      <c r="E699" t="str">
        <f>IF(VIPcric_1!E688="","",VIPcric_1!E688)</f>
        <v/>
      </c>
      <c r="F699" t="str">
        <f>IF(VIPcric_1!F688="","",VIPcric_1!F688)</f>
        <v/>
      </c>
      <c r="G699" t="str">
        <f>IF(VIPcric_1!G688="","",VIPcric_1!G688)</f>
        <v/>
      </c>
      <c r="H699" t="str">
        <f>IF(VIPcric_1!H688="","",VIPcric_1!H688)</f>
        <v/>
      </c>
      <c r="I699" t="str">
        <f>IF(VIPcric_1!M688="","",VIPcric_1!M688)</f>
        <v>CRIC-大连-市场监测.商品房市场.城市总量.xlsx</v>
      </c>
    </row>
    <row r="700" spans="1:9">
      <c r="A700" t="str">
        <f>IF(VIPcric_1!A689="","",VIPcric_1!A689)</f>
        <v>时间(年)</v>
      </c>
      <c r="B700" t="str">
        <f>IF(VIPcric_1!B689="","",VIPcric_1!B689)</f>
        <v>成交面积(㎡)</v>
      </c>
      <c r="C700" t="str">
        <f>IF(VIPcric_1!C689="","",VIPcric_1!C689)</f>
        <v>成交套数(套)</v>
      </c>
      <c r="D700" t="str">
        <f>B709</f>
        <v>供应面积(㎡)</v>
      </c>
      <c r="E700" t="s">
        <v>738</v>
      </c>
      <c r="F700" t="str">
        <f>IF(VIPcric_1!F689="","",VIPcric_1!F689)</f>
        <v/>
      </c>
      <c r="G700" t="str">
        <f>IF(VIPcric_1!G689="","",VIPcric_1!G689)</f>
        <v/>
      </c>
      <c r="H700" t="str">
        <f>IF(VIPcric_1!H689="","",VIPcric_1!H689)</f>
        <v/>
      </c>
      <c r="I700" t="str">
        <f>IF(VIPcric_1!M689="","",VIPcric_1!M689)</f>
        <v>CRIC-大连-市场监测.商品房市场.城市总量.xlsx</v>
      </c>
    </row>
    <row r="701" spans="1:9">
      <c r="A701" t="str">
        <f>IF(VIPcric_1!A690="","",VIPcric_1!A690)</f>
        <v>2023年</v>
      </c>
      <c r="B701">
        <f>IF(VIPcric_1!B690="","",VIPcric_1!B690)</f>
        <v>581370</v>
      </c>
      <c r="C701">
        <f>IF(VIPcric_1!C690="","",VIPcric_1!C690)</f>
        <v>5563</v>
      </c>
      <c r="D701">
        <f t="shared" ref="D701:D705" si="1">B710</f>
        <v>1302121</v>
      </c>
      <c r="E701" s="18">
        <f>(D702+D701-B702-B701)/B701*12</f>
        <v>27.831343206563808</v>
      </c>
      <c r="F701" t="str">
        <f>IF(VIPcric_1!F690="","",VIPcric_1!F690)</f>
        <v/>
      </c>
      <c r="G701" t="str">
        <f>IF(VIPcric_1!G690="","",VIPcric_1!G690)</f>
        <v/>
      </c>
      <c r="H701" t="str">
        <f>IF(VIPcric_1!H690="","",VIPcric_1!H690)</f>
        <v/>
      </c>
      <c r="I701" t="str">
        <f>IF(VIPcric_1!M690="","",VIPcric_1!M690)</f>
        <v>CRIC-大连-市场监测.商品房市场.城市总量.xlsx</v>
      </c>
    </row>
    <row r="702" spans="1:9">
      <c r="A702" t="str">
        <f>IF(VIPcric_1!A691="","",VIPcric_1!A691)</f>
        <v>2022年</v>
      </c>
      <c r="B702">
        <f>IF(VIPcric_1!B691="","",VIPcric_1!B691)</f>
        <v>1154319</v>
      </c>
      <c r="C702">
        <f>IF(VIPcric_1!C691="","",VIPcric_1!C691)</f>
        <v>11766</v>
      </c>
      <c r="D702">
        <f t="shared" si="1"/>
        <v>1781927</v>
      </c>
      <c r="E702" s="18">
        <f t="shared" ref="E702:E704" si="2">(D703+D702-B703-B702)/B702*12</f>
        <v>23.139461448698324</v>
      </c>
      <c r="F702" t="str">
        <f>IF(VIPcric_1!F691="","",VIPcric_1!F691)</f>
        <v/>
      </c>
      <c r="G702" t="str">
        <f>IF(VIPcric_1!G691="","",VIPcric_1!G691)</f>
        <v/>
      </c>
      <c r="H702" t="str">
        <f>IF(VIPcric_1!H691="","",VIPcric_1!H691)</f>
        <v/>
      </c>
      <c r="I702" t="str">
        <f>IF(VIPcric_1!M691="","",VIPcric_1!M691)</f>
        <v>CRIC-大连-市场监测.商品房市场.城市总量.xlsx</v>
      </c>
    </row>
    <row r="703" spans="1:9">
      <c r="A703" t="str">
        <f>IF(VIPcric_1!A692="","",VIPcric_1!A692)</f>
        <v>2021年</v>
      </c>
      <c r="B703">
        <f>IF(VIPcric_1!B692="","",VIPcric_1!B692)</f>
        <v>2272824</v>
      </c>
      <c r="C703">
        <f>IF(VIPcric_1!C692="","",VIPcric_1!C692)</f>
        <v>22687</v>
      </c>
      <c r="D703">
        <f t="shared" si="1"/>
        <v>3871076</v>
      </c>
      <c r="E703" s="18">
        <f t="shared" si="2"/>
        <v>22.136936251993113</v>
      </c>
      <c r="F703" t="str">
        <f>IF(VIPcric_1!F692="","",VIPcric_1!F692)</f>
        <v/>
      </c>
      <c r="G703" t="str">
        <f>IF(VIPcric_1!G692="","",VIPcric_1!G692)</f>
        <v/>
      </c>
      <c r="H703" t="str">
        <f>IF(VIPcric_1!H692="","",VIPcric_1!H692)</f>
        <v/>
      </c>
      <c r="I703" t="str">
        <f>IF(VIPcric_1!M692="","",VIPcric_1!M692)</f>
        <v>CRIC-大连-市场监测.商品房市场.城市总量.xlsx</v>
      </c>
    </row>
    <row r="704" spans="1:9">
      <c r="A704" t="str">
        <f>IF(VIPcric_1!A693="","",VIPcric_1!A693)</f>
        <v>2020年</v>
      </c>
      <c r="B704">
        <f>IF(VIPcric_1!B693="","",VIPcric_1!B693)</f>
        <v>1776731</v>
      </c>
      <c r="C704">
        <f>IF(VIPcric_1!C693="","",VIPcric_1!C693)</f>
        <v>16703</v>
      </c>
      <c r="D704">
        <f t="shared" si="1"/>
        <v>4371259</v>
      </c>
      <c r="E704" s="18">
        <f t="shared" si="2"/>
        <v>39.343515703840367</v>
      </c>
      <c r="F704" t="str">
        <f>IF(VIPcric_1!F693="","",VIPcric_1!F693)</f>
        <v/>
      </c>
      <c r="G704" t="str">
        <f>IF(VIPcric_1!G693="","",VIPcric_1!G693)</f>
        <v/>
      </c>
      <c r="H704" t="str">
        <f>IF(VIPcric_1!H693="","",VIPcric_1!H693)</f>
        <v/>
      </c>
      <c r="I704" t="str">
        <f>IF(VIPcric_1!M693="","",VIPcric_1!M693)</f>
        <v>CRIC-大连-市场监测.商品房市场.城市总量.xlsx</v>
      </c>
    </row>
    <row r="705" spans="1:9">
      <c r="A705" t="str">
        <f>IF(VIPcric_1!A694="","",VIPcric_1!A694)</f>
        <v>2019年</v>
      </c>
      <c r="B705">
        <f>IF(VIPcric_1!B694="","",VIPcric_1!B694)</f>
        <v>804030</v>
      </c>
      <c r="C705">
        <f>IF(VIPcric_1!C694="","",VIPcric_1!C694)</f>
        <v>7578</v>
      </c>
      <c r="D705">
        <f t="shared" si="1"/>
        <v>4034739</v>
      </c>
      <c r="F705" t="str">
        <f>IF(VIPcric_1!F694="","",VIPcric_1!F694)</f>
        <v/>
      </c>
      <c r="G705" t="str">
        <f>IF(VIPcric_1!G694="","",VIPcric_1!G694)</f>
        <v/>
      </c>
      <c r="H705" t="str">
        <f>IF(VIPcric_1!H694="","",VIPcric_1!H694)</f>
        <v/>
      </c>
      <c r="I705" t="str">
        <f>IF(VIPcric_1!M694="","",VIPcric_1!M694)</f>
        <v>CRIC-大连-市场监测.商品房市场.城市总量.xlsx</v>
      </c>
    </row>
    <row r="706" spans="1:9">
      <c r="A706" t="str">
        <f>IF(VIPcric_1!A695="","",VIPcric_1!A695)</f>
        <v>汇总</v>
      </c>
      <c r="B706">
        <f>IF(VIPcric_1!B695="","",VIPcric_1!B695)</f>
        <v>6589274</v>
      </c>
      <c r="C706">
        <f>IF(VIPcric_1!C695="","",VIPcric_1!C695)</f>
        <v>64297</v>
      </c>
      <c r="D706" t="str">
        <f>IF(VIPcric_1!D695="","",VIPcric_1!D695)</f>
        <v/>
      </c>
      <c r="E706" t="str">
        <f>IF(VIPcric_1!E695="","",VIPcric_1!E695)</f>
        <v/>
      </c>
      <c r="F706" t="str">
        <f>IF(VIPcric_1!F695="","",VIPcric_1!F695)</f>
        <v/>
      </c>
      <c r="G706" t="str">
        <f>IF(VIPcric_1!G695="","",VIPcric_1!G695)</f>
        <v/>
      </c>
      <c r="H706" t="str">
        <f>IF(VIPcric_1!H695="","",VIPcric_1!H695)</f>
        <v/>
      </c>
      <c r="I706" t="str">
        <f>IF(VIPcric_1!M695="","",VIPcric_1!M695)</f>
        <v>CRIC-大连-市场监测.商品房市场.城市总量.xlsx</v>
      </c>
    </row>
    <row r="707" spans="1:9">
      <c r="A707" t="str">
        <f>IF(VIPcric_1!A696="","",VIPcric_1!A696)</f>
        <v/>
      </c>
      <c r="B707" t="str">
        <f>IF(VIPcric_1!B696="","",VIPcric_1!B696)</f>
        <v/>
      </c>
      <c r="C707" t="str">
        <f>IF(VIPcric_1!C696="","",VIPcric_1!C696)</f>
        <v/>
      </c>
      <c r="D707" t="str">
        <f>IF(VIPcric_1!D696="","",VIPcric_1!D696)</f>
        <v/>
      </c>
      <c r="E707" t="str">
        <f>IF(VIPcric_1!E696="","",VIPcric_1!E696)</f>
        <v/>
      </c>
      <c r="F707" t="str">
        <f>IF(VIPcric_1!F696="","",VIPcric_1!F696)</f>
        <v/>
      </c>
      <c r="G707" t="str">
        <f>IF(VIPcric_1!G696="","",VIPcric_1!G696)</f>
        <v/>
      </c>
      <c r="H707" t="str">
        <f>IF(VIPcric_1!H696="","",VIPcric_1!H696)</f>
        <v/>
      </c>
      <c r="I707" t="str">
        <f>IF(VIPcric_1!M696="","",VIPcric_1!M696)</f>
        <v/>
      </c>
    </row>
    <row r="708" spans="1:9">
      <c r="A708" t="str">
        <f>IF(VIPcric_1!A697="","",VIPcric_1!A697)</f>
        <v/>
      </c>
      <c r="B708" t="str">
        <f>IF(VIPcric_1!B697="","",VIPcric_1!B697)</f>
        <v/>
      </c>
      <c r="C708" t="str">
        <f>IF(VIPcric_1!C697="","",VIPcric_1!C697)</f>
        <v/>
      </c>
      <c r="D708" t="str">
        <f>IF(VIPcric_1!D697="","",VIPcric_1!D697)</f>
        <v/>
      </c>
      <c r="E708" t="str">
        <f>IF(VIPcric_1!E697="","",VIPcric_1!E697)</f>
        <v/>
      </c>
      <c r="F708" t="str">
        <f>IF(VIPcric_1!F697="","",VIPcric_1!F697)</f>
        <v/>
      </c>
      <c r="G708" t="str">
        <f>IF(VIPcric_1!G697="","",VIPcric_1!G697)</f>
        <v/>
      </c>
      <c r="H708" t="str">
        <f>IF(VIPcric_1!H697="","",VIPcric_1!H697)</f>
        <v/>
      </c>
      <c r="I708" t="str">
        <f>IF(VIPcric_1!M697="","",VIPcric_1!M697)</f>
        <v>CRIC-大连-市场监测.商品房市场.项目累计.供求.xlsx</v>
      </c>
    </row>
    <row r="709" spans="1:9">
      <c r="A709" t="str">
        <f>IF(VIPcric_1!A698="","",VIPcric_1!A698)</f>
        <v>时间(年)</v>
      </c>
      <c r="B709" t="str">
        <f>IF(VIPcric_1!B698="","",VIPcric_1!B698)</f>
        <v>供应面积(㎡)</v>
      </c>
      <c r="C709" t="str">
        <f>IF(VIPcric_1!C698="","",VIPcric_1!C698)</f>
        <v>供应套数(套)</v>
      </c>
      <c r="D709" t="str">
        <f>IF(VIPcric_1!D698="","",VIPcric_1!D698)</f>
        <v>成交面积(㎡)</v>
      </c>
      <c r="E709" t="str">
        <f>IF(VIPcric_1!E698="","",VIPcric_1!E698)</f>
        <v>成交套数(套)</v>
      </c>
      <c r="F709" t="str">
        <f>IF(VIPcric_1!F698="","",VIPcric_1!F698)</f>
        <v>成交均价(元/㎡)</v>
      </c>
      <c r="G709" t="str">
        <f>IF(VIPcric_1!G698="","",VIPcric_1!G698)</f>
        <v>成交金额(元)</v>
      </c>
      <c r="H709" t="str">
        <f>IF(VIPcric_1!H698="","",VIPcric_1!H698)</f>
        <v>供求比</v>
      </c>
      <c r="I709" t="str">
        <f>IF(VIPcric_1!M698="","",VIPcric_1!M698)</f>
        <v>CRIC-大连-市场监测.商品房市场.项目累计.供求.xlsx</v>
      </c>
    </row>
    <row r="710" spans="1:9">
      <c r="A710" t="str">
        <f>IF(VIPcric_1!A699="","",VIPcric_1!A699)</f>
        <v>2023年</v>
      </c>
      <c r="B710">
        <f>IF(VIPcric_1!B699="","",VIPcric_1!B699)</f>
        <v>1302121</v>
      </c>
      <c r="C710">
        <f>IF(VIPcric_1!C699="","",VIPcric_1!C699)</f>
        <v>13379</v>
      </c>
      <c r="D710">
        <f>IF(VIPcric_1!D699="","",VIPcric_1!D699)</f>
        <v>1796878</v>
      </c>
      <c r="E710">
        <f>IF(VIPcric_1!E699="","",VIPcric_1!E699)</f>
        <v>18326</v>
      </c>
      <c r="F710">
        <f>IF(VIPcric_1!F699="","",VIPcric_1!F699)</f>
        <v>13826</v>
      </c>
      <c r="G710">
        <f>IF(VIPcric_1!G699="","",VIPcric_1!G699)</f>
        <v>24843424900</v>
      </c>
      <c r="H710">
        <f>IF(VIPcric_1!H699="","",VIPcric_1!H699)</f>
        <v>0.72</v>
      </c>
      <c r="I710" t="str">
        <f>IF(VIPcric_1!M699="","",VIPcric_1!M699)</f>
        <v>CRIC-大连-市场监测.商品房市场.项目累计.供求.xlsx</v>
      </c>
    </row>
    <row r="711" spans="1:9">
      <c r="A711" t="str">
        <f>IF(VIPcric_1!A700="","",VIPcric_1!A700)</f>
        <v>2022年</v>
      </c>
      <c r="B711">
        <f>IF(VIPcric_1!B700="","",VIPcric_1!B700)</f>
        <v>1781927</v>
      </c>
      <c r="C711">
        <f>IF(VIPcric_1!C700="","",VIPcric_1!C700)</f>
        <v>17688</v>
      </c>
      <c r="D711">
        <f>IF(VIPcric_1!D700="","",VIPcric_1!D700)</f>
        <v>2358425</v>
      </c>
      <c r="E711">
        <f>IF(VIPcric_1!E700="","",VIPcric_1!E700)</f>
        <v>24113</v>
      </c>
      <c r="F711">
        <f>IF(VIPcric_1!F700="","",VIPcric_1!F700)</f>
        <v>15391</v>
      </c>
      <c r="G711">
        <f>IF(VIPcric_1!G700="","",VIPcric_1!G700)</f>
        <v>36298696345</v>
      </c>
      <c r="H711">
        <f>IF(VIPcric_1!H700="","",VIPcric_1!H700)</f>
        <v>0.76</v>
      </c>
      <c r="I711" t="str">
        <f>IF(VIPcric_1!M700="","",VIPcric_1!M700)</f>
        <v>CRIC-大连-市场监测.商品房市场.项目累计.供求.xlsx</v>
      </c>
    </row>
    <row r="712" spans="1:9">
      <c r="A712" t="str">
        <f>IF(VIPcric_1!A701="","",VIPcric_1!A701)</f>
        <v>2021年</v>
      </c>
      <c r="B712">
        <f>IF(VIPcric_1!B701="","",VIPcric_1!B701)</f>
        <v>3871076</v>
      </c>
      <c r="C712">
        <f>IF(VIPcric_1!C701="","",VIPcric_1!C701)</f>
        <v>38975</v>
      </c>
      <c r="D712">
        <f>IF(VIPcric_1!D701="","",VIPcric_1!D701)</f>
        <v>4138862</v>
      </c>
      <c r="E712">
        <f>IF(VIPcric_1!E701="","",VIPcric_1!E701)</f>
        <v>42794</v>
      </c>
      <c r="F712">
        <f>IF(VIPcric_1!F701="","",VIPcric_1!F701)</f>
        <v>16449</v>
      </c>
      <c r="G712">
        <f>IF(VIPcric_1!G701="","",VIPcric_1!G701)</f>
        <v>68081236898</v>
      </c>
      <c r="H712">
        <f>IF(VIPcric_1!H701="","",VIPcric_1!H701)</f>
        <v>0.94</v>
      </c>
      <c r="I712" t="str">
        <f>IF(VIPcric_1!M701="","",VIPcric_1!M701)</f>
        <v>CRIC-大连-市场监测.商品房市场.项目累计.供求.xlsx</v>
      </c>
    </row>
    <row r="713" spans="1:9">
      <c r="A713" t="str">
        <f>IF(VIPcric_1!A702="","",VIPcric_1!A702)</f>
        <v>2020年</v>
      </c>
      <c r="B713">
        <f>IF(VIPcric_1!B702="","",VIPcric_1!B702)</f>
        <v>4371259</v>
      </c>
      <c r="C713">
        <f>IF(VIPcric_1!C702="","",VIPcric_1!C702)</f>
        <v>45360</v>
      </c>
      <c r="D713">
        <f>IF(VIPcric_1!D702="","",VIPcric_1!D702)</f>
        <v>4076549</v>
      </c>
      <c r="E713">
        <f>IF(VIPcric_1!E702="","",VIPcric_1!E702)</f>
        <v>40846</v>
      </c>
      <c r="F713">
        <f>IF(VIPcric_1!F702="","",VIPcric_1!F702)</f>
        <v>15810</v>
      </c>
      <c r="G713">
        <f>IF(VIPcric_1!G702="","",VIPcric_1!G702)</f>
        <v>64449116162</v>
      </c>
      <c r="H713">
        <f>IF(VIPcric_1!H702="","",VIPcric_1!H702)</f>
        <v>1.07</v>
      </c>
      <c r="I713" t="str">
        <f>IF(VIPcric_1!M702="","",VIPcric_1!M702)</f>
        <v>CRIC-大连-市场监测.商品房市场.项目累计.供求.xlsx</v>
      </c>
    </row>
    <row r="714" spans="1:9">
      <c r="A714" t="str">
        <f>IF(VIPcric_1!A703="","",VIPcric_1!A703)</f>
        <v>2019年</v>
      </c>
      <c r="B714">
        <f>IF(VIPcric_1!B703="","",VIPcric_1!B703)</f>
        <v>4034739</v>
      </c>
      <c r="C714">
        <f>IF(VIPcric_1!C703="","",VIPcric_1!C703)</f>
        <v>41135</v>
      </c>
      <c r="D714">
        <f>IF(VIPcric_1!D703="","",VIPcric_1!D703)</f>
        <v>4719069</v>
      </c>
      <c r="E714">
        <f>IF(VIPcric_1!E703="","",VIPcric_1!E703)</f>
        <v>47681</v>
      </c>
      <c r="F714">
        <f>IF(VIPcric_1!F703="","",VIPcric_1!F703)</f>
        <v>13760</v>
      </c>
      <c r="G714">
        <f>IF(VIPcric_1!G703="","",VIPcric_1!G703)</f>
        <v>64936470733</v>
      </c>
      <c r="H714">
        <f>IF(VIPcric_1!H703="","",VIPcric_1!H703)</f>
        <v>0.85</v>
      </c>
      <c r="I714" t="str">
        <f>IF(VIPcric_1!M703="","",VIPcric_1!M703)</f>
        <v>CRIC-大连-市场监测.商品房市场.项目累计.供求.xlsx</v>
      </c>
    </row>
    <row r="715" spans="1:9">
      <c r="A715" t="str">
        <f>IF(VIPcric_1!A704="","",VIPcric_1!A704)</f>
        <v>汇总</v>
      </c>
      <c r="B715">
        <f>IF(VIPcric_1!B704="","",VIPcric_1!B704)</f>
        <v>15361122</v>
      </c>
      <c r="C715">
        <f>IF(VIPcric_1!C704="","",VIPcric_1!C704)</f>
        <v>156537</v>
      </c>
      <c r="D715">
        <f>IF(VIPcric_1!D704="","",VIPcric_1!D704)</f>
        <v>17089783</v>
      </c>
      <c r="E715">
        <f>IF(VIPcric_1!E704="","",VIPcric_1!E704)</f>
        <v>173760</v>
      </c>
      <c r="F715">
        <f>IF(VIPcric_1!F704="","",VIPcric_1!F704)</f>
        <v>15132</v>
      </c>
      <c r="G715">
        <f>IF(VIPcric_1!G704="","",VIPcric_1!G704)</f>
        <v>258608945037</v>
      </c>
      <c r="H715">
        <f>IF(VIPcric_1!H704="","",VIPcric_1!H704)</f>
        <v>0.9</v>
      </c>
      <c r="I715" t="str">
        <f>IF(VIPcric_1!M704="","",VIPcric_1!M704)</f>
        <v>CRIC-大连-市场监测.商品房市场.项目累计.供求.xlsx</v>
      </c>
    </row>
    <row r="716" spans="1:9">
      <c r="A716" t="str">
        <f>IF(VIPcric_1!A705="","",VIPcric_1!A705)</f>
        <v/>
      </c>
      <c r="B716" t="str">
        <f>IF(VIPcric_1!B705="","",VIPcric_1!B705)</f>
        <v/>
      </c>
      <c r="C716" t="str">
        <f>IF(VIPcric_1!C705="","",VIPcric_1!C705)</f>
        <v/>
      </c>
      <c r="D716" t="str">
        <f>IF(VIPcric_1!D705="","",VIPcric_1!D705)</f>
        <v/>
      </c>
      <c r="E716" t="str">
        <f>IF(VIPcric_1!E705="","",VIPcric_1!E705)</f>
        <v/>
      </c>
      <c r="F716" t="str">
        <f>IF(VIPcric_1!F705="","",VIPcric_1!F705)</f>
        <v/>
      </c>
      <c r="G716" t="str">
        <f>IF(VIPcric_1!G705="","",VIPcric_1!G705)</f>
        <v/>
      </c>
      <c r="H716" t="str">
        <f>IF(VIPcric_1!H705="","",VIPcric_1!H705)</f>
        <v/>
      </c>
      <c r="I716" t="str">
        <f>IF(VIPcric_1!M705="","",VIPcric_1!M705)</f>
        <v/>
      </c>
    </row>
    <row r="717" spans="1:9">
      <c r="A717" t="str">
        <f>IF(VIPcric_1!A706="","",VIPcric_1!A706)</f>
        <v/>
      </c>
      <c r="B717" t="str">
        <f>IF(VIPcric_1!B706="","",VIPcric_1!B706)</f>
        <v/>
      </c>
      <c r="C717" t="str">
        <f>IF(VIPcric_1!C706="","",VIPcric_1!C706)</f>
        <v/>
      </c>
      <c r="D717" t="str">
        <f>IF(VIPcric_1!D706="","",VIPcric_1!D706)</f>
        <v/>
      </c>
      <c r="E717" t="str">
        <f>IF(VIPcric_1!E706="","",VIPcric_1!E706)</f>
        <v/>
      </c>
      <c r="F717" t="str">
        <f>IF(VIPcric_1!F706="","",VIPcric_1!F706)</f>
        <v/>
      </c>
      <c r="G717" t="str">
        <f>IF(VIPcric_1!G706="","",VIPcric_1!G706)</f>
        <v/>
      </c>
      <c r="H717" t="str">
        <f>IF(VIPcric_1!H706="","",VIPcric_1!H706)</f>
        <v/>
      </c>
      <c r="I717" t="str">
        <f>IF(VIPcric_1!M706="","",VIPcric_1!M706)</f>
        <v>CRIC-天水-市场监测.商品房市场.项目累计.供求.xlsx</v>
      </c>
    </row>
    <row r="718" spans="1:9">
      <c r="A718" t="str">
        <f>IF(VIPcric_1!A707="","",VIPcric_1!A707)</f>
        <v>时间(年)</v>
      </c>
      <c r="B718" t="str">
        <f>IF(VIPcric_1!B707="","",VIPcric_1!B707)</f>
        <v>供应面积(㎡)</v>
      </c>
      <c r="C718" t="str">
        <f>IF(VIPcric_1!C707="","",VIPcric_1!C707)</f>
        <v>供应套数(套)</v>
      </c>
      <c r="D718" t="str">
        <f>IF(VIPcric_1!D707="","",VIPcric_1!D707)</f>
        <v>成交面积(㎡)</v>
      </c>
      <c r="E718" t="str">
        <f>IF(VIPcric_1!E707="","",VIPcric_1!E707)</f>
        <v>成交套数(套)</v>
      </c>
      <c r="F718" t="str">
        <f>IF(VIPcric_1!F707="","",VIPcric_1!F707)</f>
        <v>成交均价(元/㎡)</v>
      </c>
      <c r="G718" t="str">
        <f>IF(VIPcric_1!G707="","",VIPcric_1!G707)</f>
        <v>成交金额(元)</v>
      </c>
      <c r="H718" t="str">
        <f>IF(VIPcric_1!H707="","",VIPcric_1!H707)</f>
        <v>供求比</v>
      </c>
      <c r="I718" t="str">
        <f>IF(VIPcric_1!M707="","",VIPcric_1!M707)</f>
        <v>CRIC-天水-市场监测.商品房市场.项目累计.供求.xlsx</v>
      </c>
    </row>
    <row r="719" spans="1:9">
      <c r="A719" t="str">
        <f>IF(VIPcric_1!A708="","",VIPcric_1!A708)</f>
        <v>2023年</v>
      </c>
      <c r="B719">
        <f>IF(VIPcric_1!B708="","",VIPcric_1!B708)</f>
        <v>691508</v>
      </c>
      <c r="C719">
        <f>IF(VIPcric_1!C708="","",VIPcric_1!C708)</f>
        <v>6407</v>
      </c>
      <c r="D719">
        <f>IF(VIPcric_1!D708="","",VIPcric_1!D708)</f>
        <v>564623</v>
      </c>
      <c r="E719">
        <f>IF(VIPcric_1!E708="","",VIPcric_1!E708)</f>
        <v>5164</v>
      </c>
      <c r="F719">
        <f>IF(VIPcric_1!F708="","",VIPcric_1!F708)</f>
        <v>8149</v>
      </c>
      <c r="G719">
        <f>IF(VIPcric_1!G708="","",VIPcric_1!G708)</f>
        <v>4601391750</v>
      </c>
      <c r="H719">
        <f>IF(VIPcric_1!H708="","",VIPcric_1!H708)</f>
        <v>1.22</v>
      </c>
      <c r="I719" t="str">
        <f>IF(VIPcric_1!M708="","",VIPcric_1!M708)</f>
        <v>CRIC-天水-市场监测.商品房市场.项目累计.供求.xlsx</v>
      </c>
    </row>
    <row r="720" spans="1:9">
      <c r="A720" t="str">
        <f>IF(VIPcric_1!A709="","",VIPcric_1!A709)</f>
        <v>2022年</v>
      </c>
      <c r="B720">
        <f>IF(VIPcric_1!B709="","",VIPcric_1!B709)</f>
        <v>875826</v>
      </c>
      <c r="C720">
        <f>IF(VIPcric_1!C709="","",VIPcric_1!C709)</f>
        <v>8105</v>
      </c>
      <c r="D720">
        <f>IF(VIPcric_1!D709="","",VIPcric_1!D709)</f>
        <v>512188</v>
      </c>
      <c r="E720">
        <f>IF(VIPcric_1!E709="","",VIPcric_1!E709)</f>
        <v>4616</v>
      </c>
      <c r="F720">
        <f>IF(VIPcric_1!F709="","",VIPcric_1!F709)</f>
        <v>8551</v>
      </c>
      <c r="G720">
        <f>IF(VIPcric_1!G709="","",VIPcric_1!G709)</f>
        <v>4379691946</v>
      </c>
      <c r="H720">
        <f>IF(VIPcric_1!H709="","",VIPcric_1!H709)</f>
        <v>1.71</v>
      </c>
      <c r="I720" t="str">
        <f>IF(VIPcric_1!M709="","",VIPcric_1!M709)</f>
        <v>CRIC-天水-市场监测.商品房市场.项目累计.供求.xlsx</v>
      </c>
    </row>
    <row r="721" spans="1:9">
      <c r="A721" t="str">
        <f>IF(VIPcric_1!A710="","",VIPcric_1!A710)</f>
        <v>2021年</v>
      </c>
      <c r="B721">
        <f>IF(VIPcric_1!B710="","",VIPcric_1!B710)</f>
        <v>1846211</v>
      </c>
      <c r="C721">
        <f>IF(VIPcric_1!C710="","",VIPcric_1!C710)</f>
        <v>16700</v>
      </c>
      <c r="D721">
        <f>IF(VIPcric_1!D710="","",VIPcric_1!D710)</f>
        <v>634711</v>
      </c>
      <c r="E721">
        <f>IF(VIPcric_1!E710="","",VIPcric_1!E710)</f>
        <v>5829</v>
      </c>
      <c r="F721">
        <f>IF(VIPcric_1!F710="","",VIPcric_1!F710)</f>
        <v>7753</v>
      </c>
      <c r="G721">
        <f>IF(VIPcric_1!G710="","",VIPcric_1!G710)</f>
        <v>4920676570</v>
      </c>
      <c r="H721">
        <f>IF(VIPcric_1!H710="","",VIPcric_1!H710)</f>
        <v>2.91</v>
      </c>
      <c r="I721" t="str">
        <f>IF(VIPcric_1!M710="","",VIPcric_1!M710)</f>
        <v>CRIC-天水-市场监测.商品房市场.项目累计.供求.xlsx</v>
      </c>
    </row>
    <row r="722" spans="1:9">
      <c r="A722" t="str">
        <f>IF(VIPcric_1!A711="","",VIPcric_1!A711)</f>
        <v>2020年</v>
      </c>
      <c r="B722">
        <f>IF(VIPcric_1!B711="","",VIPcric_1!B711)</f>
        <v>2161248</v>
      </c>
      <c r="C722">
        <f>IF(VIPcric_1!C711="","",VIPcric_1!C711)</f>
        <v>19393</v>
      </c>
      <c r="D722">
        <f>IF(VIPcric_1!D711="","",VIPcric_1!D711)</f>
        <v>0</v>
      </c>
      <c r="E722">
        <f>IF(VIPcric_1!E711="","",VIPcric_1!E711)</f>
        <v>0</v>
      </c>
      <c r="F722">
        <f>IF(VIPcric_1!F711="","",VIPcric_1!F711)</f>
        <v>0</v>
      </c>
      <c r="G722">
        <f>IF(VIPcric_1!G711="","",VIPcric_1!G711)</f>
        <v>0</v>
      </c>
      <c r="H722">
        <f>IF(VIPcric_1!H711="","",VIPcric_1!H711)</f>
        <v>0</v>
      </c>
      <c r="I722" t="str">
        <f>IF(VIPcric_1!M711="","",VIPcric_1!M711)</f>
        <v>CRIC-天水-市场监测.商品房市场.项目累计.供求.xlsx</v>
      </c>
    </row>
    <row r="723" spans="1:9">
      <c r="A723" t="str">
        <f>IF(VIPcric_1!A712="","",VIPcric_1!A712)</f>
        <v>2019年</v>
      </c>
      <c r="B723">
        <f>IF(VIPcric_1!B712="","",VIPcric_1!B712)</f>
        <v>1907108</v>
      </c>
      <c r="C723">
        <f>IF(VIPcric_1!C712="","",VIPcric_1!C712)</f>
        <v>16540</v>
      </c>
      <c r="D723">
        <f>IF(VIPcric_1!D712="","",VIPcric_1!D712)</f>
        <v>0</v>
      </c>
      <c r="E723">
        <f>IF(VIPcric_1!E712="","",VIPcric_1!E712)</f>
        <v>0</v>
      </c>
      <c r="F723">
        <f>IF(VIPcric_1!F712="","",VIPcric_1!F712)</f>
        <v>0</v>
      </c>
      <c r="G723">
        <f>IF(VIPcric_1!G712="","",VIPcric_1!G712)</f>
        <v>0</v>
      </c>
      <c r="H723">
        <f>IF(VIPcric_1!H712="","",VIPcric_1!H712)</f>
        <v>0</v>
      </c>
      <c r="I723" t="str">
        <f>IF(VIPcric_1!M712="","",VIPcric_1!M712)</f>
        <v>CRIC-天水-市场监测.商品房市场.项目累计.供求.xlsx</v>
      </c>
    </row>
    <row r="724" spans="1:9">
      <c r="A724" t="str">
        <f>IF(VIPcric_1!A713="","",VIPcric_1!A713)</f>
        <v>汇总</v>
      </c>
      <c r="B724">
        <f>IF(VIPcric_1!B713="","",VIPcric_1!B713)</f>
        <v>7481901</v>
      </c>
      <c r="C724">
        <f>IF(VIPcric_1!C713="","",VIPcric_1!C713)</f>
        <v>67145</v>
      </c>
      <c r="D724">
        <f>IF(VIPcric_1!D713="","",VIPcric_1!D713)</f>
        <v>1711521</v>
      </c>
      <c r="E724">
        <f>IF(VIPcric_1!E713="","",VIPcric_1!E713)</f>
        <v>15609</v>
      </c>
      <c r="F724">
        <f>IF(VIPcric_1!F713="","",VIPcric_1!F713)</f>
        <v>8122</v>
      </c>
      <c r="G724">
        <f>IF(VIPcric_1!G713="","",VIPcric_1!G713)</f>
        <v>13901760266</v>
      </c>
      <c r="H724">
        <f>IF(VIPcric_1!H713="","",VIPcric_1!H713)</f>
        <v>4.37</v>
      </c>
      <c r="I724" t="str">
        <f>IF(VIPcric_1!M713="","",VIPcric_1!M713)</f>
        <v>CRIC-天水-市场监测.商品房市场.项目累计.供求.xlsx</v>
      </c>
    </row>
    <row r="725" spans="1:9">
      <c r="A725" t="str">
        <f>IF(VIPcric_1!A714="","",VIPcric_1!A714)</f>
        <v/>
      </c>
      <c r="B725" t="str">
        <f>IF(VIPcric_1!B714="","",VIPcric_1!B714)</f>
        <v/>
      </c>
      <c r="C725" t="str">
        <f>IF(VIPcric_1!C714="","",VIPcric_1!C714)</f>
        <v/>
      </c>
      <c r="D725" t="str">
        <f>IF(VIPcric_1!D714="","",VIPcric_1!D714)</f>
        <v/>
      </c>
      <c r="E725" t="str">
        <f>IF(VIPcric_1!E714="","",VIPcric_1!E714)</f>
        <v/>
      </c>
      <c r="F725" t="str">
        <f>IF(VIPcric_1!F714="","",VIPcric_1!F714)</f>
        <v/>
      </c>
      <c r="G725" t="str">
        <f>IF(VIPcric_1!G714="","",VIPcric_1!G714)</f>
        <v/>
      </c>
      <c r="H725" t="str">
        <f>IF(VIPcric_1!H714="","",VIPcric_1!H714)</f>
        <v/>
      </c>
      <c r="I725" t="str">
        <f>IF(VIPcric_1!M714="","",VIPcric_1!M714)</f>
        <v/>
      </c>
    </row>
    <row r="726" spans="1:9">
      <c r="A726" t="str">
        <f>IF(VIPcric_1!A715="","",VIPcric_1!A715)</f>
        <v/>
      </c>
      <c r="B726" t="str">
        <f>IF(VIPcric_1!B715="","",VIPcric_1!B715)</f>
        <v/>
      </c>
      <c r="C726" t="str">
        <f>IF(VIPcric_1!C715="","",VIPcric_1!C715)</f>
        <v/>
      </c>
      <c r="D726" t="str">
        <f>IF(VIPcric_1!D715="","",VIPcric_1!D715)</f>
        <v/>
      </c>
      <c r="E726" t="str">
        <f>IF(VIPcric_1!E715="","",VIPcric_1!E715)</f>
        <v/>
      </c>
      <c r="F726" t="str">
        <f>IF(VIPcric_1!F715="","",VIPcric_1!F715)</f>
        <v/>
      </c>
      <c r="G726" t="str">
        <f>IF(VIPcric_1!G715="","",VIPcric_1!G715)</f>
        <v/>
      </c>
      <c r="H726" t="str">
        <f>IF(VIPcric_1!H715="","",VIPcric_1!H715)</f>
        <v/>
      </c>
      <c r="I726" t="str">
        <f>IF(VIPcric_1!M715="","",VIPcric_1!M715)</f>
        <v>CRIC-天水-市场监测.商品房市场.项目累计.库存.xlsx</v>
      </c>
    </row>
    <row r="727" spans="1:9">
      <c r="A727" t="str">
        <f>IF(VIPcric_1!A716="","",VIPcric_1!A716)</f>
        <v>时间(年)</v>
      </c>
      <c r="B727" t="str">
        <f>IF(VIPcric_1!B716="","",VIPcric_1!B716)</f>
        <v>库存面积(㎡)</v>
      </c>
      <c r="C727" t="str">
        <f>IF(VIPcric_1!C716="","",VIPcric_1!C716)</f>
        <v>库存套数(套)</v>
      </c>
      <c r="D727" t="str">
        <f>IF(VIPcric_1!D716="","",VIPcric_1!D716)</f>
        <v>去化周期12'(月)</v>
      </c>
      <c r="E727" t="str">
        <f>IF(VIPcric_1!E716="","",VIPcric_1!E716)</f>
        <v>去化周期24'(月)</v>
      </c>
      <c r="F727" t="str">
        <f>IF(VIPcric_1!F716="","",VIPcric_1!F716)</f>
        <v/>
      </c>
      <c r="G727" t="str">
        <f>IF(VIPcric_1!G716="","",VIPcric_1!G716)</f>
        <v/>
      </c>
      <c r="H727" t="str">
        <f>IF(VIPcric_1!H716="","",VIPcric_1!H716)</f>
        <v/>
      </c>
      <c r="I727" t="str">
        <f>IF(VIPcric_1!M716="","",VIPcric_1!M716)</f>
        <v>CRIC-天水-市场监测.商品房市场.项目累计.库存.xlsx</v>
      </c>
    </row>
    <row r="728" spans="1:9">
      <c r="A728" t="str">
        <f>IF(VIPcric_1!A717="","",VIPcric_1!A717)</f>
        <v>2024年</v>
      </c>
      <c r="B728">
        <f>IF(VIPcric_1!B717="","",VIPcric_1!B717)</f>
        <v>4131536</v>
      </c>
      <c r="C728">
        <f>IF(VIPcric_1!C717="","",VIPcric_1!C717)</f>
        <v>40004</v>
      </c>
      <c r="D728">
        <f>IF(VIPcric_1!D717="","",VIPcric_1!D717)</f>
        <v>88.6</v>
      </c>
      <c r="E728">
        <f>IF(VIPcric_1!E717="","",VIPcric_1!E717)</f>
        <v>94.8</v>
      </c>
      <c r="F728" t="str">
        <f>IF(VIPcric_1!F717="","",VIPcric_1!F717)</f>
        <v/>
      </c>
      <c r="G728" t="str">
        <f>IF(VIPcric_1!G717="","",VIPcric_1!G717)</f>
        <v/>
      </c>
      <c r="H728" t="str">
        <f>IF(VIPcric_1!H717="","",VIPcric_1!H717)</f>
        <v/>
      </c>
      <c r="I728" t="str">
        <f>IF(VIPcric_1!M717="","",VIPcric_1!M717)</f>
        <v>CRIC-天水-市场监测.商品房市场.项目累计.库存.xlsx</v>
      </c>
    </row>
    <row r="729" spans="1:9">
      <c r="A729" t="str">
        <f>IF(VIPcric_1!A718="","",VIPcric_1!A718)</f>
        <v>2023年</v>
      </c>
      <c r="B729">
        <f>IF(VIPcric_1!B718="","",VIPcric_1!B718)</f>
        <v>4110907</v>
      </c>
      <c r="C729">
        <f>IF(VIPcric_1!C718="","",VIPcric_1!C718)</f>
        <v>39847</v>
      </c>
      <c r="D729">
        <f>IF(VIPcric_1!D718="","",VIPcric_1!D718)</f>
        <v>87.4</v>
      </c>
      <c r="E729">
        <f>IF(VIPcric_1!E718="","",VIPcric_1!E718)</f>
        <v>91.6</v>
      </c>
      <c r="F729" t="str">
        <f>IF(VIPcric_1!F718="","",VIPcric_1!F718)</f>
        <v/>
      </c>
      <c r="G729" t="str">
        <f>IF(VIPcric_1!G718="","",VIPcric_1!G718)</f>
        <v/>
      </c>
      <c r="H729" t="str">
        <f>IF(VIPcric_1!H718="","",VIPcric_1!H718)</f>
        <v/>
      </c>
      <c r="I729" t="str">
        <f>IF(VIPcric_1!M718="","",VIPcric_1!M718)</f>
        <v>CRIC-天水-市场监测.商品房市场.项目累计.库存.xlsx</v>
      </c>
    </row>
    <row r="730" spans="1:9">
      <c r="A730" t="str">
        <f>IF(VIPcric_1!A719="","",VIPcric_1!A719)</f>
        <v>2022年</v>
      </c>
      <c r="B730">
        <f>IF(VIPcric_1!B719="","",VIPcric_1!B719)</f>
        <v>3844705</v>
      </c>
      <c r="C730">
        <f>IF(VIPcric_1!C719="","",VIPcric_1!C719)</f>
        <v>37593</v>
      </c>
      <c r="D730">
        <f>IF(VIPcric_1!D719="","",VIPcric_1!D719)</f>
        <v>90.1</v>
      </c>
      <c r="E730">
        <f>IF(VIPcric_1!E719="","",VIPcric_1!E719)</f>
        <v>80.5</v>
      </c>
      <c r="F730" t="str">
        <f>IF(VIPcric_1!F719="","",VIPcric_1!F719)</f>
        <v/>
      </c>
      <c r="G730" t="str">
        <f>IF(VIPcric_1!G719="","",VIPcric_1!G719)</f>
        <v/>
      </c>
      <c r="H730" t="str">
        <f>IF(VIPcric_1!H719="","",VIPcric_1!H719)</f>
        <v/>
      </c>
      <c r="I730" t="str">
        <f>IF(VIPcric_1!M719="","",VIPcric_1!M719)</f>
        <v>CRIC-天水-市场监测.商品房市场.项目累计.库存.xlsx</v>
      </c>
    </row>
    <row r="731" spans="1:9">
      <c r="A731" t="str">
        <f>IF(VIPcric_1!A720="","",VIPcric_1!A720)</f>
        <v>2021年</v>
      </c>
      <c r="B731">
        <f>IF(VIPcric_1!B720="","",VIPcric_1!B720)</f>
        <v>3977480</v>
      </c>
      <c r="C731">
        <f>IF(VIPcric_1!C720="","",VIPcric_1!C720)</f>
        <v>38092</v>
      </c>
      <c r="D731">
        <f>IF(VIPcric_1!D720="","",VIPcric_1!D720)</f>
        <v>75.2</v>
      </c>
      <c r="E731">
        <f>IF(VIPcric_1!E720="","",VIPcric_1!E720)</f>
        <v>150.4</v>
      </c>
      <c r="F731" t="str">
        <f>IF(VIPcric_1!F720="","",VIPcric_1!F720)</f>
        <v/>
      </c>
      <c r="G731" t="str">
        <f>IF(VIPcric_1!G720="","",VIPcric_1!G720)</f>
        <v/>
      </c>
      <c r="H731" t="str">
        <f>IF(VIPcric_1!H720="","",VIPcric_1!H720)</f>
        <v/>
      </c>
      <c r="I731" t="str">
        <f>IF(VIPcric_1!M720="","",VIPcric_1!M720)</f>
        <v>CRIC-天水-市场监测.商品房市场.项目累计.库存.xlsx</v>
      </c>
    </row>
    <row r="732" spans="1:9">
      <c r="A732" t="str">
        <f>IF(VIPcric_1!A721="","",VIPcric_1!A721)</f>
        <v/>
      </c>
      <c r="B732" t="str">
        <f>IF(VIPcric_1!B721="","",VIPcric_1!B721)</f>
        <v/>
      </c>
      <c r="C732" t="str">
        <f>IF(VIPcric_1!C721="","",VIPcric_1!C721)</f>
        <v/>
      </c>
      <c r="D732" t="str">
        <f>IF(VIPcric_1!D721="","",VIPcric_1!D721)</f>
        <v/>
      </c>
      <c r="E732" t="str">
        <f>IF(VIPcric_1!E721="","",VIPcric_1!E721)</f>
        <v/>
      </c>
      <c r="F732" t="str">
        <f>IF(VIPcric_1!F721="","",VIPcric_1!F721)</f>
        <v/>
      </c>
      <c r="G732" t="str">
        <f>IF(VIPcric_1!G721="","",VIPcric_1!G721)</f>
        <v/>
      </c>
      <c r="H732" t="str">
        <f>IF(VIPcric_1!H721="","",VIPcric_1!H721)</f>
        <v/>
      </c>
      <c r="I732" t="str">
        <f>IF(VIPcric_1!M721="","",VIPcric_1!M721)</f>
        <v/>
      </c>
    </row>
    <row r="733" spans="1:9">
      <c r="A733" t="str">
        <f>IF(VIPcric_1!A722="","",VIPcric_1!A722)</f>
        <v/>
      </c>
      <c r="B733" t="str">
        <f>IF(VIPcric_1!B722="","",VIPcric_1!B722)</f>
        <v/>
      </c>
      <c r="C733" t="str">
        <f>IF(VIPcric_1!C722="","",VIPcric_1!C722)</f>
        <v/>
      </c>
      <c r="D733" t="str">
        <f>IF(VIPcric_1!D722="","",VIPcric_1!D722)</f>
        <v/>
      </c>
      <c r="E733" t="str">
        <f>IF(VIPcric_1!E722="","",VIPcric_1!E722)</f>
        <v/>
      </c>
      <c r="F733" t="str">
        <f>IF(VIPcric_1!F722="","",VIPcric_1!F722)</f>
        <v/>
      </c>
      <c r="G733" t="str">
        <f>IF(VIPcric_1!G722="","",VIPcric_1!G722)</f>
        <v/>
      </c>
      <c r="H733" t="str">
        <f>IF(VIPcric_1!H722="","",VIPcric_1!H722)</f>
        <v/>
      </c>
      <c r="I733" t="str">
        <f>IF(VIPcric_1!M722="","",VIPcric_1!M722)</f>
        <v>CRIC-天津-市场监测.商品房市场.项目累计.供求.xlsx</v>
      </c>
    </row>
    <row r="734" spans="1:9">
      <c r="A734" t="str">
        <f>IF(VIPcric_1!A723="","",VIPcric_1!A723)</f>
        <v>时间(年)</v>
      </c>
      <c r="B734" t="str">
        <f>IF(VIPcric_1!B723="","",VIPcric_1!B723)</f>
        <v>供应面积(㎡)</v>
      </c>
      <c r="C734" t="str">
        <f>IF(VIPcric_1!C723="","",VIPcric_1!C723)</f>
        <v>供应套数(套)</v>
      </c>
      <c r="D734" t="str">
        <f>IF(VIPcric_1!D723="","",VIPcric_1!D723)</f>
        <v>成交面积(㎡)</v>
      </c>
      <c r="E734" t="str">
        <f>IF(VIPcric_1!E723="","",VIPcric_1!E723)</f>
        <v>成交套数(套)</v>
      </c>
      <c r="F734" t="str">
        <f>IF(VIPcric_1!F723="","",VIPcric_1!F723)</f>
        <v>成交均价(元/㎡)</v>
      </c>
      <c r="G734" t="str">
        <f>IF(VIPcric_1!G723="","",VIPcric_1!G723)</f>
        <v>成交金额(元)</v>
      </c>
      <c r="H734" t="str">
        <f>IF(VIPcric_1!H723="","",VIPcric_1!H723)</f>
        <v>供求比</v>
      </c>
      <c r="I734" t="str">
        <f>IF(VIPcric_1!M723="","",VIPcric_1!M723)</f>
        <v>CRIC-天津-市场监测.商品房市场.项目累计.供求.xlsx</v>
      </c>
    </row>
    <row r="735" spans="1:9">
      <c r="A735" t="str">
        <f>IF(VIPcric_1!A724="","",VIPcric_1!A724)</f>
        <v>2023年</v>
      </c>
      <c r="B735">
        <f>IF(VIPcric_1!B724="","",VIPcric_1!B724)</f>
        <v>7573081</v>
      </c>
      <c r="C735">
        <f>IF(VIPcric_1!C724="","",VIPcric_1!C724)</f>
        <v>70296</v>
      </c>
      <c r="D735">
        <f>IF(VIPcric_1!D724="","",VIPcric_1!D724)</f>
        <v>9199409</v>
      </c>
      <c r="E735">
        <f>IF(VIPcric_1!E724="","",VIPcric_1!E724)</f>
        <v>86223</v>
      </c>
      <c r="F735">
        <f>IF(VIPcric_1!F724="","",VIPcric_1!F724)</f>
        <v>17772</v>
      </c>
      <c r="G735">
        <f>IF(VIPcric_1!G724="","",VIPcric_1!G724)</f>
        <v>163488426510</v>
      </c>
      <c r="H735">
        <f>IF(VIPcric_1!H724="","",VIPcric_1!H724)</f>
        <v>0.82</v>
      </c>
      <c r="I735" t="str">
        <f>IF(VIPcric_1!M724="","",VIPcric_1!M724)</f>
        <v>CRIC-天津-市场监测.商品房市场.项目累计.供求.xlsx</v>
      </c>
    </row>
    <row r="736" spans="1:9">
      <c r="A736" t="str">
        <f>IF(VIPcric_1!A725="","",VIPcric_1!A725)</f>
        <v>2022年</v>
      </c>
      <c r="B736">
        <f>IF(VIPcric_1!B725="","",VIPcric_1!B725)</f>
        <v>6157429</v>
      </c>
      <c r="C736">
        <f>IF(VIPcric_1!C725="","",VIPcric_1!C725)</f>
        <v>58082</v>
      </c>
      <c r="D736">
        <f>IF(VIPcric_1!D725="","",VIPcric_1!D725)</f>
        <v>7360900</v>
      </c>
      <c r="E736">
        <f>IF(VIPcric_1!E725="","",VIPcric_1!E725)</f>
        <v>67936</v>
      </c>
      <c r="F736">
        <f>IF(VIPcric_1!F725="","",VIPcric_1!F725)</f>
        <v>17386</v>
      </c>
      <c r="G736">
        <f>IF(VIPcric_1!G725="","",VIPcric_1!G725)</f>
        <v>127976037310</v>
      </c>
      <c r="H736">
        <f>IF(VIPcric_1!H725="","",VIPcric_1!H725)</f>
        <v>0.84</v>
      </c>
      <c r="I736" t="str">
        <f>IF(VIPcric_1!M725="","",VIPcric_1!M725)</f>
        <v>CRIC-天津-市场监测.商品房市场.项目累计.供求.xlsx</v>
      </c>
    </row>
    <row r="737" spans="1:9">
      <c r="A737" t="str">
        <f>IF(VIPcric_1!A726="","",VIPcric_1!A726)</f>
        <v>2021年</v>
      </c>
      <c r="B737">
        <f>IF(VIPcric_1!B726="","",VIPcric_1!B726)</f>
        <v>10492740</v>
      </c>
      <c r="C737">
        <f>IF(VIPcric_1!C726="","",VIPcric_1!C726)</f>
        <v>101517</v>
      </c>
      <c r="D737">
        <f>IF(VIPcric_1!D726="","",VIPcric_1!D726)</f>
        <v>11618939</v>
      </c>
      <c r="E737">
        <f>IF(VIPcric_1!E726="","",VIPcric_1!E726)</f>
        <v>110588</v>
      </c>
      <c r="F737">
        <f>IF(VIPcric_1!F726="","",VIPcric_1!F726)</f>
        <v>17054</v>
      </c>
      <c r="G737">
        <f>IF(VIPcric_1!G726="","",VIPcric_1!G726)</f>
        <v>198153949730</v>
      </c>
      <c r="H737">
        <f>IF(VIPcric_1!H726="","",VIPcric_1!H726)</f>
        <v>0.9</v>
      </c>
      <c r="I737" t="str">
        <f>IF(VIPcric_1!M726="","",VIPcric_1!M726)</f>
        <v>CRIC-天津-市场监测.商品房市场.项目累计.供求.xlsx</v>
      </c>
    </row>
    <row r="738" spans="1:9">
      <c r="A738" t="str">
        <f>IF(VIPcric_1!A727="","",VIPcric_1!A727)</f>
        <v>2020年</v>
      </c>
      <c r="B738">
        <f>IF(VIPcric_1!B727="","",VIPcric_1!B727)</f>
        <v>12891821</v>
      </c>
      <c r="C738">
        <f>IF(VIPcric_1!C727="","",VIPcric_1!C727)</f>
        <v>126831</v>
      </c>
      <c r="D738">
        <f>IF(VIPcric_1!D727="","",VIPcric_1!D727)</f>
        <v>11527943</v>
      </c>
      <c r="E738">
        <f>IF(VIPcric_1!E727="","",VIPcric_1!E727)</f>
        <v>108642</v>
      </c>
      <c r="F738">
        <f>IF(VIPcric_1!F727="","",VIPcric_1!F727)</f>
        <v>16415</v>
      </c>
      <c r="G738">
        <f>IF(VIPcric_1!G727="","",VIPcric_1!G727)</f>
        <v>189229975810</v>
      </c>
      <c r="H738">
        <f>IF(VIPcric_1!H727="","",VIPcric_1!H727)</f>
        <v>1.1200000000000001</v>
      </c>
      <c r="I738" t="str">
        <f>IF(VIPcric_1!M727="","",VIPcric_1!M727)</f>
        <v>CRIC-天津-市场监测.商品房市场.项目累计.供求.xlsx</v>
      </c>
    </row>
    <row r="739" spans="1:9">
      <c r="A739" t="str">
        <f>IF(VIPcric_1!A728="","",VIPcric_1!A728)</f>
        <v>2019年</v>
      </c>
      <c r="B739">
        <f>IF(VIPcric_1!B728="","",VIPcric_1!B728)</f>
        <v>15174482</v>
      </c>
      <c r="C739">
        <f>IF(VIPcric_1!C728="","",VIPcric_1!C728)</f>
        <v>142081</v>
      </c>
      <c r="D739">
        <f>IF(VIPcric_1!D728="","",VIPcric_1!D728)</f>
        <v>12505489</v>
      </c>
      <c r="E739">
        <f>IF(VIPcric_1!E728="","",VIPcric_1!E728)</f>
        <v>117596</v>
      </c>
      <c r="F739">
        <f>IF(VIPcric_1!F728="","",VIPcric_1!F728)</f>
        <v>15708</v>
      </c>
      <c r="G739">
        <f>IF(VIPcric_1!G728="","",VIPcric_1!G728)</f>
        <v>196441603310</v>
      </c>
      <c r="H739">
        <f>IF(VIPcric_1!H728="","",VIPcric_1!H728)</f>
        <v>1.21</v>
      </c>
      <c r="I739" t="str">
        <f>IF(VIPcric_1!M728="","",VIPcric_1!M728)</f>
        <v>CRIC-天津-市场监测.商品房市场.项目累计.供求.xlsx</v>
      </c>
    </row>
    <row r="740" spans="1:9">
      <c r="A740" t="str">
        <f>IF(VIPcric_1!A729="","",VIPcric_1!A729)</f>
        <v>汇总</v>
      </c>
      <c r="B740">
        <f>IF(VIPcric_1!B729="","",VIPcric_1!B729)</f>
        <v>52289553</v>
      </c>
      <c r="C740">
        <f>IF(VIPcric_1!C729="","",VIPcric_1!C729)</f>
        <v>498807</v>
      </c>
      <c r="D740">
        <f>IF(VIPcric_1!D729="","",VIPcric_1!D729)</f>
        <v>52212680</v>
      </c>
      <c r="E740">
        <f>IF(VIPcric_1!E729="","",VIPcric_1!E729)</f>
        <v>490985</v>
      </c>
      <c r="F740">
        <f>IF(VIPcric_1!F729="","",VIPcric_1!F729)</f>
        <v>16764</v>
      </c>
      <c r="G740">
        <f>IF(VIPcric_1!G729="","",VIPcric_1!G729)</f>
        <v>875289992670</v>
      </c>
      <c r="H740">
        <f>IF(VIPcric_1!H729="","",VIPcric_1!H729)</f>
        <v>1</v>
      </c>
      <c r="I740" t="str">
        <f>IF(VIPcric_1!M729="","",VIPcric_1!M729)</f>
        <v>CRIC-天津-市场监测.商品房市场.项目累计.供求.xlsx</v>
      </c>
    </row>
    <row r="741" spans="1:9">
      <c r="A741" t="str">
        <f>IF(VIPcric_1!A730="","",VIPcric_1!A730)</f>
        <v/>
      </c>
      <c r="B741" t="str">
        <f>IF(VIPcric_1!B730="","",VIPcric_1!B730)</f>
        <v/>
      </c>
      <c r="C741" t="str">
        <f>IF(VIPcric_1!C730="","",VIPcric_1!C730)</f>
        <v/>
      </c>
      <c r="D741" t="str">
        <f>IF(VIPcric_1!D730="","",VIPcric_1!D730)</f>
        <v/>
      </c>
      <c r="E741" t="str">
        <f>IF(VIPcric_1!E730="","",VIPcric_1!E730)</f>
        <v/>
      </c>
      <c r="F741" t="str">
        <f>IF(VIPcric_1!F730="","",VIPcric_1!F730)</f>
        <v/>
      </c>
      <c r="G741" t="str">
        <f>IF(VIPcric_1!G730="","",VIPcric_1!G730)</f>
        <v/>
      </c>
      <c r="H741" t="str">
        <f>IF(VIPcric_1!H730="","",VIPcric_1!H730)</f>
        <v/>
      </c>
      <c r="I741" t="str">
        <f>IF(VIPcric_1!M730="","",VIPcric_1!M730)</f>
        <v/>
      </c>
    </row>
    <row r="742" spans="1:9">
      <c r="A742" t="str">
        <f>IF(VIPcric_1!A731="","",VIPcric_1!A731)</f>
        <v/>
      </c>
      <c r="B742" t="str">
        <f>IF(VIPcric_1!B731="","",VIPcric_1!B731)</f>
        <v/>
      </c>
      <c r="C742" t="str">
        <f>IF(VIPcric_1!C731="","",VIPcric_1!C731)</f>
        <v/>
      </c>
      <c r="D742" t="str">
        <f>IF(VIPcric_1!D731="","",VIPcric_1!D731)</f>
        <v/>
      </c>
      <c r="E742" t="str">
        <f>IF(VIPcric_1!E731="","",VIPcric_1!E731)</f>
        <v/>
      </c>
      <c r="F742" t="str">
        <f>IF(VIPcric_1!F731="","",VIPcric_1!F731)</f>
        <v/>
      </c>
      <c r="G742" t="str">
        <f>IF(VIPcric_1!G731="","",VIPcric_1!G731)</f>
        <v/>
      </c>
      <c r="H742" t="str">
        <f>IF(VIPcric_1!H731="","",VIPcric_1!H731)</f>
        <v/>
      </c>
      <c r="I742" t="str">
        <f>IF(VIPcric_1!M731="","",VIPcric_1!M731)</f>
        <v>CRIC-天津-市场监测.商品房市场.项目累计.库存.xlsx</v>
      </c>
    </row>
    <row r="743" spans="1:9">
      <c r="A743" t="str">
        <f>IF(VIPcric_1!A732="","",VIPcric_1!A732)</f>
        <v>时间(年)</v>
      </c>
      <c r="B743" t="str">
        <f>IF(VIPcric_1!B732="","",VIPcric_1!B732)</f>
        <v>库存面积(㎡)</v>
      </c>
      <c r="C743" t="str">
        <f>IF(VIPcric_1!C732="","",VIPcric_1!C732)</f>
        <v>库存套数(套)</v>
      </c>
      <c r="D743" t="str">
        <f>IF(VIPcric_1!D732="","",VIPcric_1!D732)</f>
        <v>去化周期12'(月)</v>
      </c>
      <c r="E743" t="str">
        <f>IF(VIPcric_1!E732="","",VIPcric_1!E732)</f>
        <v/>
      </c>
      <c r="F743" t="str">
        <f>IF(VIPcric_1!F732="","",VIPcric_1!F732)</f>
        <v/>
      </c>
      <c r="G743" t="str">
        <f>IF(VIPcric_1!G732="","",VIPcric_1!G732)</f>
        <v/>
      </c>
      <c r="H743" t="str">
        <f>IF(VIPcric_1!H732="","",VIPcric_1!H732)</f>
        <v/>
      </c>
      <c r="I743" t="str">
        <f>IF(VIPcric_1!M732="","",VIPcric_1!M732)</f>
        <v>CRIC-天津-市场监测.商品房市场.项目累计.库存.xlsx</v>
      </c>
    </row>
    <row r="744" spans="1:9">
      <c r="A744" t="str">
        <f>IF(VIPcric_1!A733="","",VIPcric_1!A733)</f>
        <v>2023年</v>
      </c>
      <c r="B744">
        <f>IF(VIPcric_1!B733="","",VIPcric_1!B733)</f>
        <v>11204811</v>
      </c>
      <c r="C744">
        <f>IF(VIPcric_1!C733="","",VIPcric_1!C733)</f>
        <v>108002</v>
      </c>
      <c r="D744">
        <f>IF(VIPcric_1!D733="","",VIPcric_1!D733)</f>
        <v>14.6</v>
      </c>
      <c r="E744" t="str">
        <f>IF(VIPcric_1!E733="","",VIPcric_1!E733)</f>
        <v/>
      </c>
      <c r="F744" t="str">
        <f>IF(VIPcric_1!F733="","",VIPcric_1!F733)</f>
        <v/>
      </c>
      <c r="G744" t="str">
        <f>IF(VIPcric_1!G733="","",VIPcric_1!G733)</f>
        <v/>
      </c>
      <c r="H744" t="str">
        <f>IF(VIPcric_1!H733="","",VIPcric_1!H733)</f>
        <v/>
      </c>
      <c r="I744" t="str">
        <f>IF(VIPcric_1!M733="","",VIPcric_1!M733)</f>
        <v>CRIC-天津-市场监测.商品房市场.项目累计.库存.xlsx</v>
      </c>
    </row>
    <row r="745" spans="1:9">
      <c r="A745" t="str">
        <f>IF(VIPcric_1!A734="","",VIPcric_1!A734)</f>
        <v>2022年</v>
      </c>
      <c r="B745">
        <f>IF(VIPcric_1!B734="","",VIPcric_1!B734)</f>
        <v>12106955</v>
      </c>
      <c r="C745">
        <f>IF(VIPcric_1!C734="","",VIPcric_1!C734)</f>
        <v>118411</v>
      </c>
      <c r="D745">
        <f>IF(VIPcric_1!D734="","",VIPcric_1!D734)</f>
        <v>19.7</v>
      </c>
      <c r="E745" t="str">
        <f>IF(VIPcric_1!E734="","",VIPcric_1!E734)</f>
        <v/>
      </c>
      <c r="F745" t="str">
        <f>IF(VIPcric_1!F734="","",VIPcric_1!F734)</f>
        <v/>
      </c>
      <c r="G745" t="str">
        <f>IF(VIPcric_1!G734="","",VIPcric_1!G734)</f>
        <v/>
      </c>
      <c r="H745" t="str">
        <f>IF(VIPcric_1!H734="","",VIPcric_1!H734)</f>
        <v/>
      </c>
      <c r="I745" t="str">
        <f>IF(VIPcric_1!M734="","",VIPcric_1!M734)</f>
        <v>CRIC-天津-市场监测.商品房市场.项目累计.库存.xlsx</v>
      </c>
    </row>
    <row r="746" spans="1:9">
      <c r="A746" t="str">
        <f>IF(VIPcric_1!A735="","",VIPcric_1!A735)</f>
        <v>2021年</v>
      </c>
      <c r="B746">
        <f>IF(VIPcric_1!B735="","",VIPcric_1!B735)</f>
        <v>13124902</v>
      </c>
      <c r="C746">
        <f>IF(VIPcric_1!C735="","",VIPcric_1!C735)</f>
        <v>127541</v>
      </c>
      <c r="D746">
        <f>IF(VIPcric_1!D735="","",VIPcric_1!D735)</f>
        <v>13.6</v>
      </c>
      <c r="E746" t="str">
        <f>IF(VIPcric_1!E735="","",VIPcric_1!E735)</f>
        <v/>
      </c>
      <c r="F746" t="str">
        <f>IF(VIPcric_1!F735="","",VIPcric_1!F735)</f>
        <v/>
      </c>
      <c r="G746" t="str">
        <f>IF(VIPcric_1!G735="","",VIPcric_1!G735)</f>
        <v/>
      </c>
      <c r="H746" t="str">
        <f>IF(VIPcric_1!H735="","",VIPcric_1!H735)</f>
        <v/>
      </c>
      <c r="I746" t="str">
        <f>IF(VIPcric_1!M735="","",VIPcric_1!M735)</f>
        <v>CRIC-天津-市场监测.商品房市场.项目累计.库存.xlsx</v>
      </c>
    </row>
    <row r="747" spans="1:9">
      <c r="A747" t="str">
        <f>IF(VIPcric_1!A736="","",VIPcric_1!A736)</f>
        <v/>
      </c>
      <c r="B747" t="str">
        <f>IF(VIPcric_1!B736="","",VIPcric_1!B736)</f>
        <v/>
      </c>
      <c r="C747" t="str">
        <f>IF(VIPcric_1!C736="","",VIPcric_1!C736)</f>
        <v/>
      </c>
      <c r="D747" t="str">
        <f>IF(VIPcric_1!D736="","",VIPcric_1!D736)</f>
        <v/>
      </c>
      <c r="E747" t="str">
        <f>IF(VIPcric_1!E736="","",VIPcric_1!E736)</f>
        <v/>
      </c>
      <c r="F747" t="str">
        <f>IF(VIPcric_1!F736="","",VIPcric_1!F736)</f>
        <v/>
      </c>
      <c r="G747" t="str">
        <f>IF(VIPcric_1!G736="","",VIPcric_1!G736)</f>
        <v/>
      </c>
      <c r="H747" t="str">
        <f>IF(VIPcric_1!H736="","",VIPcric_1!H736)</f>
        <v/>
      </c>
      <c r="I747" t="str">
        <f>IF(VIPcric_1!M736="","",VIPcric_1!M736)</f>
        <v/>
      </c>
    </row>
    <row r="748" spans="1:9">
      <c r="A748" t="str">
        <f>IF(VIPcric_1!A737="","",VIPcric_1!A737)</f>
        <v/>
      </c>
      <c r="B748" t="str">
        <f>IF(VIPcric_1!B737="","",VIPcric_1!B737)</f>
        <v/>
      </c>
      <c r="C748" t="str">
        <f>IF(VIPcric_1!C737="","",VIPcric_1!C737)</f>
        <v/>
      </c>
      <c r="D748" t="str">
        <f>IF(VIPcric_1!D737="","",VIPcric_1!D737)</f>
        <v/>
      </c>
      <c r="E748" t="str">
        <f>IF(VIPcric_1!E737="","",VIPcric_1!E737)</f>
        <v/>
      </c>
      <c r="F748" t="str">
        <f>IF(VIPcric_1!F737="","",VIPcric_1!F737)</f>
        <v/>
      </c>
      <c r="G748" t="str">
        <f>IF(VIPcric_1!G737="","",VIPcric_1!G737)</f>
        <v/>
      </c>
      <c r="H748" t="str">
        <f>IF(VIPcric_1!H737="","",VIPcric_1!H737)</f>
        <v/>
      </c>
      <c r="I748" t="str">
        <f>IF(VIPcric_1!M737="","",VIPcric_1!M737)</f>
        <v>CRIC-太仓-市场监测.商品房市场.项目累计.供求.xlsx</v>
      </c>
    </row>
    <row r="749" spans="1:9">
      <c r="A749" t="str">
        <f>IF(VIPcric_1!A738="","",VIPcric_1!A738)</f>
        <v>时间(年)</v>
      </c>
      <c r="B749" t="str">
        <f>IF(VIPcric_1!B738="","",VIPcric_1!B738)</f>
        <v>供应面积(㎡)</v>
      </c>
      <c r="C749" t="str">
        <f>IF(VIPcric_1!C738="","",VIPcric_1!C738)</f>
        <v>供应套数(套)</v>
      </c>
      <c r="D749" t="str">
        <f>IF(VIPcric_1!D738="","",VIPcric_1!D738)</f>
        <v>成交面积(㎡)</v>
      </c>
      <c r="E749" t="str">
        <f>IF(VIPcric_1!E738="","",VIPcric_1!E738)</f>
        <v>成交套数(套)</v>
      </c>
      <c r="F749" t="str">
        <f>IF(VIPcric_1!F738="","",VIPcric_1!F738)</f>
        <v>成交均价(元/㎡)</v>
      </c>
      <c r="G749" t="str">
        <f>IF(VIPcric_1!G738="","",VIPcric_1!G738)</f>
        <v>成交金额(元)</v>
      </c>
      <c r="H749" t="str">
        <f>IF(VIPcric_1!H738="","",VIPcric_1!H738)</f>
        <v>供求比</v>
      </c>
      <c r="I749" t="str">
        <f>IF(VIPcric_1!M738="","",VIPcric_1!M738)</f>
        <v>CRIC-太仓-市场监测.商品房市场.项目累计.供求.xlsx</v>
      </c>
    </row>
    <row r="750" spans="1:9">
      <c r="A750" t="str">
        <f>IF(VIPcric_1!A739="","",VIPcric_1!A739)</f>
        <v>2024年</v>
      </c>
      <c r="B750">
        <f>IF(VIPcric_1!B739="","",VIPcric_1!B739)</f>
        <v>54947</v>
      </c>
      <c r="C750">
        <f>IF(VIPcric_1!C739="","",VIPcric_1!C739)</f>
        <v>342</v>
      </c>
      <c r="D750">
        <f>IF(VIPcric_1!D739="","",VIPcric_1!D739)</f>
        <v>62337</v>
      </c>
      <c r="E750">
        <f>IF(VIPcric_1!E739="","",VIPcric_1!E739)</f>
        <v>555</v>
      </c>
      <c r="F750">
        <f>IF(VIPcric_1!F739="","",VIPcric_1!F739)</f>
        <v>18148</v>
      </c>
      <c r="G750">
        <f>IF(VIPcric_1!G739="","",VIPcric_1!G739)</f>
        <v>1131310586</v>
      </c>
      <c r="H750">
        <f>IF(VIPcric_1!H739="","",VIPcric_1!H739)</f>
        <v>0.88</v>
      </c>
      <c r="I750" t="str">
        <f>IF(VIPcric_1!M739="","",VIPcric_1!M739)</f>
        <v>CRIC-太仓-市场监测.商品房市场.项目累计.供求.xlsx</v>
      </c>
    </row>
    <row r="751" spans="1:9">
      <c r="A751" t="str">
        <f>IF(VIPcric_1!A740="","",VIPcric_1!A740)</f>
        <v>2023年</v>
      </c>
      <c r="B751">
        <f>IF(VIPcric_1!B740="","",VIPcric_1!B740)</f>
        <v>664569</v>
      </c>
      <c r="C751">
        <f>IF(VIPcric_1!C740="","",VIPcric_1!C740)</f>
        <v>5403</v>
      </c>
      <c r="D751">
        <f>IF(VIPcric_1!D740="","",VIPcric_1!D740)</f>
        <v>763827</v>
      </c>
      <c r="E751">
        <f>IF(VIPcric_1!E740="","",VIPcric_1!E740)</f>
        <v>6735</v>
      </c>
      <c r="F751">
        <f>IF(VIPcric_1!F740="","",VIPcric_1!F740)</f>
        <v>18644</v>
      </c>
      <c r="G751">
        <f>IF(VIPcric_1!G740="","",VIPcric_1!G740)</f>
        <v>14240831618</v>
      </c>
      <c r="H751">
        <f>IF(VIPcric_1!H740="","",VIPcric_1!H740)</f>
        <v>0.87</v>
      </c>
      <c r="I751" t="str">
        <f>IF(VIPcric_1!M740="","",VIPcric_1!M740)</f>
        <v>CRIC-太仓-市场监测.商品房市场.项目累计.供求.xlsx</v>
      </c>
    </row>
    <row r="752" spans="1:9">
      <c r="A752" t="str">
        <f>IF(VIPcric_1!A741="","",VIPcric_1!A741)</f>
        <v>2022年</v>
      </c>
      <c r="B752">
        <f>IF(VIPcric_1!B741="","",VIPcric_1!B741)</f>
        <v>715591</v>
      </c>
      <c r="C752">
        <f>IF(VIPcric_1!C741="","",VIPcric_1!C741)</f>
        <v>6184</v>
      </c>
      <c r="D752">
        <f>IF(VIPcric_1!D741="","",VIPcric_1!D741)</f>
        <v>1835755</v>
      </c>
      <c r="E752">
        <f>IF(VIPcric_1!E741="","",VIPcric_1!E741)</f>
        <v>17077</v>
      </c>
      <c r="F752">
        <f>IF(VIPcric_1!F741="","",VIPcric_1!F741)</f>
        <v>17086</v>
      </c>
      <c r="G752">
        <f>IF(VIPcric_1!G741="","",VIPcric_1!G741)</f>
        <v>31365001289</v>
      </c>
      <c r="H752">
        <f>IF(VIPcric_1!H741="","",VIPcric_1!H741)</f>
        <v>0.39</v>
      </c>
      <c r="I752" t="str">
        <f>IF(VIPcric_1!M741="","",VIPcric_1!M741)</f>
        <v>CRIC-太仓-市场监测.商品房市场.项目累计.供求.xlsx</v>
      </c>
    </row>
    <row r="753" spans="1:9">
      <c r="A753" t="str">
        <f>IF(VIPcric_1!A742="","",VIPcric_1!A742)</f>
        <v>2021年</v>
      </c>
      <c r="B753">
        <f>IF(VIPcric_1!B742="","",VIPcric_1!B742)</f>
        <v>1757162</v>
      </c>
      <c r="C753">
        <f>IF(VIPcric_1!C742="","",VIPcric_1!C742)</f>
        <v>15902</v>
      </c>
      <c r="D753">
        <f>IF(VIPcric_1!D742="","",VIPcric_1!D742)</f>
        <v>2242178</v>
      </c>
      <c r="E753">
        <f>IF(VIPcric_1!E742="","",VIPcric_1!E742)</f>
        <v>20873</v>
      </c>
      <c r="F753">
        <f>IF(VIPcric_1!F742="","",VIPcric_1!F742)</f>
        <v>17732</v>
      </c>
      <c r="G753">
        <f>IF(VIPcric_1!G742="","",VIPcric_1!G742)</f>
        <v>39758243906</v>
      </c>
      <c r="H753">
        <f>IF(VIPcric_1!H742="","",VIPcric_1!H742)</f>
        <v>0.78</v>
      </c>
      <c r="I753" t="str">
        <f>IF(VIPcric_1!M742="","",VIPcric_1!M742)</f>
        <v>CRIC-太仓-市场监测.商品房市场.项目累计.供求.xlsx</v>
      </c>
    </row>
    <row r="754" spans="1:9">
      <c r="A754" t="str">
        <f>IF(VIPcric_1!A743="","",VIPcric_1!A743)</f>
        <v>2020年</v>
      </c>
      <c r="B754">
        <f>IF(VIPcric_1!B743="","",VIPcric_1!B743)</f>
        <v>1779615</v>
      </c>
      <c r="C754">
        <f>IF(VIPcric_1!C743="","",VIPcric_1!C743)</f>
        <v>16835</v>
      </c>
      <c r="D754">
        <f>IF(VIPcric_1!D743="","",VIPcric_1!D743)</f>
        <v>886803</v>
      </c>
      <c r="E754">
        <f>IF(VIPcric_1!E743="","",VIPcric_1!E743)</f>
        <v>8084</v>
      </c>
      <c r="F754">
        <f>IF(VIPcric_1!F743="","",VIPcric_1!F743)</f>
        <v>18450</v>
      </c>
      <c r="G754">
        <f>IF(VIPcric_1!G743="","",VIPcric_1!G743)</f>
        <v>16361955265</v>
      </c>
      <c r="H754">
        <f>IF(VIPcric_1!H743="","",VIPcric_1!H743)</f>
        <v>2.0099999999999998</v>
      </c>
      <c r="I754" t="str">
        <f>IF(VIPcric_1!M743="","",VIPcric_1!M743)</f>
        <v>CRIC-太仓-市场监测.商品房市场.项目累计.供求.xlsx</v>
      </c>
    </row>
    <row r="755" spans="1:9">
      <c r="A755" t="str">
        <f>IF(VIPcric_1!A744="","",VIPcric_1!A744)</f>
        <v>2019年</v>
      </c>
      <c r="B755">
        <f>IF(VIPcric_1!B744="","",VIPcric_1!B744)</f>
        <v>1921340</v>
      </c>
      <c r="C755">
        <f>IF(VIPcric_1!C744="","",VIPcric_1!C744)</f>
        <v>17460</v>
      </c>
      <c r="D755">
        <f>IF(VIPcric_1!D744="","",VIPcric_1!D744)</f>
        <v>1086909</v>
      </c>
      <c r="E755">
        <f>IF(VIPcric_1!E744="","",VIPcric_1!E744)</f>
        <v>9720</v>
      </c>
      <c r="F755">
        <f>IF(VIPcric_1!F744="","",VIPcric_1!F744)</f>
        <v>16400</v>
      </c>
      <c r="G755">
        <f>IF(VIPcric_1!G744="","",VIPcric_1!G744)</f>
        <v>17825174943</v>
      </c>
      <c r="H755">
        <f>IF(VIPcric_1!H744="","",VIPcric_1!H744)</f>
        <v>1.77</v>
      </c>
      <c r="I755" t="str">
        <f>IF(VIPcric_1!M744="","",VIPcric_1!M744)</f>
        <v>CRIC-太仓-市场监测.商品房市场.项目累计.供求.xlsx</v>
      </c>
    </row>
    <row r="756" spans="1:9">
      <c r="A756" t="str">
        <f>IF(VIPcric_1!A745="","",VIPcric_1!A745)</f>
        <v>汇总</v>
      </c>
      <c r="B756">
        <f>IF(VIPcric_1!B745="","",VIPcric_1!B745)</f>
        <v>6893224</v>
      </c>
      <c r="C756">
        <f>IF(VIPcric_1!C745="","",VIPcric_1!C745)</f>
        <v>62126</v>
      </c>
      <c r="D756">
        <f>IF(VIPcric_1!D745="","",VIPcric_1!D745)</f>
        <v>6877809</v>
      </c>
      <c r="E756">
        <f>IF(VIPcric_1!E745="","",VIPcric_1!E745)</f>
        <v>63044</v>
      </c>
      <c r="F756">
        <f>IF(VIPcric_1!F745="","",VIPcric_1!F745)</f>
        <v>17547</v>
      </c>
      <c r="G756">
        <f>IF(VIPcric_1!G745="","",VIPcric_1!G745)</f>
        <v>120682517607</v>
      </c>
      <c r="H756">
        <f>IF(VIPcric_1!H745="","",VIPcric_1!H745)</f>
        <v>1</v>
      </c>
      <c r="I756" t="str">
        <f>IF(VIPcric_1!M745="","",VIPcric_1!M745)</f>
        <v>CRIC-太仓-市场监测.商品房市场.项目累计.供求.xlsx</v>
      </c>
    </row>
    <row r="757" spans="1:9">
      <c r="A757" t="str">
        <f>IF(VIPcric_1!A746="","",VIPcric_1!A746)</f>
        <v/>
      </c>
      <c r="B757" t="str">
        <f>IF(VIPcric_1!B746="","",VIPcric_1!B746)</f>
        <v/>
      </c>
      <c r="C757" t="str">
        <f>IF(VIPcric_1!C746="","",VIPcric_1!C746)</f>
        <v/>
      </c>
      <c r="D757" t="str">
        <f>IF(VIPcric_1!D746="","",VIPcric_1!D746)</f>
        <v/>
      </c>
      <c r="E757" t="str">
        <f>IF(VIPcric_1!E746="","",VIPcric_1!E746)</f>
        <v/>
      </c>
      <c r="F757" t="str">
        <f>IF(VIPcric_1!F746="","",VIPcric_1!F746)</f>
        <v/>
      </c>
      <c r="G757" t="str">
        <f>IF(VIPcric_1!G746="","",VIPcric_1!G746)</f>
        <v/>
      </c>
      <c r="H757" t="str">
        <f>IF(VIPcric_1!H746="","",VIPcric_1!H746)</f>
        <v/>
      </c>
      <c r="I757" t="str">
        <f>IF(VIPcric_1!M746="","",VIPcric_1!M746)</f>
        <v/>
      </c>
    </row>
    <row r="758" spans="1:9">
      <c r="A758" t="str">
        <f>IF(VIPcric_1!A747="","",VIPcric_1!A747)</f>
        <v/>
      </c>
      <c r="B758" t="str">
        <f>IF(VIPcric_1!B747="","",VIPcric_1!B747)</f>
        <v/>
      </c>
      <c r="C758" t="str">
        <f>IF(VIPcric_1!C747="","",VIPcric_1!C747)</f>
        <v/>
      </c>
      <c r="D758" t="str">
        <f>IF(VIPcric_1!D747="","",VIPcric_1!D747)</f>
        <v/>
      </c>
      <c r="E758" t="str">
        <f>IF(VIPcric_1!E747="","",VIPcric_1!E747)</f>
        <v/>
      </c>
      <c r="F758" t="str">
        <f>IF(VIPcric_1!F747="","",VIPcric_1!F747)</f>
        <v/>
      </c>
      <c r="G758" t="str">
        <f>IF(VIPcric_1!G747="","",VIPcric_1!G747)</f>
        <v/>
      </c>
      <c r="H758" t="str">
        <f>IF(VIPcric_1!H747="","",VIPcric_1!H747)</f>
        <v/>
      </c>
      <c r="I758" t="str">
        <f>IF(VIPcric_1!M747="","",VIPcric_1!M747)</f>
        <v>CRIC-太仓-市场监测.商品房市场.项目累计.库存.xlsx</v>
      </c>
    </row>
    <row r="759" spans="1:9">
      <c r="A759" t="str">
        <f>IF(VIPcric_1!A748="","",VIPcric_1!A748)</f>
        <v>时间(年)</v>
      </c>
      <c r="B759" t="str">
        <f>IF(VIPcric_1!B748="","",VIPcric_1!B748)</f>
        <v>库存面积(㎡)</v>
      </c>
      <c r="C759" t="str">
        <f>IF(VIPcric_1!C748="","",VIPcric_1!C748)</f>
        <v>库存套数(套)</v>
      </c>
      <c r="D759" t="str">
        <f>IF(VIPcric_1!D748="","",VIPcric_1!D748)</f>
        <v>去化周期12'(月)</v>
      </c>
      <c r="E759" t="str">
        <f>IF(VIPcric_1!E748="","",VIPcric_1!E748)</f>
        <v>去化周期24'(月)</v>
      </c>
      <c r="F759" t="str">
        <f>IF(VIPcric_1!F748="","",VIPcric_1!F748)</f>
        <v/>
      </c>
      <c r="G759" t="str">
        <f>IF(VIPcric_1!G748="","",VIPcric_1!G748)</f>
        <v/>
      </c>
      <c r="H759" t="str">
        <f>IF(VIPcric_1!H748="","",VIPcric_1!H748)</f>
        <v/>
      </c>
      <c r="I759" t="str">
        <f>IF(VIPcric_1!M748="","",VIPcric_1!M748)</f>
        <v>CRIC-太仓-市场监测.商品房市场.项目累计.库存.xlsx</v>
      </c>
    </row>
    <row r="760" spans="1:9">
      <c r="A760" t="str">
        <f>IF(VIPcric_1!A749="","",VIPcric_1!A749)</f>
        <v>2024年</v>
      </c>
      <c r="B760">
        <f>IF(VIPcric_1!B749="","",VIPcric_1!B749)</f>
        <v>1053004</v>
      </c>
      <c r="C760">
        <f>IF(VIPcric_1!C749="","",VIPcric_1!C749)</f>
        <v>8888</v>
      </c>
      <c r="D760">
        <f>IF(VIPcric_1!D749="","",VIPcric_1!D749)</f>
        <v>16.100000000000001</v>
      </c>
      <c r="E760">
        <f>IF(VIPcric_1!E749="","",VIPcric_1!E749)</f>
        <v>10.199999999999999</v>
      </c>
      <c r="F760" t="str">
        <f>IF(VIPcric_1!F749="","",VIPcric_1!F749)</f>
        <v/>
      </c>
      <c r="G760" t="str">
        <f>IF(VIPcric_1!G749="","",VIPcric_1!G749)</f>
        <v/>
      </c>
      <c r="H760" t="str">
        <f>IF(VIPcric_1!H749="","",VIPcric_1!H749)</f>
        <v/>
      </c>
      <c r="I760" t="str">
        <f>IF(VIPcric_1!M749="","",VIPcric_1!M749)</f>
        <v>CRIC-太仓-市场监测.商品房市场.项目累计.库存.xlsx</v>
      </c>
    </row>
    <row r="761" spans="1:9">
      <c r="A761" t="str">
        <f>IF(VIPcric_1!A750="","",VIPcric_1!A750)</f>
        <v>2023年</v>
      </c>
      <c r="B761">
        <f>IF(VIPcric_1!B750="","",VIPcric_1!B750)</f>
        <v>1017592</v>
      </c>
      <c r="C761">
        <f>IF(VIPcric_1!C750="","",VIPcric_1!C750)</f>
        <v>8858</v>
      </c>
      <c r="D761">
        <f>IF(VIPcric_1!D750="","",VIPcric_1!D750)</f>
        <v>16</v>
      </c>
      <c r="E761">
        <f>IF(VIPcric_1!E750="","",VIPcric_1!E750)</f>
        <v>9.4</v>
      </c>
      <c r="F761" t="str">
        <f>IF(VIPcric_1!F750="","",VIPcric_1!F750)</f>
        <v/>
      </c>
      <c r="G761" t="str">
        <f>IF(VIPcric_1!G750="","",VIPcric_1!G750)</f>
        <v/>
      </c>
      <c r="H761" t="str">
        <f>IF(VIPcric_1!H750="","",VIPcric_1!H750)</f>
        <v/>
      </c>
      <c r="I761" t="str">
        <f>IF(VIPcric_1!M750="","",VIPcric_1!M750)</f>
        <v>CRIC-太仓-市场监测.商品房市场.项目累计.库存.xlsx</v>
      </c>
    </row>
    <row r="762" spans="1:9">
      <c r="A762" t="str">
        <f>IF(VIPcric_1!A751="","",VIPcric_1!A751)</f>
        <v>2022年</v>
      </c>
      <c r="B762">
        <f>IF(VIPcric_1!B751="","",VIPcric_1!B751)</f>
        <v>1001020</v>
      </c>
      <c r="C762">
        <f>IF(VIPcric_1!C751="","",VIPcric_1!C751)</f>
        <v>9097</v>
      </c>
      <c r="D762">
        <f>IF(VIPcric_1!D751="","",VIPcric_1!D751)</f>
        <v>6.5</v>
      </c>
      <c r="E762">
        <f>IF(VIPcric_1!E751="","",VIPcric_1!E751)</f>
        <v>5.9</v>
      </c>
      <c r="F762" t="str">
        <f>IF(VIPcric_1!F751="","",VIPcric_1!F751)</f>
        <v/>
      </c>
      <c r="G762" t="str">
        <f>IF(VIPcric_1!G751="","",VIPcric_1!G751)</f>
        <v/>
      </c>
      <c r="H762" t="str">
        <f>IF(VIPcric_1!H751="","",VIPcric_1!H751)</f>
        <v/>
      </c>
      <c r="I762" t="str">
        <f>IF(VIPcric_1!M751="","",VIPcric_1!M751)</f>
        <v>CRIC-太仓-市场监测.商品房市场.项目累计.库存.xlsx</v>
      </c>
    </row>
    <row r="763" spans="1:9">
      <c r="A763" t="str">
        <f>IF(VIPcric_1!A752="","",VIPcric_1!A752)</f>
        <v>2021年</v>
      </c>
      <c r="B763">
        <f>IF(VIPcric_1!B752="","",VIPcric_1!B752)</f>
        <v>1983250</v>
      </c>
      <c r="C763">
        <f>IF(VIPcric_1!C752="","",VIPcric_1!C752)</f>
        <v>18335</v>
      </c>
      <c r="D763">
        <f>IF(VIPcric_1!D752="","",VIPcric_1!D752)</f>
        <v>10.6</v>
      </c>
      <c r="E763">
        <f>IF(VIPcric_1!E752="","",VIPcric_1!E752)</f>
        <v>15.2</v>
      </c>
      <c r="F763" t="str">
        <f>IF(VIPcric_1!F752="","",VIPcric_1!F752)</f>
        <v/>
      </c>
      <c r="G763" t="str">
        <f>IF(VIPcric_1!G752="","",VIPcric_1!G752)</f>
        <v/>
      </c>
      <c r="H763" t="str">
        <f>IF(VIPcric_1!H752="","",VIPcric_1!H752)</f>
        <v/>
      </c>
      <c r="I763" t="str">
        <f>IF(VIPcric_1!M752="","",VIPcric_1!M752)</f>
        <v>CRIC-太仓-市场监测.商品房市场.项目累计.库存.xlsx</v>
      </c>
    </row>
    <row r="764" spans="1:9">
      <c r="A764" t="str">
        <f>IF(VIPcric_1!A753="","",VIPcric_1!A753)</f>
        <v>2020年</v>
      </c>
      <c r="B764">
        <f>IF(VIPcric_1!B753="","",VIPcric_1!B753)</f>
        <v>2878549</v>
      </c>
      <c r="C764">
        <f>IF(VIPcric_1!C753="","",VIPcric_1!C753)</f>
        <v>26737</v>
      </c>
      <c r="D764">
        <f>IF(VIPcric_1!D753="","",VIPcric_1!D753)</f>
        <v>39</v>
      </c>
      <c r="E764">
        <f>IF(VIPcric_1!E753="","",VIPcric_1!E753)</f>
        <v>35</v>
      </c>
      <c r="F764" t="str">
        <f>IF(VIPcric_1!F753="","",VIPcric_1!F753)</f>
        <v/>
      </c>
      <c r="G764" t="str">
        <f>IF(VIPcric_1!G753="","",VIPcric_1!G753)</f>
        <v/>
      </c>
      <c r="H764" t="str">
        <f>IF(VIPcric_1!H753="","",VIPcric_1!H753)</f>
        <v/>
      </c>
      <c r="I764" t="str">
        <f>IF(VIPcric_1!M753="","",VIPcric_1!M753)</f>
        <v>CRIC-太仓-市场监测.商品房市场.项目累计.库存.xlsx</v>
      </c>
    </row>
    <row r="765" spans="1:9">
      <c r="A765" t="str">
        <f>IF(VIPcric_1!A754="","",VIPcric_1!A754)</f>
        <v>2019年</v>
      </c>
      <c r="B765">
        <f>IF(VIPcric_1!B754="","",VIPcric_1!B754)</f>
        <v>1922543</v>
      </c>
      <c r="C765">
        <f>IF(VIPcric_1!C754="","",VIPcric_1!C754)</f>
        <v>17549</v>
      </c>
      <c r="D765">
        <f>IF(VIPcric_1!D754="","",VIPcric_1!D754)</f>
        <v>21.2</v>
      </c>
      <c r="E765">
        <f>IF(VIPcric_1!E754="","",VIPcric_1!E754)</f>
        <v>22</v>
      </c>
      <c r="F765" t="str">
        <f>IF(VIPcric_1!F754="","",VIPcric_1!F754)</f>
        <v/>
      </c>
      <c r="G765" t="str">
        <f>IF(VIPcric_1!G754="","",VIPcric_1!G754)</f>
        <v/>
      </c>
      <c r="H765" t="str">
        <f>IF(VIPcric_1!H754="","",VIPcric_1!H754)</f>
        <v/>
      </c>
      <c r="I765" t="str">
        <f>IF(VIPcric_1!M754="","",VIPcric_1!M754)</f>
        <v>CRIC-太仓-市场监测.商品房市场.项目累计.库存.xlsx</v>
      </c>
    </row>
    <row r="766" spans="1:9">
      <c r="A766" t="str">
        <f>IF(VIPcric_1!A755="","",VIPcric_1!A755)</f>
        <v/>
      </c>
      <c r="B766" t="str">
        <f>IF(VIPcric_1!B755="","",VIPcric_1!B755)</f>
        <v/>
      </c>
      <c r="C766" t="str">
        <f>IF(VIPcric_1!C755="","",VIPcric_1!C755)</f>
        <v/>
      </c>
      <c r="D766" t="str">
        <f>IF(VIPcric_1!D755="","",VIPcric_1!D755)</f>
        <v/>
      </c>
      <c r="E766" t="str">
        <f>IF(VIPcric_1!E755="","",VIPcric_1!E755)</f>
        <v/>
      </c>
      <c r="F766" t="str">
        <f>IF(VIPcric_1!F755="","",VIPcric_1!F755)</f>
        <v/>
      </c>
      <c r="G766" t="str">
        <f>IF(VIPcric_1!G755="","",VIPcric_1!G755)</f>
        <v/>
      </c>
      <c r="H766" t="str">
        <f>IF(VIPcric_1!H755="","",VIPcric_1!H755)</f>
        <v/>
      </c>
      <c r="I766" t="str">
        <f>IF(VIPcric_1!M755="","",VIPcric_1!M755)</f>
        <v/>
      </c>
    </row>
    <row r="767" spans="1:9">
      <c r="A767" t="str">
        <f>IF(VIPcric_1!A756="","",VIPcric_1!A756)</f>
        <v/>
      </c>
      <c r="B767" t="str">
        <f>IF(VIPcric_1!B756="","",VIPcric_1!B756)</f>
        <v/>
      </c>
      <c r="C767" t="str">
        <f>IF(VIPcric_1!C756="","",VIPcric_1!C756)</f>
        <v/>
      </c>
      <c r="D767" t="str">
        <f>IF(VIPcric_1!D756="","",VIPcric_1!D756)</f>
        <v/>
      </c>
      <c r="E767" t="str">
        <f>IF(VIPcric_1!E756="","",VIPcric_1!E756)</f>
        <v/>
      </c>
      <c r="F767" t="str">
        <f>IF(VIPcric_1!F756="","",VIPcric_1!F756)</f>
        <v/>
      </c>
      <c r="G767" t="str">
        <f>IF(VIPcric_1!G756="","",VIPcric_1!G756)</f>
        <v/>
      </c>
      <c r="H767" t="str">
        <f>IF(VIPcric_1!H756="","",VIPcric_1!H756)</f>
        <v/>
      </c>
      <c r="I767" t="str">
        <f>IF(VIPcric_1!M756="","",VIPcric_1!M756)</f>
        <v>CRIC-太原-市场监测.商品房市场.项目累计.供求.xlsx</v>
      </c>
    </row>
    <row r="768" spans="1:9">
      <c r="A768" t="str">
        <f>IF(VIPcric_1!A757="","",VIPcric_1!A757)</f>
        <v>时间(年)</v>
      </c>
      <c r="B768" t="str">
        <f>IF(VIPcric_1!B757="","",VIPcric_1!B757)</f>
        <v>供应面积(㎡)</v>
      </c>
      <c r="C768" t="str">
        <f>IF(VIPcric_1!C757="","",VIPcric_1!C757)</f>
        <v>供应套数(套)</v>
      </c>
      <c r="D768" t="str">
        <f>IF(VIPcric_1!D757="","",VIPcric_1!D757)</f>
        <v>成交面积(㎡)</v>
      </c>
      <c r="E768" t="str">
        <f>IF(VIPcric_1!E757="","",VIPcric_1!E757)</f>
        <v>成交套数(套)</v>
      </c>
      <c r="F768" t="str">
        <f>IF(VIPcric_1!F757="","",VIPcric_1!F757)</f>
        <v>成交均价(元/㎡)</v>
      </c>
      <c r="G768" t="str">
        <f>IF(VIPcric_1!G757="","",VIPcric_1!G757)</f>
        <v>供求比</v>
      </c>
      <c r="H768" t="str">
        <f>IF(VIPcric_1!H757="","",VIPcric_1!H757)</f>
        <v/>
      </c>
      <c r="I768" t="str">
        <f>IF(VIPcric_1!M757="","",VIPcric_1!M757)</f>
        <v>CRIC-太原-市场监测.商品房市场.项目累计.供求.xlsx</v>
      </c>
    </row>
    <row r="769" spans="1:9">
      <c r="A769" t="str">
        <f>IF(VIPcric_1!A758="","",VIPcric_1!A758)</f>
        <v>2023年</v>
      </c>
      <c r="B769">
        <f>IF(VIPcric_1!B758="","",VIPcric_1!B758)</f>
        <v>2747277</v>
      </c>
      <c r="C769">
        <f>IF(VIPcric_1!C758="","",VIPcric_1!C758)</f>
        <v>21878</v>
      </c>
      <c r="D769">
        <f>IF(VIPcric_1!D758="","",VIPcric_1!D758)</f>
        <v>0</v>
      </c>
      <c r="E769">
        <f>IF(VIPcric_1!E758="","",VIPcric_1!E758)</f>
        <v>0</v>
      </c>
      <c r="F769">
        <f>IF(VIPcric_1!F758="","",VIPcric_1!F758)</f>
        <v>0</v>
      </c>
      <c r="G769">
        <f>IF(VIPcric_1!G758="","",VIPcric_1!G758)</f>
        <v>0</v>
      </c>
      <c r="H769" t="str">
        <f>IF(VIPcric_1!H758="","",VIPcric_1!H758)</f>
        <v/>
      </c>
      <c r="I769" t="str">
        <f>IF(VIPcric_1!M758="","",VIPcric_1!M758)</f>
        <v>CRIC-太原-市场监测.商品房市场.项目累计.供求.xlsx</v>
      </c>
    </row>
    <row r="770" spans="1:9">
      <c r="A770" t="str">
        <f>IF(VIPcric_1!A759="","",VIPcric_1!A759)</f>
        <v>2022年</v>
      </c>
      <c r="B770">
        <f>IF(VIPcric_1!B759="","",VIPcric_1!B759)</f>
        <v>2808805</v>
      </c>
      <c r="C770">
        <f>IF(VIPcric_1!C759="","",VIPcric_1!C759)</f>
        <v>22284</v>
      </c>
      <c r="D770">
        <f>IF(VIPcric_1!D759="","",VIPcric_1!D759)</f>
        <v>0</v>
      </c>
      <c r="E770">
        <f>IF(VIPcric_1!E759="","",VIPcric_1!E759)</f>
        <v>0</v>
      </c>
      <c r="F770">
        <f>IF(VIPcric_1!F759="","",VIPcric_1!F759)</f>
        <v>0</v>
      </c>
      <c r="G770">
        <f>IF(VIPcric_1!G759="","",VIPcric_1!G759)</f>
        <v>0</v>
      </c>
      <c r="H770" t="str">
        <f>IF(VIPcric_1!H759="","",VIPcric_1!H759)</f>
        <v/>
      </c>
      <c r="I770" t="str">
        <f>IF(VIPcric_1!M759="","",VIPcric_1!M759)</f>
        <v>CRIC-太原-市场监测.商品房市场.项目累计.供求.xlsx</v>
      </c>
    </row>
    <row r="771" spans="1:9">
      <c r="A771" t="str">
        <f>IF(VIPcric_1!A760="","",VIPcric_1!A760)</f>
        <v>2021年</v>
      </c>
      <c r="B771">
        <f>IF(VIPcric_1!B760="","",VIPcric_1!B760)</f>
        <v>3836120</v>
      </c>
      <c r="C771">
        <f>IF(VIPcric_1!C760="","",VIPcric_1!C760)</f>
        <v>32216</v>
      </c>
      <c r="D771">
        <f>IF(VIPcric_1!D760="","",VIPcric_1!D760)</f>
        <v>7480080</v>
      </c>
      <c r="E771">
        <f>IF(VIPcric_1!E760="","",VIPcric_1!E760)</f>
        <v>61006</v>
      </c>
      <c r="F771">
        <f>IF(VIPcric_1!F760="","",VIPcric_1!F760)</f>
        <v>11648</v>
      </c>
      <c r="G771">
        <f>IF(VIPcric_1!G760="","",VIPcric_1!G760)</f>
        <v>0.51</v>
      </c>
      <c r="H771" t="str">
        <f>IF(VIPcric_1!H760="","",VIPcric_1!H760)</f>
        <v/>
      </c>
      <c r="I771" t="str">
        <f>IF(VIPcric_1!M760="","",VIPcric_1!M760)</f>
        <v>CRIC-太原-市场监测.商品房市场.项目累计.供求.xlsx</v>
      </c>
    </row>
    <row r="772" spans="1:9">
      <c r="A772" t="str">
        <f>IF(VIPcric_1!A761="","",VIPcric_1!A761)</f>
        <v>2020年</v>
      </c>
      <c r="B772">
        <f>IF(VIPcric_1!B761="","",VIPcric_1!B761)</f>
        <v>11272889</v>
      </c>
      <c r="C772">
        <f>IF(VIPcric_1!C761="","",VIPcric_1!C761)</f>
        <v>95653</v>
      </c>
      <c r="D772">
        <f>IF(VIPcric_1!D761="","",VIPcric_1!D761)</f>
        <v>1271248</v>
      </c>
      <c r="E772">
        <f>IF(VIPcric_1!E761="","",VIPcric_1!E761)</f>
        <v>10592</v>
      </c>
      <c r="F772">
        <f>IF(VIPcric_1!F761="","",VIPcric_1!F761)</f>
        <v>12060</v>
      </c>
      <c r="G772">
        <f>IF(VIPcric_1!G761="","",VIPcric_1!G761)</f>
        <v>8.8699999999999992</v>
      </c>
      <c r="H772" t="str">
        <f>IF(VIPcric_1!H761="","",VIPcric_1!H761)</f>
        <v/>
      </c>
      <c r="I772" t="str">
        <f>IF(VIPcric_1!M761="","",VIPcric_1!M761)</f>
        <v>CRIC-太原-市场监测.商品房市场.项目累计.供求.xlsx</v>
      </c>
    </row>
    <row r="773" spans="1:9">
      <c r="A773" t="str">
        <f>IF(VIPcric_1!A762="","",VIPcric_1!A762)</f>
        <v>2019年</v>
      </c>
      <c r="B773">
        <f>IF(VIPcric_1!B762="","",VIPcric_1!B762)</f>
        <v>11374948</v>
      </c>
      <c r="C773">
        <f>IF(VIPcric_1!C762="","",VIPcric_1!C762)</f>
        <v>93950</v>
      </c>
      <c r="D773">
        <f>IF(VIPcric_1!D762="","",VIPcric_1!D762)</f>
        <v>5260562</v>
      </c>
      <c r="E773">
        <f>IF(VIPcric_1!E762="","",VIPcric_1!E762)</f>
        <v>43391</v>
      </c>
      <c r="F773">
        <f>IF(VIPcric_1!F762="","",VIPcric_1!F762)</f>
        <v>13088</v>
      </c>
      <c r="G773">
        <f>IF(VIPcric_1!G762="","",VIPcric_1!G762)</f>
        <v>2.16</v>
      </c>
      <c r="H773" t="str">
        <f>IF(VIPcric_1!H762="","",VIPcric_1!H762)</f>
        <v/>
      </c>
      <c r="I773" t="str">
        <f>IF(VIPcric_1!M762="","",VIPcric_1!M762)</f>
        <v>CRIC-太原-市场监测.商品房市场.项目累计.供求.xlsx</v>
      </c>
    </row>
    <row r="774" spans="1:9">
      <c r="A774" t="str">
        <f>IF(VIPcric_1!A763="","",VIPcric_1!A763)</f>
        <v>2018年</v>
      </c>
      <c r="B774">
        <f>IF(VIPcric_1!B763="","",VIPcric_1!B763)</f>
        <v>16658034</v>
      </c>
      <c r="C774">
        <f>IF(VIPcric_1!C763="","",VIPcric_1!C763)</f>
        <v>135740</v>
      </c>
      <c r="D774">
        <f>IF(VIPcric_1!D763="","",VIPcric_1!D763)</f>
        <v>4999214</v>
      </c>
      <c r="E774">
        <f>IF(VIPcric_1!E763="","",VIPcric_1!E763)</f>
        <v>40867</v>
      </c>
      <c r="F774">
        <f>IF(VIPcric_1!F763="","",VIPcric_1!F763)</f>
        <v>9841</v>
      </c>
      <c r="G774">
        <f>IF(VIPcric_1!G763="","",VIPcric_1!G763)</f>
        <v>3.33</v>
      </c>
      <c r="H774" t="str">
        <f>IF(VIPcric_1!H763="","",VIPcric_1!H763)</f>
        <v/>
      </c>
      <c r="I774" t="str">
        <f>IF(VIPcric_1!M763="","",VIPcric_1!M763)</f>
        <v>CRIC-太原-市场监测.商品房市场.项目累计.供求.xlsx</v>
      </c>
    </row>
    <row r="775" spans="1:9">
      <c r="A775" t="str">
        <f>IF(VIPcric_1!A764="","",VIPcric_1!A764)</f>
        <v>汇总</v>
      </c>
      <c r="B775">
        <f>IF(VIPcric_1!B764="","",VIPcric_1!B764)</f>
        <v>48698073</v>
      </c>
      <c r="C775">
        <f>IF(VIPcric_1!C764="","",VIPcric_1!C764)</f>
        <v>401721</v>
      </c>
      <c r="D775">
        <f>IF(VIPcric_1!D764="","",VIPcric_1!D764)</f>
        <v>19011103</v>
      </c>
      <c r="E775">
        <f>IF(VIPcric_1!E764="","",VIPcric_1!E764)</f>
        <v>155856</v>
      </c>
      <c r="F775">
        <f>IF(VIPcric_1!F764="","",VIPcric_1!F764)</f>
        <v>11599</v>
      </c>
      <c r="G775">
        <f>IF(VIPcric_1!G764="","",VIPcric_1!G764)</f>
        <v>2.56</v>
      </c>
      <c r="H775" t="str">
        <f>IF(VIPcric_1!H764="","",VIPcric_1!H764)</f>
        <v/>
      </c>
      <c r="I775" t="str">
        <f>IF(VIPcric_1!M764="","",VIPcric_1!M764)</f>
        <v>CRIC-太原-市场监测.商品房市场.项目累计.供求.xlsx</v>
      </c>
    </row>
    <row r="776" spans="1:9">
      <c r="A776" t="str">
        <f>IF(VIPcric_1!A765="","",VIPcric_1!A765)</f>
        <v/>
      </c>
      <c r="B776" t="str">
        <f>IF(VIPcric_1!B765="","",VIPcric_1!B765)</f>
        <v/>
      </c>
      <c r="C776" t="str">
        <f>IF(VIPcric_1!C765="","",VIPcric_1!C765)</f>
        <v/>
      </c>
      <c r="D776" t="str">
        <f>IF(VIPcric_1!D765="","",VIPcric_1!D765)</f>
        <v/>
      </c>
      <c r="E776" t="str">
        <f>IF(VIPcric_1!E765="","",VIPcric_1!E765)</f>
        <v/>
      </c>
      <c r="F776" t="str">
        <f>IF(VIPcric_1!F765="","",VIPcric_1!F765)</f>
        <v/>
      </c>
      <c r="G776" t="str">
        <f>IF(VIPcric_1!G765="","",VIPcric_1!G765)</f>
        <v/>
      </c>
      <c r="H776" t="str">
        <f>IF(VIPcric_1!H765="","",VIPcric_1!H765)</f>
        <v/>
      </c>
      <c r="I776" t="str">
        <f>IF(VIPcric_1!M765="","",VIPcric_1!M765)</f>
        <v/>
      </c>
    </row>
    <row r="777" spans="1:9">
      <c r="A777" t="str">
        <f>IF(VIPcric_1!A766="","",VIPcric_1!A766)</f>
        <v/>
      </c>
      <c r="B777" t="str">
        <f>IF(VIPcric_1!B766="","",VIPcric_1!B766)</f>
        <v/>
      </c>
      <c r="C777" t="str">
        <f>IF(VIPcric_1!C766="","",VIPcric_1!C766)</f>
        <v/>
      </c>
      <c r="D777" t="str">
        <f>IF(VIPcric_1!D766="","",VIPcric_1!D766)</f>
        <v/>
      </c>
      <c r="E777" t="str">
        <f>IF(VIPcric_1!E766="","",VIPcric_1!E766)</f>
        <v/>
      </c>
      <c r="F777" t="str">
        <f>IF(VIPcric_1!F766="","",VIPcric_1!F766)</f>
        <v/>
      </c>
      <c r="G777" t="str">
        <f>IF(VIPcric_1!G766="","",VIPcric_1!G766)</f>
        <v/>
      </c>
      <c r="H777" t="str">
        <f>IF(VIPcric_1!H766="","",VIPcric_1!H766)</f>
        <v/>
      </c>
      <c r="I777" t="str">
        <f>IF(VIPcric_1!M766="","",VIPcric_1!M766)</f>
        <v>CRIC-太原-市场监测.商品房市场.项目累计.库存.xlsx</v>
      </c>
    </row>
    <row r="778" spans="1:9">
      <c r="A778" t="str">
        <f>IF(VIPcric_1!A767="","",VIPcric_1!A767)</f>
        <v>时间(年)</v>
      </c>
      <c r="B778" t="str">
        <f>IF(VIPcric_1!B767="","",VIPcric_1!B767)</f>
        <v>库存面积(㎡)</v>
      </c>
      <c r="C778" t="str">
        <f>IF(VIPcric_1!C767="","",VIPcric_1!C767)</f>
        <v>库存套数(套)</v>
      </c>
      <c r="D778" t="str">
        <f>IF(VIPcric_1!D767="","",VIPcric_1!D767)</f>
        <v>去化周期12'(月)</v>
      </c>
      <c r="E778" t="str">
        <f>IF(VIPcric_1!E767="","",VIPcric_1!E767)</f>
        <v>去化周期24'(月)</v>
      </c>
      <c r="F778" t="str">
        <f>IF(VIPcric_1!F767="","",VIPcric_1!F767)</f>
        <v/>
      </c>
      <c r="G778" t="str">
        <f>IF(VIPcric_1!G767="","",VIPcric_1!G767)</f>
        <v/>
      </c>
      <c r="H778" t="str">
        <f>IF(VIPcric_1!H767="","",VIPcric_1!H767)</f>
        <v/>
      </c>
      <c r="I778" t="str">
        <f>IF(VIPcric_1!M767="","",VIPcric_1!M767)</f>
        <v>CRIC-太原-市场监测.商品房市场.项目累计.库存.xlsx</v>
      </c>
    </row>
    <row r="779" spans="1:9">
      <c r="A779" t="str">
        <f>IF(VIPcric_1!A768="","",VIPcric_1!A768)</f>
        <v>2021年</v>
      </c>
      <c r="B779">
        <f>IF(VIPcric_1!B768="","",VIPcric_1!B768)</f>
        <v>10415441</v>
      </c>
      <c r="C779">
        <f>IF(VIPcric_1!C768="","",VIPcric_1!C768)</f>
        <v>79133</v>
      </c>
      <c r="D779">
        <f>IF(VIPcric_1!D768="","",VIPcric_1!D768)</f>
        <v>14.3</v>
      </c>
      <c r="E779">
        <f>IF(VIPcric_1!E768="","",VIPcric_1!E768)</f>
        <v>28.6</v>
      </c>
      <c r="F779" t="str">
        <f>IF(VIPcric_1!F768="","",VIPcric_1!F768)</f>
        <v/>
      </c>
      <c r="G779" t="str">
        <f>IF(VIPcric_1!G768="","",VIPcric_1!G768)</f>
        <v/>
      </c>
      <c r="H779" t="str">
        <f>IF(VIPcric_1!H768="","",VIPcric_1!H768)</f>
        <v/>
      </c>
      <c r="I779" t="str">
        <f>IF(VIPcric_1!M768="","",VIPcric_1!M768)</f>
        <v>CRIC-太原-市场监测.商品房市场.项目累计.库存.xlsx</v>
      </c>
    </row>
    <row r="780" spans="1:9">
      <c r="A780" t="str">
        <f>IF(VIPcric_1!A769="","",VIPcric_1!A769)</f>
        <v/>
      </c>
      <c r="B780" t="str">
        <f>IF(VIPcric_1!B769="","",VIPcric_1!B769)</f>
        <v/>
      </c>
      <c r="C780" t="str">
        <f>IF(VIPcric_1!C769="","",VIPcric_1!C769)</f>
        <v/>
      </c>
      <c r="D780" t="str">
        <f>IF(VIPcric_1!D769="","",VIPcric_1!D769)</f>
        <v/>
      </c>
      <c r="E780" t="str">
        <f>IF(VIPcric_1!E769="","",VIPcric_1!E769)</f>
        <v/>
      </c>
      <c r="F780" t="str">
        <f>IF(VIPcric_1!F769="","",VIPcric_1!F769)</f>
        <v/>
      </c>
      <c r="G780" t="str">
        <f>IF(VIPcric_1!G769="","",VIPcric_1!G769)</f>
        <v/>
      </c>
      <c r="H780" t="str">
        <f>IF(VIPcric_1!H769="","",VIPcric_1!H769)</f>
        <v/>
      </c>
      <c r="I780" t="str">
        <f>IF(VIPcric_1!M769="","",VIPcric_1!M769)</f>
        <v/>
      </c>
    </row>
    <row r="781" spans="1:9">
      <c r="A781" t="str">
        <f>IF(VIPcric_1!A770="","",VIPcric_1!A770)</f>
        <v/>
      </c>
      <c r="B781" t="str">
        <f>IF(VIPcric_1!B770="","",VIPcric_1!B770)</f>
        <v/>
      </c>
      <c r="C781" t="str">
        <f>IF(VIPcric_1!C770="","",VIPcric_1!C770)</f>
        <v/>
      </c>
      <c r="D781" t="str">
        <f>IF(VIPcric_1!D770="","",VIPcric_1!D770)</f>
        <v/>
      </c>
      <c r="E781" t="str">
        <f>IF(VIPcric_1!E770="","",VIPcric_1!E770)</f>
        <v/>
      </c>
      <c r="F781" t="str">
        <f>IF(VIPcric_1!F770="","",VIPcric_1!F770)</f>
        <v/>
      </c>
      <c r="G781" t="str">
        <f>IF(VIPcric_1!G770="","",VIPcric_1!G770)</f>
        <v/>
      </c>
      <c r="H781" t="str">
        <f>IF(VIPcric_1!H770="","",VIPcric_1!H770)</f>
        <v/>
      </c>
      <c r="I781" t="str">
        <f>IF(VIPcric_1!M770="","",VIPcric_1!M770)</f>
        <v>CRIC-宁波-市场监测.商品房市场.项目累计.供求.xlsx</v>
      </c>
    </row>
    <row r="782" spans="1:9">
      <c r="A782" t="str">
        <f>IF(VIPcric_1!A771="","",VIPcric_1!A771)</f>
        <v>时间(年)</v>
      </c>
      <c r="B782" t="str">
        <f>IF(VIPcric_1!B771="","",VIPcric_1!B771)</f>
        <v>供应面积(㎡)</v>
      </c>
      <c r="C782" t="str">
        <f>IF(VIPcric_1!C771="","",VIPcric_1!C771)</f>
        <v>供应套数(套)</v>
      </c>
      <c r="D782" t="str">
        <f>IF(VIPcric_1!D771="","",VIPcric_1!D771)</f>
        <v>成交面积(㎡)</v>
      </c>
      <c r="E782" t="str">
        <f>IF(VIPcric_1!E771="","",VIPcric_1!E771)</f>
        <v>成交套数(套)</v>
      </c>
      <c r="F782" t="str">
        <f>IF(VIPcric_1!F771="","",VIPcric_1!F771)</f>
        <v>成交均价(元/㎡)</v>
      </c>
      <c r="G782" t="str">
        <f>IF(VIPcric_1!G771="","",VIPcric_1!G771)</f>
        <v>成交金额(元)</v>
      </c>
      <c r="H782" t="str">
        <f>IF(VIPcric_1!H771="","",VIPcric_1!H771)</f>
        <v>供求比</v>
      </c>
      <c r="I782" t="str">
        <f>IF(VIPcric_1!M771="","",VIPcric_1!M771)</f>
        <v>CRIC-宁波-市场监测.商品房市场.项目累计.供求.xlsx</v>
      </c>
    </row>
    <row r="783" spans="1:9">
      <c r="A783" t="str">
        <f>IF(VIPcric_1!A772="","",VIPcric_1!A772)</f>
        <v>2023年</v>
      </c>
      <c r="B783">
        <f>IF(VIPcric_1!B772="","",VIPcric_1!B772)</f>
        <v>685432</v>
      </c>
      <c r="C783">
        <f>IF(VIPcric_1!C772="","",VIPcric_1!C772)</f>
        <v>5177</v>
      </c>
      <c r="D783">
        <f>IF(VIPcric_1!D772="","",VIPcric_1!D772)</f>
        <v>770788</v>
      </c>
      <c r="E783">
        <f>IF(VIPcric_1!E772="","",VIPcric_1!E772)</f>
        <v>5607</v>
      </c>
      <c r="F783">
        <f>IF(VIPcric_1!F772="","",VIPcric_1!F772)</f>
        <v>35117</v>
      </c>
      <c r="G783">
        <f>IF(VIPcric_1!G772="","",VIPcric_1!G772)</f>
        <v>27068092632</v>
      </c>
      <c r="H783">
        <f>IF(VIPcric_1!H772="","",VIPcric_1!H772)</f>
        <v>0.89</v>
      </c>
      <c r="I783" t="str">
        <f>IF(VIPcric_1!M772="","",VIPcric_1!M772)</f>
        <v>CRIC-宁波-市场监测.商品房市场.项目累计.供求.xlsx</v>
      </c>
    </row>
    <row r="784" spans="1:9">
      <c r="A784" t="str">
        <f>IF(VIPcric_1!A773="","",VIPcric_1!A773)</f>
        <v>2022年</v>
      </c>
      <c r="B784">
        <f>IF(VIPcric_1!B773="","",VIPcric_1!B773)</f>
        <v>816716</v>
      </c>
      <c r="C784">
        <f>IF(VIPcric_1!C773="","",VIPcric_1!C773)</f>
        <v>5828</v>
      </c>
      <c r="D784">
        <f>IF(VIPcric_1!D773="","",VIPcric_1!D773)</f>
        <v>811697</v>
      </c>
      <c r="E784">
        <f>IF(VIPcric_1!E773="","",VIPcric_1!E773)</f>
        <v>5774</v>
      </c>
      <c r="F784">
        <f>IF(VIPcric_1!F773="","",VIPcric_1!F773)</f>
        <v>34053</v>
      </c>
      <c r="G784">
        <f>IF(VIPcric_1!G773="","",VIPcric_1!G773)</f>
        <v>27640563209</v>
      </c>
      <c r="H784">
        <f>IF(VIPcric_1!H773="","",VIPcric_1!H773)</f>
        <v>1.01</v>
      </c>
      <c r="I784" t="str">
        <f>IF(VIPcric_1!M773="","",VIPcric_1!M773)</f>
        <v>CRIC-宁波-市场监测.商品房市场.项目累计.供求.xlsx</v>
      </c>
    </row>
    <row r="785" spans="1:9">
      <c r="A785" t="str">
        <f>IF(VIPcric_1!A774="","",VIPcric_1!A774)</f>
        <v>2021年</v>
      </c>
      <c r="B785">
        <f>IF(VIPcric_1!B774="","",VIPcric_1!B774)</f>
        <v>1870523</v>
      </c>
      <c r="C785">
        <f>IF(VIPcric_1!C774="","",VIPcric_1!C774)</f>
        <v>13418</v>
      </c>
      <c r="D785">
        <f>IF(VIPcric_1!D774="","",VIPcric_1!D774)</f>
        <v>1650152</v>
      </c>
      <c r="E785">
        <f>IF(VIPcric_1!E774="","",VIPcric_1!E774)</f>
        <v>11990</v>
      </c>
      <c r="F785">
        <f>IF(VIPcric_1!F774="","",VIPcric_1!F774)</f>
        <v>34454</v>
      </c>
      <c r="G785">
        <f>IF(VIPcric_1!G774="","",VIPcric_1!G774)</f>
        <v>56854717364</v>
      </c>
      <c r="H785">
        <f>IF(VIPcric_1!H774="","",VIPcric_1!H774)</f>
        <v>1.1299999999999999</v>
      </c>
      <c r="I785" t="str">
        <f>IF(VIPcric_1!M774="","",VIPcric_1!M774)</f>
        <v>CRIC-宁波-市场监测.商品房市场.项目累计.供求.xlsx</v>
      </c>
    </row>
    <row r="786" spans="1:9">
      <c r="A786" t="str">
        <f>IF(VIPcric_1!A775="","",VIPcric_1!A775)</f>
        <v>2020年</v>
      </c>
      <c r="B786">
        <f>IF(VIPcric_1!B775="","",VIPcric_1!B775)</f>
        <v>1419070</v>
      </c>
      <c r="C786">
        <f>IF(VIPcric_1!C775="","",VIPcric_1!C775)</f>
        <v>10355</v>
      </c>
      <c r="D786">
        <f>IF(VIPcric_1!D775="","",VIPcric_1!D775)</f>
        <v>1341408</v>
      </c>
      <c r="E786">
        <f>IF(VIPcric_1!E775="","",VIPcric_1!E775)</f>
        <v>9568</v>
      </c>
      <c r="F786">
        <f>IF(VIPcric_1!F775="","",VIPcric_1!F775)</f>
        <v>34199</v>
      </c>
      <c r="G786">
        <f>IF(VIPcric_1!G775="","",VIPcric_1!G775)</f>
        <v>45874326179</v>
      </c>
      <c r="H786">
        <f>IF(VIPcric_1!H775="","",VIPcric_1!H775)</f>
        <v>1.06</v>
      </c>
      <c r="I786" t="str">
        <f>IF(VIPcric_1!M775="","",VIPcric_1!M775)</f>
        <v>CRIC-宁波-市场监测.商品房市场.项目累计.供求.xlsx</v>
      </c>
    </row>
    <row r="787" spans="1:9">
      <c r="A787" t="str">
        <f>IF(VIPcric_1!A776="","",VIPcric_1!A776)</f>
        <v>2019年</v>
      </c>
      <c r="B787">
        <f>IF(VIPcric_1!B776="","",VIPcric_1!B776)</f>
        <v>773080</v>
      </c>
      <c r="C787">
        <f>IF(VIPcric_1!C776="","",VIPcric_1!C776)</f>
        <v>5414</v>
      </c>
      <c r="D787">
        <f>IF(VIPcric_1!D776="","",VIPcric_1!D776)</f>
        <v>990374</v>
      </c>
      <c r="E787">
        <f>IF(VIPcric_1!E776="","",VIPcric_1!E776)</f>
        <v>6865</v>
      </c>
      <c r="F787">
        <f>IF(VIPcric_1!F776="","",VIPcric_1!F776)</f>
        <v>32260</v>
      </c>
      <c r="G787">
        <f>IF(VIPcric_1!G776="","",VIPcric_1!G776)</f>
        <v>31949617649</v>
      </c>
      <c r="H787">
        <f>IF(VIPcric_1!H776="","",VIPcric_1!H776)</f>
        <v>0.78</v>
      </c>
      <c r="I787" t="str">
        <f>IF(VIPcric_1!M776="","",VIPcric_1!M776)</f>
        <v>CRIC-宁波-市场监测.商品房市场.项目累计.供求.xlsx</v>
      </c>
    </row>
    <row r="788" spans="1:9">
      <c r="A788" t="str">
        <f>IF(VIPcric_1!A777="","",VIPcric_1!A777)</f>
        <v>汇总</v>
      </c>
      <c r="B788">
        <f>IF(VIPcric_1!B777="","",VIPcric_1!B777)</f>
        <v>5564821</v>
      </c>
      <c r="C788">
        <f>IF(VIPcric_1!C777="","",VIPcric_1!C777)</f>
        <v>40192</v>
      </c>
      <c r="D788">
        <f>IF(VIPcric_1!D777="","",VIPcric_1!D777)</f>
        <v>5564418</v>
      </c>
      <c r="E788">
        <f>IF(VIPcric_1!E777="","",VIPcric_1!E777)</f>
        <v>39804</v>
      </c>
      <c r="F788">
        <f>IF(VIPcric_1!F777="","",VIPcric_1!F777)</f>
        <v>34035</v>
      </c>
      <c r="G788">
        <f>IF(VIPcric_1!G777="","",VIPcric_1!G777)</f>
        <v>189387317033</v>
      </c>
      <c r="H788">
        <f>IF(VIPcric_1!H777="","",VIPcric_1!H777)</f>
        <v>1</v>
      </c>
      <c r="I788" t="str">
        <f>IF(VIPcric_1!M777="","",VIPcric_1!M777)</f>
        <v>CRIC-宁波-市场监测.商品房市场.项目累计.供求.xlsx</v>
      </c>
    </row>
    <row r="789" spans="1:9">
      <c r="A789" t="str">
        <f>IF(VIPcric_1!A778="","",VIPcric_1!A778)</f>
        <v/>
      </c>
      <c r="B789" t="str">
        <f>IF(VIPcric_1!B778="","",VIPcric_1!B778)</f>
        <v/>
      </c>
      <c r="C789" t="str">
        <f>IF(VIPcric_1!C778="","",VIPcric_1!C778)</f>
        <v/>
      </c>
      <c r="D789" t="str">
        <f>IF(VIPcric_1!D778="","",VIPcric_1!D778)</f>
        <v/>
      </c>
      <c r="E789" t="str">
        <f>IF(VIPcric_1!E778="","",VIPcric_1!E778)</f>
        <v/>
      </c>
      <c r="F789" t="str">
        <f>IF(VIPcric_1!F778="","",VIPcric_1!F778)</f>
        <v/>
      </c>
      <c r="G789" t="str">
        <f>IF(VIPcric_1!G778="","",VIPcric_1!G778)</f>
        <v/>
      </c>
      <c r="H789" t="str">
        <f>IF(VIPcric_1!H778="","",VIPcric_1!H778)</f>
        <v/>
      </c>
      <c r="I789" t="str">
        <f>IF(VIPcric_1!M778="","",VIPcric_1!M778)</f>
        <v/>
      </c>
    </row>
    <row r="790" spans="1:9">
      <c r="A790" t="str">
        <f>IF(VIPcric_1!A779="","",VIPcric_1!A779)</f>
        <v/>
      </c>
      <c r="B790" t="str">
        <f>IF(VIPcric_1!B779="","",VIPcric_1!B779)</f>
        <v/>
      </c>
      <c r="C790" t="str">
        <f>IF(VIPcric_1!C779="","",VIPcric_1!C779)</f>
        <v/>
      </c>
      <c r="D790" t="str">
        <f>IF(VIPcric_1!D779="","",VIPcric_1!D779)</f>
        <v/>
      </c>
      <c r="E790" t="str">
        <f>IF(VIPcric_1!E779="","",VIPcric_1!E779)</f>
        <v/>
      </c>
      <c r="F790" t="str">
        <f>IF(VIPcric_1!F779="","",VIPcric_1!F779)</f>
        <v/>
      </c>
      <c r="G790" t="str">
        <f>IF(VIPcric_1!G779="","",VIPcric_1!G779)</f>
        <v/>
      </c>
      <c r="H790" t="str">
        <f>IF(VIPcric_1!H779="","",VIPcric_1!H779)</f>
        <v/>
      </c>
      <c r="I790" t="str">
        <f>IF(VIPcric_1!M779="","",VIPcric_1!M779)</f>
        <v>CRIC-宁波-市场监测.商品房市场.项目累计.库存.xlsx</v>
      </c>
    </row>
    <row r="791" spans="1:9">
      <c r="A791" t="str">
        <f>IF(VIPcric_1!A780="","",VIPcric_1!A780)</f>
        <v>时间(年)</v>
      </c>
      <c r="B791" t="str">
        <f>IF(VIPcric_1!B780="","",VIPcric_1!B780)</f>
        <v>库存面积(㎡)</v>
      </c>
      <c r="C791" t="str">
        <f>IF(VIPcric_1!C780="","",VIPcric_1!C780)</f>
        <v>库存套数(套)</v>
      </c>
      <c r="D791" t="str">
        <f>IF(VIPcric_1!D780="","",VIPcric_1!D780)</f>
        <v>去化周期12'(月)</v>
      </c>
      <c r="E791" t="str">
        <f>IF(VIPcric_1!E780="","",VIPcric_1!E780)</f>
        <v/>
      </c>
      <c r="F791" t="str">
        <f>IF(VIPcric_1!F780="","",VIPcric_1!F780)</f>
        <v/>
      </c>
      <c r="G791" t="str">
        <f>IF(VIPcric_1!G780="","",VIPcric_1!G780)</f>
        <v/>
      </c>
      <c r="H791" t="str">
        <f>IF(VIPcric_1!H780="","",VIPcric_1!H780)</f>
        <v/>
      </c>
      <c r="I791" t="str">
        <f>IF(VIPcric_1!M780="","",VIPcric_1!M780)</f>
        <v>CRIC-宁波-市场监测.商品房市场.项目累计.库存.xlsx</v>
      </c>
    </row>
    <row r="792" spans="1:9">
      <c r="A792" t="str">
        <f>IF(VIPcric_1!A781="","",VIPcric_1!A781)</f>
        <v>2023年</v>
      </c>
      <c r="B792">
        <f>IF(VIPcric_1!B781="","",VIPcric_1!B781)</f>
        <v>5757171</v>
      </c>
      <c r="C792">
        <f>IF(VIPcric_1!C781="","",VIPcric_1!C781)</f>
        <v>52303</v>
      </c>
      <c r="D792">
        <f>IF(VIPcric_1!D781="","",VIPcric_1!D781)</f>
        <v>14.4</v>
      </c>
      <c r="E792" t="str">
        <f>IF(VIPcric_1!E781="","",VIPcric_1!E781)</f>
        <v/>
      </c>
      <c r="F792" t="str">
        <f>IF(VIPcric_1!F781="","",VIPcric_1!F781)</f>
        <v/>
      </c>
      <c r="G792" t="str">
        <f>IF(VIPcric_1!G781="","",VIPcric_1!G781)</f>
        <v/>
      </c>
      <c r="H792" t="str">
        <f>IF(VIPcric_1!H781="","",VIPcric_1!H781)</f>
        <v/>
      </c>
      <c r="I792" t="str">
        <f>IF(VIPcric_1!M781="","",VIPcric_1!M781)</f>
        <v>CRIC-宁波-市场监测.商品房市场.项目累计.库存.xlsx</v>
      </c>
    </row>
    <row r="793" spans="1:9">
      <c r="A793" t="str">
        <f>IF(VIPcric_1!A782="","",VIPcric_1!A782)</f>
        <v>2022年</v>
      </c>
      <c r="B793">
        <f>IF(VIPcric_1!B782="","",VIPcric_1!B782)</f>
        <v>6290877</v>
      </c>
      <c r="C793">
        <f>IF(VIPcric_1!C782="","",VIPcric_1!C782)</f>
        <v>56184</v>
      </c>
      <c r="D793">
        <f>IF(VIPcric_1!D782="","",VIPcric_1!D782)</f>
        <v>13.4</v>
      </c>
      <c r="E793" t="str">
        <f>IF(VIPcric_1!E782="","",VIPcric_1!E782)</f>
        <v/>
      </c>
      <c r="F793" t="str">
        <f>IF(VIPcric_1!F782="","",VIPcric_1!F782)</f>
        <v/>
      </c>
      <c r="G793" t="str">
        <f>IF(VIPcric_1!G782="","",VIPcric_1!G782)</f>
        <v/>
      </c>
      <c r="H793" t="str">
        <f>IF(VIPcric_1!H782="","",VIPcric_1!H782)</f>
        <v/>
      </c>
      <c r="I793" t="str">
        <f>IF(VIPcric_1!M782="","",VIPcric_1!M782)</f>
        <v>CRIC-宁波-市场监测.商品房市场.项目累计.库存.xlsx</v>
      </c>
    </row>
    <row r="794" spans="1:9">
      <c r="A794" t="str">
        <f>IF(VIPcric_1!A783="","",VIPcric_1!A783)</f>
        <v>2021年</v>
      </c>
      <c r="B794">
        <f>IF(VIPcric_1!B783="","",VIPcric_1!B783)</f>
        <v>5804192</v>
      </c>
      <c r="C794">
        <f>IF(VIPcric_1!C783="","",VIPcric_1!C783)</f>
        <v>51378</v>
      </c>
      <c r="D794">
        <f>IF(VIPcric_1!D783="","",VIPcric_1!D783)</f>
        <v>5.9</v>
      </c>
      <c r="E794" t="str">
        <f>IF(VIPcric_1!E783="","",VIPcric_1!E783)</f>
        <v/>
      </c>
      <c r="F794" t="str">
        <f>IF(VIPcric_1!F783="","",VIPcric_1!F783)</f>
        <v/>
      </c>
      <c r="G794" t="str">
        <f>IF(VIPcric_1!G783="","",VIPcric_1!G783)</f>
        <v/>
      </c>
      <c r="H794" t="str">
        <f>IF(VIPcric_1!H783="","",VIPcric_1!H783)</f>
        <v/>
      </c>
      <c r="I794" t="str">
        <f>IF(VIPcric_1!M783="","",VIPcric_1!M783)</f>
        <v>CRIC-宁波-市场监测.商品房市场.项目累计.库存.xlsx</v>
      </c>
    </row>
    <row r="795" spans="1:9">
      <c r="A795" t="str">
        <f>IF(VIPcric_1!A784="","",VIPcric_1!A784)</f>
        <v>2020年</v>
      </c>
      <c r="B795">
        <f>IF(VIPcric_1!B784="","",VIPcric_1!B784)</f>
        <v>4985881</v>
      </c>
      <c r="C795">
        <f>IF(VIPcric_1!C784="","",VIPcric_1!C784)</f>
        <v>44470</v>
      </c>
      <c r="D795">
        <f>IF(VIPcric_1!D784="","",VIPcric_1!D784)</f>
        <v>4.0999999999999996</v>
      </c>
      <c r="E795" t="str">
        <f>IF(VIPcric_1!E784="","",VIPcric_1!E784)</f>
        <v/>
      </c>
      <c r="F795" t="str">
        <f>IF(VIPcric_1!F784="","",VIPcric_1!F784)</f>
        <v/>
      </c>
      <c r="G795" t="str">
        <f>IF(VIPcric_1!G784="","",VIPcric_1!G784)</f>
        <v/>
      </c>
      <c r="H795" t="str">
        <f>IF(VIPcric_1!H784="","",VIPcric_1!H784)</f>
        <v/>
      </c>
      <c r="I795" t="str">
        <f>IF(VIPcric_1!M784="","",VIPcric_1!M784)</f>
        <v>CRIC-宁波-市场监测.商品房市场.项目累计.库存.xlsx</v>
      </c>
    </row>
    <row r="796" spans="1:9">
      <c r="A796" t="str">
        <f>IF(VIPcric_1!A785="","",VIPcric_1!A785)</f>
        <v>2019年</v>
      </c>
      <c r="B796">
        <f>IF(VIPcric_1!B785="","",VIPcric_1!B785)</f>
        <v>5647645</v>
      </c>
      <c r="C796">
        <f>IF(VIPcric_1!C785="","",VIPcric_1!C785)</f>
        <v>48446</v>
      </c>
      <c r="D796">
        <f>IF(VIPcric_1!D785="","",VIPcric_1!D785)</f>
        <v>5.5</v>
      </c>
      <c r="E796" t="str">
        <f>IF(VIPcric_1!E785="","",VIPcric_1!E785)</f>
        <v/>
      </c>
      <c r="F796" t="str">
        <f>IF(VIPcric_1!F785="","",VIPcric_1!F785)</f>
        <v/>
      </c>
      <c r="G796" t="str">
        <f>IF(VIPcric_1!G785="","",VIPcric_1!G785)</f>
        <v/>
      </c>
      <c r="H796" t="str">
        <f>IF(VIPcric_1!H785="","",VIPcric_1!H785)</f>
        <v/>
      </c>
      <c r="I796" t="str">
        <f>IF(VIPcric_1!M785="","",VIPcric_1!M785)</f>
        <v>CRIC-宁波-市场监测.商品房市场.项目累计.库存.xlsx</v>
      </c>
    </row>
    <row r="797" spans="1:9">
      <c r="A797" t="str">
        <f>IF(VIPcric_1!A786="","",VIPcric_1!A786)</f>
        <v/>
      </c>
      <c r="B797" t="str">
        <f>IF(VIPcric_1!B786="","",VIPcric_1!B786)</f>
        <v/>
      </c>
      <c r="C797" t="str">
        <f>IF(VIPcric_1!C786="","",VIPcric_1!C786)</f>
        <v/>
      </c>
      <c r="D797" t="str">
        <f>IF(VIPcric_1!D786="","",VIPcric_1!D786)</f>
        <v/>
      </c>
      <c r="E797" t="str">
        <f>IF(VIPcric_1!E786="","",VIPcric_1!E786)</f>
        <v/>
      </c>
      <c r="F797" t="str">
        <f>IF(VIPcric_1!F786="","",VIPcric_1!F786)</f>
        <v/>
      </c>
      <c r="G797" t="str">
        <f>IF(VIPcric_1!G786="","",VIPcric_1!G786)</f>
        <v/>
      </c>
      <c r="H797" t="str">
        <f>IF(VIPcric_1!H786="","",VIPcric_1!H786)</f>
        <v/>
      </c>
      <c r="I797" t="str">
        <f>IF(VIPcric_1!M786="","",VIPcric_1!M786)</f>
        <v/>
      </c>
    </row>
    <row r="798" spans="1:9">
      <c r="A798" t="str">
        <f>IF(VIPcric_1!A787="","",VIPcric_1!A787)</f>
        <v/>
      </c>
      <c r="B798" t="str">
        <f>IF(VIPcric_1!B787="","",VIPcric_1!B787)</f>
        <v/>
      </c>
      <c r="C798" t="str">
        <f>IF(VIPcric_1!C787="","",VIPcric_1!C787)</f>
        <v/>
      </c>
      <c r="D798" t="str">
        <f>IF(VIPcric_1!D787="","",VIPcric_1!D787)</f>
        <v/>
      </c>
      <c r="E798" t="str">
        <f>IF(VIPcric_1!E787="","",VIPcric_1!E787)</f>
        <v/>
      </c>
      <c r="F798" t="str">
        <f>IF(VIPcric_1!F787="","",VIPcric_1!F787)</f>
        <v/>
      </c>
      <c r="G798" t="str">
        <f>IF(VIPcric_1!G787="","",VIPcric_1!G787)</f>
        <v/>
      </c>
      <c r="H798" t="str">
        <f>IF(VIPcric_1!H787="","",VIPcric_1!H787)</f>
        <v/>
      </c>
      <c r="I798" t="str">
        <f>IF(VIPcric_1!M787="","",VIPcric_1!M787)</f>
        <v>CRIC-安庆-市场监测.商品房市场.项目累计.供求.xlsx</v>
      </c>
    </row>
    <row r="799" spans="1:9">
      <c r="A799" t="str">
        <f>IF(VIPcric_1!A788="","",VIPcric_1!A788)</f>
        <v>时间(年)</v>
      </c>
      <c r="B799" t="str">
        <f>IF(VIPcric_1!B788="","",VIPcric_1!B788)</f>
        <v>供应面积(㎡)</v>
      </c>
      <c r="C799" t="str">
        <f>IF(VIPcric_1!C788="","",VIPcric_1!C788)</f>
        <v>供应套数(套)</v>
      </c>
      <c r="D799" t="str">
        <f>IF(VIPcric_1!D788="","",VIPcric_1!D788)</f>
        <v>成交面积(㎡)</v>
      </c>
      <c r="E799" t="str">
        <f>IF(VIPcric_1!E788="","",VIPcric_1!E788)</f>
        <v>成交套数(套)</v>
      </c>
      <c r="F799" t="str">
        <f>IF(VIPcric_1!F788="","",VIPcric_1!F788)</f>
        <v>成交均价(元/㎡)</v>
      </c>
      <c r="G799" t="str">
        <f>IF(VIPcric_1!G788="","",VIPcric_1!G788)</f>
        <v>成交金额(元)</v>
      </c>
      <c r="H799" t="str">
        <f>IF(VIPcric_1!H788="","",VIPcric_1!H788)</f>
        <v>供求比</v>
      </c>
      <c r="I799" t="str">
        <f>IF(VIPcric_1!M788="","",VIPcric_1!M788)</f>
        <v>CRIC-安庆-市场监测.商品房市场.项目累计.供求.xlsx</v>
      </c>
    </row>
    <row r="800" spans="1:9">
      <c r="A800" t="str">
        <f>IF(VIPcric_1!A789="","",VIPcric_1!A789)</f>
        <v>2024年</v>
      </c>
      <c r="B800">
        <f>IF(VIPcric_1!B789="","",VIPcric_1!B789)</f>
        <v>34895</v>
      </c>
      <c r="C800">
        <f>IF(VIPcric_1!C789="","",VIPcric_1!C789)</f>
        <v>252</v>
      </c>
      <c r="D800">
        <f>IF(VIPcric_1!D789="","",VIPcric_1!D789)</f>
        <v>46380</v>
      </c>
      <c r="E800">
        <f>IF(VIPcric_1!E789="","",VIPcric_1!E789)</f>
        <v>354</v>
      </c>
      <c r="F800">
        <f>IF(VIPcric_1!F789="","",VIPcric_1!F789)</f>
        <v>9032</v>
      </c>
      <c r="G800">
        <f>IF(VIPcric_1!G789="","",VIPcric_1!G789)</f>
        <v>418908173</v>
      </c>
      <c r="H800">
        <f>IF(VIPcric_1!H789="","",VIPcric_1!H789)</f>
        <v>0.75</v>
      </c>
      <c r="I800" t="str">
        <f>IF(VIPcric_1!M789="","",VIPcric_1!M789)</f>
        <v>CRIC-安庆-市场监测.商品房市场.项目累计.供求.xlsx</v>
      </c>
    </row>
    <row r="801" spans="1:9">
      <c r="A801" t="str">
        <f>IF(VIPcric_1!A790="","",VIPcric_1!A790)</f>
        <v>2023年</v>
      </c>
      <c r="B801">
        <f>IF(VIPcric_1!B790="","",VIPcric_1!B790)</f>
        <v>634940</v>
      </c>
      <c r="C801">
        <f>IF(VIPcric_1!C790="","",VIPcric_1!C790)</f>
        <v>5280</v>
      </c>
      <c r="D801">
        <f>IF(VIPcric_1!D790="","",VIPcric_1!D790)</f>
        <v>999377</v>
      </c>
      <c r="E801">
        <f>IF(VIPcric_1!E790="","",VIPcric_1!E790)</f>
        <v>8310</v>
      </c>
      <c r="F801">
        <f>IF(VIPcric_1!F790="","",VIPcric_1!F790)</f>
        <v>8639</v>
      </c>
      <c r="G801">
        <f>IF(VIPcric_1!G790="","",VIPcric_1!G790)</f>
        <v>8633139835</v>
      </c>
      <c r="H801">
        <f>IF(VIPcric_1!H790="","",VIPcric_1!H790)</f>
        <v>0.64</v>
      </c>
      <c r="I801" t="str">
        <f>IF(VIPcric_1!M790="","",VIPcric_1!M790)</f>
        <v>CRIC-安庆-市场监测.商品房市场.项目累计.供求.xlsx</v>
      </c>
    </row>
    <row r="802" spans="1:9">
      <c r="A802" t="str">
        <f>IF(VIPcric_1!A791="","",VIPcric_1!A791)</f>
        <v>2022年</v>
      </c>
      <c r="B802">
        <f>IF(VIPcric_1!B791="","",VIPcric_1!B791)</f>
        <v>782082</v>
      </c>
      <c r="C802">
        <f>IF(VIPcric_1!C791="","",VIPcric_1!C791)</f>
        <v>6889</v>
      </c>
      <c r="D802">
        <f>IF(VIPcric_1!D791="","",VIPcric_1!D791)</f>
        <v>763481</v>
      </c>
      <c r="E802">
        <f>IF(VIPcric_1!E791="","",VIPcric_1!E791)</f>
        <v>6419</v>
      </c>
      <c r="F802">
        <f>IF(VIPcric_1!F791="","",VIPcric_1!F791)</f>
        <v>8669</v>
      </c>
      <c r="G802">
        <f>IF(VIPcric_1!G791="","",VIPcric_1!G791)</f>
        <v>6618815630</v>
      </c>
      <c r="H802">
        <f>IF(VIPcric_1!H791="","",VIPcric_1!H791)</f>
        <v>1.02</v>
      </c>
      <c r="I802" t="str">
        <f>IF(VIPcric_1!M791="","",VIPcric_1!M791)</f>
        <v>CRIC-安庆-市场监测.商品房市场.项目累计.供求.xlsx</v>
      </c>
    </row>
    <row r="803" spans="1:9">
      <c r="A803" t="str">
        <f>IF(VIPcric_1!A792="","",VIPcric_1!A792)</f>
        <v>2021年</v>
      </c>
      <c r="B803">
        <f>IF(VIPcric_1!B792="","",VIPcric_1!B792)</f>
        <v>1073688</v>
      </c>
      <c r="C803">
        <f>IF(VIPcric_1!C792="","",VIPcric_1!C792)</f>
        <v>8916</v>
      </c>
      <c r="D803">
        <f>IF(VIPcric_1!D792="","",VIPcric_1!D792)</f>
        <v>1384553</v>
      </c>
      <c r="E803">
        <f>IF(VIPcric_1!E792="","",VIPcric_1!E792)</f>
        <v>11546</v>
      </c>
      <c r="F803">
        <f>IF(VIPcric_1!F792="","",VIPcric_1!F792)</f>
        <v>8932</v>
      </c>
      <c r="G803">
        <f>IF(VIPcric_1!G792="","",VIPcric_1!G792)</f>
        <v>12366530547</v>
      </c>
      <c r="H803">
        <f>IF(VIPcric_1!H792="","",VIPcric_1!H792)</f>
        <v>0.78</v>
      </c>
      <c r="I803" t="str">
        <f>IF(VIPcric_1!M792="","",VIPcric_1!M792)</f>
        <v>CRIC-安庆-市场监测.商品房市场.项目累计.供求.xlsx</v>
      </c>
    </row>
    <row r="804" spans="1:9">
      <c r="A804" t="str">
        <f>IF(VIPcric_1!A793="","",VIPcric_1!A793)</f>
        <v>2020年</v>
      </c>
      <c r="B804">
        <f>IF(VIPcric_1!B793="","",VIPcric_1!B793)</f>
        <v>1480310</v>
      </c>
      <c r="C804">
        <f>IF(VIPcric_1!C793="","",VIPcric_1!C793)</f>
        <v>12448</v>
      </c>
      <c r="D804">
        <f>IF(VIPcric_1!D793="","",VIPcric_1!D793)</f>
        <v>1214293</v>
      </c>
      <c r="E804">
        <f>IF(VIPcric_1!E793="","",VIPcric_1!E793)</f>
        <v>10230</v>
      </c>
      <c r="F804">
        <f>IF(VIPcric_1!F793="","",VIPcric_1!F793)</f>
        <v>8678</v>
      </c>
      <c r="G804">
        <f>IF(VIPcric_1!G793="","",VIPcric_1!G793)</f>
        <v>10538219207</v>
      </c>
      <c r="H804">
        <f>IF(VIPcric_1!H793="","",VIPcric_1!H793)</f>
        <v>1.22</v>
      </c>
      <c r="I804" t="str">
        <f>IF(VIPcric_1!M793="","",VIPcric_1!M793)</f>
        <v>CRIC-安庆-市场监测.商品房市场.项目累计.供求.xlsx</v>
      </c>
    </row>
    <row r="805" spans="1:9">
      <c r="A805" t="str">
        <f>IF(VIPcric_1!A794="","",VIPcric_1!A794)</f>
        <v>2019年</v>
      </c>
      <c r="B805">
        <f>IF(VIPcric_1!B794="","",VIPcric_1!B794)</f>
        <v>1748720</v>
      </c>
      <c r="C805">
        <f>IF(VIPcric_1!C794="","",VIPcric_1!C794)</f>
        <v>14532</v>
      </c>
      <c r="D805">
        <f>IF(VIPcric_1!D794="","",VIPcric_1!D794)</f>
        <v>1024771</v>
      </c>
      <c r="E805">
        <f>IF(VIPcric_1!E794="","",VIPcric_1!E794)</f>
        <v>8573</v>
      </c>
      <c r="F805">
        <f>IF(VIPcric_1!F794="","",VIPcric_1!F794)</f>
        <v>8590</v>
      </c>
      <c r="G805">
        <f>IF(VIPcric_1!G794="","",VIPcric_1!G794)</f>
        <v>8803224771</v>
      </c>
      <c r="H805">
        <f>IF(VIPcric_1!H794="","",VIPcric_1!H794)</f>
        <v>1.71</v>
      </c>
      <c r="I805" t="str">
        <f>IF(VIPcric_1!M794="","",VIPcric_1!M794)</f>
        <v>CRIC-安庆-市场监测.商品房市场.项目累计.供求.xlsx</v>
      </c>
    </row>
    <row r="806" spans="1:9">
      <c r="A806" t="str">
        <f>IF(VIPcric_1!A795="","",VIPcric_1!A795)</f>
        <v>汇总</v>
      </c>
      <c r="B806">
        <f>IF(VIPcric_1!B795="","",VIPcric_1!B795)</f>
        <v>5754635</v>
      </c>
      <c r="C806">
        <f>IF(VIPcric_1!C795="","",VIPcric_1!C795)</f>
        <v>48317</v>
      </c>
      <c r="D806">
        <f>IF(VIPcric_1!D795="","",VIPcric_1!D795)</f>
        <v>5432856</v>
      </c>
      <c r="E806">
        <f>IF(VIPcric_1!E795="","",VIPcric_1!E795)</f>
        <v>45432</v>
      </c>
      <c r="F806">
        <f>IF(VIPcric_1!F795="","",VIPcric_1!F795)</f>
        <v>8721</v>
      </c>
      <c r="G806">
        <f>IF(VIPcric_1!G795="","",VIPcric_1!G795)</f>
        <v>47378838163</v>
      </c>
      <c r="H806">
        <f>IF(VIPcric_1!H795="","",VIPcric_1!H795)</f>
        <v>1.06</v>
      </c>
      <c r="I806" t="str">
        <f>IF(VIPcric_1!M795="","",VIPcric_1!M795)</f>
        <v>CRIC-安庆-市场监测.商品房市场.项目累计.供求.xlsx</v>
      </c>
    </row>
    <row r="807" spans="1:9">
      <c r="A807" t="str">
        <f>IF(VIPcric_1!A796="","",VIPcric_1!A796)</f>
        <v/>
      </c>
      <c r="B807" t="str">
        <f>IF(VIPcric_1!B796="","",VIPcric_1!B796)</f>
        <v/>
      </c>
      <c r="C807" t="str">
        <f>IF(VIPcric_1!C796="","",VIPcric_1!C796)</f>
        <v/>
      </c>
      <c r="D807" t="str">
        <f>IF(VIPcric_1!D796="","",VIPcric_1!D796)</f>
        <v/>
      </c>
      <c r="E807" t="str">
        <f>IF(VIPcric_1!E796="","",VIPcric_1!E796)</f>
        <v/>
      </c>
      <c r="F807" t="str">
        <f>IF(VIPcric_1!F796="","",VIPcric_1!F796)</f>
        <v/>
      </c>
      <c r="G807" t="str">
        <f>IF(VIPcric_1!G796="","",VIPcric_1!G796)</f>
        <v/>
      </c>
      <c r="H807" t="str">
        <f>IF(VIPcric_1!H796="","",VIPcric_1!H796)</f>
        <v/>
      </c>
      <c r="I807" t="str">
        <f>IF(VIPcric_1!M796="","",VIPcric_1!M796)</f>
        <v/>
      </c>
    </row>
    <row r="808" spans="1:9">
      <c r="A808" t="str">
        <f>IF(VIPcric_1!A797="","",VIPcric_1!A797)</f>
        <v/>
      </c>
      <c r="B808" t="str">
        <f>IF(VIPcric_1!B797="","",VIPcric_1!B797)</f>
        <v/>
      </c>
      <c r="C808" t="str">
        <f>IF(VIPcric_1!C797="","",VIPcric_1!C797)</f>
        <v/>
      </c>
      <c r="D808" t="str">
        <f>IF(VIPcric_1!D797="","",VIPcric_1!D797)</f>
        <v/>
      </c>
      <c r="E808" t="str">
        <f>IF(VIPcric_1!E797="","",VIPcric_1!E797)</f>
        <v/>
      </c>
      <c r="F808" t="str">
        <f>IF(VIPcric_1!F797="","",VIPcric_1!F797)</f>
        <v/>
      </c>
      <c r="G808" t="str">
        <f>IF(VIPcric_1!G797="","",VIPcric_1!G797)</f>
        <v/>
      </c>
      <c r="H808" t="str">
        <f>IF(VIPcric_1!H797="","",VIPcric_1!H797)</f>
        <v/>
      </c>
      <c r="I808" t="str">
        <f>IF(VIPcric_1!M797="","",VIPcric_1!M797)</f>
        <v>CRIC-安庆-市场监测.商品房市场.项目累计.库存.xlsx</v>
      </c>
    </row>
    <row r="809" spans="1:9">
      <c r="A809" t="str">
        <f>IF(VIPcric_1!A798="","",VIPcric_1!A798)</f>
        <v>时间(年)</v>
      </c>
      <c r="B809" t="str">
        <f>IF(VIPcric_1!B798="","",VIPcric_1!B798)</f>
        <v>库存面积(㎡)</v>
      </c>
      <c r="C809" t="str">
        <f>IF(VIPcric_1!C798="","",VIPcric_1!C798)</f>
        <v>库存套数(套)</v>
      </c>
      <c r="D809" t="str">
        <f>IF(VIPcric_1!D798="","",VIPcric_1!D798)</f>
        <v>去化周期12'(月)</v>
      </c>
      <c r="E809" t="str">
        <f>IF(VIPcric_1!E798="","",VIPcric_1!E798)</f>
        <v>去化周期24'(月)</v>
      </c>
      <c r="F809" t="str">
        <f>IF(VIPcric_1!F798="","",VIPcric_1!F798)</f>
        <v/>
      </c>
      <c r="G809" t="str">
        <f>IF(VIPcric_1!G798="","",VIPcric_1!G798)</f>
        <v/>
      </c>
      <c r="H809" t="str">
        <f>IF(VIPcric_1!H798="","",VIPcric_1!H798)</f>
        <v/>
      </c>
      <c r="I809" t="str">
        <f>IF(VIPcric_1!M798="","",VIPcric_1!M798)</f>
        <v>CRIC-安庆-市场监测.商品房市场.项目累计.库存.xlsx</v>
      </c>
    </row>
    <row r="810" spans="1:9">
      <c r="A810" t="str">
        <f>IF(VIPcric_1!A799="","",VIPcric_1!A799)</f>
        <v>2024年</v>
      </c>
      <c r="B810">
        <f>IF(VIPcric_1!B799="","",VIPcric_1!B799)</f>
        <v>1129298</v>
      </c>
      <c r="C810">
        <f>IF(VIPcric_1!C799="","",VIPcric_1!C799)</f>
        <v>9447</v>
      </c>
      <c r="D810">
        <f>IF(VIPcric_1!D799="","",VIPcric_1!D799)</f>
        <v>13.8</v>
      </c>
      <c r="E810">
        <f>IF(VIPcric_1!E799="","",VIPcric_1!E799)</f>
        <v>15.6</v>
      </c>
      <c r="F810" t="str">
        <f>IF(VIPcric_1!F799="","",VIPcric_1!F799)</f>
        <v/>
      </c>
      <c r="G810" t="str">
        <f>IF(VIPcric_1!G799="","",VIPcric_1!G799)</f>
        <v/>
      </c>
      <c r="H810" t="str">
        <f>IF(VIPcric_1!H799="","",VIPcric_1!H799)</f>
        <v/>
      </c>
      <c r="I810" t="str">
        <f>IF(VIPcric_1!M799="","",VIPcric_1!M799)</f>
        <v>CRIC-安庆-市场监测.商品房市场.项目累计.库存.xlsx</v>
      </c>
    </row>
    <row r="811" spans="1:9">
      <c r="A811" t="str">
        <f>IF(VIPcric_1!A800="","",VIPcric_1!A800)</f>
        <v>2023年</v>
      </c>
      <c r="B811">
        <f>IF(VIPcric_1!B800="","",VIPcric_1!B800)</f>
        <v>1122905</v>
      </c>
      <c r="C811">
        <f>IF(VIPcric_1!C800="","",VIPcric_1!C800)</f>
        <v>9409</v>
      </c>
      <c r="D811">
        <f>IF(VIPcric_1!D800="","",VIPcric_1!D800)</f>
        <v>13.5</v>
      </c>
      <c r="E811">
        <f>IF(VIPcric_1!E800="","",VIPcric_1!E800)</f>
        <v>15.3</v>
      </c>
      <c r="F811" t="str">
        <f>IF(VIPcric_1!F800="","",VIPcric_1!F800)</f>
        <v/>
      </c>
      <c r="G811" t="str">
        <f>IF(VIPcric_1!G800="","",VIPcric_1!G800)</f>
        <v/>
      </c>
      <c r="H811" t="str">
        <f>IF(VIPcric_1!H800="","",VIPcric_1!H800)</f>
        <v/>
      </c>
      <c r="I811" t="str">
        <f>IF(VIPcric_1!M800="","",VIPcric_1!M800)</f>
        <v>CRIC-安庆-市场监测.商品房市场.项目累计.库存.xlsx</v>
      </c>
    </row>
    <row r="812" spans="1:9">
      <c r="A812" t="str">
        <f>IF(VIPcric_1!A801="","",VIPcric_1!A801)</f>
        <v>2022年</v>
      </c>
      <c r="B812">
        <f>IF(VIPcric_1!B801="","",VIPcric_1!B801)</f>
        <v>1202237</v>
      </c>
      <c r="C812">
        <f>IF(VIPcric_1!C801="","",VIPcric_1!C801)</f>
        <v>9967</v>
      </c>
      <c r="D812">
        <f>IF(VIPcric_1!D801="","",VIPcric_1!D801)</f>
        <v>18.899999999999999</v>
      </c>
      <c r="E812">
        <f>IF(VIPcric_1!E801="","",VIPcric_1!E801)</f>
        <v>13.4</v>
      </c>
      <c r="F812" t="str">
        <f>IF(VIPcric_1!F801="","",VIPcric_1!F801)</f>
        <v/>
      </c>
      <c r="G812" t="str">
        <f>IF(VIPcric_1!G801="","",VIPcric_1!G801)</f>
        <v/>
      </c>
      <c r="H812" t="str">
        <f>IF(VIPcric_1!H801="","",VIPcric_1!H801)</f>
        <v/>
      </c>
      <c r="I812" t="str">
        <f>IF(VIPcric_1!M801="","",VIPcric_1!M801)</f>
        <v>CRIC-安庆-市场监测.商品房市场.项目累计.库存.xlsx</v>
      </c>
    </row>
    <row r="813" spans="1:9">
      <c r="A813" t="str">
        <f>IF(VIPcric_1!A802="","",VIPcric_1!A802)</f>
        <v>2021年</v>
      </c>
      <c r="B813">
        <f>IF(VIPcric_1!B802="","",VIPcric_1!B802)</f>
        <v>1381667</v>
      </c>
      <c r="C813">
        <f>IF(VIPcric_1!C802="","",VIPcric_1!C802)</f>
        <v>11300</v>
      </c>
      <c r="D813">
        <f>IF(VIPcric_1!D802="","",VIPcric_1!D802)</f>
        <v>12</v>
      </c>
      <c r="E813">
        <f>IF(VIPcric_1!E802="","",VIPcric_1!E802)</f>
        <v>12.8</v>
      </c>
      <c r="F813" t="str">
        <f>IF(VIPcric_1!F802="","",VIPcric_1!F802)</f>
        <v/>
      </c>
      <c r="G813" t="str">
        <f>IF(VIPcric_1!G802="","",VIPcric_1!G802)</f>
        <v/>
      </c>
      <c r="H813" t="str">
        <f>IF(VIPcric_1!H802="","",VIPcric_1!H802)</f>
        <v/>
      </c>
      <c r="I813" t="str">
        <f>IF(VIPcric_1!M802="","",VIPcric_1!M802)</f>
        <v>CRIC-安庆-市场监测.商品房市场.项目累计.库存.xlsx</v>
      </c>
    </row>
    <row r="814" spans="1:9">
      <c r="A814" t="str">
        <f>IF(VIPcric_1!A803="","",VIPcric_1!A803)</f>
        <v>2020年</v>
      </c>
      <c r="B814">
        <f>IF(VIPcric_1!B803="","",VIPcric_1!B803)</f>
        <v>1931482</v>
      </c>
      <c r="C814">
        <f>IF(VIPcric_1!C803="","",VIPcric_1!C803)</f>
        <v>16867</v>
      </c>
      <c r="D814">
        <f>IF(VIPcric_1!D803="","",VIPcric_1!D803)</f>
        <v>19.100000000000001</v>
      </c>
      <c r="E814">
        <f>IF(VIPcric_1!E803="","",VIPcric_1!E803)</f>
        <v>20.7</v>
      </c>
      <c r="F814" t="str">
        <f>IF(VIPcric_1!F803="","",VIPcric_1!F803)</f>
        <v/>
      </c>
      <c r="G814" t="str">
        <f>IF(VIPcric_1!G803="","",VIPcric_1!G803)</f>
        <v/>
      </c>
      <c r="H814" t="str">
        <f>IF(VIPcric_1!H803="","",VIPcric_1!H803)</f>
        <v/>
      </c>
      <c r="I814" t="str">
        <f>IF(VIPcric_1!M803="","",VIPcric_1!M803)</f>
        <v>CRIC-安庆-市场监测.商品房市场.项目累计.库存.xlsx</v>
      </c>
    </row>
    <row r="815" spans="1:9">
      <c r="A815" t="str">
        <f>IF(VIPcric_1!A804="","",VIPcric_1!A804)</f>
        <v>2019年</v>
      </c>
      <c r="B815">
        <f>IF(VIPcric_1!B804="","",VIPcric_1!B804)</f>
        <v>1275017</v>
      </c>
      <c r="C815">
        <f>IF(VIPcric_1!C804="","",VIPcric_1!C804)</f>
        <v>11390</v>
      </c>
      <c r="D815">
        <f>IF(VIPcric_1!D804="","",VIPcric_1!D804)</f>
        <v>14.9</v>
      </c>
      <c r="E815">
        <f>IF(VIPcric_1!E804="","",VIPcric_1!E804)</f>
        <v>16.2</v>
      </c>
      <c r="F815" t="str">
        <f>IF(VIPcric_1!F804="","",VIPcric_1!F804)</f>
        <v/>
      </c>
      <c r="G815" t="str">
        <f>IF(VIPcric_1!G804="","",VIPcric_1!G804)</f>
        <v/>
      </c>
      <c r="H815" t="str">
        <f>IF(VIPcric_1!H804="","",VIPcric_1!H804)</f>
        <v/>
      </c>
      <c r="I815" t="str">
        <f>IF(VIPcric_1!M804="","",VIPcric_1!M804)</f>
        <v>CRIC-安庆-市场监测.商品房市场.项目累计.库存.xlsx</v>
      </c>
    </row>
    <row r="816" spans="1:9">
      <c r="A816" t="str">
        <f>IF(VIPcric_1!A805="","",VIPcric_1!A805)</f>
        <v/>
      </c>
      <c r="B816" t="str">
        <f>IF(VIPcric_1!B805="","",VIPcric_1!B805)</f>
        <v/>
      </c>
      <c r="C816" t="str">
        <f>IF(VIPcric_1!C805="","",VIPcric_1!C805)</f>
        <v/>
      </c>
      <c r="D816" t="str">
        <f>IF(VIPcric_1!D805="","",VIPcric_1!D805)</f>
        <v/>
      </c>
      <c r="E816" t="str">
        <f>IF(VIPcric_1!E805="","",VIPcric_1!E805)</f>
        <v/>
      </c>
      <c r="F816" t="str">
        <f>IF(VIPcric_1!F805="","",VIPcric_1!F805)</f>
        <v/>
      </c>
      <c r="G816" t="str">
        <f>IF(VIPcric_1!G805="","",VIPcric_1!G805)</f>
        <v/>
      </c>
      <c r="H816" t="str">
        <f>IF(VIPcric_1!H805="","",VIPcric_1!H805)</f>
        <v/>
      </c>
      <c r="I816" t="str">
        <f>IF(VIPcric_1!M805="","",VIPcric_1!M805)</f>
        <v/>
      </c>
    </row>
    <row r="817" spans="1:9">
      <c r="A817" t="str">
        <f>IF(VIPcric_1!A806="","",VIPcric_1!A806)</f>
        <v/>
      </c>
      <c r="B817" t="str">
        <f>IF(VIPcric_1!B806="","",VIPcric_1!B806)</f>
        <v/>
      </c>
      <c r="C817" t="str">
        <f>IF(VIPcric_1!C806="","",VIPcric_1!C806)</f>
        <v/>
      </c>
      <c r="D817" t="str">
        <f>IF(VIPcric_1!D806="","",VIPcric_1!D806)</f>
        <v/>
      </c>
      <c r="E817" t="str">
        <f>IF(VIPcric_1!E806="","",VIPcric_1!E806)</f>
        <v/>
      </c>
      <c r="F817" t="str">
        <f>IF(VIPcric_1!F806="","",VIPcric_1!F806)</f>
        <v/>
      </c>
      <c r="G817" t="str">
        <f>IF(VIPcric_1!G806="","",VIPcric_1!G806)</f>
        <v/>
      </c>
      <c r="H817" t="str">
        <f>IF(VIPcric_1!H806="","",VIPcric_1!H806)</f>
        <v/>
      </c>
      <c r="I817" t="str">
        <f>IF(VIPcric_1!M806="","",VIPcric_1!M806)</f>
        <v>CRIC-安顺-市场监测.商品房市场.项目累计.供求.xlsx</v>
      </c>
    </row>
    <row r="818" spans="1:9">
      <c r="A818" t="str">
        <f>IF(VIPcric_1!A807="","",VIPcric_1!A807)</f>
        <v>时间(年)</v>
      </c>
      <c r="B818" t="str">
        <f>IF(VIPcric_1!B807="","",VIPcric_1!B807)</f>
        <v>供应面积(㎡)</v>
      </c>
      <c r="C818" t="str">
        <f>IF(VIPcric_1!C807="","",VIPcric_1!C807)</f>
        <v>供应套数(套)</v>
      </c>
      <c r="D818" t="str">
        <f>IF(VIPcric_1!D807="","",VIPcric_1!D807)</f>
        <v>成交面积(㎡)</v>
      </c>
      <c r="E818" t="str">
        <f>IF(VIPcric_1!E807="","",VIPcric_1!E807)</f>
        <v>成交套数(套)</v>
      </c>
      <c r="F818" t="str">
        <f>IF(VIPcric_1!F807="","",VIPcric_1!F807)</f>
        <v>成交均价(元/㎡)</v>
      </c>
      <c r="G818" t="str">
        <f>IF(VIPcric_1!G807="","",VIPcric_1!G807)</f>
        <v>成交金额(元)</v>
      </c>
      <c r="H818" t="str">
        <f>IF(VIPcric_1!H807="","",VIPcric_1!H807)</f>
        <v>供求比</v>
      </c>
      <c r="I818" t="str">
        <f>IF(VIPcric_1!M807="","",VIPcric_1!M807)</f>
        <v>CRIC-安顺-市场监测.商品房市场.项目累计.供求.xlsx</v>
      </c>
    </row>
    <row r="819" spans="1:9">
      <c r="A819" t="str">
        <f>IF(VIPcric_1!A808="","",VIPcric_1!A808)</f>
        <v>2022年</v>
      </c>
      <c r="B819">
        <f>IF(VIPcric_1!B808="","",VIPcric_1!B808)</f>
        <v>694105</v>
      </c>
      <c r="C819">
        <f>IF(VIPcric_1!C808="","",VIPcric_1!C808)</f>
        <v>6049</v>
      </c>
      <c r="D819">
        <f>IF(VIPcric_1!D808="","",VIPcric_1!D808)</f>
        <v>507537</v>
      </c>
      <c r="E819">
        <f>IF(VIPcric_1!E808="","",VIPcric_1!E808)</f>
        <v>4232</v>
      </c>
      <c r="F819">
        <f>IF(VIPcric_1!F808="","",VIPcric_1!F808)</f>
        <v>4902</v>
      </c>
      <c r="G819">
        <f>IF(VIPcric_1!G808="","",VIPcric_1!G808)</f>
        <v>2487858387</v>
      </c>
      <c r="H819">
        <f>IF(VIPcric_1!H808="","",VIPcric_1!H808)</f>
        <v>1.37</v>
      </c>
      <c r="I819" t="str">
        <f>IF(VIPcric_1!M808="","",VIPcric_1!M808)</f>
        <v>CRIC-安顺-市场监测.商品房市场.项目累计.供求.xlsx</v>
      </c>
    </row>
    <row r="820" spans="1:9">
      <c r="A820" t="str">
        <f>IF(VIPcric_1!A809="","",VIPcric_1!A809)</f>
        <v>2021年</v>
      </c>
      <c r="B820">
        <f>IF(VIPcric_1!B809="","",VIPcric_1!B809)</f>
        <v>1458581</v>
      </c>
      <c r="C820">
        <f>IF(VIPcric_1!C809="","",VIPcric_1!C809)</f>
        <v>13519</v>
      </c>
      <c r="D820">
        <f>IF(VIPcric_1!D809="","",VIPcric_1!D809)</f>
        <v>787569</v>
      </c>
      <c r="E820">
        <f>IF(VIPcric_1!E809="","",VIPcric_1!E809)</f>
        <v>6773</v>
      </c>
      <c r="F820">
        <f>IF(VIPcric_1!F809="","",VIPcric_1!F809)</f>
        <v>4991</v>
      </c>
      <c r="G820">
        <f>IF(VIPcric_1!G809="","",VIPcric_1!G809)</f>
        <v>3930919440</v>
      </c>
      <c r="H820">
        <f>IF(VIPcric_1!H809="","",VIPcric_1!H809)</f>
        <v>1.85</v>
      </c>
      <c r="I820" t="str">
        <f>IF(VIPcric_1!M809="","",VIPcric_1!M809)</f>
        <v>CRIC-安顺-市场监测.商品房市场.项目累计.供求.xlsx</v>
      </c>
    </row>
    <row r="821" spans="1:9">
      <c r="A821" t="str">
        <f>IF(VIPcric_1!A810="","",VIPcric_1!A810)</f>
        <v>2020年</v>
      </c>
      <c r="B821">
        <f>IF(VIPcric_1!B810="","",VIPcric_1!B810)</f>
        <v>1308802</v>
      </c>
      <c r="C821">
        <f>IF(VIPcric_1!C810="","",VIPcric_1!C810)</f>
        <v>11542</v>
      </c>
      <c r="D821">
        <f>IF(VIPcric_1!D810="","",VIPcric_1!D810)</f>
        <v>300794</v>
      </c>
      <c r="E821">
        <f>IF(VIPcric_1!E810="","",VIPcric_1!E810)</f>
        <v>2522</v>
      </c>
      <c r="F821">
        <f>IF(VIPcric_1!F810="","",VIPcric_1!F810)</f>
        <v>5037</v>
      </c>
      <c r="G821">
        <f>IF(VIPcric_1!G810="","",VIPcric_1!G810)</f>
        <v>1515233916</v>
      </c>
      <c r="H821">
        <f>IF(VIPcric_1!H810="","",VIPcric_1!H810)</f>
        <v>4.3499999999999996</v>
      </c>
      <c r="I821" t="str">
        <f>IF(VIPcric_1!M810="","",VIPcric_1!M810)</f>
        <v>CRIC-安顺-市场监测.商品房市场.项目累计.供求.xlsx</v>
      </c>
    </row>
    <row r="822" spans="1:9">
      <c r="A822" t="str">
        <f>IF(VIPcric_1!A811="","",VIPcric_1!A811)</f>
        <v>2019年</v>
      </c>
      <c r="B822">
        <f>IF(VIPcric_1!B811="","",VIPcric_1!B811)</f>
        <v>1957645</v>
      </c>
      <c r="C822">
        <f>IF(VIPcric_1!C811="","",VIPcric_1!C811)</f>
        <v>15812</v>
      </c>
      <c r="D822">
        <f>IF(VIPcric_1!D811="","",VIPcric_1!D811)</f>
        <v>0</v>
      </c>
      <c r="E822">
        <f>IF(VIPcric_1!E811="","",VIPcric_1!E811)</f>
        <v>0</v>
      </c>
      <c r="F822">
        <f>IF(VIPcric_1!F811="","",VIPcric_1!F811)</f>
        <v>0</v>
      </c>
      <c r="G822">
        <f>IF(VIPcric_1!G811="","",VIPcric_1!G811)</f>
        <v>0</v>
      </c>
      <c r="H822">
        <f>IF(VIPcric_1!H811="","",VIPcric_1!H811)</f>
        <v>0</v>
      </c>
      <c r="I822" t="str">
        <f>IF(VIPcric_1!M811="","",VIPcric_1!M811)</f>
        <v>CRIC-安顺-市场监测.商品房市场.项目累计.供求.xlsx</v>
      </c>
    </row>
    <row r="823" spans="1:9">
      <c r="A823" t="str">
        <f>IF(VIPcric_1!A812="","",VIPcric_1!A812)</f>
        <v>2018年</v>
      </c>
      <c r="B823">
        <f>IF(VIPcric_1!B812="","",VIPcric_1!B812)</f>
        <v>1421390</v>
      </c>
      <c r="C823">
        <f>IF(VIPcric_1!C812="","",VIPcric_1!C812)</f>
        <v>12015</v>
      </c>
      <c r="D823">
        <f>IF(VIPcric_1!D812="","",VIPcric_1!D812)</f>
        <v>0</v>
      </c>
      <c r="E823">
        <f>IF(VIPcric_1!E812="","",VIPcric_1!E812)</f>
        <v>0</v>
      </c>
      <c r="F823">
        <f>IF(VIPcric_1!F812="","",VIPcric_1!F812)</f>
        <v>0</v>
      </c>
      <c r="G823">
        <f>IF(VIPcric_1!G812="","",VIPcric_1!G812)</f>
        <v>0</v>
      </c>
      <c r="H823">
        <f>IF(VIPcric_1!H812="","",VIPcric_1!H812)</f>
        <v>0</v>
      </c>
      <c r="I823" t="str">
        <f>IF(VIPcric_1!M812="","",VIPcric_1!M812)</f>
        <v>CRIC-安顺-市场监测.商品房市场.项目累计.供求.xlsx</v>
      </c>
    </row>
    <row r="824" spans="1:9">
      <c r="A824" t="str">
        <f>IF(VIPcric_1!A813="","",VIPcric_1!A813)</f>
        <v>2017年</v>
      </c>
      <c r="B824">
        <f>IF(VIPcric_1!B813="","",VIPcric_1!B813)</f>
        <v>418960</v>
      </c>
      <c r="C824">
        <f>IF(VIPcric_1!C813="","",VIPcric_1!C813)</f>
        <v>3978</v>
      </c>
      <c r="D824">
        <f>IF(VIPcric_1!D813="","",VIPcric_1!D813)</f>
        <v>0</v>
      </c>
      <c r="E824">
        <f>IF(VIPcric_1!E813="","",VIPcric_1!E813)</f>
        <v>0</v>
      </c>
      <c r="F824">
        <f>IF(VIPcric_1!F813="","",VIPcric_1!F813)</f>
        <v>0</v>
      </c>
      <c r="G824">
        <f>IF(VIPcric_1!G813="","",VIPcric_1!G813)</f>
        <v>0</v>
      </c>
      <c r="H824">
        <f>IF(VIPcric_1!H813="","",VIPcric_1!H813)</f>
        <v>0</v>
      </c>
      <c r="I824" t="str">
        <f>IF(VIPcric_1!M813="","",VIPcric_1!M813)</f>
        <v>CRIC-安顺-市场监测.商品房市场.项目累计.供求.xlsx</v>
      </c>
    </row>
    <row r="825" spans="1:9">
      <c r="A825" t="str">
        <f>IF(VIPcric_1!A814="","",VIPcric_1!A814)</f>
        <v>汇总</v>
      </c>
      <c r="B825">
        <f>IF(VIPcric_1!B814="","",VIPcric_1!B814)</f>
        <v>7259483</v>
      </c>
      <c r="C825">
        <f>IF(VIPcric_1!C814="","",VIPcric_1!C814)</f>
        <v>62915</v>
      </c>
      <c r="D825">
        <f>IF(VIPcric_1!D814="","",VIPcric_1!D814)</f>
        <v>1595901</v>
      </c>
      <c r="E825">
        <f>IF(VIPcric_1!E814="","",VIPcric_1!E814)</f>
        <v>13527</v>
      </c>
      <c r="F825">
        <f>IF(VIPcric_1!F814="","",VIPcric_1!F814)</f>
        <v>4971</v>
      </c>
      <c r="G825">
        <f>IF(VIPcric_1!G814="","",VIPcric_1!G814)</f>
        <v>7934011743</v>
      </c>
      <c r="H825">
        <f>IF(VIPcric_1!H814="","",VIPcric_1!H814)</f>
        <v>4.55</v>
      </c>
      <c r="I825" t="str">
        <f>IF(VIPcric_1!M814="","",VIPcric_1!M814)</f>
        <v>CRIC-安顺-市场监测.商品房市场.项目累计.供求.xlsx</v>
      </c>
    </row>
    <row r="826" spans="1:9">
      <c r="A826" t="str">
        <f>IF(VIPcric_1!A815="","",VIPcric_1!A815)</f>
        <v/>
      </c>
      <c r="B826" t="str">
        <f>IF(VIPcric_1!B815="","",VIPcric_1!B815)</f>
        <v/>
      </c>
      <c r="C826" t="str">
        <f>IF(VIPcric_1!C815="","",VIPcric_1!C815)</f>
        <v/>
      </c>
      <c r="D826" t="str">
        <f>IF(VIPcric_1!D815="","",VIPcric_1!D815)</f>
        <v/>
      </c>
      <c r="E826" t="str">
        <f>IF(VIPcric_1!E815="","",VIPcric_1!E815)</f>
        <v/>
      </c>
      <c r="F826" t="str">
        <f>IF(VIPcric_1!F815="","",VIPcric_1!F815)</f>
        <v/>
      </c>
      <c r="G826" t="str">
        <f>IF(VIPcric_1!G815="","",VIPcric_1!G815)</f>
        <v/>
      </c>
      <c r="H826" t="str">
        <f>IF(VIPcric_1!H815="","",VIPcric_1!H815)</f>
        <v/>
      </c>
      <c r="I826" t="str">
        <f>IF(VIPcric_1!M815="","",VIPcric_1!M815)</f>
        <v/>
      </c>
    </row>
    <row r="827" spans="1:9">
      <c r="A827" t="str">
        <f>IF(VIPcric_1!A816="","",VIPcric_1!A816)</f>
        <v/>
      </c>
      <c r="B827" t="str">
        <f>IF(VIPcric_1!B816="","",VIPcric_1!B816)</f>
        <v/>
      </c>
      <c r="C827" t="str">
        <f>IF(VIPcric_1!C816="","",VIPcric_1!C816)</f>
        <v/>
      </c>
      <c r="D827" t="str">
        <f>IF(VIPcric_1!D816="","",VIPcric_1!D816)</f>
        <v/>
      </c>
      <c r="E827" t="str">
        <f>IF(VIPcric_1!E816="","",VIPcric_1!E816)</f>
        <v/>
      </c>
      <c r="F827" t="str">
        <f>IF(VIPcric_1!F816="","",VIPcric_1!F816)</f>
        <v/>
      </c>
      <c r="G827" t="str">
        <f>IF(VIPcric_1!G816="","",VIPcric_1!G816)</f>
        <v/>
      </c>
      <c r="H827" t="str">
        <f>IF(VIPcric_1!H816="","",VIPcric_1!H816)</f>
        <v/>
      </c>
      <c r="I827" t="str">
        <f>IF(VIPcric_1!M816="","",VIPcric_1!M816)</f>
        <v>CRIC-安顺-市场监测.商品房市场.项目累计.库存.xlsx</v>
      </c>
    </row>
    <row r="828" spans="1:9">
      <c r="A828" t="str">
        <f>IF(VIPcric_1!A817="","",VIPcric_1!A817)</f>
        <v>时间(年)</v>
      </c>
      <c r="B828" t="str">
        <f>IF(VIPcric_1!B817="","",VIPcric_1!B817)</f>
        <v>库存面积(㎡)</v>
      </c>
      <c r="C828" t="str">
        <f>IF(VIPcric_1!C817="","",VIPcric_1!C817)</f>
        <v>库存套数(套)</v>
      </c>
      <c r="D828" t="str">
        <f>IF(VIPcric_1!D817="","",VIPcric_1!D817)</f>
        <v>去化周期12'(月)</v>
      </c>
      <c r="E828" t="str">
        <f>IF(VIPcric_1!E817="","",VIPcric_1!E817)</f>
        <v>去化周期24'(月)</v>
      </c>
      <c r="F828" t="str">
        <f>IF(VIPcric_1!F817="","",VIPcric_1!F817)</f>
        <v/>
      </c>
      <c r="G828" t="str">
        <f>IF(VIPcric_1!G817="","",VIPcric_1!G817)</f>
        <v/>
      </c>
      <c r="H828" t="str">
        <f>IF(VIPcric_1!H817="","",VIPcric_1!H817)</f>
        <v/>
      </c>
      <c r="I828" t="str">
        <f>IF(VIPcric_1!M817="","",VIPcric_1!M817)</f>
        <v>CRIC-安顺-市场监测.商品房市场.项目累计.库存.xlsx</v>
      </c>
    </row>
    <row r="829" spans="1:9">
      <c r="A829" t="str">
        <f>IF(VIPcric_1!A818="","",VIPcric_1!A818)</f>
        <v>2022年</v>
      </c>
      <c r="B829">
        <f>IF(VIPcric_1!B818="","",VIPcric_1!B818)</f>
        <v>2640125</v>
      </c>
      <c r="C829">
        <f>IF(VIPcric_1!C818="","",VIPcric_1!C818)</f>
        <v>23370</v>
      </c>
      <c r="D829">
        <f>IF(VIPcric_1!D818="","",VIPcric_1!D818)</f>
        <v>54.8</v>
      </c>
      <c r="E829">
        <f>IF(VIPcric_1!E818="","",VIPcric_1!E818)</f>
        <v>41.2</v>
      </c>
      <c r="F829" t="str">
        <f>IF(VIPcric_1!F818="","",VIPcric_1!F818)</f>
        <v/>
      </c>
      <c r="G829" t="str">
        <f>IF(VIPcric_1!G818="","",VIPcric_1!G818)</f>
        <v/>
      </c>
      <c r="H829" t="str">
        <f>IF(VIPcric_1!H818="","",VIPcric_1!H818)</f>
        <v/>
      </c>
      <c r="I829" t="str">
        <f>IF(VIPcric_1!M818="","",VIPcric_1!M818)</f>
        <v>CRIC-安顺-市场监测.商品房市场.项目累计.库存.xlsx</v>
      </c>
    </row>
    <row r="830" spans="1:9">
      <c r="A830" t="str">
        <f>IF(VIPcric_1!A819="","",VIPcric_1!A819)</f>
        <v>2021年</v>
      </c>
      <c r="B830">
        <f>IF(VIPcric_1!B819="","",VIPcric_1!B819)</f>
        <v>2640144</v>
      </c>
      <c r="C830">
        <f>IF(VIPcric_1!C819="","",VIPcric_1!C819)</f>
        <v>23283</v>
      </c>
      <c r="D830">
        <f>IF(VIPcric_1!D819="","",VIPcric_1!D819)</f>
        <v>40.200000000000003</v>
      </c>
      <c r="E830">
        <f>IF(VIPcric_1!E819="","",VIPcric_1!E819)</f>
        <v>58.2</v>
      </c>
      <c r="F830" t="str">
        <f>IF(VIPcric_1!F819="","",VIPcric_1!F819)</f>
        <v/>
      </c>
      <c r="G830" t="str">
        <f>IF(VIPcric_1!G819="","",VIPcric_1!G819)</f>
        <v/>
      </c>
      <c r="H830" t="str">
        <f>IF(VIPcric_1!H819="","",VIPcric_1!H819)</f>
        <v/>
      </c>
      <c r="I830" t="str">
        <f>IF(VIPcric_1!M819="","",VIPcric_1!M819)</f>
        <v>CRIC-安顺-市场监测.商品房市场.项目累计.库存.xlsx</v>
      </c>
    </row>
    <row r="831" spans="1:9">
      <c r="A831" t="str">
        <f>IF(VIPcric_1!A820="","",VIPcric_1!A820)</f>
        <v>2020年</v>
      </c>
      <c r="B831">
        <f>IF(VIPcric_1!B820="","",VIPcric_1!B820)</f>
        <v>2258604</v>
      </c>
      <c r="C831">
        <f>IF(VIPcric_1!C820="","",VIPcric_1!C820)</f>
        <v>19272</v>
      </c>
      <c r="D831">
        <f>IF(VIPcric_1!D820="","",VIPcric_1!D820)</f>
        <v>90.1</v>
      </c>
      <c r="E831">
        <f>IF(VIPcric_1!E820="","",VIPcric_1!E820)</f>
        <v>180.2</v>
      </c>
      <c r="F831" t="str">
        <f>IF(VIPcric_1!F820="","",VIPcric_1!F820)</f>
        <v/>
      </c>
      <c r="G831" t="str">
        <f>IF(VIPcric_1!G820="","",VIPcric_1!G820)</f>
        <v/>
      </c>
      <c r="H831" t="str">
        <f>IF(VIPcric_1!H820="","",VIPcric_1!H820)</f>
        <v/>
      </c>
      <c r="I831" t="str">
        <f>IF(VIPcric_1!M820="","",VIPcric_1!M820)</f>
        <v>CRIC-安顺-市场监测.商品房市场.项目累计.库存.xlsx</v>
      </c>
    </row>
    <row r="832" spans="1:9">
      <c r="A832" t="str">
        <f>IF(VIPcric_1!A821="","",VIPcric_1!A821)</f>
        <v/>
      </c>
      <c r="B832" t="str">
        <f>IF(VIPcric_1!B821="","",VIPcric_1!B821)</f>
        <v/>
      </c>
      <c r="C832" t="str">
        <f>IF(VIPcric_1!C821="","",VIPcric_1!C821)</f>
        <v/>
      </c>
      <c r="D832" t="str">
        <f>IF(VIPcric_1!D821="","",VIPcric_1!D821)</f>
        <v/>
      </c>
      <c r="E832" t="str">
        <f>IF(VIPcric_1!E821="","",VIPcric_1!E821)</f>
        <v/>
      </c>
      <c r="F832" t="str">
        <f>IF(VIPcric_1!F821="","",VIPcric_1!F821)</f>
        <v/>
      </c>
      <c r="G832" t="str">
        <f>IF(VIPcric_1!G821="","",VIPcric_1!G821)</f>
        <v/>
      </c>
      <c r="H832" t="str">
        <f>IF(VIPcric_1!H821="","",VIPcric_1!H821)</f>
        <v/>
      </c>
      <c r="I832" t="str">
        <f>IF(VIPcric_1!M821="","",VIPcric_1!M821)</f>
        <v/>
      </c>
    </row>
    <row r="833" spans="1:9">
      <c r="A833" t="str">
        <f>IF(VIPcric_1!A822="","",VIPcric_1!A822)</f>
        <v/>
      </c>
      <c r="B833" t="str">
        <f>IF(VIPcric_1!B822="","",VIPcric_1!B822)</f>
        <v/>
      </c>
      <c r="C833" t="str">
        <f>IF(VIPcric_1!C822="","",VIPcric_1!C822)</f>
        <v/>
      </c>
      <c r="D833" t="str">
        <f>IF(VIPcric_1!D822="","",VIPcric_1!D822)</f>
        <v/>
      </c>
      <c r="E833" t="str">
        <f>IF(VIPcric_1!E822="","",VIPcric_1!E822)</f>
        <v/>
      </c>
      <c r="F833" t="str">
        <f>IF(VIPcric_1!F822="","",VIPcric_1!F822)</f>
        <v/>
      </c>
      <c r="G833" t="str">
        <f>IF(VIPcric_1!G822="","",VIPcric_1!G822)</f>
        <v/>
      </c>
      <c r="H833" t="str">
        <f>IF(VIPcric_1!H822="","",VIPcric_1!H822)</f>
        <v/>
      </c>
      <c r="I833" t="str">
        <f>IF(VIPcric_1!M822="","",VIPcric_1!M822)</f>
        <v>CRIC-定安-市场监测.商品房市场.项目累计.供求.xlsx</v>
      </c>
    </row>
    <row r="834" spans="1:9">
      <c r="A834" t="str">
        <f>IF(VIPcric_1!A823="","",VIPcric_1!A823)</f>
        <v>时间(年)</v>
      </c>
      <c r="B834" t="str">
        <f>IF(VIPcric_1!B823="","",VIPcric_1!B823)</f>
        <v>供应面积(㎡)</v>
      </c>
      <c r="C834" t="str">
        <f>IF(VIPcric_1!C823="","",VIPcric_1!C823)</f>
        <v>供应套数(套)</v>
      </c>
      <c r="D834" t="str">
        <f>IF(VIPcric_1!D823="","",VIPcric_1!D823)</f>
        <v>成交面积(㎡)</v>
      </c>
      <c r="E834" t="str">
        <f>IF(VIPcric_1!E823="","",VIPcric_1!E823)</f>
        <v>成交套数(套)</v>
      </c>
      <c r="F834" t="str">
        <f>IF(VIPcric_1!F823="","",VIPcric_1!F823)</f>
        <v>成交均价(元/㎡)</v>
      </c>
      <c r="G834" t="str">
        <f>IF(VIPcric_1!G823="","",VIPcric_1!G823)</f>
        <v>成交金额(元)</v>
      </c>
      <c r="H834" t="str">
        <f>IF(VIPcric_1!H823="","",VIPcric_1!H823)</f>
        <v>供求比</v>
      </c>
      <c r="I834" t="str">
        <f>IF(VIPcric_1!M823="","",VIPcric_1!M823)</f>
        <v>CRIC-定安-市场监测.商品房市场.项目累计.供求.xlsx</v>
      </c>
    </row>
    <row r="835" spans="1:9">
      <c r="A835" t="str">
        <f>IF(VIPcric_1!A824="","",VIPcric_1!A824)</f>
        <v>2024年</v>
      </c>
      <c r="B835">
        <f>IF(VIPcric_1!B824="","",VIPcric_1!B824)</f>
        <v>0</v>
      </c>
      <c r="C835">
        <f>IF(VIPcric_1!C824="","",VIPcric_1!C824)</f>
        <v>0</v>
      </c>
      <c r="D835">
        <f>IF(VIPcric_1!D824="","",VIPcric_1!D824)</f>
        <v>7419</v>
      </c>
      <c r="E835">
        <f>IF(VIPcric_1!E824="","",VIPcric_1!E824)</f>
        <v>71</v>
      </c>
      <c r="F835">
        <f>IF(VIPcric_1!F824="","",VIPcric_1!F824)</f>
        <v>7704</v>
      </c>
      <c r="G835">
        <f>IF(VIPcric_1!G824="","",VIPcric_1!G824)</f>
        <v>57158457</v>
      </c>
      <c r="H835">
        <f>IF(VIPcric_1!H824="","",VIPcric_1!H824)</f>
        <v>0</v>
      </c>
      <c r="I835" t="str">
        <f>IF(VIPcric_1!M824="","",VIPcric_1!M824)</f>
        <v>CRIC-定安-市场监测.商品房市场.项目累计.供求.xlsx</v>
      </c>
    </row>
    <row r="836" spans="1:9">
      <c r="A836" t="str">
        <f>IF(VIPcric_1!A825="","",VIPcric_1!A825)</f>
        <v>2023年</v>
      </c>
      <c r="B836">
        <f>IF(VIPcric_1!B825="","",VIPcric_1!B825)</f>
        <v>102021</v>
      </c>
      <c r="C836">
        <f>IF(VIPcric_1!C825="","",VIPcric_1!C825)</f>
        <v>918</v>
      </c>
      <c r="D836">
        <f>IF(VIPcric_1!D825="","",VIPcric_1!D825)</f>
        <v>126608</v>
      </c>
      <c r="E836">
        <f>IF(VIPcric_1!E825="","",VIPcric_1!E825)</f>
        <v>1352</v>
      </c>
      <c r="F836">
        <f>IF(VIPcric_1!F825="","",VIPcric_1!F825)</f>
        <v>8030</v>
      </c>
      <c r="G836">
        <f>IF(VIPcric_1!G825="","",VIPcric_1!G825)</f>
        <v>1016610183</v>
      </c>
      <c r="H836">
        <f>IF(VIPcric_1!H825="","",VIPcric_1!H825)</f>
        <v>0.81</v>
      </c>
      <c r="I836" t="str">
        <f>IF(VIPcric_1!M825="","",VIPcric_1!M825)</f>
        <v>CRIC-定安-市场监测.商品房市场.项目累计.供求.xlsx</v>
      </c>
    </row>
    <row r="837" spans="1:9">
      <c r="A837" t="str">
        <f>IF(VIPcric_1!A826="","",VIPcric_1!A826)</f>
        <v>2022年</v>
      </c>
      <c r="B837">
        <f>IF(VIPcric_1!B826="","",VIPcric_1!B826)</f>
        <v>79928</v>
      </c>
      <c r="C837">
        <f>IF(VIPcric_1!C826="","",VIPcric_1!C826)</f>
        <v>752</v>
      </c>
      <c r="D837">
        <f>IF(VIPcric_1!D826="","",VIPcric_1!D826)</f>
        <v>138540</v>
      </c>
      <c r="E837">
        <f>IF(VIPcric_1!E826="","",VIPcric_1!E826)</f>
        <v>1514</v>
      </c>
      <c r="F837">
        <f>IF(VIPcric_1!F826="","",VIPcric_1!F826)</f>
        <v>8274</v>
      </c>
      <c r="G837">
        <f>IF(VIPcric_1!G826="","",VIPcric_1!G826)</f>
        <v>1146305043</v>
      </c>
      <c r="H837">
        <f>IF(VIPcric_1!H826="","",VIPcric_1!H826)</f>
        <v>0.57999999999999996</v>
      </c>
      <c r="I837" t="str">
        <f>IF(VIPcric_1!M826="","",VIPcric_1!M826)</f>
        <v>CRIC-定安-市场监测.商品房市场.项目累计.供求.xlsx</v>
      </c>
    </row>
    <row r="838" spans="1:9">
      <c r="A838" t="str">
        <f>IF(VIPcric_1!A827="","",VIPcric_1!A827)</f>
        <v>2021年</v>
      </c>
      <c r="B838">
        <f>IF(VIPcric_1!B827="","",VIPcric_1!B827)</f>
        <v>0</v>
      </c>
      <c r="C838">
        <f>IF(VIPcric_1!C827="","",VIPcric_1!C827)</f>
        <v>0</v>
      </c>
      <c r="D838">
        <f>IF(VIPcric_1!D827="","",VIPcric_1!D827)</f>
        <v>4649</v>
      </c>
      <c r="E838">
        <f>IF(VIPcric_1!E827="","",VIPcric_1!E827)</f>
        <v>60</v>
      </c>
      <c r="F838">
        <f>IF(VIPcric_1!F827="","",VIPcric_1!F827)</f>
        <v>7039</v>
      </c>
      <c r="G838">
        <f>IF(VIPcric_1!G827="","",VIPcric_1!G827)</f>
        <v>32725971</v>
      </c>
      <c r="H838">
        <f>IF(VIPcric_1!H827="","",VIPcric_1!H827)</f>
        <v>0</v>
      </c>
      <c r="I838" t="str">
        <f>IF(VIPcric_1!M827="","",VIPcric_1!M827)</f>
        <v>CRIC-定安-市场监测.商品房市场.项目累计.供求.xlsx</v>
      </c>
    </row>
    <row r="839" spans="1:9">
      <c r="A839" t="str">
        <f>IF(VIPcric_1!A828="","",VIPcric_1!A828)</f>
        <v>2020年</v>
      </c>
      <c r="B839">
        <f>IF(VIPcric_1!B828="","",VIPcric_1!B828)</f>
        <v>0</v>
      </c>
      <c r="C839">
        <f>IF(VIPcric_1!C828="","",VIPcric_1!C828)</f>
        <v>0</v>
      </c>
      <c r="D839">
        <f>IF(VIPcric_1!D828="","",VIPcric_1!D828)</f>
        <v>0</v>
      </c>
      <c r="E839">
        <f>IF(VIPcric_1!E828="","",VIPcric_1!E828)</f>
        <v>0</v>
      </c>
      <c r="F839">
        <f>IF(VIPcric_1!F828="","",VIPcric_1!F828)</f>
        <v>0</v>
      </c>
      <c r="G839">
        <f>IF(VIPcric_1!G828="","",VIPcric_1!G828)</f>
        <v>0</v>
      </c>
      <c r="H839">
        <f>IF(VIPcric_1!H828="","",VIPcric_1!H828)</f>
        <v>0</v>
      </c>
      <c r="I839" t="str">
        <f>IF(VIPcric_1!M828="","",VIPcric_1!M828)</f>
        <v>CRIC-定安-市场监测.商品房市场.项目累计.供求.xlsx</v>
      </c>
    </row>
    <row r="840" spans="1:9">
      <c r="A840" t="str">
        <f>IF(VIPcric_1!A829="","",VIPcric_1!A829)</f>
        <v>2019年</v>
      </c>
      <c r="B840">
        <f>IF(VIPcric_1!B829="","",VIPcric_1!B829)</f>
        <v>0</v>
      </c>
      <c r="C840">
        <f>IF(VIPcric_1!C829="","",VIPcric_1!C829)</f>
        <v>0</v>
      </c>
      <c r="D840">
        <f>IF(VIPcric_1!D829="","",VIPcric_1!D829)</f>
        <v>0</v>
      </c>
      <c r="E840">
        <f>IF(VIPcric_1!E829="","",VIPcric_1!E829)</f>
        <v>0</v>
      </c>
      <c r="F840">
        <f>IF(VIPcric_1!F829="","",VIPcric_1!F829)</f>
        <v>0</v>
      </c>
      <c r="G840">
        <f>IF(VIPcric_1!G829="","",VIPcric_1!G829)</f>
        <v>0</v>
      </c>
      <c r="H840">
        <f>IF(VIPcric_1!H829="","",VIPcric_1!H829)</f>
        <v>0</v>
      </c>
      <c r="I840" t="str">
        <f>IF(VIPcric_1!M829="","",VIPcric_1!M829)</f>
        <v>CRIC-定安-市场监测.商品房市场.项目累计.供求.xlsx</v>
      </c>
    </row>
    <row r="841" spans="1:9">
      <c r="A841" t="str">
        <f>IF(VIPcric_1!A830="","",VIPcric_1!A830)</f>
        <v>汇总</v>
      </c>
      <c r="B841">
        <f>IF(VIPcric_1!B830="","",VIPcric_1!B830)</f>
        <v>181949</v>
      </c>
      <c r="C841">
        <f>IF(VIPcric_1!C830="","",VIPcric_1!C830)</f>
        <v>1670</v>
      </c>
      <c r="D841">
        <f>IF(VIPcric_1!D830="","",VIPcric_1!D830)</f>
        <v>277217</v>
      </c>
      <c r="E841">
        <f>IF(VIPcric_1!E830="","",VIPcric_1!E830)</f>
        <v>2997</v>
      </c>
      <c r="F841">
        <f>IF(VIPcric_1!F830="","",VIPcric_1!F830)</f>
        <v>8126</v>
      </c>
      <c r="G841">
        <f>IF(VIPcric_1!G830="","",VIPcric_1!G830)</f>
        <v>2252799654</v>
      </c>
      <c r="H841">
        <f>IF(VIPcric_1!H830="","",VIPcric_1!H830)</f>
        <v>0.66</v>
      </c>
      <c r="I841" t="str">
        <f>IF(VIPcric_1!M830="","",VIPcric_1!M830)</f>
        <v>CRIC-定安-市场监测.商品房市场.项目累计.供求.xlsx</v>
      </c>
    </row>
    <row r="842" spans="1:9">
      <c r="A842" t="str">
        <f>IF(VIPcric_1!A831="","",VIPcric_1!A831)</f>
        <v/>
      </c>
      <c r="B842" t="str">
        <f>IF(VIPcric_1!B831="","",VIPcric_1!B831)</f>
        <v/>
      </c>
      <c r="C842" t="str">
        <f>IF(VIPcric_1!C831="","",VIPcric_1!C831)</f>
        <v/>
      </c>
      <c r="D842" t="str">
        <f>IF(VIPcric_1!D831="","",VIPcric_1!D831)</f>
        <v/>
      </c>
      <c r="E842" t="str">
        <f>IF(VIPcric_1!E831="","",VIPcric_1!E831)</f>
        <v/>
      </c>
      <c r="F842" t="str">
        <f>IF(VIPcric_1!F831="","",VIPcric_1!F831)</f>
        <v/>
      </c>
      <c r="G842" t="str">
        <f>IF(VIPcric_1!G831="","",VIPcric_1!G831)</f>
        <v/>
      </c>
      <c r="H842" t="str">
        <f>IF(VIPcric_1!H831="","",VIPcric_1!H831)</f>
        <v/>
      </c>
      <c r="I842" t="str">
        <f>IF(VIPcric_1!M831="","",VIPcric_1!M831)</f>
        <v/>
      </c>
    </row>
    <row r="843" spans="1:9">
      <c r="A843" t="str">
        <f>IF(VIPcric_1!A832="","",VIPcric_1!A832)</f>
        <v/>
      </c>
      <c r="B843" t="str">
        <f>IF(VIPcric_1!B832="","",VIPcric_1!B832)</f>
        <v/>
      </c>
      <c r="C843" t="str">
        <f>IF(VIPcric_1!C832="","",VIPcric_1!C832)</f>
        <v/>
      </c>
      <c r="D843" t="str">
        <f>IF(VIPcric_1!D832="","",VIPcric_1!D832)</f>
        <v/>
      </c>
      <c r="E843" t="str">
        <f>IF(VIPcric_1!E832="","",VIPcric_1!E832)</f>
        <v/>
      </c>
      <c r="F843" t="str">
        <f>IF(VIPcric_1!F832="","",VIPcric_1!F832)</f>
        <v/>
      </c>
      <c r="G843" t="str">
        <f>IF(VIPcric_1!G832="","",VIPcric_1!G832)</f>
        <v/>
      </c>
      <c r="H843" t="str">
        <f>IF(VIPcric_1!H832="","",VIPcric_1!H832)</f>
        <v/>
      </c>
      <c r="I843" t="str">
        <f>IF(VIPcric_1!M832="","",VIPcric_1!M832)</f>
        <v>CRIC-定安-市场监测.商品房市场.项目累计.库存.xlsx</v>
      </c>
    </row>
    <row r="844" spans="1:9">
      <c r="A844" t="str">
        <f>IF(VIPcric_1!A833="","",VIPcric_1!A833)</f>
        <v>时间(年)</v>
      </c>
      <c r="B844" t="str">
        <f>IF(VIPcric_1!B833="","",VIPcric_1!B833)</f>
        <v>库存面积(㎡)</v>
      </c>
      <c r="C844" t="str">
        <f>IF(VIPcric_1!C833="","",VIPcric_1!C833)</f>
        <v>库存套数(套)</v>
      </c>
      <c r="D844" t="str">
        <f>IF(VIPcric_1!D833="","",VIPcric_1!D833)</f>
        <v>去化周期12'(月)</v>
      </c>
      <c r="E844" t="str">
        <f>IF(VIPcric_1!E833="","",VIPcric_1!E833)</f>
        <v/>
      </c>
      <c r="F844" t="str">
        <f>IF(VIPcric_1!F833="","",VIPcric_1!F833)</f>
        <v/>
      </c>
      <c r="G844" t="str">
        <f>IF(VIPcric_1!G833="","",VIPcric_1!G833)</f>
        <v/>
      </c>
      <c r="H844" t="str">
        <f>IF(VIPcric_1!H833="","",VIPcric_1!H833)</f>
        <v/>
      </c>
      <c r="I844" t="str">
        <f>IF(VIPcric_1!M833="","",VIPcric_1!M833)</f>
        <v>CRIC-定安-市场监测.商品房市场.项目累计.库存.xlsx</v>
      </c>
    </row>
    <row r="845" spans="1:9">
      <c r="A845" t="str">
        <f>IF(VIPcric_1!A834="","",VIPcric_1!A834)</f>
        <v>2024年</v>
      </c>
      <c r="B845">
        <f>IF(VIPcric_1!B834="","",VIPcric_1!B834)</f>
        <v>430609</v>
      </c>
      <c r="C845">
        <f>IF(VIPcric_1!C834="","",VIPcric_1!C834)</f>
        <v>4710</v>
      </c>
      <c r="D845">
        <f>IF(VIPcric_1!D834="","",VIPcric_1!D834)</f>
        <v>40</v>
      </c>
      <c r="E845" t="str">
        <f>IF(VIPcric_1!E834="","",VIPcric_1!E834)</f>
        <v/>
      </c>
      <c r="F845" t="str">
        <f>IF(VIPcric_1!F834="","",VIPcric_1!F834)</f>
        <v/>
      </c>
      <c r="G845" t="str">
        <f>IF(VIPcric_1!G834="","",VIPcric_1!G834)</f>
        <v/>
      </c>
      <c r="H845" t="str">
        <f>IF(VIPcric_1!H834="","",VIPcric_1!H834)</f>
        <v/>
      </c>
      <c r="I845" t="str">
        <f>IF(VIPcric_1!M834="","",VIPcric_1!M834)</f>
        <v>CRIC-定安-市场监测.商品房市场.项目累计.库存.xlsx</v>
      </c>
    </row>
    <row r="846" spans="1:9">
      <c r="A846" t="str">
        <f>IF(VIPcric_1!A835="","",VIPcric_1!A835)</f>
        <v>2023年</v>
      </c>
      <c r="B846">
        <f>IF(VIPcric_1!B835="","",VIPcric_1!B835)</f>
        <v>437879</v>
      </c>
      <c r="C846">
        <f>IF(VIPcric_1!C835="","",VIPcric_1!C835)</f>
        <v>4780</v>
      </c>
      <c r="D846">
        <f>IF(VIPcric_1!D835="","",VIPcric_1!D835)</f>
        <v>41.5</v>
      </c>
      <c r="E846" t="str">
        <f>IF(VIPcric_1!E835="","",VIPcric_1!E835)</f>
        <v/>
      </c>
      <c r="F846" t="str">
        <f>IF(VIPcric_1!F835="","",VIPcric_1!F835)</f>
        <v/>
      </c>
      <c r="G846" t="str">
        <f>IF(VIPcric_1!G835="","",VIPcric_1!G835)</f>
        <v/>
      </c>
      <c r="H846" t="str">
        <f>IF(VIPcric_1!H835="","",VIPcric_1!H835)</f>
        <v/>
      </c>
      <c r="I846" t="str">
        <f>IF(VIPcric_1!M835="","",VIPcric_1!M835)</f>
        <v>CRIC-定安-市场监测.商品房市场.项目累计.库存.xlsx</v>
      </c>
    </row>
    <row r="847" spans="1:9">
      <c r="A847" t="str">
        <f>IF(VIPcric_1!A836="","",VIPcric_1!A836)</f>
        <v>2022年</v>
      </c>
      <c r="B847">
        <f>IF(VIPcric_1!B836="","",VIPcric_1!B836)</f>
        <v>455325</v>
      </c>
      <c r="C847">
        <f>IF(VIPcric_1!C836="","",VIPcric_1!C836)</f>
        <v>5142</v>
      </c>
      <c r="D847">
        <f>IF(VIPcric_1!D836="","",VIPcric_1!D836)</f>
        <v>39.4</v>
      </c>
      <c r="E847" t="str">
        <f>IF(VIPcric_1!E836="","",VIPcric_1!E836)</f>
        <v/>
      </c>
      <c r="F847" t="str">
        <f>IF(VIPcric_1!F836="","",VIPcric_1!F836)</f>
        <v/>
      </c>
      <c r="G847" t="str">
        <f>IF(VIPcric_1!G836="","",VIPcric_1!G836)</f>
        <v/>
      </c>
      <c r="H847" t="str">
        <f>IF(VIPcric_1!H836="","",VIPcric_1!H836)</f>
        <v/>
      </c>
      <c r="I847" t="str">
        <f>IF(VIPcric_1!M836="","",VIPcric_1!M836)</f>
        <v>CRIC-定安-市场监测.商品房市场.项目累计.库存.xlsx</v>
      </c>
    </row>
    <row r="848" spans="1:9">
      <c r="A848" t="str">
        <f>IF(VIPcric_1!A837="","",VIPcric_1!A837)</f>
        <v>2021年</v>
      </c>
      <c r="B848">
        <f>IF(VIPcric_1!B837="","",VIPcric_1!B837)</f>
        <v>507564</v>
      </c>
      <c r="C848">
        <f>IF(VIPcric_1!C837="","",VIPcric_1!C837)</f>
        <v>5843</v>
      </c>
      <c r="D848">
        <f>IF(VIPcric_1!D837="","",VIPcric_1!D837)</f>
        <v>1310</v>
      </c>
      <c r="E848" t="str">
        <f>IF(VIPcric_1!E837="","",VIPcric_1!E837)</f>
        <v/>
      </c>
      <c r="F848" t="str">
        <f>IF(VIPcric_1!F837="","",VIPcric_1!F837)</f>
        <v/>
      </c>
      <c r="G848" t="str">
        <f>IF(VIPcric_1!G837="","",VIPcric_1!G837)</f>
        <v/>
      </c>
      <c r="H848" t="str">
        <f>IF(VIPcric_1!H837="","",VIPcric_1!H837)</f>
        <v/>
      </c>
      <c r="I848" t="str">
        <f>IF(VIPcric_1!M837="","",VIPcric_1!M837)</f>
        <v>CRIC-定安-市场监测.商品房市场.项目累计.库存.xlsx</v>
      </c>
    </row>
    <row r="849" spans="1:9">
      <c r="A849" t="str">
        <f>IF(VIPcric_1!A838="","",VIPcric_1!A838)</f>
        <v/>
      </c>
      <c r="B849" t="str">
        <f>IF(VIPcric_1!B838="","",VIPcric_1!B838)</f>
        <v/>
      </c>
      <c r="C849" t="str">
        <f>IF(VIPcric_1!C838="","",VIPcric_1!C838)</f>
        <v/>
      </c>
      <c r="D849" t="str">
        <f>IF(VIPcric_1!D838="","",VIPcric_1!D838)</f>
        <v/>
      </c>
      <c r="E849" t="str">
        <f>IF(VIPcric_1!E838="","",VIPcric_1!E838)</f>
        <v/>
      </c>
      <c r="F849" t="str">
        <f>IF(VIPcric_1!F838="","",VIPcric_1!F838)</f>
        <v/>
      </c>
      <c r="G849" t="str">
        <f>IF(VIPcric_1!G838="","",VIPcric_1!G838)</f>
        <v/>
      </c>
      <c r="H849" t="str">
        <f>IF(VIPcric_1!H838="","",VIPcric_1!H838)</f>
        <v/>
      </c>
      <c r="I849" t="str">
        <f>IF(VIPcric_1!M838="","",VIPcric_1!M838)</f>
        <v/>
      </c>
    </row>
    <row r="850" spans="1:9">
      <c r="A850" t="str">
        <f>IF(VIPcric_1!A839="","",VIPcric_1!A839)</f>
        <v/>
      </c>
      <c r="B850" t="str">
        <f>IF(VIPcric_1!B839="","",VIPcric_1!B839)</f>
        <v/>
      </c>
      <c r="C850" t="str">
        <f>IF(VIPcric_1!C839="","",VIPcric_1!C839)</f>
        <v/>
      </c>
      <c r="D850" t="str">
        <f>IF(VIPcric_1!D839="","",VIPcric_1!D839)</f>
        <v/>
      </c>
      <c r="E850" t="str">
        <f>IF(VIPcric_1!E839="","",VIPcric_1!E839)</f>
        <v/>
      </c>
      <c r="F850" t="str">
        <f>IF(VIPcric_1!F839="","",VIPcric_1!F839)</f>
        <v/>
      </c>
      <c r="G850" t="str">
        <f>IF(VIPcric_1!G839="","",VIPcric_1!G839)</f>
        <v/>
      </c>
      <c r="H850" t="str">
        <f>IF(VIPcric_1!H839="","",VIPcric_1!H839)</f>
        <v/>
      </c>
      <c r="I850" t="str">
        <f>IF(VIPcric_1!M839="","",VIPcric_1!M839)</f>
        <v>CRIC-宜兴-市场监测.商品房市场.项目累计.供求.xlsx</v>
      </c>
    </row>
    <row r="851" spans="1:9">
      <c r="A851" t="str">
        <f>IF(VIPcric_1!A840="","",VIPcric_1!A840)</f>
        <v>时间(年)</v>
      </c>
      <c r="B851" t="str">
        <f>IF(VIPcric_1!B840="","",VIPcric_1!B840)</f>
        <v>供应面积(㎡)</v>
      </c>
      <c r="C851" t="str">
        <f>IF(VIPcric_1!C840="","",VIPcric_1!C840)</f>
        <v>供应套数(套)</v>
      </c>
      <c r="D851" t="str">
        <f>IF(VIPcric_1!D840="","",VIPcric_1!D840)</f>
        <v>成交面积(㎡)</v>
      </c>
      <c r="E851" t="str">
        <f>IF(VIPcric_1!E840="","",VIPcric_1!E840)</f>
        <v>成交套数(套)</v>
      </c>
      <c r="F851" t="str">
        <f>IF(VIPcric_1!F840="","",VIPcric_1!F840)</f>
        <v>成交均价(元/㎡)</v>
      </c>
      <c r="G851" t="str">
        <f>IF(VIPcric_1!G840="","",VIPcric_1!G840)</f>
        <v>成交金额(元)</v>
      </c>
      <c r="H851" t="str">
        <f>IF(VIPcric_1!H840="","",VIPcric_1!H840)</f>
        <v>供求比</v>
      </c>
      <c r="I851" t="str">
        <f>IF(VIPcric_1!M840="","",VIPcric_1!M840)</f>
        <v>CRIC-宜兴-市场监测.商品房市场.项目累计.供求.xlsx</v>
      </c>
    </row>
    <row r="852" spans="1:9">
      <c r="A852" t="str">
        <f>IF(VIPcric_1!A841="","",VIPcric_1!A841)</f>
        <v>2024年</v>
      </c>
      <c r="B852">
        <f>IF(VIPcric_1!B841="","",VIPcric_1!B841)</f>
        <v>0</v>
      </c>
      <c r="C852">
        <f>IF(VIPcric_1!C841="","",VIPcric_1!C841)</f>
        <v>0</v>
      </c>
      <c r="D852">
        <f>IF(VIPcric_1!D841="","",VIPcric_1!D841)</f>
        <v>23731</v>
      </c>
      <c r="E852">
        <f>IF(VIPcric_1!E841="","",VIPcric_1!E841)</f>
        <v>190</v>
      </c>
      <c r="F852">
        <f>IF(VIPcric_1!F841="","",VIPcric_1!F841)</f>
        <v>16441</v>
      </c>
      <c r="G852">
        <f>IF(VIPcric_1!G841="","",VIPcric_1!G841)</f>
        <v>390151600</v>
      </c>
      <c r="H852">
        <f>IF(VIPcric_1!H841="","",VIPcric_1!H841)</f>
        <v>0</v>
      </c>
      <c r="I852" t="str">
        <f>IF(VIPcric_1!M841="","",VIPcric_1!M841)</f>
        <v>CRIC-宜兴-市场监测.商品房市场.项目累计.供求.xlsx</v>
      </c>
    </row>
    <row r="853" spans="1:9">
      <c r="A853" t="str">
        <f>IF(VIPcric_1!A842="","",VIPcric_1!A842)</f>
        <v>2023年</v>
      </c>
      <c r="B853">
        <f>IF(VIPcric_1!B842="","",VIPcric_1!B842)</f>
        <v>424486</v>
      </c>
      <c r="C853">
        <f>IF(VIPcric_1!C842="","",VIPcric_1!C842)</f>
        <v>3625</v>
      </c>
      <c r="D853">
        <f>IF(VIPcric_1!D842="","",VIPcric_1!D842)</f>
        <v>310203</v>
      </c>
      <c r="E853">
        <f>IF(VIPcric_1!E842="","",VIPcric_1!E842)</f>
        <v>2632</v>
      </c>
      <c r="F853">
        <f>IF(VIPcric_1!F842="","",VIPcric_1!F842)</f>
        <v>15313</v>
      </c>
      <c r="G853">
        <f>IF(VIPcric_1!G842="","",VIPcric_1!G842)</f>
        <v>4750182601</v>
      </c>
      <c r="H853">
        <f>IF(VIPcric_1!H842="","",VIPcric_1!H842)</f>
        <v>1.37</v>
      </c>
      <c r="I853" t="str">
        <f>IF(VIPcric_1!M842="","",VIPcric_1!M842)</f>
        <v>CRIC-宜兴-市场监测.商品房市场.项目累计.供求.xlsx</v>
      </c>
    </row>
    <row r="854" spans="1:9">
      <c r="A854" t="str">
        <f>IF(VIPcric_1!A843="","",VIPcric_1!A843)</f>
        <v>2022年</v>
      </c>
      <c r="B854">
        <f>IF(VIPcric_1!B843="","",VIPcric_1!B843)</f>
        <v>357966</v>
      </c>
      <c r="C854">
        <f>IF(VIPcric_1!C843="","",VIPcric_1!C843)</f>
        <v>2887</v>
      </c>
      <c r="D854">
        <f>IF(VIPcric_1!D843="","",VIPcric_1!D843)</f>
        <v>376665</v>
      </c>
      <c r="E854">
        <f>IF(VIPcric_1!E843="","",VIPcric_1!E843)</f>
        <v>3070</v>
      </c>
      <c r="F854">
        <f>IF(VIPcric_1!F843="","",VIPcric_1!F843)</f>
        <v>13496</v>
      </c>
      <c r="G854">
        <f>IF(VIPcric_1!G843="","",VIPcric_1!G843)</f>
        <v>5083630114</v>
      </c>
      <c r="H854">
        <f>IF(VIPcric_1!H843="","",VIPcric_1!H843)</f>
        <v>0.95</v>
      </c>
      <c r="I854" t="str">
        <f>IF(VIPcric_1!M843="","",VIPcric_1!M843)</f>
        <v>CRIC-宜兴-市场监测.商品房市场.项目累计.供求.xlsx</v>
      </c>
    </row>
    <row r="855" spans="1:9">
      <c r="A855" t="str">
        <f>IF(VIPcric_1!A844="","",VIPcric_1!A844)</f>
        <v>2021年</v>
      </c>
      <c r="B855">
        <f>IF(VIPcric_1!B844="","",VIPcric_1!B844)</f>
        <v>1818656</v>
      </c>
      <c r="C855">
        <f>IF(VIPcric_1!C844="","",VIPcric_1!C844)</f>
        <v>15214</v>
      </c>
      <c r="D855">
        <f>IF(VIPcric_1!D844="","",VIPcric_1!D844)</f>
        <v>1507494</v>
      </c>
      <c r="E855">
        <f>IF(VIPcric_1!E844="","",VIPcric_1!E844)</f>
        <v>12085</v>
      </c>
      <c r="F855">
        <f>IF(VIPcric_1!F844="","",VIPcric_1!F844)</f>
        <v>14783</v>
      </c>
      <c r="G855">
        <f>IF(VIPcric_1!G844="","",VIPcric_1!G844)</f>
        <v>22285114665</v>
      </c>
      <c r="H855">
        <f>IF(VIPcric_1!H844="","",VIPcric_1!H844)</f>
        <v>1.21</v>
      </c>
      <c r="I855" t="str">
        <f>IF(VIPcric_1!M844="","",VIPcric_1!M844)</f>
        <v>CRIC-宜兴-市场监测.商品房市场.项目累计.供求.xlsx</v>
      </c>
    </row>
    <row r="856" spans="1:9">
      <c r="A856" t="str">
        <f>IF(VIPcric_1!A845="","",VIPcric_1!A845)</f>
        <v>2020年</v>
      </c>
      <c r="B856">
        <f>IF(VIPcric_1!B845="","",VIPcric_1!B845)</f>
        <v>1367139</v>
      </c>
      <c r="C856">
        <f>IF(VIPcric_1!C845="","",VIPcric_1!C845)</f>
        <v>11238</v>
      </c>
      <c r="D856">
        <f>IF(VIPcric_1!D845="","",VIPcric_1!D845)</f>
        <v>1459252</v>
      </c>
      <c r="E856">
        <f>IF(VIPcric_1!E845="","",VIPcric_1!E845)</f>
        <v>11703</v>
      </c>
      <c r="F856">
        <f>IF(VIPcric_1!F845="","",VIPcric_1!F845)</f>
        <v>11381</v>
      </c>
      <c r="G856">
        <f>IF(VIPcric_1!G845="","",VIPcric_1!G845)</f>
        <v>16607415548</v>
      </c>
      <c r="H856">
        <f>IF(VIPcric_1!H845="","",VIPcric_1!H845)</f>
        <v>0.94</v>
      </c>
      <c r="I856" t="str">
        <f>IF(VIPcric_1!M845="","",VIPcric_1!M845)</f>
        <v>CRIC-宜兴-市场监测.商品房市场.项目累计.供求.xlsx</v>
      </c>
    </row>
    <row r="857" spans="1:9">
      <c r="A857" t="str">
        <f>IF(VIPcric_1!A846="","",VIPcric_1!A846)</f>
        <v>2019年</v>
      </c>
      <c r="B857">
        <f>IF(VIPcric_1!B846="","",VIPcric_1!B846)</f>
        <v>1789827</v>
      </c>
      <c r="C857">
        <f>IF(VIPcric_1!C846="","",VIPcric_1!C846)</f>
        <v>14432</v>
      </c>
      <c r="D857">
        <f>IF(VIPcric_1!D846="","",VIPcric_1!D846)</f>
        <v>1535571</v>
      </c>
      <c r="E857">
        <f>IF(VIPcric_1!E846="","",VIPcric_1!E846)</f>
        <v>12378</v>
      </c>
      <c r="F857">
        <f>IF(VIPcric_1!F846="","",VIPcric_1!F846)</f>
        <v>10015</v>
      </c>
      <c r="G857">
        <f>IF(VIPcric_1!G846="","",VIPcric_1!G846)</f>
        <v>15378193791</v>
      </c>
      <c r="H857">
        <f>IF(VIPcric_1!H846="","",VIPcric_1!H846)</f>
        <v>1.17</v>
      </c>
      <c r="I857" t="str">
        <f>IF(VIPcric_1!M846="","",VIPcric_1!M846)</f>
        <v>CRIC-宜兴-市场监测.商品房市场.项目累计.供求.xlsx</v>
      </c>
    </row>
    <row r="858" spans="1:9">
      <c r="A858" t="str">
        <f>IF(VIPcric_1!A847="","",VIPcric_1!A847)</f>
        <v>汇总</v>
      </c>
      <c r="B858">
        <f>IF(VIPcric_1!B847="","",VIPcric_1!B847)</f>
        <v>5758073</v>
      </c>
      <c r="C858">
        <f>IF(VIPcric_1!C847="","",VIPcric_1!C847)</f>
        <v>47396</v>
      </c>
      <c r="D858">
        <f>IF(VIPcric_1!D847="","",VIPcric_1!D847)</f>
        <v>5212916</v>
      </c>
      <c r="E858">
        <f>IF(VIPcric_1!E847="","",VIPcric_1!E847)</f>
        <v>42058</v>
      </c>
      <c r="F858">
        <f>IF(VIPcric_1!F847="","",VIPcric_1!F847)</f>
        <v>12372</v>
      </c>
      <c r="G858">
        <f>IF(VIPcric_1!G847="","",VIPcric_1!G847)</f>
        <v>64494688318</v>
      </c>
      <c r="H858">
        <f>IF(VIPcric_1!H847="","",VIPcric_1!H847)</f>
        <v>1.1000000000000001</v>
      </c>
      <c r="I858" t="str">
        <f>IF(VIPcric_1!M847="","",VIPcric_1!M847)</f>
        <v>CRIC-宜兴-市场监测.商品房市场.项目累计.供求.xlsx</v>
      </c>
    </row>
    <row r="859" spans="1:9">
      <c r="A859" t="str">
        <f>IF(VIPcric_1!A848="","",VIPcric_1!A848)</f>
        <v/>
      </c>
      <c r="B859" t="str">
        <f>IF(VIPcric_1!B848="","",VIPcric_1!B848)</f>
        <v/>
      </c>
      <c r="C859" t="str">
        <f>IF(VIPcric_1!C848="","",VIPcric_1!C848)</f>
        <v/>
      </c>
      <c r="D859" t="str">
        <f>IF(VIPcric_1!D848="","",VIPcric_1!D848)</f>
        <v/>
      </c>
      <c r="E859" t="str">
        <f>IF(VIPcric_1!E848="","",VIPcric_1!E848)</f>
        <v/>
      </c>
      <c r="F859" t="str">
        <f>IF(VIPcric_1!F848="","",VIPcric_1!F848)</f>
        <v/>
      </c>
      <c r="G859" t="str">
        <f>IF(VIPcric_1!G848="","",VIPcric_1!G848)</f>
        <v/>
      </c>
      <c r="H859" t="str">
        <f>IF(VIPcric_1!H848="","",VIPcric_1!H848)</f>
        <v/>
      </c>
      <c r="I859" t="str">
        <f>IF(VIPcric_1!M848="","",VIPcric_1!M848)</f>
        <v/>
      </c>
    </row>
    <row r="860" spans="1:9">
      <c r="A860" t="str">
        <f>IF(VIPcric_1!A849="","",VIPcric_1!A849)</f>
        <v/>
      </c>
      <c r="B860" t="str">
        <f>IF(VIPcric_1!B849="","",VIPcric_1!B849)</f>
        <v/>
      </c>
      <c r="C860" t="str">
        <f>IF(VIPcric_1!C849="","",VIPcric_1!C849)</f>
        <v/>
      </c>
      <c r="D860" t="str">
        <f>IF(VIPcric_1!D849="","",VIPcric_1!D849)</f>
        <v/>
      </c>
      <c r="E860" t="str">
        <f>IF(VIPcric_1!E849="","",VIPcric_1!E849)</f>
        <v/>
      </c>
      <c r="F860" t="str">
        <f>IF(VIPcric_1!F849="","",VIPcric_1!F849)</f>
        <v/>
      </c>
      <c r="G860" t="str">
        <f>IF(VIPcric_1!G849="","",VIPcric_1!G849)</f>
        <v/>
      </c>
      <c r="H860" t="str">
        <f>IF(VIPcric_1!H849="","",VIPcric_1!H849)</f>
        <v/>
      </c>
      <c r="I860" t="str">
        <f>IF(VIPcric_1!M849="","",VIPcric_1!M849)</f>
        <v>CRIC-宜兴-市场监测.商品房市场.项目累计.库存.xlsx</v>
      </c>
    </row>
    <row r="861" spans="1:9">
      <c r="A861" t="str">
        <f>IF(VIPcric_1!A850="","",VIPcric_1!A850)</f>
        <v>时间(年)</v>
      </c>
      <c r="B861" t="str">
        <f>IF(VIPcric_1!B850="","",VIPcric_1!B850)</f>
        <v>库存面积(㎡)</v>
      </c>
      <c r="C861" t="str">
        <f>IF(VIPcric_1!C850="","",VIPcric_1!C850)</f>
        <v>库存套数(套)</v>
      </c>
      <c r="D861" t="str">
        <f>IF(VIPcric_1!D850="","",VIPcric_1!D850)</f>
        <v>去化周期12'(月)</v>
      </c>
      <c r="E861" t="str">
        <f>IF(VIPcric_1!E850="","",VIPcric_1!E850)</f>
        <v/>
      </c>
      <c r="F861" t="str">
        <f>IF(VIPcric_1!F850="","",VIPcric_1!F850)</f>
        <v/>
      </c>
      <c r="G861" t="str">
        <f>IF(VIPcric_1!G850="","",VIPcric_1!G850)</f>
        <v/>
      </c>
      <c r="H861" t="str">
        <f>IF(VIPcric_1!H850="","",VIPcric_1!H850)</f>
        <v/>
      </c>
      <c r="I861" t="str">
        <f>IF(VIPcric_1!M850="","",VIPcric_1!M850)</f>
        <v>CRIC-宜兴-市场监测.商品房市场.项目累计.库存.xlsx</v>
      </c>
    </row>
    <row r="862" spans="1:9">
      <c r="A862" t="str">
        <f>IF(VIPcric_1!A851="","",VIPcric_1!A851)</f>
        <v>2024年</v>
      </c>
      <c r="B862">
        <f>IF(VIPcric_1!B851="","",VIPcric_1!B851)</f>
        <v>2870302</v>
      </c>
      <c r="C862">
        <f>IF(VIPcric_1!C851="","",VIPcric_1!C851)</f>
        <v>25238</v>
      </c>
      <c r="D862">
        <f>IF(VIPcric_1!D851="","",VIPcric_1!D851)</f>
        <v>111.9</v>
      </c>
      <c r="E862" t="str">
        <f>IF(VIPcric_1!E851="","",VIPcric_1!E851)</f>
        <v/>
      </c>
      <c r="F862" t="str">
        <f>IF(VIPcric_1!F851="","",VIPcric_1!F851)</f>
        <v/>
      </c>
      <c r="G862" t="str">
        <f>IF(VIPcric_1!G851="","",VIPcric_1!G851)</f>
        <v/>
      </c>
      <c r="H862" t="str">
        <f>IF(VIPcric_1!H851="","",VIPcric_1!H851)</f>
        <v/>
      </c>
      <c r="I862" t="str">
        <f>IF(VIPcric_1!M851="","",VIPcric_1!M851)</f>
        <v>CRIC-宜兴-市场监测.商品房市场.项目累计.库存.xlsx</v>
      </c>
    </row>
    <row r="863" spans="1:9">
      <c r="A863" t="str">
        <f>IF(VIPcric_1!A852="","",VIPcric_1!A852)</f>
        <v>2023年</v>
      </c>
      <c r="B863">
        <f>IF(VIPcric_1!B852="","",VIPcric_1!B852)</f>
        <v>2886776</v>
      </c>
      <c r="C863">
        <f>IF(VIPcric_1!C852="","",VIPcric_1!C852)</f>
        <v>25378</v>
      </c>
      <c r="D863">
        <f>IF(VIPcric_1!D852="","",VIPcric_1!D852)</f>
        <v>111.7</v>
      </c>
      <c r="E863" t="str">
        <f>IF(VIPcric_1!E852="","",VIPcric_1!E852)</f>
        <v/>
      </c>
      <c r="F863" t="str">
        <f>IF(VIPcric_1!F852="","",VIPcric_1!F852)</f>
        <v/>
      </c>
      <c r="G863" t="str">
        <f>IF(VIPcric_1!G852="","",VIPcric_1!G852)</f>
        <v/>
      </c>
      <c r="H863" t="str">
        <f>IF(VIPcric_1!H852="","",VIPcric_1!H852)</f>
        <v/>
      </c>
      <c r="I863" t="str">
        <f>IF(VIPcric_1!M852="","",VIPcric_1!M852)</f>
        <v>CRIC-宜兴-市场监测.商品房市场.项目累计.库存.xlsx</v>
      </c>
    </row>
    <row r="864" spans="1:9">
      <c r="A864" t="str">
        <f>IF(VIPcric_1!A853="","",VIPcric_1!A853)</f>
        <v>2022年</v>
      </c>
      <c r="B864">
        <f>IF(VIPcric_1!B853="","",VIPcric_1!B853)</f>
        <v>3012166</v>
      </c>
      <c r="C864">
        <f>IF(VIPcric_1!C853="","",VIPcric_1!C853)</f>
        <v>26205</v>
      </c>
      <c r="D864">
        <f>IF(VIPcric_1!D853="","",VIPcric_1!D853)</f>
        <v>96</v>
      </c>
      <c r="E864" t="str">
        <f>IF(VIPcric_1!E853="","",VIPcric_1!E853)</f>
        <v/>
      </c>
      <c r="F864" t="str">
        <f>IF(VIPcric_1!F853="","",VIPcric_1!F853)</f>
        <v/>
      </c>
      <c r="G864" t="str">
        <f>IF(VIPcric_1!G853="","",VIPcric_1!G853)</f>
        <v/>
      </c>
      <c r="H864" t="str">
        <f>IF(VIPcric_1!H853="","",VIPcric_1!H853)</f>
        <v/>
      </c>
      <c r="I864" t="str">
        <f>IF(VIPcric_1!M853="","",VIPcric_1!M853)</f>
        <v>CRIC-宜兴-市场监测.商品房市场.项目累计.库存.xlsx</v>
      </c>
    </row>
    <row r="865" spans="1:9">
      <c r="A865" t="str">
        <f>IF(VIPcric_1!A854="","",VIPcric_1!A854)</f>
        <v>2021年</v>
      </c>
      <c r="B865">
        <f>IF(VIPcric_1!B854="","",VIPcric_1!B854)</f>
        <v>3116853</v>
      </c>
      <c r="C865">
        <f>IF(VIPcric_1!C854="","",VIPcric_1!C854)</f>
        <v>27112</v>
      </c>
      <c r="D865">
        <f>IF(VIPcric_1!D854="","",VIPcric_1!D854)</f>
        <v>24.8</v>
      </c>
      <c r="E865" t="str">
        <f>IF(VIPcric_1!E854="","",VIPcric_1!E854)</f>
        <v/>
      </c>
      <c r="F865" t="str">
        <f>IF(VIPcric_1!F854="","",VIPcric_1!F854)</f>
        <v/>
      </c>
      <c r="G865" t="str">
        <f>IF(VIPcric_1!G854="","",VIPcric_1!G854)</f>
        <v/>
      </c>
      <c r="H865" t="str">
        <f>IF(VIPcric_1!H854="","",VIPcric_1!H854)</f>
        <v/>
      </c>
      <c r="I865" t="str">
        <f>IF(VIPcric_1!M854="","",VIPcric_1!M854)</f>
        <v>CRIC-宜兴-市场监测.商品房市场.项目累计.库存.xlsx</v>
      </c>
    </row>
    <row r="866" spans="1:9">
      <c r="A866" t="str">
        <f>IF(VIPcric_1!A855="","",VIPcric_1!A855)</f>
        <v>2020年</v>
      </c>
      <c r="B866">
        <f>IF(VIPcric_1!B855="","",VIPcric_1!B855)</f>
        <v>3044894</v>
      </c>
      <c r="C866">
        <f>IF(VIPcric_1!C855="","",VIPcric_1!C855)</f>
        <v>26125</v>
      </c>
      <c r="D866">
        <f>IF(VIPcric_1!D855="","",VIPcric_1!D855)</f>
        <v>25</v>
      </c>
      <c r="E866" t="str">
        <f>IF(VIPcric_1!E855="","",VIPcric_1!E855)</f>
        <v/>
      </c>
      <c r="F866" t="str">
        <f>IF(VIPcric_1!F855="","",VIPcric_1!F855)</f>
        <v/>
      </c>
      <c r="G866" t="str">
        <f>IF(VIPcric_1!G855="","",VIPcric_1!G855)</f>
        <v/>
      </c>
      <c r="H866" t="str">
        <f>IF(VIPcric_1!H855="","",VIPcric_1!H855)</f>
        <v/>
      </c>
      <c r="I866" t="str">
        <f>IF(VIPcric_1!M855="","",VIPcric_1!M855)</f>
        <v>CRIC-宜兴-市场监测.商品房市场.项目累计.库存.xlsx</v>
      </c>
    </row>
    <row r="867" spans="1:9">
      <c r="A867" t="str">
        <f>IF(VIPcric_1!A856="","",VIPcric_1!A856)</f>
        <v>2019年</v>
      </c>
      <c r="B867">
        <f>IF(VIPcric_1!B856="","",VIPcric_1!B856)</f>
        <v>0</v>
      </c>
      <c r="C867">
        <f>IF(VIPcric_1!C856="","",VIPcric_1!C856)</f>
        <v>0</v>
      </c>
      <c r="D867">
        <f>IF(VIPcric_1!D856="","",VIPcric_1!D856)</f>
        <v>0</v>
      </c>
      <c r="E867" t="str">
        <f>IF(VIPcric_1!E856="","",VIPcric_1!E856)</f>
        <v/>
      </c>
      <c r="F867" t="str">
        <f>IF(VIPcric_1!F856="","",VIPcric_1!F856)</f>
        <v/>
      </c>
      <c r="G867" t="str">
        <f>IF(VIPcric_1!G856="","",VIPcric_1!G856)</f>
        <v/>
      </c>
      <c r="H867" t="str">
        <f>IF(VIPcric_1!H856="","",VIPcric_1!H856)</f>
        <v/>
      </c>
      <c r="I867" t="str">
        <f>IF(VIPcric_1!M856="","",VIPcric_1!M856)</f>
        <v>CRIC-宜兴-市场监测.商品房市场.项目累计.库存.xlsx</v>
      </c>
    </row>
    <row r="868" spans="1:9">
      <c r="A868" t="str">
        <f>IF(VIPcric_1!A857="","",VIPcric_1!A857)</f>
        <v/>
      </c>
      <c r="B868" t="str">
        <f>IF(VIPcric_1!B857="","",VIPcric_1!B857)</f>
        <v/>
      </c>
      <c r="C868" t="str">
        <f>IF(VIPcric_1!C857="","",VIPcric_1!C857)</f>
        <v/>
      </c>
      <c r="D868" t="str">
        <f>IF(VIPcric_1!D857="","",VIPcric_1!D857)</f>
        <v/>
      </c>
      <c r="E868" t="str">
        <f>IF(VIPcric_1!E857="","",VIPcric_1!E857)</f>
        <v/>
      </c>
      <c r="F868" t="str">
        <f>IF(VIPcric_1!F857="","",VIPcric_1!F857)</f>
        <v/>
      </c>
      <c r="G868" t="str">
        <f>IF(VIPcric_1!G857="","",VIPcric_1!G857)</f>
        <v/>
      </c>
      <c r="H868" t="str">
        <f>IF(VIPcric_1!H857="","",VIPcric_1!H857)</f>
        <v/>
      </c>
      <c r="I868" t="str">
        <f>IF(VIPcric_1!M857="","",VIPcric_1!M857)</f>
        <v/>
      </c>
    </row>
    <row r="869" spans="1:9">
      <c r="A869" t="str">
        <f>IF(VIPcric_1!A858="","",VIPcric_1!A858)</f>
        <v/>
      </c>
      <c r="B869" t="str">
        <f>IF(VIPcric_1!B858="","",VIPcric_1!B858)</f>
        <v/>
      </c>
      <c r="C869" t="str">
        <f>IF(VIPcric_1!C858="","",VIPcric_1!C858)</f>
        <v/>
      </c>
      <c r="D869" t="str">
        <f>IF(VIPcric_1!D858="","",VIPcric_1!D858)</f>
        <v/>
      </c>
      <c r="E869" t="str">
        <f>IF(VIPcric_1!E858="","",VIPcric_1!E858)</f>
        <v/>
      </c>
      <c r="F869" t="str">
        <f>IF(VIPcric_1!F858="","",VIPcric_1!F858)</f>
        <v/>
      </c>
      <c r="G869" t="str">
        <f>IF(VIPcric_1!G858="","",VIPcric_1!G858)</f>
        <v/>
      </c>
      <c r="H869" t="str">
        <f>IF(VIPcric_1!H858="","",VIPcric_1!H858)</f>
        <v/>
      </c>
      <c r="I869" t="str">
        <f>IF(VIPcric_1!M858="","",VIPcric_1!M858)</f>
        <v>CRIC-宜宾-市场监测.商品房市场.项目累计.供求.xlsx</v>
      </c>
    </row>
    <row r="870" spans="1:9">
      <c r="A870" t="str">
        <f>IF(VIPcric_1!A859="","",VIPcric_1!A859)</f>
        <v>时间(年)</v>
      </c>
      <c r="B870" t="str">
        <f>IF(VIPcric_1!B859="","",VIPcric_1!B859)</f>
        <v>供应面积(㎡)</v>
      </c>
      <c r="C870" t="str">
        <f>IF(VIPcric_1!C859="","",VIPcric_1!C859)</f>
        <v>供应套数(套)</v>
      </c>
      <c r="D870" t="str">
        <f>IF(VIPcric_1!D859="","",VIPcric_1!D859)</f>
        <v>成交面积(㎡)</v>
      </c>
      <c r="E870" t="str">
        <f>IF(VIPcric_1!E859="","",VIPcric_1!E859)</f>
        <v>成交套数(套)</v>
      </c>
      <c r="F870" t="str">
        <f>IF(VIPcric_1!F859="","",VIPcric_1!F859)</f>
        <v>成交均价(元/㎡)</v>
      </c>
      <c r="G870" t="str">
        <f>IF(VIPcric_1!G859="","",VIPcric_1!G859)</f>
        <v>成交金额(元)</v>
      </c>
      <c r="H870" t="str">
        <f>IF(VIPcric_1!H859="","",VIPcric_1!H859)</f>
        <v>供求比</v>
      </c>
      <c r="I870" t="str">
        <f>IF(VIPcric_1!M859="","",VIPcric_1!M859)</f>
        <v>CRIC-宜宾-市场监测.商品房市场.项目累计.供求.xlsx</v>
      </c>
    </row>
    <row r="871" spans="1:9">
      <c r="A871" t="str">
        <f>IF(VIPcric_1!A860="","",VIPcric_1!A860)</f>
        <v>2023年</v>
      </c>
      <c r="B871">
        <f>IF(VIPcric_1!B860="","",VIPcric_1!B860)</f>
        <v>0</v>
      </c>
      <c r="C871">
        <f>IF(VIPcric_1!C860="","",VIPcric_1!C860)</f>
        <v>0</v>
      </c>
      <c r="D871">
        <f>IF(VIPcric_1!D860="","",VIPcric_1!D860)</f>
        <v>1848198</v>
      </c>
      <c r="E871">
        <f>IF(VIPcric_1!E860="","",VIPcric_1!E860)</f>
        <v>17378</v>
      </c>
      <c r="F871">
        <f>IF(VIPcric_1!F860="","",VIPcric_1!F860)</f>
        <v>8102</v>
      </c>
      <c r="G871">
        <f>IF(VIPcric_1!G860="","",VIPcric_1!G860)</f>
        <v>14974608096</v>
      </c>
      <c r="H871">
        <f>IF(VIPcric_1!H860="","",VIPcric_1!H860)</f>
        <v>0</v>
      </c>
      <c r="I871" t="str">
        <f>IF(VIPcric_1!M860="","",VIPcric_1!M860)</f>
        <v>CRIC-宜宾-市场监测.商品房市场.项目累计.供求.xlsx</v>
      </c>
    </row>
    <row r="872" spans="1:9">
      <c r="A872" t="str">
        <f>IF(VIPcric_1!A861="","",VIPcric_1!A861)</f>
        <v>2022年</v>
      </c>
      <c r="B872">
        <f>IF(VIPcric_1!B861="","",VIPcric_1!B861)</f>
        <v>0</v>
      </c>
      <c r="C872">
        <f>IF(VIPcric_1!C861="","",VIPcric_1!C861)</f>
        <v>0</v>
      </c>
      <c r="D872">
        <f>IF(VIPcric_1!D861="","",VIPcric_1!D861)</f>
        <v>1896000</v>
      </c>
      <c r="E872">
        <f>IF(VIPcric_1!E861="","",VIPcric_1!E861)</f>
        <v>18500</v>
      </c>
      <c r="F872">
        <f>IF(VIPcric_1!F861="","",VIPcric_1!F861)</f>
        <v>7981</v>
      </c>
      <c r="G872">
        <f>IF(VIPcric_1!G861="","",VIPcric_1!G861)</f>
        <v>15132614004</v>
      </c>
      <c r="H872">
        <f>IF(VIPcric_1!H861="","",VIPcric_1!H861)</f>
        <v>0</v>
      </c>
      <c r="I872" t="str">
        <f>IF(VIPcric_1!M861="","",VIPcric_1!M861)</f>
        <v>CRIC-宜宾-市场监测.商品房市场.项目累计.供求.xlsx</v>
      </c>
    </row>
    <row r="873" spans="1:9">
      <c r="A873" t="str">
        <f>IF(VIPcric_1!A862="","",VIPcric_1!A862)</f>
        <v>2021年</v>
      </c>
      <c r="B873">
        <f>IF(VIPcric_1!B862="","",VIPcric_1!B862)</f>
        <v>0</v>
      </c>
      <c r="C873">
        <f>IF(VIPcric_1!C862="","",VIPcric_1!C862)</f>
        <v>0</v>
      </c>
      <c r="D873">
        <f>IF(VIPcric_1!D862="","",VIPcric_1!D862)</f>
        <v>0</v>
      </c>
      <c r="E873">
        <f>IF(VIPcric_1!E862="","",VIPcric_1!E862)</f>
        <v>0</v>
      </c>
      <c r="F873">
        <f>IF(VIPcric_1!F862="","",VIPcric_1!F862)</f>
        <v>0</v>
      </c>
      <c r="G873">
        <f>IF(VIPcric_1!G862="","",VIPcric_1!G862)</f>
        <v>0</v>
      </c>
      <c r="H873">
        <f>IF(VIPcric_1!H862="","",VIPcric_1!H862)</f>
        <v>0</v>
      </c>
      <c r="I873" t="str">
        <f>IF(VIPcric_1!M862="","",VIPcric_1!M862)</f>
        <v>CRIC-宜宾-市场监测.商品房市场.项目累计.供求.xlsx</v>
      </c>
    </row>
    <row r="874" spans="1:9">
      <c r="A874" t="str">
        <f>IF(VIPcric_1!A863="","",VIPcric_1!A863)</f>
        <v>2020年</v>
      </c>
      <c r="B874">
        <f>IF(VIPcric_1!B863="","",VIPcric_1!B863)</f>
        <v>0</v>
      </c>
      <c r="C874">
        <f>IF(VIPcric_1!C863="","",VIPcric_1!C863)</f>
        <v>0</v>
      </c>
      <c r="D874">
        <f>IF(VIPcric_1!D863="","",VIPcric_1!D863)</f>
        <v>78560</v>
      </c>
      <c r="E874">
        <f>IF(VIPcric_1!E863="","",VIPcric_1!E863)</f>
        <v>704</v>
      </c>
      <c r="F874">
        <f>IF(VIPcric_1!F863="","",VIPcric_1!F863)</f>
        <v>9597</v>
      </c>
      <c r="G874">
        <f>IF(VIPcric_1!G863="","",VIPcric_1!G863)</f>
        <v>753911933</v>
      </c>
      <c r="H874">
        <f>IF(VIPcric_1!H863="","",VIPcric_1!H863)</f>
        <v>0</v>
      </c>
      <c r="I874" t="str">
        <f>IF(VIPcric_1!M863="","",VIPcric_1!M863)</f>
        <v>CRIC-宜宾-市场监测.商品房市场.项目累计.供求.xlsx</v>
      </c>
    </row>
    <row r="875" spans="1:9">
      <c r="A875" t="str">
        <f>IF(VIPcric_1!A864="","",VIPcric_1!A864)</f>
        <v>2019年</v>
      </c>
      <c r="B875">
        <f>IF(VIPcric_1!B864="","",VIPcric_1!B864)</f>
        <v>143939</v>
      </c>
      <c r="C875">
        <f>IF(VIPcric_1!C864="","",VIPcric_1!C864)</f>
        <v>1226</v>
      </c>
      <c r="D875">
        <f>IF(VIPcric_1!D864="","",VIPcric_1!D864)</f>
        <v>205979</v>
      </c>
      <c r="E875">
        <f>IF(VIPcric_1!E864="","",VIPcric_1!E864)</f>
        <v>1792</v>
      </c>
      <c r="F875">
        <f>IF(VIPcric_1!F864="","",VIPcric_1!F864)</f>
        <v>9641</v>
      </c>
      <c r="G875">
        <f>IF(VIPcric_1!G864="","",VIPcric_1!G864)</f>
        <v>1985910841</v>
      </c>
      <c r="H875">
        <f>IF(VIPcric_1!H864="","",VIPcric_1!H864)</f>
        <v>0.7</v>
      </c>
      <c r="I875" t="str">
        <f>IF(VIPcric_1!M864="","",VIPcric_1!M864)</f>
        <v>CRIC-宜宾-市场监测.商品房市场.项目累计.供求.xlsx</v>
      </c>
    </row>
    <row r="876" spans="1:9">
      <c r="A876" t="str">
        <f>IF(VIPcric_1!A865="","",VIPcric_1!A865)</f>
        <v>2018年</v>
      </c>
      <c r="B876">
        <f>IF(VIPcric_1!B865="","",VIPcric_1!B865)</f>
        <v>644184</v>
      </c>
      <c r="C876">
        <f>IF(VIPcric_1!C865="","",VIPcric_1!C865)</f>
        <v>5789</v>
      </c>
      <c r="D876">
        <f>IF(VIPcric_1!D865="","",VIPcric_1!D865)</f>
        <v>0</v>
      </c>
      <c r="E876">
        <f>IF(VIPcric_1!E865="","",VIPcric_1!E865)</f>
        <v>0</v>
      </c>
      <c r="F876">
        <f>IF(VIPcric_1!F865="","",VIPcric_1!F865)</f>
        <v>0</v>
      </c>
      <c r="G876">
        <f>IF(VIPcric_1!G865="","",VIPcric_1!G865)</f>
        <v>0</v>
      </c>
      <c r="H876">
        <f>IF(VIPcric_1!H865="","",VIPcric_1!H865)</f>
        <v>0</v>
      </c>
      <c r="I876" t="str">
        <f>IF(VIPcric_1!M865="","",VIPcric_1!M865)</f>
        <v>CRIC-宜宾-市场监测.商品房市场.项目累计.供求.xlsx</v>
      </c>
    </row>
    <row r="877" spans="1:9">
      <c r="A877" t="str">
        <f>IF(VIPcric_1!A866="","",VIPcric_1!A866)</f>
        <v>汇总</v>
      </c>
      <c r="B877">
        <f>IF(VIPcric_1!B866="","",VIPcric_1!B866)</f>
        <v>788123</v>
      </c>
      <c r="C877">
        <f>IF(VIPcric_1!C866="","",VIPcric_1!C866)</f>
        <v>7015</v>
      </c>
      <c r="D877">
        <f>IF(VIPcric_1!D866="","",VIPcric_1!D866)</f>
        <v>4028737</v>
      </c>
      <c r="E877">
        <f>IF(VIPcric_1!E866="","",VIPcric_1!E866)</f>
        <v>38374</v>
      </c>
      <c r="F877">
        <f>IF(VIPcric_1!F866="","",VIPcric_1!F866)</f>
        <v>8153</v>
      </c>
      <c r="G877">
        <f>IF(VIPcric_1!G866="","",VIPcric_1!G866)</f>
        <v>32847044874</v>
      </c>
      <c r="H877">
        <f>IF(VIPcric_1!H866="","",VIPcric_1!H866)</f>
        <v>0.2</v>
      </c>
      <c r="I877" t="str">
        <f>IF(VIPcric_1!M866="","",VIPcric_1!M866)</f>
        <v>CRIC-宜宾-市场监测.商品房市场.项目累计.供求.xlsx</v>
      </c>
    </row>
    <row r="878" spans="1:9">
      <c r="A878" t="str">
        <f>IF(VIPcric_1!A867="","",VIPcric_1!A867)</f>
        <v/>
      </c>
      <c r="B878" t="str">
        <f>IF(VIPcric_1!B867="","",VIPcric_1!B867)</f>
        <v/>
      </c>
      <c r="C878" t="str">
        <f>IF(VIPcric_1!C867="","",VIPcric_1!C867)</f>
        <v/>
      </c>
      <c r="D878" t="str">
        <f>IF(VIPcric_1!D867="","",VIPcric_1!D867)</f>
        <v/>
      </c>
      <c r="E878" t="str">
        <f>IF(VIPcric_1!E867="","",VIPcric_1!E867)</f>
        <v/>
      </c>
      <c r="F878" t="str">
        <f>IF(VIPcric_1!F867="","",VIPcric_1!F867)</f>
        <v/>
      </c>
      <c r="G878" t="str">
        <f>IF(VIPcric_1!G867="","",VIPcric_1!G867)</f>
        <v/>
      </c>
      <c r="H878" t="str">
        <f>IF(VIPcric_1!H867="","",VIPcric_1!H867)</f>
        <v/>
      </c>
      <c r="I878" t="str">
        <f>IF(VIPcric_1!M867="","",VIPcric_1!M867)</f>
        <v/>
      </c>
    </row>
    <row r="879" spans="1:9">
      <c r="A879" t="str">
        <f>IF(VIPcric_1!A868="","",VIPcric_1!A868)</f>
        <v/>
      </c>
      <c r="B879" t="str">
        <f>IF(VIPcric_1!B868="","",VIPcric_1!B868)</f>
        <v/>
      </c>
      <c r="C879" t="str">
        <f>IF(VIPcric_1!C868="","",VIPcric_1!C868)</f>
        <v/>
      </c>
      <c r="D879" t="str">
        <f>IF(VIPcric_1!D868="","",VIPcric_1!D868)</f>
        <v/>
      </c>
      <c r="E879" t="str">
        <f>IF(VIPcric_1!E868="","",VIPcric_1!E868)</f>
        <v/>
      </c>
      <c r="F879" t="str">
        <f>IF(VIPcric_1!F868="","",VIPcric_1!F868)</f>
        <v/>
      </c>
      <c r="G879" t="str">
        <f>IF(VIPcric_1!G868="","",VIPcric_1!G868)</f>
        <v/>
      </c>
      <c r="H879" t="str">
        <f>IF(VIPcric_1!H868="","",VIPcric_1!H868)</f>
        <v/>
      </c>
      <c r="I879" t="str">
        <f>IF(VIPcric_1!M868="","",VIPcric_1!M868)</f>
        <v>CRIC-宜宾-市场监测.商品房市场.项目累计.库存.xlsx</v>
      </c>
    </row>
    <row r="880" spans="1:9">
      <c r="A880" t="str">
        <f>IF(VIPcric_1!A869="","",VIPcric_1!A869)</f>
        <v>时间(年)</v>
      </c>
      <c r="B880" t="str">
        <f>IF(VIPcric_1!B869="","",VIPcric_1!B869)</f>
        <v>库存面积(㎡)</v>
      </c>
      <c r="C880" t="str">
        <f>IF(VIPcric_1!C869="","",VIPcric_1!C869)</f>
        <v>库存套数(套)</v>
      </c>
      <c r="D880" t="str">
        <f>IF(VIPcric_1!D869="","",VIPcric_1!D869)</f>
        <v>去化周期12'(月)</v>
      </c>
      <c r="E880" t="str">
        <f>IF(VIPcric_1!E869="","",VIPcric_1!E869)</f>
        <v/>
      </c>
      <c r="F880" t="str">
        <f>IF(VIPcric_1!F869="","",VIPcric_1!F869)</f>
        <v/>
      </c>
      <c r="G880" t="str">
        <f>IF(VIPcric_1!G869="","",VIPcric_1!G869)</f>
        <v/>
      </c>
      <c r="H880" t="str">
        <f>IF(VIPcric_1!H869="","",VIPcric_1!H869)</f>
        <v/>
      </c>
      <c r="I880" t="str">
        <f>IF(VIPcric_1!M869="","",VIPcric_1!M869)</f>
        <v>CRIC-宜宾-市场监测.商品房市场.项目累计.库存.xlsx</v>
      </c>
    </row>
    <row r="881" spans="1:9">
      <c r="A881" t="str">
        <f>IF(VIPcric_1!A870="","",VIPcric_1!A870)</f>
        <v>2023年</v>
      </c>
      <c r="B881">
        <f>IF(VIPcric_1!B870="","",VIPcric_1!B870)</f>
        <v>1615400</v>
      </c>
      <c r="C881">
        <f>IF(VIPcric_1!C870="","",VIPcric_1!C870)</f>
        <v>14952</v>
      </c>
      <c r="D881">
        <f>IF(VIPcric_1!D870="","",VIPcric_1!D870)</f>
        <v>10.5</v>
      </c>
      <c r="E881" t="str">
        <f>IF(VIPcric_1!E870="","",VIPcric_1!E870)</f>
        <v/>
      </c>
      <c r="F881" t="str">
        <f>IF(VIPcric_1!F870="","",VIPcric_1!F870)</f>
        <v/>
      </c>
      <c r="G881" t="str">
        <f>IF(VIPcric_1!G870="","",VIPcric_1!G870)</f>
        <v/>
      </c>
      <c r="H881" t="str">
        <f>IF(VIPcric_1!H870="","",VIPcric_1!H870)</f>
        <v/>
      </c>
      <c r="I881" t="str">
        <f>IF(VIPcric_1!M870="","",VIPcric_1!M870)</f>
        <v>CRIC-宜宾-市场监测.商品房市场.项目累计.库存.xlsx</v>
      </c>
    </row>
    <row r="882" spans="1:9">
      <c r="A882" t="str">
        <f>IF(VIPcric_1!A871="","",VIPcric_1!A871)</f>
        <v>2022年</v>
      </c>
      <c r="B882">
        <f>IF(VIPcric_1!B871="","",VIPcric_1!B871)</f>
        <v>1456600</v>
      </c>
      <c r="C882">
        <f>IF(VIPcric_1!C871="","",VIPcric_1!C871)</f>
        <v>13034</v>
      </c>
      <c r="D882">
        <f>IF(VIPcric_1!D871="","",VIPcric_1!D871)</f>
        <v>9.1999999999999993</v>
      </c>
      <c r="E882" t="str">
        <f>IF(VIPcric_1!E871="","",VIPcric_1!E871)</f>
        <v/>
      </c>
      <c r="F882" t="str">
        <f>IF(VIPcric_1!F871="","",VIPcric_1!F871)</f>
        <v/>
      </c>
      <c r="G882" t="str">
        <f>IF(VIPcric_1!G871="","",VIPcric_1!G871)</f>
        <v/>
      </c>
      <c r="H882" t="str">
        <f>IF(VIPcric_1!H871="","",VIPcric_1!H871)</f>
        <v/>
      </c>
      <c r="I882" t="str">
        <f>IF(VIPcric_1!M871="","",VIPcric_1!M871)</f>
        <v>CRIC-宜宾-市场监测.商品房市场.项目累计.库存.xlsx</v>
      </c>
    </row>
    <row r="883" spans="1:9">
      <c r="A883" t="str">
        <f>IF(VIPcric_1!A872="","",VIPcric_1!A872)</f>
        <v>2021年</v>
      </c>
      <c r="B883">
        <f>IF(VIPcric_1!B872="","",VIPcric_1!B872)</f>
        <v>0</v>
      </c>
      <c r="C883">
        <f>IF(VIPcric_1!C872="","",VIPcric_1!C872)</f>
        <v>0</v>
      </c>
      <c r="D883">
        <f>IF(VIPcric_1!D872="","",VIPcric_1!D872)</f>
        <v>0</v>
      </c>
      <c r="E883" t="str">
        <f>IF(VIPcric_1!E872="","",VIPcric_1!E872)</f>
        <v/>
      </c>
      <c r="F883" t="str">
        <f>IF(VIPcric_1!F872="","",VIPcric_1!F872)</f>
        <v/>
      </c>
      <c r="G883" t="str">
        <f>IF(VIPcric_1!G872="","",VIPcric_1!G872)</f>
        <v/>
      </c>
      <c r="H883" t="str">
        <f>IF(VIPcric_1!H872="","",VIPcric_1!H872)</f>
        <v/>
      </c>
      <c r="I883" t="str">
        <f>IF(VIPcric_1!M872="","",VIPcric_1!M872)</f>
        <v>CRIC-宜宾-市场监测.商品房市场.项目累计.库存.xlsx</v>
      </c>
    </row>
    <row r="884" spans="1:9">
      <c r="A884" t="str">
        <f>IF(VIPcric_1!A873="","",VIPcric_1!A873)</f>
        <v>2020年</v>
      </c>
      <c r="B884">
        <f>IF(VIPcric_1!B873="","",VIPcric_1!B873)</f>
        <v>0</v>
      </c>
      <c r="C884">
        <f>IF(VIPcric_1!C873="","",VIPcric_1!C873)</f>
        <v>0</v>
      </c>
      <c r="D884">
        <f>IF(VIPcric_1!D873="","",VIPcric_1!D873)</f>
        <v>0</v>
      </c>
      <c r="E884" t="str">
        <f>IF(VIPcric_1!E873="","",VIPcric_1!E873)</f>
        <v/>
      </c>
      <c r="F884" t="str">
        <f>IF(VIPcric_1!F873="","",VIPcric_1!F873)</f>
        <v/>
      </c>
      <c r="G884" t="str">
        <f>IF(VIPcric_1!G873="","",VIPcric_1!G873)</f>
        <v/>
      </c>
      <c r="H884" t="str">
        <f>IF(VIPcric_1!H873="","",VIPcric_1!H873)</f>
        <v/>
      </c>
      <c r="I884" t="str">
        <f>IF(VIPcric_1!M873="","",VIPcric_1!M873)</f>
        <v>CRIC-宜宾-市场监测.商品房市场.项目累计.库存.xlsx</v>
      </c>
    </row>
    <row r="885" spans="1:9">
      <c r="A885" t="str">
        <f>IF(VIPcric_1!A874="","",VIPcric_1!A874)</f>
        <v>2019年</v>
      </c>
      <c r="B885">
        <f>IF(VIPcric_1!B874="","",VIPcric_1!B874)</f>
        <v>835165</v>
      </c>
      <c r="C885">
        <f>IF(VIPcric_1!C874="","",VIPcric_1!C874)</f>
        <v>8008</v>
      </c>
      <c r="D885">
        <f>IF(VIPcric_1!D874="","",VIPcric_1!D874)</f>
        <v>48.7</v>
      </c>
      <c r="E885" t="str">
        <f>IF(VIPcric_1!E874="","",VIPcric_1!E874)</f>
        <v/>
      </c>
      <c r="F885" t="str">
        <f>IF(VIPcric_1!F874="","",VIPcric_1!F874)</f>
        <v/>
      </c>
      <c r="G885" t="str">
        <f>IF(VIPcric_1!G874="","",VIPcric_1!G874)</f>
        <v/>
      </c>
      <c r="H885" t="str">
        <f>IF(VIPcric_1!H874="","",VIPcric_1!H874)</f>
        <v/>
      </c>
      <c r="I885" t="str">
        <f>IF(VIPcric_1!M874="","",VIPcric_1!M874)</f>
        <v>CRIC-宜宾-市场监测.商品房市场.项目累计.库存.xlsx</v>
      </c>
    </row>
    <row r="886" spans="1:9">
      <c r="A886" t="str">
        <f>IF(VIPcric_1!A875="","",VIPcric_1!A875)</f>
        <v/>
      </c>
      <c r="B886" t="str">
        <f>IF(VIPcric_1!B875="","",VIPcric_1!B875)</f>
        <v/>
      </c>
      <c r="C886" t="str">
        <f>IF(VIPcric_1!C875="","",VIPcric_1!C875)</f>
        <v/>
      </c>
      <c r="D886" t="str">
        <f>IF(VIPcric_1!D875="","",VIPcric_1!D875)</f>
        <v/>
      </c>
      <c r="E886" t="str">
        <f>IF(VIPcric_1!E875="","",VIPcric_1!E875)</f>
        <v/>
      </c>
      <c r="F886" t="str">
        <f>IF(VIPcric_1!F875="","",VIPcric_1!F875)</f>
        <v/>
      </c>
      <c r="G886" t="str">
        <f>IF(VIPcric_1!G875="","",VIPcric_1!G875)</f>
        <v/>
      </c>
      <c r="H886" t="str">
        <f>IF(VIPcric_1!H875="","",VIPcric_1!H875)</f>
        <v/>
      </c>
      <c r="I886" t="str">
        <f>IF(VIPcric_1!M875="","",VIPcric_1!M875)</f>
        <v/>
      </c>
    </row>
    <row r="887" spans="1:9">
      <c r="A887" t="str">
        <f>IF(VIPcric_1!A876="","",VIPcric_1!A876)</f>
        <v/>
      </c>
      <c r="B887" t="str">
        <f>IF(VIPcric_1!B876="","",VIPcric_1!B876)</f>
        <v/>
      </c>
      <c r="C887" t="str">
        <f>IF(VIPcric_1!C876="","",VIPcric_1!C876)</f>
        <v/>
      </c>
      <c r="D887" t="str">
        <f>IF(VIPcric_1!D876="","",VIPcric_1!D876)</f>
        <v/>
      </c>
      <c r="E887" t="str">
        <f>IF(VIPcric_1!E876="","",VIPcric_1!E876)</f>
        <v/>
      </c>
      <c r="F887" t="str">
        <f>IF(VIPcric_1!F876="","",VIPcric_1!F876)</f>
        <v/>
      </c>
      <c r="G887" t="str">
        <f>IF(VIPcric_1!G876="","",VIPcric_1!G876)</f>
        <v/>
      </c>
      <c r="H887" t="str">
        <f>IF(VIPcric_1!H876="","",VIPcric_1!H876)</f>
        <v/>
      </c>
      <c r="I887" t="str">
        <f>IF(VIPcric_1!M876="","",VIPcric_1!M876)</f>
        <v>CRIC-宜昌-市场监测.商品房市场.项目累计.供求.xlsx</v>
      </c>
    </row>
    <row r="888" spans="1:9">
      <c r="A888" t="str">
        <f>IF(VIPcric_1!A877="","",VIPcric_1!A877)</f>
        <v>时间(年)</v>
      </c>
      <c r="B888" t="str">
        <f>IF(VIPcric_1!B877="","",VIPcric_1!B877)</f>
        <v>供应面积(㎡)</v>
      </c>
      <c r="C888" t="str">
        <f>IF(VIPcric_1!C877="","",VIPcric_1!C877)</f>
        <v>供应套数(套)</v>
      </c>
      <c r="D888" t="str">
        <f>IF(VIPcric_1!D877="","",VIPcric_1!D877)</f>
        <v>成交面积(㎡)</v>
      </c>
      <c r="E888" t="str">
        <f>IF(VIPcric_1!E877="","",VIPcric_1!E877)</f>
        <v>成交套数(套)</v>
      </c>
      <c r="F888" t="str">
        <f>IF(VIPcric_1!F877="","",VIPcric_1!F877)</f>
        <v>成交均价(元/㎡)</v>
      </c>
      <c r="G888" t="str">
        <f>IF(VIPcric_1!G877="","",VIPcric_1!G877)</f>
        <v>成交金额(元)</v>
      </c>
      <c r="H888" t="str">
        <f>IF(VIPcric_1!H877="","",VIPcric_1!H877)</f>
        <v>供求比</v>
      </c>
      <c r="I888" t="str">
        <f>IF(VIPcric_1!M877="","",VIPcric_1!M877)</f>
        <v>CRIC-宜昌-市场监测.商品房市场.项目累计.供求.xlsx</v>
      </c>
    </row>
    <row r="889" spans="1:9">
      <c r="A889" t="str">
        <f>IF(VIPcric_1!A878="","",VIPcric_1!A878)</f>
        <v>2019年</v>
      </c>
      <c r="B889">
        <f>IF(VIPcric_1!B878="","",VIPcric_1!B878)</f>
        <v>299116</v>
      </c>
      <c r="C889">
        <f>IF(VIPcric_1!C878="","",VIPcric_1!C878)</f>
        <v>2329</v>
      </c>
      <c r="D889">
        <f>IF(VIPcric_1!D878="","",VIPcric_1!D878)</f>
        <v>0</v>
      </c>
      <c r="E889">
        <f>IF(VIPcric_1!E878="","",VIPcric_1!E878)</f>
        <v>0</v>
      </c>
      <c r="F889">
        <f>IF(VIPcric_1!F878="","",VIPcric_1!F878)</f>
        <v>0</v>
      </c>
      <c r="G889">
        <f>IF(VIPcric_1!G878="","",VIPcric_1!G878)</f>
        <v>0</v>
      </c>
      <c r="H889">
        <f>IF(VIPcric_1!H878="","",VIPcric_1!H878)</f>
        <v>0</v>
      </c>
      <c r="I889" t="str">
        <f>IF(VIPcric_1!M878="","",VIPcric_1!M878)</f>
        <v>CRIC-宜昌-市场监测.商品房市场.项目累计.供求.xlsx</v>
      </c>
    </row>
    <row r="890" spans="1:9">
      <c r="A890" t="str">
        <f>IF(VIPcric_1!A879="","",VIPcric_1!A879)</f>
        <v>2018年</v>
      </c>
      <c r="B890">
        <f>IF(VIPcric_1!B879="","",VIPcric_1!B879)</f>
        <v>2198969</v>
      </c>
      <c r="C890">
        <f>IF(VIPcric_1!C879="","",VIPcric_1!C879)</f>
        <v>18216</v>
      </c>
      <c r="D890">
        <f>IF(VIPcric_1!D879="","",VIPcric_1!D879)</f>
        <v>419676</v>
      </c>
      <c r="E890">
        <f>IF(VIPcric_1!E879="","",VIPcric_1!E879)</f>
        <v>3595</v>
      </c>
      <c r="F890">
        <f>IF(VIPcric_1!F879="","",VIPcric_1!F879)</f>
        <v>9233</v>
      </c>
      <c r="G890">
        <f>IF(VIPcric_1!G879="","",VIPcric_1!G879)</f>
        <v>3874762980</v>
      </c>
      <c r="H890">
        <f>IF(VIPcric_1!H879="","",VIPcric_1!H879)</f>
        <v>5.24</v>
      </c>
      <c r="I890" t="str">
        <f>IF(VIPcric_1!M879="","",VIPcric_1!M879)</f>
        <v>CRIC-宜昌-市场监测.商品房市场.项目累计.供求.xlsx</v>
      </c>
    </row>
    <row r="891" spans="1:9">
      <c r="A891" t="str">
        <f>IF(VIPcric_1!A880="","",VIPcric_1!A880)</f>
        <v>2017年</v>
      </c>
      <c r="B891">
        <f>IF(VIPcric_1!B880="","",VIPcric_1!B880)</f>
        <v>2417171</v>
      </c>
      <c r="C891">
        <f>IF(VIPcric_1!C880="","",VIPcric_1!C880)</f>
        <v>21156</v>
      </c>
      <c r="D891">
        <f>IF(VIPcric_1!D880="","",VIPcric_1!D880)</f>
        <v>3352940</v>
      </c>
      <c r="E891">
        <f>IF(VIPcric_1!E880="","",VIPcric_1!E880)</f>
        <v>30734</v>
      </c>
      <c r="F891">
        <f>IF(VIPcric_1!F880="","",VIPcric_1!F880)</f>
        <v>5848</v>
      </c>
      <c r="G891">
        <f>IF(VIPcric_1!G880="","",VIPcric_1!G880)</f>
        <v>19609156969</v>
      </c>
      <c r="H891">
        <f>IF(VIPcric_1!H880="","",VIPcric_1!H880)</f>
        <v>0.72</v>
      </c>
      <c r="I891" t="str">
        <f>IF(VIPcric_1!M880="","",VIPcric_1!M880)</f>
        <v>CRIC-宜昌-市场监测.商品房市场.项目累计.供求.xlsx</v>
      </c>
    </row>
    <row r="892" spans="1:9">
      <c r="A892" t="str">
        <f>IF(VIPcric_1!A881="","",VIPcric_1!A881)</f>
        <v>2016年</v>
      </c>
      <c r="B892">
        <f>IF(VIPcric_1!B881="","",VIPcric_1!B881)</f>
        <v>2702587</v>
      </c>
      <c r="C892">
        <f>IF(VIPcric_1!C881="","",VIPcric_1!C881)</f>
        <v>25607</v>
      </c>
      <c r="D892">
        <f>IF(VIPcric_1!D881="","",VIPcric_1!D881)</f>
        <v>3034540</v>
      </c>
      <c r="E892">
        <f>IF(VIPcric_1!E881="","",VIPcric_1!E881)</f>
        <v>27600</v>
      </c>
      <c r="F892">
        <f>IF(VIPcric_1!F881="","",VIPcric_1!F881)</f>
        <v>5436</v>
      </c>
      <c r="G892">
        <f>IF(VIPcric_1!G881="","",VIPcric_1!G881)</f>
        <v>16495358601</v>
      </c>
      <c r="H892">
        <f>IF(VIPcric_1!H881="","",VIPcric_1!H881)</f>
        <v>0.89</v>
      </c>
      <c r="I892" t="str">
        <f>IF(VIPcric_1!M881="","",VIPcric_1!M881)</f>
        <v>CRIC-宜昌-市场监测.商品房市场.项目累计.供求.xlsx</v>
      </c>
    </row>
    <row r="893" spans="1:9">
      <c r="A893" t="str">
        <f>IF(VIPcric_1!A882="","",VIPcric_1!A882)</f>
        <v>2015年</v>
      </c>
      <c r="B893">
        <f>IF(VIPcric_1!B882="","",VIPcric_1!B882)</f>
        <v>2223699</v>
      </c>
      <c r="C893">
        <f>IF(VIPcric_1!C882="","",VIPcric_1!C882)</f>
        <v>19987</v>
      </c>
      <c r="D893">
        <f>IF(VIPcric_1!D882="","",VIPcric_1!D882)</f>
        <v>2422842</v>
      </c>
      <c r="E893">
        <f>IF(VIPcric_1!E882="","",VIPcric_1!E882)</f>
        <v>22154</v>
      </c>
      <c r="F893">
        <f>IF(VIPcric_1!F882="","",VIPcric_1!F882)</f>
        <v>5295</v>
      </c>
      <c r="G893">
        <f>IF(VIPcric_1!G882="","",VIPcric_1!G882)</f>
        <v>12828313063</v>
      </c>
      <c r="H893">
        <f>IF(VIPcric_1!H882="","",VIPcric_1!H882)</f>
        <v>0.92</v>
      </c>
      <c r="I893" t="str">
        <f>IF(VIPcric_1!M882="","",VIPcric_1!M882)</f>
        <v>CRIC-宜昌-市场监测.商品房市场.项目累计.供求.xlsx</v>
      </c>
    </row>
    <row r="894" spans="1:9">
      <c r="A894" t="str">
        <f>IF(VIPcric_1!A883="","",VIPcric_1!A883)</f>
        <v>2014年</v>
      </c>
      <c r="B894">
        <f>IF(VIPcric_1!B883="","",VIPcric_1!B883)</f>
        <v>2566075</v>
      </c>
      <c r="C894">
        <f>IF(VIPcric_1!C883="","",VIPcric_1!C883)</f>
        <v>22893</v>
      </c>
      <c r="D894">
        <f>IF(VIPcric_1!D883="","",VIPcric_1!D883)</f>
        <v>1370078</v>
      </c>
      <c r="E894">
        <f>IF(VIPcric_1!E883="","",VIPcric_1!E883)</f>
        <v>12438</v>
      </c>
      <c r="F894">
        <f>IF(VIPcric_1!F883="","",VIPcric_1!F883)</f>
        <v>4874</v>
      </c>
      <c r="G894">
        <f>IF(VIPcric_1!G883="","",VIPcric_1!G883)</f>
        <v>6677975640</v>
      </c>
      <c r="H894">
        <f>IF(VIPcric_1!H883="","",VIPcric_1!H883)</f>
        <v>1.87</v>
      </c>
      <c r="I894" t="str">
        <f>IF(VIPcric_1!M883="","",VIPcric_1!M883)</f>
        <v>CRIC-宜昌-市场监测.商品房市场.项目累计.供求.xlsx</v>
      </c>
    </row>
    <row r="895" spans="1:9">
      <c r="A895" t="str">
        <f>IF(VIPcric_1!A884="","",VIPcric_1!A884)</f>
        <v>汇总</v>
      </c>
      <c r="B895">
        <f>IF(VIPcric_1!B884="","",VIPcric_1!B884)</f>
        <v>12407617</v>
      </c>
      <c r="C895">
        <f>IF(VIPcric_1!C884="","",VIPcric_1!C884)</f>
        <v>110188</v>
      </c>
      <c r="D895">
        <f>IF(VIPcric_1!D884="","",VIPcric_1!D884)</f>
        <v>10600075</v>
      </c>
      <c r="E895">
        <f>IF(VIPcric_1!E884="","",VIPcric_1!E884)</f>
        <v>96521</v>
      </c>
      <c r="F895">
        <f>IF(VIPcric_1!F884="","",VIPcric_1!F884)</f>
        <v>5612</v>
      </c>
      <c r="G895">
        <f>IF(VIPcric_1!G884="","",VIPcric_1!G884)</f>
        <v>59485567254</v>
      </c>
      <c r="H895">
        <f>IF(VIPcric_1!H884="","",VIPcric_1!H884)</f>
        <v>1.17</v>
      </c>
      <c r="I895" t="str">
        <f>IF(VIPcric_1!M884="","",VIPcric_1!M884)</f>
        <v>CRIC-宜昌-市场监测.商品房市场.项目累计.供求.xlsx</v>
      </c>
    </row>
    <row r="896" spans="1:9">
      <c r="A896" t="str">
        <f>IF(VIPcric_1!A885="","",VIPcric_1!A885)</f>
        <v/>
      </c>
      <c r="B896" t="str">
        <f>IF(VIPcric_1!B885="","",VIPcric_1!B885)</f>
        <v/>
      </c>
      <c r="C896" t="str">
        <f>IF(VIPcric_1!C885="","",VIPcric_1!C885)</f>
        <v/>
      </c>
      <c r="D896" t="str">
        <f>IF(VIPcric_1!D885="","",VIPcric_1!D885)</f>
        <v/>
      </c>
      <c r="E896" t="str">
        <f>IF(VIPcric_1!E885="","",VIPcric_1!E885)</f>
        <v/>
      </c>
      <c r="F896" t="str">
        <f>IF(VIPcric_1!F885="","",VIPcric_1!F885)</f>
        <v/>
      </c>
      <c r="G896" t="str">
        <f>IF(VIPcric_1!G885="","",VIPcric_1!G885)</f>
        <v/>
      </c>
      <c r="H896" t="str">
        <f>IF(VIPcric_1!H885="","",VIPcric_1!H885)</f>
        <v/>
      </c>
      <c r="I896" t="str">
        <f>IF(VIPcric_1!M885="","",VIPcric_1!M885)</f>
        <v/>
      </c>
    </row>
    <row r="897" spans="1:9">
      <c r="A897" t="str">
        <f>IF(VIPcric_1!A886="","",VIPcric_1!A886)</f>
        <v/>
      </c>
      <c r="B897" t="str">
        <f>IF(VIPcric_1!B886="","",VIPcric_1!B886)</f>
        <v/>
      </c>
      <c r="C897" t="str">
        <f>IF(VIPcric_1!C886="","",VIPcric_1!C886)</f>
        <v/>
      </c>
      <c r="D897" t="str">
        <f>IF(VIPcric_1!D886="","",VIPcric_1!D886)</f>
        <v/>
      </c>
      <c r="E897" t="str">
        <f>IF(VIPcric_1!E886="","",VIPcric_1!E886)</f>
        <v/>
      </c>
      <c r="F897" t="str">
        <f>IF(VIPcric_1!F886="","",VIPcric_1!F886)</f>
        <v/>
      </c>
      <c r="G897" t="str">
        <f>IF(VIPcric_1!G886="","",VIPcric_1!G886)</f>
        <v/>
      </c>
      <c r="H897" t="str">
        <f>IF(VIPcric_1!H886="","",VIPcric_1!H886)</f>
        <v/>
      </c>
      <c r="I897" t="str">
        <f>IF(VIPcric_1!M886="","",VIPcric_1!M886)</f>
        <v>CRIC-宜春-市场监测.商品房市场.项目累计.供求.xlsx</v>
      </c>
    </row>
    <row r="898" spans="1:9">
      <c r="A898" t="str">
        <f>IF(VIPcric_1!A887="","",VIPcric_1!A887)</f>
        <v>时间(年)</v>
      </c>
      <c r="B898" t="str">
        <f>IF(VIPcric_1!B887="","",VIPcric_1!B887)</f>
        <v>供应面积(㎡)</v>
      </c>
      <c r="C898" t="str">
        <f>IF(VIPcric_1!C887="","",VIPcric_1!C887)</f>
        <v>供应套数(套)</v>
      </c>
      <c r="D898" t="str">
        <f>IF(VIPcric_1!D887="","",VIPcric_1!D887)</f>
        <v>成交面积(㎡)</v>
      </c>
      <c r="E898" t="str">
        <f>IF(VIPcric_1!E887="","",VIPcric_1!E887)</f>
        <v>成交套数(套)</v>
      </c>
      <c r="F898" t="str">
        <f>IF(VIPcric_1!F887="","",VIPcric_1!F887)</f>
        <v>成交均价(元/㎡)</v>
      </c>
      <c r="G898" t="str">
        <f>IF(VIPcric_1!G887="","",VIPcric_1!G887)</f>
        <v>成交金额(元)</v>
      </c>
      <c r="H898" t="str">
        <f>IF(VIPcric_1!H887="","",VIPcric_1!H887)</f>
        <v>供求比</v>
      </c>
      <c r="I898" t="str">
        <f>IF(VIPcric_1!M887="","",VIPcric_1!M887)</f>
        <v>CRIC-宜春-市场监测.商品房市场.项目累计.供求.xlsx</v>
      </c>
    </row>
    <row r="899" spans="1:9">
      <c r="A899" t="str">
        <f>IF(VIPcric_1!A888="","",VIPcric_1!A888)</f>
        <v>2024年</v>
      </c>
      <c r="B899">
        <f>IF(VIPcric_1!B888="","",VIPcric_1!B888)</f>
        <v>0</v>
      </c>
      <c r="C899">
        <f>IF(VIPcric_1!C888="","",VIPcric_1!C888)</f>
        <v>0</v>
      </c>
      <c r="D899">
        <f>IF(VIPcric_1!D888="","",VIPcric_1!D888)</f>
        <v>3100</v>
      </c>
      <c r="E899">
        <f>IF(VIPcric_1!E888="","",VIPcric_1!E888)</f>
        <v>40</v>
      </c>
      <c r="F899">
        <f>IF(VIPcric_1!F888="","",VIPcric_1!F888)</f>
        <v>10895</v>
      </c>
      <c r="G899">
        <f>IF(VIPcric_1!G888="","",VIPcric_1!G888)</f>
        <v>33769658</v>
      </c>
      <c r="H899">
        <f>IF(VIPcric_1!H888="","",VIPcric_1!H888)</f>
        <v>0</v>
      </c>
      <c r="I899" t="str">
        <f>IF(VIPcric_1!M888="","",VIPcric_1!M888)</f>
        <v>CRIC-宜春-市场监测.商品房市场.项目累计.供求.xlsx</v>
      </c>
    </row>
    <row r="900" spans="1:9">
      <c r="A900" t="str">
        <f>IF(VIPcric_1!A889="","",VIPcric_1!A889)</f>
        <v>2023年</v>
      </c>
      <c r="B900">
        <f>IF(VIPcric_1!B889="","",VIPcric_1!B889)</f>
        <v>180587</v>
      </c>
      <c r="C900">
        <f>IF(VIPcric_1!C889="","",VIPcric_1!C889)</f>
        <v>1419</v>
      </c>
      <c r="D900">
        <f>IF(VIPcric_1!D889="","",VIPcric_1!D889)</f>
        <v>21865</v>
      </c>
      <c r="E900">
        <f>IF(VIPcric_1!E889="","",VIPcric_1!E889)</f>
        <v>193</v>
      </c>
      <c r="F900">
        <f>IF(VIPcric_1!F889="","",VIPcric_1!F889)</f>
        <v>9347</v>
      </c>
      <c r="G900">
        <f>IF(VIPcric_1!G889="","",VIPcric_1!G889)</f>
        <v>204376034</v>
      </c>
      <c r="H900">
        <f>IF(VIPcric_1!H889="","",VIPcric_1!H889)</f>
        <v>8.26</v>
      </c>
      <c r="I900" t="str">
        <f>IF(VIPcric_1!M889="","",VIPcric_1!M889)</f>
        <v>CRIC-宜春-市场监测.商品房市场.项目累计.供求.xlsx</v>
      </c>
    </row>
    <row r="901" spans="1:9">
      <c r="A901" t="str">
        <f>IF(VIPcric_1!A890="","",VIPcric_1!A890)</f>
        <v>2022年</v>
      </c>
      <c r="B901">
        <f>IF(VIPcric_1!B890="","",VIPcric_1!B890)</f>
        <v>640757</v>
      </c>
      <c r="C901">
        <f>IF(VIPcric_1!C890="","",VIPcric_1!C890)</f>
        <v>5469</v>
      </c>
      <c r="D901">
        <f>IF(VIPcric_1!D890="","",VIPcric_1!D890)</f>
        <v>0</v>
      </c>
      <c r="E901">
        <f>IF(VIPcric_1!E890="","",VIPcric_1!E890)</f>
        <v>0</v>
      </c>
      <c r="F901">
        <f>IF(VIPcric_1!F890="","",VIPcric_1!F890)</f>
        <v>0</v>
      </c>
      <c r="G901">
        <f>IF(VIPcric_1!G890="","",VIPcric_1!G890)</f>
        <v>0</v>
      </c>
      <c r="H901">
        <f>IF(VIPcric_1!H890="","",VIPcric_1!H890)</f>
        <v>0</v>
      </c>
      <c r="I901" t="str">
        <f>IF(VIPcric_1!M890="","",VIPcric_1!M890)</f>
        <v>CRIC-宜春-市场监测.商品房市场.项目累计.供求.xlsx</v>
      </c>
    </row>
    <row r="902" spans="1:9">
      <c r="A902" t="str">
        <f>IF(VIPcric_1!A891="","",VIPcric_1!A891)</f>
        <v>2021年</v>
      </c>
      <c r="B902">
        <f>IF(VIPcric_1!B891="","",VIPcric_1!B891)</f>
        <v>1492667</v>
      </c>
      <c r="C902">
        <f>IF(VIPcric_1!C891="","",VIPcric_1!C891)</f>
        <v>11446</v>
      </c>
      <c r="D902">
        <f>IF(VIPcric_1!D891="","",VIPcric_1!D891)</f>
        <v>0</v>
      </c>
      <c r="E902">
        <f>IF(VIPcric_1!E891="","",VIPcric_1!E891)</f>
        <v>0</v>
      </c>
      <c r="F902">
        <f>IF(VIPcric_1!F891="","",VIPcric_1!F891)</f>
        <v>0</v>
      </c>
      <c r="G902">
        <f>IF(VIPcric_1!G891="","",VIPcric_1!G891)</f>
        <v>0</v>
      </c>
      <c r="H902">
        <f>IF(VIPcric_1!H891="","",VIPcric_1!H891)</f>
        <v>0</v>
      </c>
      <c r="I902" t="str">
        <f>IF(VIPcric_1!M891="","",VIPcric_1!M891)</f>
        <v>CRIC-宜春-市场监测.商品房市场.项目累计.供求.xlsx</v>
      </c>
    </row>
    <row r="903" spans="1:9">
      <c r="A903" t="str">
        <f>IF(VIPcric_1!A892="","",VIPcric_1!A892)</f>
        <v>2020年</v>
      </c>
      <c r="B903">
        <f>IF(VIPcric_1!B892="","",VIPcric_1!B892)</f>
        <v>934955</v>
      </c>
      <c r="C903">
        <f>IF(VIPcric_1!C892="","",VIPcric_1!C892)</f>
        <v>8326</v>
      </c>
      <c r="D903">
        <f>IF(VIPcric_1!D892="","",VIPcric_1!D892)</f>
        <v>28216</v>
      </c>
      <c r="E903">
        <f>IF(VIPcric_1!E892="","",VIPcric_1!E892)</f>
        <v>342</v>
      </c>
      <c r="F903">
        <f>IF(VIPcric_1!F892="","",VIPcric_1!F892)</f>
        <v>6194</v>
      </c>
      <c r="G903">
        <f>IF(VIPcric_1!G892="","",VIPcric_1!G892)</f>
        <v>174762786</v>
      </c>
      <c r="H903">
        <f>IF(VIPcric_1!H892="","",VIPcric_1!H892)</f>
        <v>33.14</v>
      </c>
      <c r="I903" t="str">
        <f>IF(VIPcric_1!M892="","",VIPcric_1!M892)</f>
        <v>CRIC-宜春-市场监测.商品房市场.项目累计.供求.xlsx</v>
      </c>
    </row>
    <row r="904" spans="1:9">
      <c r="A904" t="str">
        <f>IF(VIPcric_1!A893="","",VIPcric_1!A893)</f>
        <v>2019年</v>
      </c>
      <c r="B904">
        <f>IF(VIPcric_1!B893="","",VIPcric_1!B893)</f>
        <v>1873330</v>
      </c>
      <c r="C904">
        <f>IF(VIPcric_1!C893="","",VIPcric_1!C893)</f>
        <v>17891</v>
      </c>
      <c r="D904">
        <f>IF(VIPcric_1!D893="","",VIPcric_1!D893)</f>
        <v>1392537</v>
      </c>
      <c r="E904">
        <f>IF(VIPcric_1!E893="","",VIPcric_1!E893)</f>
        <v>12931</v>
      </c>
      <c r="F904">
        <f>IF(VIPcric_1!F893="","",VIPcric_1!F893)</f>
        <v>6622</v>
      </c>
      <c r="G904">
        <f>IF(VIPcric_1!G893="","",VIPcric_1!G893)</f>
        <v>9221500092</v>
      </c>
      <c r="H904">
        <f>IF(VIPcric_1!H893="","",VIPcric_1!H893)</f>
        <v>1.35</v>
      </c>
      <c r="I904" t="str">
        <f>IF(VIPcric_1!M893="","",VIPcric_1!M893)</f>
        <v>CRIC-宜春-市场监测.商品房市场.项目累计.供求.xlsx</v>
      </c>
    </row>
    <row r="905" spans="1:9">
      <c r="A905" t="str">
        <f>IF(VIPcric_1!A894="","",VIPcric_1!A894)</f>
        <v>汇总</v>
      </c>
      <c r="B905">
        <f>IF(VIPcric_1!B894="","",VIPcric_1!B894)</f>
        <v>5122296</v>
      </c>
      <c r="C905">
        <f>IF(VIPcric_1!C894="","",VIPcric_1!C894)</f>
        <v>44551</v>
      </c>
      <c r="D905">
        <f>IF(VIPcric_1!D894="","",VIPcric_1!D894)</f>
        <v>1445718</v>
      </c>
      <c r="E905">
        <f>IF(VIPcric_1!E894="","",VIPcric_1!E894)</f>
        <v>13506</v>
      </c>
      <c r="F905">
        <f>IF(VIPcric_1!F894="","",VIPcric_1!F894)</f>
        <v>6664</v>
      </c>
      <c r="G905">
        <f>IF(VIPcric_1!G894="","",VIPcric_1!G894)</f>
        <v>9634408569</v>
      </c>
      <c r="H905">
        <f>IF(VIPcric_1!H894="","",VIPcric_1!H894)</f>
        <v>3.54</v>
      </c>
      <c r="I905" t="str">
        <f>IF(VIPcric_1!M894="","",VIPcric_1!M894)</f>
        <v>CRIC-宜春-市场监测.商品房市场.项目累计.供求.xlsx</v>
      </c>
    </row>
    <row r="906" spans="1:9">
      <c r="A906" t="str">
        <f>IF(VIPcric_1!A895="","",VIPcric_1!A895)</f>
        <v/>
      </c>
      <c r="B906" t="str">
        <f>IF(VIPcric_1!B895="","",VIPcric_1!B895)</f>
        <v/>
      </c>
      <c r="C906" t="str">
        <f>IF(VIPcric_1!C895="","",VIPcric_1!C895)</f>
        <v/>
      </c>
      <c r="D906" t="str">
        <f>IF(VIPcric_1!D895="","",VIPcric_1!D895)</f>
        <v/>
      </c>
      <c r="E906" t="str">
        <f>IF(VIPcric_1!E895="","",VIPcric_1!E895)</f>
        <v/>
      </c>
      <c r="F906" t="str">
        <f>IF(VIPcric_1!F895="","",VIPcric_1!F895)</f>
        <v/>
      </c>
      <c r="G906" t="str">
        <f>IF(VIPcric_1!G895="","",VIPcric_1!G895)</f>
        <v/>
      </c>
      <c r="H906" t="str">
        <f>IF(VIPcric_1!H895="","",VIPcric_1!H895)</f>
        <v/>
      </c>
      <c r="I906" t="str">
        <f>IF(VIPcric_1!M895="","",VIPcric_1!M895)</f>
        <v/>
      </c>
    </row>
    <row r="907" spans="1:9">
      <c r="A907" t="str">
        <f>IF(VIPcric_1!A896="","",VIPcric_1!A896)</f>
        <v/>
      </c>
      <c r="B907" t="str">
        <f>IF(VIPcric_1!B896="","",VIPcric_1!B896)</f>
        <v/>
      </c>
      <c r="C907" t="str">
        <f>IF(VIPcric_1!C896="","",VIPcric_1!C896)</f>
        <v/>
      </c>
      <c r="D907" t="str">
        <f>IF(VIPcric_1!D896="","",VIPcric_1!D896)</f>
        <v/>
      </c>
      <c r="E907" t="str">
        <f>IF(VIPcric_1!E896="","",VIPcric_1!E896)</f>
        <v/>
      </c>
      <c r="F907" t="str">
        <f>IF(VIPcric_1!F896="","",VIPcric_1!F896)</f>
        <v/>
      </c>
      <c r="G907" t="str">
        <f>IF(VIPcric_1!G896="","",VIPcric_1!G896)</f>
        <v/>
      </c>
      <c r="H907" t="str">
        <f>IF(VIPcric_1!H896="","",VIPcric_1!H896)</f>
        <v/>
      </c>
      <c r="I907" t="str">
        <f>IF(VIPcric_1!M896="","",VIPcric_1!M896)</f>
        <v>CRIC-宜春-市场监测.商品房市场.项目累计.库存.xlsx</v>
      </c>
    </row>
    <row r="908" spans="1:9">
      <c r="A908" t="str">
        <f>IF(VIPcric_1!A897="","",VIPcric_1!A897)</f>
        <v>时间(年)</v>
      </c>
      <c r="B908" t="str">
        <f>IF(VIPcric_1!B897="","",VIPcric_1!B897)</f>
        <v>库存面积(㎡)</v>
      </c>
      <c r="C908" t="str">
        <f>IF(VIPcric_1!C897="","",VIPcric_1!C897)</f>
        <v>库存套数(套)</v>
      </c>
      <c r="D908" t="str">
        <f>IF(VIPcric_1!D897="","",VIPcric_1!D897)</f>
        <v>去化周期12'(月)</v>
      </c>
      <c r="E908" t="str">
        <f>IF(VIPcric_1!E897="","",VIPcric_1!E897)</f>
        <v/>
      </c>
      <c r="F908" t="str">
        <f>IF(VIPcric_1!F897="","",VIPcric_1!F897)</f>
        <v/>
      </c>
      <c r="G908" t="str">
        <f>IF(VIPcric_1!G897="","",VIPcric_1!G897)</f>
        <v/>
      </c>
      <c r="H908" t="str">
        <f>IF(VIPcric_1!H897="","",VIPcric_1!H897)</f>
        <v/>
      </c>
      <c r="I908" t="str">
        <f>IF(VIPcric_1!M897="","",VIPcric_1!M897)</f>
        <v>CRIC-宜春-市场监测.商品房市场.项目累计.库存.xlsx</v>
      </c>
    </row>
    <row r="909" spans="1:9">
      <c r="A909" t="str">
        <f>IF(VIPcric_1!A898="","",VIPcric_1!A898)</f>
        <v>2023年</v>
      </c>
      <c r="B909">
        <f>IF(VIPcric_1!B898="","",VIPcric_1!B898)</f>
        <v>926171</v>
      </c>
      <c r="C909">
        <f>IF(VIPcric_1!C898="","",VIPcric_1!C898)</f>
        <v>8571</v>
      </c>
      <c r="D909">
        <f>IF(VIPcric_1!D898="","",VIPcric_1!D898)</f>
        <v>508.3</v>
      </c>
      <c r="E909" t="str">
        <f>IF(VIPcric_1!E898="","",VIPcric_1!E898)</f>
        <v/>
      </c>
      <c r="F909" t="str">
        <f>IF(VIPcric_1!F898="","",VIPcric_1!F898)</f>
        <v/>
      </c>
      <c r="G909" t="str">
        <f>IF(VIPcric_1!G898="","",VIPcric_1!G898)</f>
        <v/>
      </c>
      <c r="H909" t="str">
        <f>IF(VIPcric_1!H898="","",VIPcric_1!H898)</f>
        <v/>
      </c>
      <c r="I909" t="str">
        <f>IF(VIPcric_1!M898="","",VIPcric_1!M898)</f>
        <v>CRIC-宜春-市场监测.商品房市场.项目累计.库存.xlsx</v>
      </c>
    </row>
    <row r="910" spans="1:9">
      <c r="A910" t="str">
        <f>IF(VIPcric_1!A899="","",VIPcric_1!A899)</f>
        <v>2022年</v>
      </c>
      <c r="B910">
        <f>IF(VIPcric_1!B899="","",VIPcric_1!B899)</f>
        <v>0</v>
      </c>
      <c r="C910">
        <f>IF(VIPcric_1!C899="","",VIPcric_1!C899)</f>
        <v>0</v>
      </c>
      <c r="D910">
        <f>IF(VIPcric_1!D899="","",VIPcric_1!D899)</f>
        <v>0</v>
      </c>
      <c r="E910" t="str">
        <f>IF(VIPcric_1!E899="","",VIPcric_1!E899)</f>
        <v/>
      </c>
      <c r="F910" t="str">
        <f>IF(VIPcric_1!F899="","",VIPcric_1!F899)</f>
        <v/>
      </c>
      <c r="G910" t="str">
        <f>IF(VIPcric_1!G899="","",VIPcric_1!G899)</f>
        <v/>
      </c>
      <c r="H910" t="str">
        <f>IF(VIPcric_1!H899="","",VIPcric_1!H899)</f>
        <v/>
      </c>
      <c r="I910" t="str">
        <f>IF(VIPcric_1!M899="","",VIPcric_1!M899)</f>
        <v>CRIC-宜春-市场监测.商品房市场.项目累计.库存.xlsx</v>
      </c>
    </row>
    <row r="911" spans="1:9">
      <c r="A911" t="str">
        <f>IF(VIPcric_1!A900="","",VIPcric_1!A900)</f>
        <v>2021年</v>
      </c>
      <c r="B911">
        <f>IF(VIPcric_1!B900="","",VIPcric_1!B900)</f>
        <v>0</v>
      </c>
      <c r="C911">
        <f>IF(VIPcric_1!C900="","",VIPcric_1!C900)</f>
        <v>0</v>
      </c>
      <c r="D911">
        <f>IF(VIPcric_1!D900="","",VIPcric_1!D900)</f>
        <v>0</v>
      </c>
      <c r="E911" t="str">
        <f>IF(VIPcric_1!E900="","",VIPcric_1!E900)</f>
        <v/>
      </c>
      <c r="F911" t="str">
        <f>IF(VIPcric_1!F900="","",VIPcric_1!F900)</f>
        <v/>
      </c>
      <c r="G911" t="str">
        <f>IF(VIPcric_1!G900="","",VIPcric_1!G900)</f>
        <v/>
      </c>
      <c r="H911" t="str">
        <f>IF(VIPcric_1!H900="","",VIPcric_1!H900)</f>
        <v/>
      </c>
      <c r="I911" t="str">
        <f>IF(VIPcric_1!M900="","",VIPcric_1!M900)</f>
        <v>CRIC-宜春-市场监测.商品房市场.项目累计.库存.xlsx</v>
      </c>
    </row>
    <row r="912" spans="1:9">
      <c r="A912" t="str">
        <f>IF(VIPcric_1!A901="","",VIPcric_1!A901)</f>
        <v>2020年</v>
      </c>
      <c r="B912">
        <f>IF(VIPcric_1!B901="","",VIPcric_1!B901)</f>
        <v>0</v>
      </c>
      <c r="C912">
        <f>IF(VIPcric_1!C901="","",VIPcric_1!C901)</f>
        <v>0</v>
      </c>
      <c r="D912">
        <f>IF(VIPcric_1!D901="","",VIPcric_1!D901)</f>
        <v>0</v>
      </c>
      <c r="E912" t="str">
        <f>IF(VIPcric_1!E901="","",VIPcric_1!E901)</f>
        <v/>
      </c>
      <c r="F912" t="str">
        <f>IF(VIPcric_1!F901="","",VIPcric_1!F901)</f>
        <v/>
      </c>
      <c r="G912" t="str">
        <f>IF(VIPcric_1!G901="","",VIPcric_1!G901)</f>
        <v/>
      </c>
      <c r="H912" t="str">
        <f>IF(VIPcric_1!H901="","",VIPcric_1!H901)</f>
        <v/>
      </c>
      <c r="I912" t="str">
        <f>IF(VIPcric_1!M901="","",VIPcric_1!M901)</f>
        <v>CRIC-宜春-市场监测.商品房市场.项目累计.库存.xlsx</v>
      </c>
    </row>
    <row r="913" spans="1:9">
      <c r="A913" t="str">
        <f>IF(VIPcric_1!A902="","",VIPcric_1!A902)</f>
        <v>2019年</v>
      </c>
      <c r="B913">
        <f>IF(VIPcric_1!B902="","",VIPcric_1!B902)</f>
        <v>3597440</v>
      </c>
      <c r="C913">
        <f>IF(VIPcric_1!C902="","",VIPcric_1!C902)</f>
        <v>33216</v>
      </c>
      <c r="D913">
        <f>IF(VIPcric_1!D902="","",VIPcric_1!D902)</f>
        <v>31</v>
      </c>
      <c r="E913" t="str">
        <f>IF(VIPcric_1!E902="","",VIPcric_1!E902)</f>
        <v/>
      </c>
      <c r="F913" t="str">
        <f>IF(VIPcric_1!F902="","",VIPcric_1!F902)</f>
        <v/>
      </c>
      <c r="G913" t="str">
        <f>IF(VIPcric_1!G902="","",VIPcric_1!G902)</f>
        <v/>
      </c>
      <c r="H913" t="str">
        <f>IF(VIPcric_1!H902="","",VIPcric_1!H902)</f>
        <v/>
      </c>
      <c r="I913" t="str">
        <f>IF(VIPcric_1!M902="","",VIPcric_1!M902)</f>
        <v>CRIC-宜春-市场监测.商品房市场.项目累计.库存.xlsx</v>
      </c>
    </row>
    <row r="914" spans="1:9">
      <c r="A914" t="str">
        <f>IF(VIPcric_1!A903="","",VIPcric_1!A903)</f>
        <v/>
      </c>
      <c r="B914" t="str">
        <f>IF(VIPcric_1!B903="","",VIPcric_1!B903)</f>
        <v/>
      </c>
      <c r="C914" t="str">
        <f>IF(VIPcric_1!C903="","",VIPcric_1!C903)</f>
        <v/>
      </c>
      <c r="D914" t="str">
        <f>IF(VIPcric_1!D903="","",VIPcric_1!D903)</f>
        <v/>
      </c>
      <c r="E914" t="str">
        <f>IF(VIPcric_1!E903="","",VIPcric_1!E903)</f>
        <v/>
      </c>
      <c r="F914" t="str">
        <f>IF(VIPcric_1!F903="","",VIPcric_1!F903)</f>
        <v/>
      </c>
      <c r="G914" t="str">
        <f>IF(VIPcric_1!G903="","",VIPcric_1!G903)</f>
        <v/>
      </c>
      <c r="H914" t="str">
        <f>IF(VIPcric_1!H903="","",VIPcric_1!H903)</f>
        <v/>
      </c>
      <c r="I914" t="str">
        <f>IF(VIPcric_1!M903="","",VIPcric_1!M903)</f>
        <v/>
      </c>
    </row>
    <row r="915" spans="1:9">
      <c r="A915" t="str">
        <f>IF(VIPcric_1!A904="","",VIPcric_1!A904)</f>
        <v/>
      </c>
      <c r="B915" t="str">
        <f>IF(VIPcric_1!B904="","",VIPcric_1!B904)</f>
        <v/>
      </c>
      <c r="C915" t="str">
        <f>IF(VIPcric_1!C904="","",VIPcric_1!C904)</f>
        <v/>
      </c>
      <c r="D915" t="str">
        <f>IF(VIPcric_1!D904="","",VIPcric_1!D904)</f>
        <v/>
      </c>
      <c r="E915" t="str">
        <f>IF(VIPcric_1!E904="","",VIPcric_1!E904)</f>
        <v/>
      </c>
      <c r="F915" t="str">
        <f>IF(VIPcric_1!F904="","",VIPcric_1!F904)</f>
        <v/>
      </c>
      <c r="G915" t="str">
        <f>IF(VIPcric_1!G904="","",VIPcric_1!G904)</f>
        <v/>
      </c>
      <c r="H915" t="str">
        <f>IF(VIPcric_1!H904="","",VIPcric_1!H904)</f>
        <v/>
      </c>
      <c r="I915" t="str">
        <f>IF(VIPcric_1!M904="","",VIPcric_1!M904)</f>
        <v>CRIC-宝鸡-市场监测.商品房市场.项目累计.供求.xlsx</v>
      </c>
    </row>
    <row r="916" spans="1:9">
      <c r="A916" t="str">
        <f>IF(VIPcric_1!A905="","",VIPcric_1!A905)</f>
        <v>时间(年)</v>
      </c>
      <c r="B916" t="str">
        <f>IF(VIPcric_1!B905="","",VIPcric_1!B905)</f>
        <v>供应面积(㎡)</v>
      </c>
      <c r="C916" t="str">
        <f>IF(VIPcric_1!C905="","",VIPcric_1!C905)</f>
        <v>供应套数(套)</v>
      </c>
      <c r="D916" t="str">
        <f>IF(VIPcric_1!D905="","",VIPcric_1!D905)</f>
        <v>成交面积(㎡)</v>
      </c>
      <c r="E916" t="str">
        <f>IF(VIPcric_1!E905="","",VIPcric_1!E905)</f>
        <v>成交套数(套)</v>
      </c>
      <c r="F916" t="str">
        <f>IF(VIPcric_1!F905="","",VIPcric_1!F905)</f>
        <v>成交均价(元/㎡)</v>
      </c>
      <c r="G916" t="str">
        <f>IF(VIPcric_1!G905="","",VIPcric_1!G905)</f>
        <v>成交金额(元)</v>
      </c>
      <c r="H916" t="str">
        <f>IF(VIPcric_1!H905="","",VIPcric_1!H905)</f>
        <v>供求比</v>
      </c>
      <c r="I916" t="str">
        <f>IF(VIPcric_1!M905="","",VIPcric_1!M905)</f>
        <v>CRIC-宝鸡-市场监测.商品房市场.项目累计.供求.xlsx</v>
      </c>
    </row>
    <row r="917" spans="1:9">
      <c r="A917" t="str">
        <f>IF(VIPcric_1!A906="","",VIPcric_1!A906)</f>
        <v>2023年</v>
      </c>
      <c r="B917">
        <f>IF(VIPcric_1!B906="","",VIPcric_1!B906)</f>
        <v>5206731</v>
      </c>
      <c r="C917">
        <f>IF(VIPcric_1!C906="","",VIPcric_1!C906)</f>
        <v>51493</v>
      </c>
      <c r="D917">
        <f>IF(VIPcric_1!D906="","",VIPcric_1!D906)</f>
        <v>1091024</v>
      </c>
      <c r="E917">
        <f>IF(VIPcric_1!E906="","",VIPcric_1!E906)</f>
        <v>8656</v>
      </c>
      <c r="F917">
        <f>IF(VIPcric_1!F906="","",VIPcric_1!F906)</f>
        <v>6367</v>
      </c>
      <c r="G917">
        <f>IF(VIPcric_1!G906="","",VIPcric_1!G906)</f>
        <v>6946292398</v>
      </c>
      <c r="H917">
        <f>IF(VIPcric_1!H906="","",VIPcric_1!H906)</f>
        <v>4.7699999999999996</v>
      </c>
      <c r="I917" t="str">
        <f>IF(VIPcric_1!M906="","",VIPcric_1!M906)</f>
        <v>CRIC-宝鸡-市场监测.商品房市场.项目累计.供求.xlsx</v>
      </c>
    </row>
    <row r="918" spans="1:9">
      <c r="A918" t="str">
        <f>IF(VIPcric_1!A907="","",VIPcric_1!A907)</f>
        <v>2022年</v>
      </c>
      <c r="B918">
        <f>IF(VIPcric_1!B907="","",VIPcric_1!B907)</f>
        <v>2316857</v>
      </c>
      <c r="C918">
        <f>IF(VIPcric_1!C907="","",VIPcric_1!C907)</f>
        <v>18802</v>
      </c>
      <c r="D918">
        <f>IF(VIPcric_1!D907="","",VIPcric_1!D907)</f>
        <v>1617888</v>
      </c>
      <c r="E918">
        <f>IF(VIPcric_1!E907="","",VIPcric_1!E907)</f>
        <v>13151</v>
      </c>
      <c r="F918">
        <f>IF(VIPcric_1!F907="","",VIPcric_1!F907)</f>
        <v>6226</v>
      </c>
      <c r="G918">
        <f>IF(VIPcric_1!G907="","",VIPcric_1!G907)</f>
        <v>10073600811</v>
      </c>
      <c r="H918">
        <f>IF(VIPcric_1!H907="","",VIPcric_1!H907)</f>
        <v>1.43</v>
      </c>
      <c r="I918" t="str">
        <f>IF(VIPcric_1!M907="","",VIPcric_1!M907)</f>
        <v>CRIC-宝鸡-市场监测.商品房市场.项目累计.供求.xlsx</v>
      </c>
    </row>
    <row r="919" spans="1:9">
      <c r="A919" t="str">
        <f>IF(VIPcric_1!A908="","",VIPcric_1!A908)</f>
        <v>2021年</v>
      </c>
      <c r="B919">
        <f>IF(VIPcric_1!B908="","",VIPcric_1!B908)</f>
        <v>2899164</v>
      </c>
      <c r="C919">
        <f>IF(VIPcric_1!C908="","",VIPcric_1!C908)</f>
        <v>24492</v>
      </c>
      <c r="D919">
        <f>IF(VIPcric_1!D908="","",VIPcric_1!D908)</f>
        <v>2843175</v>
      </c>
      <c r="E919">
        <f>IF(VIPcric_1!E908="","",VIPcric_1!E908)</f>
        <v>23362</v>
      </c>
      <c r="F919">
        <f>IF(VIPcric_1!F908="","",VIPcric_1!F908)</f>
        <v>6117</v>
      </c>
      <c r="G919">
        <f>IF(VIPcric_1!G908="","",VIPcric_1!G908)</f>
        <v>17390724129</v>
      </c>
      <c r="H919">
        <f>IF(VIPcric_1!H908="","",VIPcric_1!H908)</f>
        <v>1.02</v>
      </c>
      <c r="I919" t="str">
        <f>IF(VIPcric_1!M908="","",VIPcric_1!M908)</f>
        <v>CRIC-宝鸡-市场监测.商品房市场.项目累计.供求.xlsx</v>
      </c>
    </row>
    <row r="920" spans="1:9">
      <c r="A920" t="str">
        <f>IF(VIPcric_1!A909="","",VIPcric_1!A909)</f>
        <v>2020年</v>
      </c>
      <c r="B920">
        <f>IF(VIPcric_1!B909="","",VIPcric_1!B909)</f>
        <v>6258888</v>
      </c>
      <c r="C920">
        <f>IF(VIPcric_1!C909="","",VIPcric_1!C909)</f>
        <v>52769</v>
      </c>
      <c r="D920">
        <f>IF(VIPcric_1!D909="","",VIPcric_1!D909)</f>
        <v>3894331</v>
      </c>
      <c r="E920">
        <f>IF(VIPcric_1!E909="","",VIPcric_1!E909)</f>
        <v>32237</v>
      </c>
      <c r="F920">
        <f>IF(VIPcric_1!F909="","",VIPcric_1!F909)</f>
        <v>5945</v>
      </c>
      <c r="G920">
        <f>IF(VIPcric_1!G909="","",VIPcric_1!G909)</f>
        <v>23151344038</v>
      </c>
      <c r="H920">
        <f>IF(VIPcric_1!H909="","",VIPcric_1!H909)</f>
        <v>1.61</v>
      </c>
      <c r="I920" t="str">
        <f>IF(VIPcric_1!M909="","",VIPcric_1!M909)</f>
        <v>CRIC-宝鸡-市场监测.商品房市场.项目累计.供求.xlsx</v>
      </c>
    </row>
    <row r="921" spans="1:9">
      <c r="A921" t="str">
        <f>IF(VIPcric_1!A910="","",VIPcric_1!A910)</f>
        <v>2019年</v>
      </c>
      <c r="B921">
        <f>IF(VIPcric_1!B910="","",VIPcric_1!B910)</f>
        <v>7507101</v>
      </c>
      <c r="C921">
        <f>IF(VIPcric_1!C910="","",VIPcric_1!C910)</f>
        <v>63071</v>
      </c>
      <c r="D921">
        <f>IF(VIPcric_1!D910="","",VIPcric_1!D910)</f>
        <v>3665023</v>
      </c>
      <c r="E921">
        <f>IF(VIPcric_1!E910="","",VIPcric_1!E910)</f>
        <v>30728</v>
      </c>
      <c r="F921">
        <f>IF(VIPcric_1!F910="","",VIPcric_1!F910)</f>
        <v>5952</v>
      </c>
      <c r="G921">
        <f>IF(VIPcric_1!G910="","",VIPcric_1!G910)</f>
        <v>21813959062</v>
      </c>
      <c r="H921">
        <f>IF(VIPcric_1!H910="","",VIPcric_1!H910)</f>
        <v>2.0499999999999998</v>
      </c>
      <c r="I921" t="str">
        <f>IF(VIPcric_1!M910="","",VIPcric_1!M910)</f>
        <v>CRIC-宝鸡-市场监测.商品房市场.项目累计.供求.xlsx</v>
      </c>
    </row>
    <row r="922" spans="1:9">
      <c r="A922" t="str">
        <f>IF(VIPcric_1!A911="","",VIPcric_1!A911)</f>
        <v>汇总</v>
      </c>
      <c r="B922">
        <f>IF(VIPcric_1!B911="","",VIPcric_1!B911)</f>
        <v>24188741</v>
      </c>
      <c r="C922">
        <f>IF(VIPcric_1!C911="","",VIPcric_1!C911)</f>
        <v>210627</v>
      </c>
      <c r="D922">
        <f>IF(VIPcric_1!D911="","",VIPcric_1!D911)</f>
        <v>13111442</v>
      </c>
      <c r="E922">
        <f>IF(VIPcric_1!E911="","",VIPcric_1!E911)</f>
        <v>108134</v>
      </c>
      <c r="F922">
        <f>IF(VIPcric_1!F911="","",VIPcric_1!F911)</f>
        <v>6054</v>
      </c>
      <c r="G922">
        <f>IF(VIPcric_1!G911="","",VIPcric_1!G911)</f>
        <v>79375920439</v>
      </c>
      <c r="H922">
        <f>IF(VIPcric_1!H911="","",VIPcric_1!H911)</f>
        <v>1.84</v>
      </c>
      <c r="I922" t="str">
        <f>IF(VIPcric_1!M911="","",VIPcric_1!M911)</f>
        <v>CRIC-宝鸡-市场监测.商品房市场.项目累计.供求.xlsx</v>
      </c>
    </row>
    <row r="923" spans="1:9">
      <c r="A923" t="str">
        <f>IF(VIPcric_1!A912="","",VIPcric_1!A912)</f>
        <v/>
      </c>
      <c r="B923" t="str">
        <f>IF(VIPcric_1!B912="","",VIPcric_1!B912)</f>
        <v/>
      </c>
      <c r="C923" t="str">
        <f>IF(VIPcric_1!C912="","",VIPcric_1!C912)</f>
        <v/>
      </c>
      <c r="D923" t="str">
        <f>IF(VIPcric_1!D912="","",VIPcric_1!D912)</f>
        <v/>
      </c>
      <c r="E923" t="str">
        <f>IF(VIPcric_1!E912="","",VIPcric_1!E912)</f>
        <v/>
      </c>
      <c r="F923" t="str">
        <f>IF(VIPcric_1!F912="","",VIPcric_1!F912)</f>
        <v/>
      </c>
      <c r="G923" t="str">
        <f>IF(VIPcric_1!G912="","",VIPcric_1!G912)</f>
        <v/>
      </c>
      <c r="H923" t="str">
        <f>IF(VIPcric_1!H912="","",VIPcric_1!H912)</f>
        <v/>
      </c>
      <c r="I923" t="str">
        <f>IF(VIPcric_1!M912="","",VIPcric_1!M912)</f>
        <v/>
      </c>
    </row>
    <row r="924" spans="1:9">
      <c r="A924" t="str">
        <f>IF(VIPcric_1!A913="","",VIPcric_1!A913)</f>
        <v/>
      </c>
      <c r="B924" t="str">
        <f>IF(VIPcric_1!B913="","",VIPcric_1!B913)</f>
        <v/>
      </c>
      <c r="C924" t="str">
        <f>IF(VIPcric_1!C913="","",VIPcric_1!C913)</f>
        <v/>
      </c>
      <c r="D924" t="str">
        <f>IF(VIPcric_1!D913="","",VIPcric_1!D913)</f>
        <v/>
      </c>
      <c r="E924" t="str">
        <f>IF(VIPcric_1!E913="","",VIPcric_1!E913)</f>
        <v/>
      </c>
      <c r="F924" t="str">
        <f>IF(VIPcric_1!F913="","",VIPcric_1!F913)</f>
        <v/>
      </c>
      <c r="G924" t="str">
        <f>IF(VIPcric_1!G913="","",VIPcric_1!G913)</f>
        <v/>
      </c>
      <c r="H924" t="str">
        <f>IF(VIPcric_1!H913="","",VIPcric_1!H913)</f>
        <v/>
      </c>
      <c r="I924" t="str">
        <f>IF(VIPcric_1!M913="","",VIPcric_1!M913)</f>
        <v>CRIC-宝鸡-市场监测.商品房市场.项目累计.库存.xlsx</v>
      </c>
    </row>
    <row r="925" spans="1:9">
      <c r="A925" t="str">
        <f>IF(VIPcric_1!A914="","",VIPcric_1!A914)</f>
        <v>时间(年)</v>
      </c>
      <c r="B925" t="str">
        <f>IF(VIPcric_1!B914="","",VIPcric_1!B914)</f>
        <v>库存面积(㎡)</v>
      </c>
      <c r="C925" t="str">
        <f>IF(VIPcric_1!C914="","",VIPcric_1!C914)</f>
        <v>库存套数(套)</v>
      </c>
      <c r="D925" t="str">
        <f>IF(VIPcric_1!D914="","",VIPcric_1!D914)</f>
        <v>去化周期12'(月)</v>
      </c>
      <c r="E925" t="str">
        <f>IF(VIPcric_1!E914="","",VIPcric_1!E914)</f>
        <v>去化周期24'(月)</v>
      </c>
      <c r="F925" t="str">
        <f>IF(VIPcric_1!F914="","",VIPcric_1!F914)</f>
        <v/>
      </c>
      <c r="G925" t="str">
        <f>IF(VIPcric_1!G914="","",VIPcric_1!G914)</f>
        <v/>
      </c>
      <c r="H925" t="str">
        <f>IF(VIPcric_1!H914="","",VIPcric_1!H914)</f>
        <v/>
      </c>
      <c r="I925" t="str">
        <f>IF(VIPcric_1!M914="","",VIPcric_1!M914)</f>
        <v>CRIC-宝鸡-市场监测.商品房市场.项目累计.库存.xlsx</v>
      </c>
    </row>
    <row r="926" spans="1:9">
      <c r="A926" t="str">
        <f>IF(VIPcric_1!A915="","",VIPcric_1!A915)</f>
        <v>2024年</v>
      </c>
      <c r="B926">
        <f>IF(VIPcric_1!B915="","",VIPcric_1!B915)</f>
        <v>13402544</v>
      </c>
      <c r="C926">
        <f>IF(VIPcric_1!C915="","",VIPcric_1!C915)</f>
        <v>122131</v>
      </c>
      <c r="D926">
        <f>IF(VIPcric_1!D915="","",VIPcric_1!D915)</f>
        <v>153.6</v>
      </c>
      <c r="E926">
        <f>IF(VIPcric_1!E915="","",VIPcric_1!E915)</f>
        <v>124.1</v>
      </c>
      <c r="F926" t="str">
        <f>IF(VIPcric_1!F915="","",VIPcric_1!F915)</f>
        <v/>
      </c>
      <c r="G926" t="str">
        <f>IF(VIPcric_1!G915="","",VIPcric_1!G915)</f>
        <v/>
      </c>
      <c r="H926" t="str">
        <f>IF(VIPcric_1!H915="","",VIPcric_1!H915)</f>
        <v/>
      </c>
      <c r="I926" t="str">
        <f>IF(VIPcric_1!M915="","",VIPcric_1!M915)</f>
        <v>CRIC-宝鸡-市场监测.商品房市场.项目累计.库存.xlsx</v>
      </c>
    </row>
    <row r="927" spans="1:9">
      <c r="A927" t="str">
        <f>IF(VIPcric_1!A916="","",VIPcric_1!A916)</f>
        <v>2023年</v>
      </c>
      <c r="B927">
        <f>IF(VIPcric_1!B916="","",VIPcric_1!B916)</f>
        <v>12590064</v>
      </c>
      <c r="C927">
        <f>IF(VIPcric_1!C916="","",VIPcric_1!C916)</f>
        <v>115119</v>
      </c>
      <c r="D927">
        <f>IF(VIPcric_1!D916="","",VIPcric_1!D916)</f>
        <v>138.5</v>
      </c>
      <c r="E927">
        <f>IF(VIPcric_1!E916="","",VIPcric_1!E916)</f>
        <v>111.5</v>
      </c>
      <c r="F927" t="str">
        <f>IF(VIPcric_1!F916="","",VIPcric_1!F916)</f>
        <v/>
      </c>
      <c r="G927" t="str">
        <f>IF(VIPcric_1!G916="","",VIPcric_1!G916)</f>
        <v/>
      </c>
      <c r="H927" t="str">
        <f>IF(VIPcric_1!H916="","",VIPcric_1!H916)</f>
        <v/>
      </c>
      <c r="I927" t="str">
        <f>IF(VIPcric_1!M916="","",VIPcric_1!M916)</f>
        <v>CRIC-宝鸡-市场监测.商品房市场.项目累计.库存.xlsx</v>
      </c>
    </row>
    <row r="928" spans="1:9">
      <c r="A928" t="str">
        <f>IF(VIPcric_1!A917="","",VIPcric_1!A917)</f>
        <v>2022年</v>
      </c>
      <c r="B928">
        <f>IF(VIPcric_1!B917="","",VIPcric_1!B917)</f>
        <v>8280835</v>
      </c>
      <c r="C928">
        <f>IF(VIPcric_1!C917="","",VIPcric_1!C917)</f>
        <v>70911</v>
      </c>
      <c r="D928">
        <f>IF(VIPcric_1!D917="","",VIPcric_1!D917)</f>
        <v>61.4</v>
      </c>
      <c r="E928">
        <f>IF(VIPcric_1!E917="","",VIPcric_1!E917)</f>
        <v>44.5</v>
      </c>
      <c r="F928" t="str">
        <f>IF(VIPcric_1!F917="","",VIPcric_1!F917)</f>
        <v/>
      </c>
      <c r="G928" t="str">
        <f>IF(VIPcric_1!G917="","",VIPcric_1!G917)</f>
        <v/>
      </c>
      <c r="H928" t="str">
        <f>IF(VIPcric_1!H917="","",VIPcric_1!H917)</f>
        <v/>
      </c>
      <c r="I928" t="str">
        <f>IF(VIPcric_1!M917="","",VIPcric_1!M917)</f>
        <v>CRIC-宝鸡-市场监测.商品房市场.项目累计.库存.xlsx</v>
      </c>
    </row>
    <row r="929" spans="1:9">
      <c r="A929" t="str">
        <f>IF(VIPcric_1!A918="","",VIPcric_1!A918)</f>
        <v>2021年</v>
      </c>
      <c r="B929">
        <f>IF(VIPcric_1!B918="","",VIPcric_1!B918)</f>
        <v>8104916</v>
      </c>
      <c r="C929">
        <f>IF(VIPcric_1!C918="","",VIPcric_1!C918)</f>
        <v>68440</v>
      </c>
      <c r="D929">
        <f>IF(VIPcric_1!D918="","",VIPcric_1!D918)</f>
        <v>34.200000000000003</v>
      </c>
      <c r="E929">
        <f>IF(VIPcric_1!E918="","",VIPcric_1!E918)</f>
        <v>28.9</v>
      </c>
      <c r="F929" t="str">
        <f>IF(VIPcric_1!F918="","",VIPcric_1!F918)</f>
        <v/>
      </c>
      <c r="G929" t="str">
        <f>IF(VIPcric_1!G918="","",VIPcric_1!G918)</f>
        <v/>
      </c>
      <c r="H929" t="str">
        <f>IF(VIPcric_1!H918="","",VIPcric_1!H918)</f>
        <v/>
      </c>
      <c r="I929" t="str">
        <f>IF(VIPcric_1!M918="","",VIPcric_1!M918)</f>
        <v>CRIC-宝鸡-市场监测.商品房市场.项目累计.库存.xlsx</v>
      </c>
    </row>
    <row r="930" spans="1:9">
      <c r="A930" t="str">
        <f>IF(VIPcric_1!A919="","",VIPcric_1!A919)</f>
        <v>2020年</v>
      </c>
      <c r="B930">
        <f>IF(VIPcric_1!B919="","",VIPcric_1!B919)</f>
        <v>8178125</v>
      </c>
      <c r="C930">
        <f>IF(VIPcric_1!C919="","",VIPcric_1!C919)</f>
        <v>69193</v>
      </c>
      <c r="D930">
        <f>IF(VIPcric_1!D919="","",VIPcric_1!D919)</f>
        <v>25.2</v>
      </c>
      <c r="E930">
        <f>IF(VIPcric_1!E919="","",VIPcric_1!E919)</f>
        <v>26</v>
      </c>
      <c r="F930" t="str">
        <f>IF(VIPcric_1!F919="","",VIPcric_1!F919)</f>
        <v/>
      </c>
      <c r="G930" t="str">
        <f>IF(VIPcric_1!G919="","",VIPcric_1!G919)</f>
        <v/>
      </c>
      <c r="H930" t="str">
        <f>IF(VIPcric_1!H919="","",VIPcric_1!H919)</f>
        <v/>
      </c>
      <c r="I930" t="str">
        <f>IF(VIPcric_1!M919="","",VIPcric_1!M919)</f>
        <v>CRIC-宝鸡-市场监测.商品房市场.项目累计.库存.xlsx</v>
      </c>
    </row>
    <row r="931" spans="1:9">
      <c r="A931" t="str">
        <f>IF(VIPcric_1!A920="","",VIPcric_1!A920)</f>
        <v>2019年</v>
      </c>
      <c r="B931">
        <f>IF(VIPcric_1!B920="","",VIPcric_1!B920)</f>
        <v>7851806</v>
      </c>
      <c r="C931">
        <f>IF(VIPcric_1!C920="","",VIPcric_1!C920)</f>
        <v>66425</v>
      </c>
      <c r="D931">
        <f>IF(VIPcric_1!D920="","",VIPcric_1!D920)</f>
        <v>25.7</v>
      </c>
      <c r="E931">
        <f>IF(VIPcric_1!E920="","",VIPcric_1!E920)</f>
        <v>40.4</v>
      </c>
      <c r="F931" t="str">
        <f>IF(VIPcric_1!F920="","",VIPcric_1!F920)</f>
        <v/>
      </c>
      <c r="G931" t="str">
        <f>IF(VIPcric_1!G920="","",VIPcric_1!G920)</f>
        <v/>
      </c>
      <c r="H931" t="str">
        <f>IF(VIPcric_1!H920="","",VIPcric_1!H920)</f>
        <v/>
      </c>
      <c r="I931" t="str">
        <f>IF(VIPcric_1!M920="","",VIPcric_1!M920)</f>
        <v>CRIC-宝鸡-市场监测.商品房市场.项目累计.库存.xlsx</v>
      </c>
    </row>
    <row r="932" spans="1:9">
      <c r="A932" t="str">
        <f>IF(VIPcric_1!A921="","",VIPcric_1!A921)</f>
        <v/>
      </c>
      <c r="B932" t="str">
        <f>IF(VIPcric_1!B921="","",VIPcric_1!B921)</f>
        <v/>
      </c>
      <c r="C932" t="str">
        <f>IF(VIPcric_1!C921="","",VIPcric_1!C921)</f>
        <v/>
      </c>
      <c r="D932" t="str">
        <f>IF(VIPcric_1!D921="","",VIPcric_1!D921)</f>
        <v/>
      </c>
      <c r="E932" t="str">
        <f>IF(VIPcric_1!E921="","",VIPcric_1!E921)</f>
        <v/>
      </c>
      <c r="F932" t="str">
        <f>IF(VIPcric_1!F921="","",VIPcric_1!F921)</f>
        <v/>
      </c>
      <c r="G932" t="str">
        <f>IF(VIPcric_1!G921="","",VIPcric_1!G921)</f>
        <v/>
      </c>
      <c r="H932" t="str">
        <f>IF(VIPcric_1!H921="","",VIPcric_1!H921)</f>
        <v/>
      </c>
      <c r="I932" t="str">
        <f>IF(VIPcric_1!M921="","",VIPcric_1!M921)</f>
        <v/>
      </c>
    </row>
    <row r="933" spans="1:9">
      <c r="A933" t="str">
        <f>IF(VIPcric_1!A922="","",VIPcric_1!A922)</f>
        <v/>
      </c>
      <c r="B933" t="str">
        <f>IF(VIPcric_1!B922="","",VIPcric_1!B922)</f>
        <v/>
      </c>
      <c r="C933" t="str">
        <f>IF(VIPcric_1!C922="","",VIPcric_1!C922)</f>
        <v/>
      </c>
      <c r="D933" t="str">
        <f>IF(VIPcric_1!D922="","",VIPcric_1!D922)</f>
        <v/>
      </c>
      <c r="E933" t="str">
        <f>IF(VIPcric_1!E922="","",VIPcric_1!E922)</f>
        <v/>
      </c>
      <c r="F933" t="str">
        <f>IF(VIPcric_1!F922="","",VIPcric_1!F922)</f>
        <v/>
      </c>
      <c r="G933" t="str">
        <f>IF(VIPcric_1!G922="","",VIPcric_1!G922)</f>
        <v/>
      </c>
      <c r="H933" t="str">
        <f>IF(VIPcric_1!H922="","",VIPcric_1!H922)</f>
        <v/>
      </c>
      <c r="I933" t="str">
        <f>IF(VIPcric_1!M922="","",VIPcric_1!M922)</f>
        <v>CRIC-宿州-市场监测.商品房市场.项目累计.供求.xlsx</v>
      </c>
    </row>
    <row r="934" spans="1:9">
      <c r="A934" t="str">
        <f>IF(VIPcric_1!A923="","",VIPcric_1!A923)</f>
        <v>时间(年)</v>
      </c>
      <c r="B934" t="str">
        <f>IF(VIPcric_1!B923="","",VIPcric_1!B923)</f>
        <v>供应面积(㎡)</v>
      </c>
      <c r="C934" t="str">
        <f>IF(VIPcric_1!C923="","",VIPcric_1!C923)</f>
        <v>供应套数(套)</v>
      </c>
      <c r="D934" t="str">
        <f>IF(VIPcric_1!D923="","",VIPcric_1!D923)</f>
        <v>成交面积(㎡)</v>
      </c>
      <c r="E934" t="str">
        <f>IF(VIPcric_1!E923="","",VIPcric_1!E923)</f>
        <v>成交套数(套)</v>
      </c>
      <c r="F934" t="str">
        <f>IF(VIPcric_1!F923="","",VIPcric_1!F923)</f>
        <v>成交均价(元/㎡)</v>
      </c>
      <c r="G934" t="str">
        <f>IF(VIPcric_1!G923="","",VIPcric_1!G923)</f>
        <v>成交金额(元)</v>
      </c>
      <c r="H934" t="str">
        <f>IF(VIPcric_1!H923="","",VIPcric_1!H923)</f>
        <v>供求比</v>
      </c>
      <c r="I934" t="str">
        <f>IF(VIPcric_1!M923="","",VIPcric_1!M923)</f>
        <v>CRIC-宿州-市场监测.商品房市场.项目累计.供求.xlsx</v>
      </c>
    </row>
    <row r="935" spans="1:9">
      <c r="A935" t="str">
        <f>IF(VIPcric_1!A924="","",VIPcric_1!A924)</f>
        <v>2020年</v>
      </c>
      <c r="B935">
        <f>IF(VIPcric_1!B924="","",VIPcric_1!B924)</f>
        <v>1009205</v>
      </c>
      <c r="C935">
        <f>IF(VIPcric_1!C924="","",VIPcric_1!C924)</f>
        <v>8876</v>
      </c>
      <c r="D935">
        <f>IF(VIPcric_1!D924="","",VIPcric_1!D924)</f>
        <v>942463</v>
      </c>
      <c r="E935">
        <f>IF(VIPcric_1!E924="","",VIPcric_1!E924)</f>
        <v>8180</v>
      </c>
      <c r="F935">
        <f>IF(VIPcric_1!F924="","",VIPcric_1!F924)</f>
        <v>7260</v>
      </c>
      <c r="G935">
        <f>IF(VIPcric_1!G924="","",VIPcric_1!G924)</f>
        <v>6841857652</v>
      </c>
      <c r="H935">
        <f>IF(VIPcric_1!H924="","",VIPcric_1!H924)</f>
        <v>1.07</v>
      </c>
      <c r="I935" t="str">
        <f>IF(VIPcric_1!M924="","",VIPcric_1!M924)</f>
        <v>CRIC-宿州-市场监测.商品房市场.项目累计.供求.xlsx</v>
      </c>
    </row>
    <row r="936" spans="1:9">
      <c r="A936" t="str">
        <f>IF(VIPcric_1!A925="","",VIPcric_1!A925)</f>
        <v>2019年</v>
      </c>
      <c r="B936">
        <f>IF(VIPcric_1!B925="","",VIPcric_1!B925)</f>
        <v>1502243</v>
      </c>
      <c r="C936">
        <f>IF(VIPcric_1!C925="","",VIPcric_1!C925)</f>
        <v>13078</v>
      </c>
      <c r="D936">
        <f>IF(VIPcric_1!D925="","",VIPcric_1!D925)</f>
        <v>2211095</v>
      </c>
      <c r="E936">
        <f>IF(VIPcric_1!E925="","",VIPcric_1!E925)</f>
        <v>19188</v>
      </c>
      <c r="F936">
        <f>IF(VIPcric_1!F925="","",VIPcric_1!F925)</f>
        <v>7377</v>
      </c>
      <c r="G936">
        <f>IF(VIPcric_1!G925="","",VIPcric_1!G925)</f>
        <v>16311472785</v>
      </c>
      <c r="H936">
        <f>IF(VIPcric_1!H925="","",VIPcric_1!H925)</f>
        <v>0.68</v>
      </c>
      <c r="I936" t="str">
        <f>IF(VIPcric_1!M925="","",VIPcric_1!M925)</f>
        <v>CRIC-宿州-市场监测.商品房市场.项目累计.供求.xlsx</v>
      </c>
    </row>
    <row r="937" spans="1:9">
      <c r="A937" t="str">
        <f>IF(VIPcric_1!A926="","",VIPcric_1!A926)</f>
        <v>2018年</v>
      </c>
      <c r="B937">
        <f>IF(VIPcric_1!B926="","",VIPcric_1!B926)</f>
        <v>1050127</v>
      </c>
      <c r="C937">
        <f>IF(VIPcric_1!C926="","",VIPcric_1!C926)</f>
        <v>9365</v>
      </c>
      <c r="D937">
        <f>IF(VIPcric_1!D926="","",VIPcric_1!D926)</f>
        <v>865945</v>
      </c>
      <c r="E937">
        <f>IF(VIPcric_1!E926="","",VIPcric_1!E926)</f>
        <v>7642</v>
      </c>
      <c r="F937">
        <f>IF(VIPcric_1!F926="","",VIPcric_1!F926)</f>
        <v>7267</v>
      </c>
      <c r="G937">
        <f>IF(VIPcric_1!G926="","",VIPcric_1!G926)</f>
        <v>6292437854</v>
      </c>
      <c r="H937">
        <f>IF(VIPcric_1!H926="","",VIPcric_1!H926)</f>
        <v>1.21</v>
      </c>
      <c r="I937" t="str">
        <f>IF(VIPcric_1!M926="","",VIPcric_1!M926)</f>
        <v>CRIC-宿州-市场监测.商品房市场.项目累计.供求.xlsx</v>
      </c>
    </row>
    <row r="938" spans="1:9">
      <c r="A938" t="str">
        <f>IF(VIPcric_1!A927="","",VIPcric_1!A927)</f>
        <v>汇总</v>
      </c>
      <c r="B938">
        <f>IF(VIPcric_1!B927="","",VIPcric_1!B927)</f>
        <v>3561575</v>
      </c>
      <c r="C938">
        <f>IF(VIPcric_1!C927="","",VIPcric_1!C927)</f>
        <v>31319</v>
      </c>
      <c r="D938">
        <f>IF(VIPcric_1!D927="","",VIPcric_1!D927)</f>
        <v>4019502</v>
      </c>
      <c r="E938">
        <f>IF(VIPcric_1!E927="","",VIPcric_1!E927)</f>
        <v>35010</v>
      </c>
      <c r="F938">
        <f>IF(VIPcric_1!F927="","",VIPcric_1!F927)</f>
        <v>7326</v>
      </c>
      <c r="G938">
        <f>IF(VIPcric_1!G927="","",VIPcric_1!G927)</f>
        <v>29445768291</v>
      </c>
      <c r="H938">
        <f>IF(VIPcric_1!H927="","",VIPcric_1!H927)</f>
        <v>0.89</v>
      </c>
      <c r="I938" t="str">
        <f>IF(VIPcric_1!M927="","",VIPcric_1!M927)</f>
        <v>CRIC-宿州-市场监测.商品房市场.项目累计.供求.xlsx</v>
      </c>
    </row>
    <row r="939" spans="1:9">
      <c r="A939" t="str">
        <f>IF(VIPcric_1!A928="","",VIPcric_1!A928)</f>
        <v/>
      </c>
      <c r="B939" t="str">
        <f>IF(VIPcric_1!B928="","",VIPcric_1!B928)</f>
        <v/>
      </c>
      <c r="C939" t="str">
        <f>IF(VIPcric_1!C928="","",VIPcric_1!C928)</f>
        <v/>
      </c>
      <c r="D939" t="str">
        <f>IF(VIPcric_1!D928="","",VIPcric_1!D928)</f>
        <v/>
      </c>
      <c r="E939" t="str">
        <f>IF(VIPcric_1!E928="","",VIPcric_1!E928)</f>
        <v/>
      </c>
      <c r="F939" t="str">
        <f>IF(VIPcric_1!F928="","",VIPcric_1!F928)</f>
        <v/>
      </c>
      <c r="G939" t="str">
        <f>IF(VIPcric_1!G928="","",VIPcric_1!G928)</f>
        <v/>
      </c>
      <c r="H939" t="str">
        <f>IF(VIPcric_1!H928="","",VIPcric_1!H928)</f>
        <v/>
      </c>
      <c r="I939" t="str">
        <f>IF(VIPcric_1!M928="","",VIPcric_1!M928)</f>
        <v/>
      </c>
    </row>
    <row r="940" spans="1:9">
      <c r="A940" t="str">
        <f>IF(VIPcric_1!A929="","",VIPcric_1!A929)</f>
        <v/>
      </c>
      <c r="B940" t="str">
        <f>IF(VIPcric_1!B929="","",VIPcric_1!B929)</f>
        <v/>
      </c>
      <c r="C940" t="str">
        <f>IF(VIPcric_1!C929="","",VIPcric_1!C929)</f>
        <v/>
      </c>
      <c r="D940" t="str">
        <f>IF(VIPcric_1!D929="","",VIPcric_1!D929)</f>
        <v/>
      </c>
      <c r="E940" t="str">
        <f>IF(VIPcric_1!E929="","",VIPcric_1!E929)</f>
        <v/>
      </c>
      <c r="F940" t="str">
        <f>IF(VIPcric_1!F929="","",VIPcric_1!F929)</f>
        <v/>
      </c>
      <c r="G940" t="str">
        <f>IF(VIPcric_1!G929="","",VIPcric_1!G929)</f>
        <v/>
      </c>
      <c r="H940" t="str">
        <f>IF(VIPcric_1!H929="","",VIPcric_1!H929)</f>
        <v/>
      </c>
      <c r="I940" t="str">
        <f>IF(VIPcric_1!M929="","",VIPcric_1!M929)</f>
        <v>CRIC-宿州-市场监测.商品房市场.项目累计.库存.xlsx</v>
      </c>
    </row>
    <row r="941" spans="1:9">
      <c r="A941" t="str">
        <f>IF(VIPcric_1!A930="","",VIPcric_1!A930)</f>
        <v>时间(年)</v>
      </c>
      <c r="B941" t="str">
        <f>IF(VIPcric_1!B930="","",VIPcric_1!B930)</f>
        <v>库存面积(㎡)</v>
      </c>
      <c r="C941" t="str">
        <f>IF(VIPcric_1!C930="","",VIPcric_1!C930)</f>
        <v>库存套数(套)</v>
      </c>
      <c r="D941" t="str">
        <f>IF(VIPcric_1!D930="","",VIPcric_1!D930)</f>
        <v>去化周期12'(月)</v>
      </c>
      <c r="E941" t="str">
        <f>IF(VIPcric_1!E930="","",VIPcric_1!E930)</f>
        <v>去化周期24'(月)</v>
      </c>
      <c r="F941" t="str">
        <f>IF(VIPcric_1!F930="","",VIPcric_1!F930)</f>
        <v/>
      </c>
      <c r="G941" t="str">
        <f>IF(VIPcric_1!G930="","",VIPcric_1!G930)</f>
        <v/>
      </c>
      <c r="H941" t="str">
        <f>IF(VIPcric_1!H930="","",VIPcric_1!H930)</f>
        <v/>
      </c>
      <c r="I941" t="str">
        <f>IF(VIPcric_1!M930="","",VIPcric_1!M930)</f>
        <v>CRIC-宿州-市场监测.商品房市场.项目累计.库存.xlsx</v>
      </c>
    </row>
    <row r="942" spans="1:9">
      <c r="A942" t="str">
        <f>IF(VIPcric_1!A931="","",VIPcric_1!A931)</f>
        <v>2020年</v>
      </c>
      <c r="B942">
        <f>IF(VIPcric_1!B931="","",VIPcric_1!B931)</f>
        <v>84873</v>
      </c>
      <c r="C942">
        <f>IF(VIPcric_1!C931="","",VIPcric_1!C931)</f>
        <v>945</v>
      </c>
      <c r="D942">
        <f>IF(VIPcric_1!D931="","",VIPcric_1!D931)</f>
        <v>0</v>
      </c>
      <c r="E942">
        <f>IF(VIPcric_1!E931="","",VIPcric_1!E931)</f>
        <v>0</v>
      </c>
      <c r="F942" t="str">
        <f>IF(VIPcric_1!F931="","",VIPcric_1!F931)</f>
        <v/>
      </c>
      <c r="G942" t="str">
        <f>IF(VIPcric_1!G931="","",VIPcric_1!G931)</f>
        <v/>
      </c>
      <c r="H942" t="str">
        <f>IF(VIPcric_1!H931="","",VIPcric_1!H931)</f>
        <v/>
      </c>
      <c r="I942" t="str">
        <f>IF(VIPcric_1!M931="","",VIPcric_1!M931)</f>
        <v>CRIC-宿州-市场监测.商品房市场.项目累计.库存.xlsx</v>
      </c>
    </row>
    <row r="943" spans="1:9">
      <c r="A943" t="str">
        <f>IF(VIPcric_1!A932="","",VIPcric_1!A932)</f>
        <v>2019年</v>
      </c>
      <c r="B943">
        <f>IF(VIPcric_1!B932="","",VIPcric_1!B932)</f>
        <v>10490</v>
      </c>
      <c r="C943">
        <f>IF(VIPcric_1!C932="","",VIPcric_1!C932)</f>
        <v>88</v>
      </c>
      <c r="D943">
        <f>IF(VIPcric_1!D932="","",VIPcric_1!D932)</f>
        <v>0</v>
      </c>
      <c r="E943">
        <f>IF(VIPcric_1!E932="","",VIPcric_1!E932)</f>
        <v>0</v>
      </c>
      <c r="F943" t="str">
        <f>IF(VIPcric_1!F932="","",VIPcric_1!F932)</f>
        <v/>
      </c>
      <c r="G943" t="str">
        <f>IF(VIPcric_1!G932="","",VIPcric_1!G932)</f>
        <v/>
      </c>
      <c r="H943" t="str">
        <f>IF(VIPcric_1!H932="","",VIPcric_1!H932)</f>
        <v/>
      </c>
      <c r="I943" t="str">
        <f>IF(VIPcric_1!M932="","",VIPcric_1!M932)</f>
        <v>CRIC-宿州-市场监测.商品房市场.项目累计.库存.xlsx</v>
      </c>
    </row>
    <row r="944" spans="1:9">
      <c r="A944" t="str">
        <f>IF(VIPcric_1!A933="","",VIPcric_1!A933)</f>
        <v>2018年</v>
      </c>
      <c r="B944">
        <f>IF(VIPcric_1!B933="","",VIPcric_1!B933)</f>
        <v>3625</v>
      </c>
      <c r="C944">
        <f>IF(VIPcric_1!C933="","",VIPcric_1!C933)</f>
        <v>30</v>
      </c>
      <c r="D944">
        <f>IF(VIPcric_1!D933="","",VIPcric_1!D933)</f>
        <v>0</v>
      </c>
      <c r="E944">
        <f>IF(VIPcric_1!E933="","",VIPcric_1!E933)</f>
        <v>0</v>
      </c>
      <c r="F944" t="str">
        <f>IF(VIPcric_1!F933="","",VIPcric_1!F933)</f>
        <v/>
      </c>
      <c r="G944" t="str">
        <f>IF(VIPcric_1!G933="","",VIPcric_1!G933)</f>
        <v/>
      </c>
      <c r="H944" t="str">
        <f>IF(VIPcric_1!H933="","",VIPcric_1!H933)</f>
        <v/>
      </c>
      <c r="I944" t="str">
        <f>IF(VIPcric_1!M933="","",VIPcric_1!M933)</f>
        <v>CRIC-宿州-市场监测.商品房市场.项目累计.库存.xlsx</v>
      </c>
    </row>
    <row r="945" spans="1:9">
      <c r="A945" t="str">
        <f>IF(VIPcric_1!A934="","",VIPcric_1!A934)</f>
        <v/>
      </c>
      <c r="B945" t="str">
        <f>IF(VIPcric_1!B934="","",VIPcric_1!B934)</f>
        <v/>
      </c>
      <c r="C945" t="str">
        <f>IF(VIPcric_1!C934="","",VIPcric_1!C934)</f>
        <v/>
      </c>
      <c r="D945" t="str">
        <f>IF(VIPcric_1!D934="","",VIPcric_1!D934)</f>
        <v/>
      </c>
      <c r="E945" t="str">
        <f>IF(VIPcric_1!E934="","",VIPcric_1!E934)</f>
        <v/>
      </c>
      <c r="F945" t="str">
        <f>IF(VIPcric_1!F934="","",VIPcric_1!F934)</f>
        <v/>
      </c>
      <c r="G945" t="str">
        <f>IF(VIPcric_1!G934="","",VIPcric_1!G934)</f>
        <v/>
      </c>
      <c r="H945" t="str">
        <f>IF(VIPcric_1!H934="","",VIPcric_1!H934)</f>
        <v/>
      </c>
      <c r="I945" t="str">
        <f>IF(VIPcric_1!M934="","",VIPcric_1!M934)</f>
        <v/>
      </c>
    </row>
    <row r="946" spans="1:9">
      <c r="A946" t="str">
        <f>IF(VIPcric_1!A935="","",VIPcric_1!A935)</f>
        <v/>
      </c>
      <c r="B946" t="str">
        <f>IF(VIPcric_1!B935="","",VIPcric_1!B935)</f>
        <v/>
      </c>
      <c r="C946" t="str">
        <f>IF(VIPcric_1!C935="","",VIPcric_1!C935)</f>
        <v/>
      </c>
      <c r="D946" t="str">
        <f>IF(VIPcric_1!D935="","",VIPcric_1!D935)</f>
        <v/>
      </c>
      <c r="E946" t="str">
        <f>IF(VIPcric_1!E935="","",VIPcric_1!E935)</f>
        <v/>
      </c>
      <c r="F946" t="str">
        <f>IF(VIPcric_1!F935="","",VIPcric_1!F935)</f>
        <v/>
      </c>
      <c r="G946" t="str">
        <f>IF(VIPcric_1!G935="","",VIPcric_1!G935)</f>
        <v/>
      </c>
      <c r="H946" t="str">
        <f>IF(VIPcric_1!H935="","",VIPcric_1!H935)</f>
        <v/>
      </c>
      <c r="I946" t="str">
        <f>IF(VIPcric_1!M935="","",VIPcric_1!M935)</f>
        <v>CRIC-屯昌-市场监测.商品房市场.项目累计.供求.xlsx</v>
      </c>
    </row>
    <row r="947" spans="1:9">
      <c r="A947" t="str">
        <f>IF(VIPcric_1!A936="","",VIPcric_1!A936)</f>
        <v>时间(年)</v>
      </c>
      <c r="B947" t="str">
        <f>IF(VIPcric_1!B936="","",VIPcric_1!B936)</f>
        <v>供应面积(㎡)</v>
      </c>
      <c r="C947" t="str">
        <f>IF(VIPcric_1!C936="","",VIPcric_1!C936)</f>
        <v>供应套数(套)</v>
      </c>
      <c r="D947" t="str">
        <f>IF(VIPcric_1!D936="","",VIPcric_1!D936)</f>
        <v>成交面积(㎡)</v>
      </c>
      <c r="E947" t="str">
        <f>IF(VIPcric_1!E936="","",VIPcric_1!E936)</f>
        <v>成交套数(套)</v>
      </c>
      <c r="F947" t="str">
        <f>IF(VIPcric_1!F936="","",VIPcric_1!F936)</f>
        <v>成交均价(元/㎡)</v>
      </c>
      <c r="G947" t="str">
        <f>IF(VIPcric_1!G936="","",VIPcric_1!G936)</f>
        <v>成交金额(元)</v>
      </c>
      <c r="H947" t="str">
        <f>IF(VIPcric_1!H936="","",VIPcric_1!H936)</f>
        <v>供求比</v>
      </c>
      <c r="I947" t="str">
        <f>IF(VIPcric_1!M936="","",VIPcric_1!M936)</f>
        <v>CRIC-屯昌-市场监测.商品房市场.项目累计.供求.xlsx</v>
      </c>
    </row>
    <row r="948" spans="1:9">
      <c r="A948" t="str">
        <f>IF(VIPcric_1!A937="","",VIPcric_1!A937)</f>
        <v>2024年</v>
      </c>
      <c r="B948">
        <f>IF(VIPcric_1!B937="","",VIPcric_1!B937)</f>
        <v>30631</v>
      </c>
      <c r="C948">
        <f>IF(VIPcric_1!C937="","",VIPcric_1!C937)</f>
        <v>278</v>
      </c>
      <c r="D948">
        <f>IF(VIPcric_1!D937="","",VIPcric_1!D937)</f>
        <v>3243</v>
      </c>
      <c r="E948">
        <f>IF(VIPcric_1!E937="","",VIPcric_1!E937)</f>
        <v>49</v>
      </c>
      <c r="F948">
        <f>IF(VIPcric_1!F937="","",VIPcric_1!F937)</f>
        <v>7721</v>
      </c>
      <c r="G948">
        <f>IF(VIPcric_1!G937="","",VIPcric_1!G937)</f>
        <v>25035849</v>
      </c>
      <c r="H948">
        <f>IF(VIPcric_1!H937="","",VIPcric_1!H937)</f>
        <v>9.4499999999999993</v>
      </c>
      <c r="I948" t="str">
        <f>IF(VIPcric_1!M937="","",VIPcric_1!M937)</f>
        <v>CRIC-屯昌-市场监测.商品房市场.项目累计.供求.xlsx</v>
      </c>
    </row>
    <row r="949" spans="1:9">
      <c r="A949" t="str">
        <f>IF(VIPcric_1!A938="","",VIPcric_1!A938)</f>
        <v>2023年</v>
      </c>
      <c r="B949">
        <f>IF(VIPcric_1!B938="","",VIPcric_1!B938)</f>
        <v>42532</v>
      </c>
      <c r="C949">
        <f>IF(VIPcric_1!C938="","",VIPcric_1!C938)</f>
        <v>426</v>
      </c>
      <c r="D949">
        <f>IF(VIPcric_1!D938="","",VIPcric_1!D938)</f>
        <v>43359</v>
      </c>
      <c r="E949">
        <f>IF(VIPcric_1!E938="","",VIPcric_1!E938)</f>
        <v>507</v>
      </c>
      <c r="F949">
        <f>IF(VIPcric_1!F938="","",VIPcric_1!F938)</f>
        <v>8395</v>
      </c>
      <c r="G949">
        <f>IF(VIPcric_1!G938="","",VIPcric_1!G938)</f>
        <v>363982302</v>
      </c>
      <c r="H949">
        <f>IF(VIPcric_1!H938="","",VIPcric_1!H938)</f>
        <v>0.98</v>
      </c>
      <c r="I949" t="str">
        <f>IF(VIPcric_1!M938="","",VIPcric_1!M938)</f>
        <v>CRIC-屯昌-市场监测.商品房市场.项目累计.供求.xlsx</v>
      </c>
    </row>
    <row r="950" spans="1:9">
      <c r="A950" t="str">
        <f>IF(VIPcric_1!A939="","",VIPcric_1!A939)</f>
        <v>2022年</v>
      </c>
      <c r="B950">
        <f>IF(VIPcric_1!B939="","",VIPcric_1!B939)</f>
        <v>32835</v>
      </c>
      <c r="C950">
        <f>IF(VIPcric_1!C939="","",VIPcric_1!C939)</f>
        <v>331</v>
      </c>
      <c r="D950">
        <f>IF(VIPcric_1!D939="","",VIPcric_1!D939)</f>
        <v>44002</v>
      </c>
      <c r="E950">
        <f>IF(VIPcric_1!E939="","",VIPcric_1!E939)</f>
        <v>602</v>
      </c>
      <c r="F950">
        <f>IF(VIPcric_1!F939="","",VIPcric_1!F939)</f>
        <v>8894</v>
      </c>
      <c r="G950">
        <f>IF(VIPcric_1!G939="","",VIPcric_1!G939)</f>
        <v>391369119</v>
      </c>
      <c r="H950">
        <f>IF(VIPcric_1!H939="","",VIPcric_1!H939)</f>
        <v>0.75</v>
      </c>
      <c r="I950" t="str">
        <f>IF(VIPcric_1!M939="","",VIPcric_1!M939)</f>
        <v>CRIC-屯昌-市场监测.商品房市场.项目累计.供求.xlsx</v>
      </c>
    </row>
    <row r="951" spans="1:9">
      <c r="A951" t="str">
        <f>IF(VIPcric_1!A940="","",VIPcric_1!A940)</f>
        <v>2021年</v>
      </c>
      <c r="B951">
        <f>IF(VIPcric_1!B940="","",VIPcric_1!B940)</f>
        <v>22378</v>
      </c>
      <c r="C951">
        <f>IF(VIPcric_1!C940="","",VIPcric_1!C940)</f>
        <v>406</v>
      </c>
      <c r="D951">
        <f>IF(VIPcric_1!D940="","",VIPcric_1!D940)</f>
        <v>4557</v>
      </c>
      <c r="E951">
        <f>IF(VIPcric_1!E940="","",VIPcric_1!E940)</f>
        <v>64</v>
      </c>
      <c r="F951">
        <f>IF(VIPcric_1!F940="","",VIPcric_1!F940)</f>
        <v>8456</v>
      </c>
      <c r="G951">
        <f>IF(VIPcric_1!G940="","",VIPcric_1!G940)</f>
        <v>38533141</v>
      </c>
      <c r="H951">
        <f>IF(VIPcric_1!H940="","",VIPcric_1!H940)</f>
        <v>4.91</v>
      </c>
      <c r="I951" t="str">
        <f>IF(VIPcric_1!M940="","",VIPcric_1!M940)</f>
        <v>CRIC-屯昌-市场监测.商品房市场.项目累计.供求.xlsx</v>
      </c>
    </row>
    <row r="952" spans="1:9">
      <c r="A952" t="str">
        <f>IF(VIPcric_1!A941="","",VIPcric_1!A941)</f>
        <v>汇总</v>
      </c>
      <c r="B952">
        <f>IF(VIPcric_1!B941="","",VIPcric_1!B941)</f>
        <v>128376</v>
      </c>
      <c r="C952">
        <f>IF(VIPcric_1!C941="","",VIPcric_1!C941)</f>
        <v>1441</v>
      </c>
      <c r="D952">
        <f>IF(VIPcric_1!D941="","",VIPcric_1!D941)</f>
        <v>95160</v>
      </c>
      <c r="E952">
        <f>IF(VIPcric_1!E941="","",VIPcric_1!E941)</f>
        <v>1222</v>
      </c>
      <c r="F952">
        <f>IF(VIPcric_1!F941="","",VIPcric_1!F941)</f>
        <v>8606</v>
      </c>
      <c r="G952">
        <f>IF(VIPcric_1!G941="","",VIPcric_1!G941)</f>
        <v>818920411</v>
      </c>
      <c r="H952">
        <f>IF(VIPcric_1!H941="","",VIPcric_1!H941)</f>
        <v>1.35</v>
      </c>
      <c r="I952" t="str">
        <f>IF(VIPcric_1!M941="","",VIPcric_1!M941)</f>
        <v>CRIC-屯昌-市场监测.商品房市场.项目累计.供求.xlsx</v>
      </c>
    </row>
    <row r="953" spans="1:9">
      <c r="A953" t="str">
        <f>IF(VIPcric_1!A942="","",VIPcric_1!A942)</f>
        <v/>
      </c>
      <c r="B953" t="str">
        <f>IF(VIPcric_1!B942="","",VIPcric_1!B942)</f>
        <v/>
      </c>
      <c r="C953" t="str">
        <f>IF(VIPcric_1!C942="","",VIPcric_1!C942)</f>
        <v/>
      </c>
      <c r="D953" t="str">
        <f>IF(VIPcric_1!D942="","",VIPcric_1!D942)</f>
        <v/>
      </c>
      <c r="E953" t="str">
        <f>IF(VIPcric_1!E942="","",VIPcric_1!E942)</f>
        <v/>
      </c>
      <c r="F953" t="str">
        <f>IF(VIPcric_1!F942="","",VIPcric_1!F942)</f>
        <v/>
      </c>
      <c r="G953" t="str">
        <f>IF(VIPcric_1!G942="","",VIPcric_1!G942)</f>
        <v/>
      </c>
      <c r="H953" t="str">
        <f>IF(VIPcric_1!H942="","",VIPcric_1!H942)</f>
        <v/>
      </c>
      <c r="I953" t="str">
        <f>IF(VIPcric_1!M942="","",VIPcric_1!M942)</f>
        <v/>
      </c>
    </row>
    <row r="954" spans="1:9">
      <c r="A954" t="str">
        <f>IF(VIPcric_1!A943="","",VIPcric_1!A943)</f>
        <v/>
      </c>
      <c r="B954" t="str">
        <f>IF(VIPcric_1!B943="","",VIPcric_1!B943)</f>
        <v/>
      </c>
      <c r="C954" t="str">
        <f>IF(VIPcric_1!C943="","",VIPcric_1!C943)</f>
        <v/>
      </c>
      <c r="D954" t="str">
        <f>IF(VIPcric_1!D943="","",VIPcric_1!D943)</f>
        <v/>
      </c>
      <c r="E954" t="str">
        <f>IF(VIPcric_1!E943="","",VIPcric_1!E943)</f>
        <v/>
      </c>
      <c r="F954" t="str">
        <f>IF(VIPcric_1!F943="","",VIPcric_1!F943)</f>
        <v/>
      </c>
      <c r="G954" t="str">
        <f>IF(VIPcric_1!G943="","",VIPcric_1!G943)</f>
        <v/>
      </c>
      <c r="H954" t="str">
        <f>IF(VIPcric_1!H943="","",VIPcric_1!H943)</f>
        <v/>
      </c>
      <c r="I954" t="str">
        <f>IF(VIPcric_1!M943="","",VIPcric_1!M943)</f>
        <v>CRIC-屯昌-市场监测.商品房市场.项目累计.库存.xlsx</v>
      </c>
    </row>
    <row r="955" spans="1:9">
      <c r="A955" t="str">
        <f>IF(VIPcric_1!A944="","",VIPcric_1!A944)</f>
        <v>时间(年)</v>
      </c>
      <c r="B955" t="str">
        <f>IF(VIPcric_1!B944="","",VIPcric_1!B944)</f>
        <v>库存面积(㎡)</v>
      </c>
      <c r="C955" t="str">
        <f>IF(VIPcric_1!C944="","",VIPcric_1!C944)</f>
        <v>库存套数(套)</v>
      </c>
      <c r="D955" t="str">
        <f>IF(VIPcric_1!D944="","",VIPcric_1!D944)</f>
        <v>去化周期12'(月)</v>
      </c>
      <c r="E955" t="str">
        <f>IF(VIPcric_1!E944="","",VIPcric_1!E944)</f>
        <v>去化周期24'(月)</v>
      </c>
      <c r="F955" t="str">
        <f>IF(VIPcric_1!F944="","",VIPcric_1!F944)</f>
        <v/>
      </c>
      <c r="G955" t="str">
        <f>IF(VIPcric_1!G944="","",VIPcric_1!G944)</f>
        <v/>
      </c>
      <c r="H955" t="str">
        <f>IF(VIPcric_1!H944="","",VIPcric_1!H944)</f>
        <v/>
      </c>
      <c r="I955" t="str">
        <f>IF(VIPcric_1!M944="","",VIPcric_1!M944)</f>
        <v>CRIC-屯昌-市场监测.商品房市场.项目累计.库存.xlsx</v>
      </c>
    </row>
    <row r="956" spans="1:9">
      <c r="A956" t="str">
        <f>IF(VIPcric_1!A945="","",VIPcric_1!A945)</f>
        <v>2024年</v>
      </c>
      <c r="B956">
        <f>IF(VIPcric_1!B945="","",VIPcric_1!B945)</f>
        <v>300167</v>
      </c>
      <c r="C956">
        <f>IF(VIPcric_1!C945="","",VIPcric_1!C945)</f>
        <v>3767</v>
      </c>
      <c r="D956">
        <f>IF(VIPcric_1!D945="","",VIPcric_1!D945)</f>
        <v>79.599999999999994</v>
      </c>
      <c r="E956">
        <f>IF(VIPcric_1!E945="","",VIPcric_1!E945)</f>
        <v>82.9</v>
      </c>
      <c r="F956" t="str">
        <f>IF(VIPcric_1!F945="","",VIPcric_1!F945)</f>
        <v/>
      </c>
      <c r="G956" t="str">
        <f>IF(VIPcric_1!G945="","",VIPcric_1!G945)</f>
        <v/>
      </c>
      <c r="H956" t="str">
        <f>IF(VIPcric_1!H945="","",VIPcric_1!H945)</f>
        <v/>
      </c>
      <c r="I956" t="str">
        <f>IF(VIPcric_1!M945="","",VIPcric_1!M945)</f>
        <v>CRIC-屯昌-市场监测.商品房市场.项目累计.库存.xlsx</v>
      </c>
    </row>
    <row r="957" spans="1:9">
      <c r="A957" t="str">
        <f>IF(VIPcric_1!A946="","",VIPcric_1!A946)</f>
        <v>2023年</v>
      </c>
      <c r="B957">
        <f>IF(VIPcric_1!B946="","",VIPcric_1!B946)</f>
        <v>272991</v>
      </c>
      <c r="C957">
        <f>IF(VIPcric_1!C946="","",VIPcric_1!C946)</f>
        <v>3541</v>
      </c>
      <c r="D957">
        <f>IF(VIPcric_1!D946="","",VIPcric_1!D946)</f>
        <v>75.599999999999994</v>
      </c>
      <c r="E957">
        <f>IF(VIPcric_1!E946="","",VIPcric_1!E946)</f>
        <v>75</v>
      </c>
      <c r="F957" t="str">
        <f>IF(VIPcric_1!F946="","",VIPcric_1!F946)</f>
        <v/>
      </c>
      <c r="G957" t="str">
        <f>IF(VIPcric_1!G946="","",VIPcric_1!G946)</f>
        <v/>
      </c>
      <c r="H957" t="str">
        <f>IF(VIPcric_1!H946="","",VIPcric_1!H946)</f>
        <v/>
      </c>
      <c r="I957" t="str">
        <f>IF(VIPcric_1!M946="","",VIPcric_1!M946)</f>
        <v>CRIC-屯昌-市场监测.商品房市场.项目累计.库存.xlsx</v>
      </c>
    </row>
    <row r="958" spans="1:9">
      <c r="A958" t="str">
        <f>IF(VIPcric_1!A947="","",VIPcric_1!A947)</f>
        <v>2022年</v>
      </c>
      <c r="B958">
        <f>IF(VIPcric_1!B947="","",VIPcric_1!B947)</f>
        <v>271539</v>
      </c>
      <c r="C958">
        <f>IF(VIPcric_1!C947="","",VIPcric_1!C947)</f>
        <v>3586</v>
      </c>
      <c r="D958">
        <f>IF(VIPcric_1!D947="","",VIPcric_1!D947)</f>
        <v>74.099999999999994</v>
      </c>
      <c r="E958">
        <f>IF(VIPcric_1!E947="","",VIPcric_1!E947)</f>
        <v>134.19999999999999</v>
      </c>
      <c r="F958" t="str">
        <f>IF(VIPcric_1!F947="","",VIPcric_1!F947)</f>
        <v/>
      </c>
      <c r="G958" t="str">
        <f>IF(VIPcric_1!G947="","",VIPcric_1!G947)</f>
        <v/>
      </c>
      <c r="H958" t="str">
        <f>IF(VIPcric_1!H947="","",VIPcric_1!H947)</f>
        <v/>
      </c>
      <c r="I958" t="str">
        <f>IF(VIPcric_1!M947="","",VIPcric_1!M947)</f>
        <v>CRIC-屯昌-市场监测.商品房市场.项目累计.库存.xlsx</v>
      </c>
    </row>
    <row r="959" spans="1:9">
      <c r="A959" t="str">
        <f>IF(VIPcric_1!A948="","",VIPcric_1!A948)</f>
        <v>2021年</v>
      </c>
      <c r="B959">
        <f>IF(VIPcric_1!B948="","",VIPcric_1!B948)</f>
        <v>316928</v>
      </c>
      <c r="C959">
        <f>IF(VIPcric_1!C948="","",VIPcric_1!C948)</f>
        <v>4458</v>
      </c>
      <c r="D959">
        <f>IF(VIPcric_1!D948="","",VIPcric_1!D948)</f>
        <v>834.6</v>
      </c>
      <c r="E959">
        <f>IF(VIPcric_1!E948="","",VIPcric_1!E948)</f>
        <v>1669.3</v>
      </c>
      <c r="F959" t="str">
        <f>IF(VIPcric_1!F948="","",VIPcric_1!F948)</f>
        <v/>
      </c>
      <c r="G959" t="str">
        <f>IF(VIPcric_1!G948="","",VIPcric_1!G948)</f>
        <v/>
      </c>
      <c r="H959" t="str">
        <f>IF(VIPcric_1!H948="","",VIPcric_1!H948)</f>
        <v/>
      </c>
      <c r="I959" t="str">
        <f>IF(VIPcric_1!M948="","",VIPcric_1!M948)</f>
        <v>CRIC-屯昌-市场监测.商品房市场.项目累计.库存.xlsx</v>
      </c>
    </row>
    <row r="960" spans="1:9">
      <c r="A960" t="str">
        <f>IF(VIPcric_1!A949="","",VIPcric_1!A949)</f>
        <v/>
      </c>
      <c r="B960" t="str">
        <f>IF(VIPcric_1!B949="","",VIPcric_1!B949)</f>
        <v/>
      </c>
      <c r="C960" t="str">
        <f>IF(VIPcric_1!C949="","",VIPcric_1!C949)</f>
        <v/>
      </c>
      <c r="D960" t="str">
        <f>IF(VIPcric_1!D949="","",VIPcric_1!D949)</f>
        <v/>
      </c>
      <c r="E960" t="str">
        <f>IF(VIPcric_1!E949="","",VIPcric_1!E949)</f>
        <v/>
      </c>
      <c r="F960" t="str">
        <f>IF(VIPcric_1!F949="","",VIPcric_1!F949)</f>
        <v/>
      </c>
      <c r="G960" t="str">
        <f>IF(VIPcric_1!G949="","",VIPcric_1!G949)</f>
        <v/>
      </c>
      <c r="H960" t="str">
        <f>IF(VIPcric_1!H949="","",VIPcric_1!H949)</f>
        <v/>
      </c>
      <c r="I960" t="str">
        <f>IF(VIPcric_1!M949="","",VIPcric_1!M949)</f>
        <v/>
      </c>
    </row>
    <row r="961" spans="1:9">
      <c r="A961" t="str">
        <f>IF(VIPcric_1!A950="","",VIPcric_1!A950)</f>
        <v/>
      </c>
      <c r="B961" t="str">
        <f>IF(VIPcric_1!B950="","",VIPcric_1!B950)</f>
        <v/>
      </c>
      <c r="C961" t="str">
        <f>IF(VIPcric_1!C950="","",VIPcric_1!C950)</f>
        <v/>
      </c>
      <c r="D961" t="str">
        <f>IF(VIPcric_1!D950="","",VIPcric_1!D950)</f>
        <v/>
      </c>
      <c r="E961" t="str">
        <f>IF(VIPcric_1!E950="","",VIPcric_1!E950)</f>
        <v/>
      </c>
      <c r="F961" t="str">
        <f>IF(VIPcric_1!F950="","",VIPcric_1!F950)</f>
        <v/>
      </c>
      <c r="G961" t="str">
        <f>IF(VIPcric_1!G950="","",VIPcric_1!G950)</f>
        <v/>
      </c>
      <c r="H961" t="str">
        <f>IF(VIPcric_1!H950="","",VIPcric_1!H950)</f>
        <v/>
      </c>
      <c r="I961" t="str">
        <f>IF(VIPcric_1!M950="","",VIPcric_1!M950)</f>
        <v>CRIC-岳阳-市场监测.商品房市场.项目累计.供求.xlsx</v>
      </c>
    </row>
    <row r="962" spans="1:9">
      <c r="A962" t="str">
        <f>IF(VIPcric_1!A951="","",VIPcric_1!A951)</f>
        <v>时间(年)</v>
      </c>
      <c r="B962" t="str">
        <f>IF(VIPcric_1!B951="","",VIPcric_1!B951)</f>
        <v>供应面积(㎡)</v>
      </c>
      <c r="C962" t="str">
        <f>IF(VIPcric_1!C951="","",VIPcric_1!C951)</f>
        <v>供应套数(套)</v>
      </c>
      <c r="D962" t="str">
        <f>IF(VIPcric_1!D951="","",VIPcric_1!D951)</f>
        <v>成交面积(㎡)</v>
      </c>
      <c r="E962" t="str">
        <f>IF(VIPcric_1!E951="","",VIPcric_1!E951)</f>
        <v>成交套数(套)</v>
      </c>
      <c r="F962" t="str">
        <f>IF(VIPcric_1!F951="","",VIPcric_1!F951)</f>
        <v>成交均价(元/㎡)</v>
      </c>
      <c r="G962" t="str">
        <f>IF(VIPcric_1!G951="","",VIPcric_1!G951)</f>
        <v>成交金额(元)</v>
      </c>
      <c r="H962" t="str">
        <f>IF(VIPcric_1!H951="","",VIPcric_1!H951)</f>
        <v>供求比</v>
      </c>
      <c r="I962" t="str">
        <f>IF(VIPcric_1!M951="","",VIPcric_1!M951)</f>
        <v>CRIC-岳阳-市场监测.商品房市场.项目累计.供求.xlsx</v>
      </c>
    </row>
    <row r="963" spans="1:9">
      <c r="A963" t="str">
        <f>IF(VIPcric_1!A952="","",VIPcric_1!A952)</f>
        <v>2024年</v>
      </c>
      <c r="B963">
        <f>IF(VIPcric_1!B952="","",VIPcric_1!B952)</f>
        <v>28759</v>
      </c>
      <c r="C963">
        <f>IF(VIPcric_1!C952="","",VIPcric_1!C952)</f>
        <v>240</v>
      </c>
      <c r="D963">
        <f>IF(VIPcric_1!D952="","",VIPcric_1!D952)</f>
        <v>29414</v>
      </c>
      <c r="E963">
        <f>IF(VIPcric_1!E952="","",VIPcric_1!E952)</f>
        <v>223</v>
      </c>
      <c r="F963">
        <f>IF(VIPcric_1!F952="","",VIPcric_1!F952)</f>
        <v>7007</v>
      </c>
      <c r="G963">
        <f>IF(VIPcric_1!G952="","",VIPcric_1!G952)</f>
        <v>206096711</v>
      </c>
      <c r="H963">
        <f>IF(VIPcric_1!H952="","",VIPcric_1!H952)</f>
        <v>0.98</v>
      </c>
      <c r="I963" t="str">
        <f>IF(VIPcric_1!M952="","",VIPcric_1!M952)</f>
        <v>CRIC-岳阳-市场监测.商品房市场.项目累计.供求.xlsx</v>
      </c>
    </row>
    <row r="964" spans="1:9">
      <c r="A964" t="str">
        <f>IF(VIPcric_1!A953="","",VIPcric_1!A953)</f>
        <v>2023年</v>
      </c>
      <c r="B964">
        <f>IF(VIPcric_1!B953="","",VIPcric_1!B953)</f>
        <v>685979</v>
      </c>
      <c r="C964">
        <f>IF(VIPcric_1!C953="","",VIPcric_1!C953)</f>
        <v>5389</v>
      </c>
      <c r="D964">
        <f>IF(VIPcric_1!D953="","",VIPcric_1!D953)</f>
        <v>1031293</v>
      </c>
      <c r="E964">
        <f>IF(VIPcric_1!E953="","",VIPcric_1!E953)</f>
        <v>8446</v>
      </c>
      <c r="F964">
        <f>IF(VIPcric_1!F953="","",VIPcric_1!F953)</f>
        <v>6854</v>
      </c>
      <c r="G964">
        <f>IF(VIPcric_1!G953="","",VIPcric_1!G953)</f>
        <v>7067968454</v>
      </c>
      <c r="H964">
        <f>IF(VIPcric_1!H953="","",VIPcric_1!H953)</f>
        <v>0.67</v>
      </c>
      <c r="I964" t="str">
        <f>IF(VIPcric_1!M953="","",VIPcric_1!M953)</f>
        <v>CRIC-岳阳-市场监测.商品房市场.项目累计.供求.xlsx</v>
      </c>
    </row>
    <row r="965" spans="1:9">
      <c r="A965" t="str">
        <f>IF(VIPcric_1!A954="","",VIPcric_1!A954)</f>
        <v>2022年</v>
      </c>
      <c r="B965">
        <f>IF(VIPcric_1!B954="","",VIPcric_1!B954)</f>
        <v>707560</v>
      </c>
      <c r="C965">
        <f>IF(VIPcric_1!C954="","",VIPcric_1!C954)</f>
        <v>5763</v>
      </c>
      <c r="D965">
        <f>IF(VIPcric_1!D954="","",VIPcric_1!D954)</f>
        <v>1528205</v>
      </c>
      <c r="E965">
        <f>IF(VIPcric_1!E954="","",VIPcric_1!E954)</f>
        <v>12677</v>
      </c>
      <c r="F965">
        <f>IF(VIPcric_1!F954="","",VIPcric_1!F954)</f>
        <v>6803</v>
      </c>
      <c r="G965">
        <f>IF(VIPcric_1!G954="","",VIPcric_1!G954)</f>
        <v>10396929507</v>
      </c>
      <c r="H965">
        <f>IF(VIPcric_1!H954="","",VIPcric_1!H954)</f>
        <v>0.46</v>
      </c>
      <c r="I965" t="str">
        <f>IF(VIPcric_1!M954="","",VIPcric_1!M954)</f>
        <v>CRIC-岳阳-市场监测.商品房市场.项目累计.供求.xlsx</v>
      </c>
    </row>
    <row r="966" spans="1:9">
      <c r="A966" t="str">
        <f>IF(VIPcric_1!A955="","",VIPcric_1!A955)</f>
        <v>2021年</v>
      </c>
      <c r="B966">
        <f>IF(VIPcric_1!B955="","",VIPcric_1!B955)</f>
        <v>1485934</v>
      </c>
      <c r="C966">
        <f>IF(VIPcric_1!C955="","",VIPcric_1!C955)</f>
        <v>12344</v>
      </c>
      <c r="D966">
        <f>IF(VIPcric_1!D955="","",VIPcric_1!D955)</f>
        <v>2244403</v>
      </c>
      <c r="E966">
        <f>IF(VIPcric_1!E955="","",VIPcric_1!E955)</f>
        <v>18761</v>
      </c>
      <c r="F966">
        <f>IF(VIPcric_1!F955="","",VIPcric_1!F955)</f>
        <v>6992</v>
      </c>
      <c r="G966">
        <f>IF(VIPcric_1!G955="","",VIPcric_1!G955)</f>
        <v>15692570415</v>
      </c>
      <c r="H966">
        <f>IF(VIPcric_1!H955="","",VIPcric_1!H955)</f>
        <v>0.66</v>
      </c>
      <c r="I966" t="str">
        <f>IF(VIPcric_1!M955="","",VIPcric_1!M955)</f>
        <v>CRIC-岳阳-市场监测.商品房市场.项目累计.供求.xlsx</v>
      </c>
    </row>
    <row r="967" spans="1:9">
      <c r="A967" t="str">
        <f>IF(VIPcric_1!A956="","",VIPcric_1!A956)</f>
        <v>2020年</v>
      </c>
      <c r="B967">
        <f>IF(VIPcric_1!B956="","",VIPcric_1!B956)</f>
        <v>2466346</v>
      </c>
      <c r="C967">
        <f>IF(VIPcric_1!C956="","",VIPcric_1!C956)</f>
        <v>20651</v>
      </c>
      <c r="D967">
        <f>IF(VIPcric_1!D956="","",VIPcric_1!D956)</f>
        <v>2384344</v>
      </c>
      <c r="E967">
        <f>IF(VIPcric_1!E956="","",VIPcric_1!E956)</f>
        <v>20139</v>
      </c>
      <c r="F967">
        <f>IF(VIPcric_1!F956="","",VIPcric_1!F956)</f>
        <v>7062</v>
      </c>
      <c r="G967">
        <f>IF(VIPcric_1!G956="","",VIPcric_1!G956)</f>
        <v>16838840180</v>
      </c>
      <c r="H967">
        <f>IF(VIPcric_1!H956="","",VIPcric_1!H956)</f>
        <v>1.03</v>
      </c>
      <c r="I967" t="str">
        <f>IF(VIPcric_1!M956="","",VIPcric_1!M956)</f>
        <v>CRIC-岳阳-市场监测.商品房市场.项目累计.供求.xlsx</v>
      </c>
    </row>
    <row r="968" spans="1:9">
      <c r="A968" t="str">
        <f>IF(VIPcric_1!A957="","",VIPcric_1!A957)</f>
        <v>2019年</v>
      </c>
      <c r="B968">
        <f>IF(VIPcric_1!B957="","",VIPcric_1!B957)</f>
        <v>3456852</v>
      </c>
      <c r="C968">
        <f>IF(VIPcric_1!C957="","",VIPcric_1!C957)</f>
        <v>28712</v>
      </c>
      <c r="D968">
        <f>IF(VIPcric_1!D957="","",VIPcric_1!D957)</f>
        <v>2397801</v>
      </c>
      <c r="E968">
        <f>IF(VIPcric_1!E957="","",VIPcric_1!E957)</f>
        <v>20121</v>
      </c>
      <c r="F968">
        <f>IF(VIPcric_1!F957="","",VIPcric_1!F957)</f>
        <v>7216</v>
      </c>
      <c r="G968">
        <f>IF(VIPcric_1!G957="","",VIPcric_1!G957)</f>
        <v>17302544724</v>
      </c>
      <c r="H968">
        <f>IF(VIPcric_1!H957="","",VIPcric_1!H957)</f>
        <v>1.44</v>
      </c>
      <c r="I968" t="str">
        <f>IF(VIPcric_1!M957="","",VIPcric_1!M957)</f>
        <v>CRIC-岳阳-市场监测.商品房市场.项目累计.供求.xlsx</v>
      </c>
    </row>
    <row r="969" spans="1:9">
      <c r="A969" t="str">
        <f>IF(VIPcric_1!A958="","",VIPcric_1!A958)</f>
        <v>汇总</v>
      </c>
      <c r="B969">
        <f>IF(VIPcric_1!B958="","",VIPcric_1!B958)</f>
        <v>8831429</v>
      </c>
      <c r="C969">
        <f>IF(VIPcric_1!C958="","",VIPcric_1!C958)</f>
        <v>73099</v>
      </c>
      <c r="D969">
        <f>IF(VIPcric_1!D958="","",VIPcric_1!D958)</f>
        <v>9615461</v>
      </c>
      <c r="E969">
        <f>IF(VIPcric_1!E958="","",VIPcric_1!E958)</f>
        <v>80367</v>
      </c>
      <c r="F969">
        <f>IF(VIPcric_1!F958="","",VIPcric_1!F958)</f>
        <v>7020</v>
      </c>
      <c r="G969">
        <f>IF(VIPcric_1!G958="","",VIPcric_1!G958)</f>
        <v>67504949992</v>
      </c>
      <c r="H969">
        <f>IF(VIPcric_1!H958="","",VIPcric_1!H958)</f>
        <v>0.92</v>
      </c>
      <c r="I969" t="str">
        <f>IF(VIPcric_1!M958="","",VIPcric_1!M958)</f>
        <v>CRIC-岳阳-市场监测.商品房市场.项目累计.供求.xlsx</v>
      </c>
    </row>
    <row r="970" spans="1:9">
      <c r="A970" t="str">
        <f>IF(VIPcric_1!A959="","",VIPcric_1!A959)</f>
        <v/>
      </c>
      <c r="B970" t="str">
        <f>IF(VIPcric_1!B959="","",VIPcric_1!B959)</f>
        <v/>
      </c>
      <c r="C970" t="str">
        <f>IF(VIPcric_1!C959="","",VIPcric_1!C959)</f>
        <v/>
      </c>
      <c r="D970" t="str">
        <f>IF(VIPcric_1!D959="","",VIPcric_1!D959)</f>
        <v/>
      </c>
      <c r="E970" t="str">
        <f>IF(VIPcric_1!E959="","",VIPcric_1!E959)</f>
        <v/>
      </c>
      <c r="F970" t="str">
        <f>IF(VIPcric_1!F959="","",VIPcric_1!F959)</f>
        <v/>
      </c>
      <c r="G970" t="str">
        <f>IF(VIPcric_1!G959="","",VIPcric_1!G959)</f>
        <v/>
      </c>
      <c r="H970" t="str">
        <f>IF(VIPcric_1!H959="","",VIPcric_1!H959)</f>
        <v/>
      </c>
      <c r="I970" t="str">
        <f>IF(VIPcric_1!M959="","",VIPcric_1!M959)</f>
        <v/>
      </c>
    </row>
    <row r="971" spans="1:9">
      <c r="A971" t="str">
        <f>IF(VIPcric_1!A960="","",VIPcric_1!A960)</f>
        <v/>
      </c>
      <c r="B971" t="str">
        <f>IF(VIPcric_1!B960="","",VIPcric_1!B960)</f>
        <v/>
      </c>
      <c r="C971" t="str">
        <f>IF(VIPcric_1!C960="","",VIPcric_1!C960)</f>
        <v/>
      </c>
      <c r="D971" t="str">
        <f>IF(VIPcric_1!D960="","",VIPcric_1!D960)</f>
        <v/>
      </c>
      <c r="E971" t="str">
        <f>IF(VIPcric_1!E960="","",VIPcric_1!E960)</f>
        <v/>
      </c>
      <c r="F971" t="str">
        <f>IF(VIPcric_1!F960="","",VIPcric_1!F960)</f>
        <v/>
      </c>
      <c r="G971" t="str">
        <f>IF(VIPcric_1!G960="","",VIPcric_1!G960)</f>
        <v/>
      </c>
      <c r="H971" t="str">
        <f>IF(VIPcric_1!H960="","",VIPcric_1!H960)</f>
        <v/>
      </c>
      <c r="I971" t="str">
        <f>IF(VIPcric_1!M960="","",VIPcric_1!M960)</f>
        <v>CRIC-岳阳-市场监测.商品房市场.项目累计.库存.xlsx</v>
      </c>
    </row>
    <row r="972" spans="1:9">
      <c r="A972" t="str">
        <f>IF(VIPcric_1!A961="","",VIPcric_1!A961)</f>
        <v>时间(年)</v>
      </c>
      <c r="B972" t="str">
        <f>IF(VIPcric_1!B961="","",VIPcric_1!B961)</f>
        <v>库存面积(㎡)</v>
      </c>
      <c r="C972" t="str">
        <f>IF(VIPcric_1!C961="","",VIPcric_1!C961)</f>
        <v>库存套数(套)</v>
      </c>
      <c r="D972" t="str">
        <f>IF(VIPcric_1!D961="","",VIPcric_1!D961)</f>
        <v>去化周期12'(月)</v>
      </c>
      <c r="E972" t="str">
        <f>IF(VIPcric_1!E961="","",VIPcric_1!E961)</f>
        <v>去化周期24'(月)</v>
      </c>
      <c r="F972" t="str">
        <f>IF(VIPcric_1!F961="","",VIPcric_1!F961)</f>
        <v/>
      </c>
      <c r="G972" t="str">
        <f>IF(VIPcric_1!G961="","",VIPcric_1!G961)</f>
        <v/>
      </c>
      <c r="H972" t="str">
        <f>IF(VIPcric_1!H961="","",VIPcric_1!H961)</f>
        <v/>
      </c>
      <c r="I972" t="str">
        <f>IF(VIPcric_1!M961="","",VIPcric_1!M961)</f>
        <v>CRIC-岳阳-市场监测.商品房市场.项目累计.库存.xlsx</v>
      </c>
    </row>
    <row r="973" spans="1:9">
      <c r="A973" t="str">
        <f>IF(VIPcric_1!A962="","",VIPcric_1!A962)</f>
        <v>2024年</v>
      </c>
      <c r="B973">
        <f>IF(VIPcric_1!B962="","",VIPcric_1!B962)</f>
        <v>1175986</v>
      </c>
      <c r="C973">
        <f>IF(VIPcric_1!C962="","",VIPcric_1!C962)</f>
        <v>9483</v>
      </c>
      <c r="D973">
        <f>IF(VIPcric_1!D962="","",VIPcric_1!D962)</f>
        <v>14.4</v>
      </c>
      <c r="E973">
        <f>IF(VIPcric_1!E962="","",VIPcric_1!E962)</f>
        <v>11.5</v>
      </c>
      <c r="F973" t="str">
        <f>IF(VIPcric_1!F962="","",VIPcric_1!F962)</f>
        <v/>
      </c>
      <c r="G973" t="str">
        <f>IF(VIPcric_1!G962="","",VIPcric_1!G962)</f>
        <v/>
      </c>
      <c r="H973" t="str">
        <f>IF(VIPcric_1!H962="","",VIPcric_1!H962)</f>
        <v/>
      </c>
      <c r="I973" t="str">
        <f>IF(VIPcric_1!M962="","",VIPcric_1!M962)</f>
        <v>CRIC-岳阳-市场监测.商品房市场.项目累计.库存.xlsx</v>
      </c>
    </row>
    <row r="974" spans="1:9">
      <c r="A974" t="str">
        <f>IF(VIPcric_1!A963="","",VIPcric_1!A963)</f>
        <v>2023年</v>
      </c>
      <c r="B974">
        <f>IF(VIPcric_1!B963="","",VIPcric_1!B963)</f>
        <v>1179527</v>
      </c>
      <c r="C974">
        <f>IF(VIPcric_1!C963="","",VIPcric_1!C963)</f>
        <v>9441</v>
      </c>
      <c r="D974">
        <f>IF(VIPcric_1!D963="","",VIPcric_1!D963)</f>
        <v>13.7</v>
      </c>
      <c r="E974">
        <f>IF(VIPcric_1!E963="","",VIPcric_1!E963)</f>
        <v>11.1</v>
      </c>
      <c r="F974" t="str">
        <f>IF(VIPcric_1!F963="","",VIPcric_1!F963)</f>
        <v/>
      </c>
      <c r="G974" t="str">
        <f>IF(VIPcric_1!G963="","",VIPcric_1!G963)</f>
        <v/>
      </c>
      <c r="H974" t="str">
        <f>IF(VIPcric_1!H963="","",VIPcric_1!H963)</f>
        <v/>
      </c>
      <c r="I974" t="str">
        <f>IF(VIPcric_1!M963="","",VIPcric_1!M963)</f>
        <v>CRIC-岳阳-市场监测.商品房市场.项目累计.库存.xlsx</v>
      </c>
    </row>
    <row r="975" spans="1:9">
      <c r="A975" t="str">
        <f>IF(VIPcric_1!A964="","",VIPcric_1!A964)</f>
        <v>2022年</v>
      </c>
      <c r="B975">
        <f>IF(VIPcric_1!B964="","",VIPcric_1!B964)</f>
        <v>1449567</v>
      </c>
      <c r="C975">
        <f>IF(VIPcric_1!C964="","",VIPcric_1!C964)</f>
        <v>11902</v>
      </c>
      <c r="D975">
        <f>IF(VIPcric_1!D964="","",VIPcric_1!D964)</f>
        <v>11.4</v>
      </c>
      <c r="E975">
        <f>IF(VIPcric_1!E964="","",VIPcric_1!E964)</f>
        <v>9.1999999999999993</v>
      </c>
      <c r="F975" t="str">
        <f>IF(VIPcric_1!F964="","",VIPcric_1!F964)</f>
        <v/>
      </c>
      <c r="G975" t="str">
        <f>IF(VIPcric_1!G964="","",VIPcric_1!G964)</f>
        <v/>
      </c>
      <c r="H975" t="str">
        <f>IF(VIPcric_1!H964="","",VIPcric_1!H964)</f>
        <v/>
      </c>
      <c r="I975" t="str">
        <f>IF(VIPcric_1!M964="","",VIPcric_1!M964)</f>
        <v>CRIC-岳阳-市场监测.商品房市场.项目累计.库存.xlsx</v>
      </c>
    </row>
    <row r="976" spans="1:9">
      <c r="A976" t="str">
        <f>IF(VIPcric_1!A965="","",VIPcric_1!A965)</f>
        <v>2021年</v>
      </c>
      <c r="B976">
        <f>IF(VIPcric_1!B965="","",VIPcric_1!B965)</f>
        <v>1937212</v>
      </c>
      <c r="C976">
        <f>IF(VIPcric_1!C965="","",VIPcric_1!C965)</f>
        <v>16060</v>
      </c>
      <c r="D976">
        <f>IF(VIPcric_1!D965="","",VIPcric_1!D965)</f>
        <v>10.4</v>
      </c>
      <c r="E976">
        <f>IF(VIPcric_1!E965="","",VIPcric_1!E965)</f>
        <v>10.3</v>
      </c>
      <c r="F976" t="str">
        <f>IF(VIPcric_1!F965="","",VIPcric_1!F965)</f>
        <v/>
      </c>
      <c r="G976" t="str">
        <f>IF(VIPcric_1!G965="","",VIPcric_1!G965)</f>
        <v/>
      </c>
      <c r="H976" t="str">
        <f>IF(VIPcric_1!H965="","",VIPcric_1!H965)</f>
        <v/>
      </c>
      <c r="I976" t="str">
        <f>IF(VIPcric_1!M965="","",VIPcric_1!M965)</f>
        <v>CRIC-岳阳-市场监测.商品房市场.项目累计.库存.xlsx</v>
      </c>
    </row>
    <row r="977" spans="1:9">
      <c r="A977" t="str">
        <f>IF(VIPcric_1!A966="","",VIPcric_1!A966)</f>
        <v>2020年</v>
      </c>
      <c r="B977">
        <f>IF(VIPcric_1!B966="","",VIPcric_1!B966)</f>
        <v>2260320</v>
      </c>
      <c r="C977">
        <f>IF(VIPcric_1!C966="","",VIPcric_1!C966)</f>
        <v>18884</v>
      </c>
      <c r="D977">
        <f>IF(VIPcric_1!D966="","",VIPcric_1!D966)</f>
        <v>11.9</v>
      </c>
      <c r="E977">
        <f>IF(VIPcric_1!E966="","",VIPcric_1!E966)</f>
        <v>12.7</v>
      </c>
      <c r="F977" t="str">
        <f>IF(VIPcric_1!F966="","",VIPcric_1!F966)</f>
        <v/>
      </c>
      <c r="G977" t="str">
        <f>IF(VIPcric_1!G966="","",VIPcric_1!G966)</f>
        <v/>
      </c>
      <c r="H977" t="str">
        <f>IF(VIPcric_1!H966="","",VIPcric_1!H966)</f>
        <v/>
      </c>
      <c r="I977" t="str">
        <f>IF(VIPcric_1!M966="","",VIPcric_1!M966)</f>
        <v>CRIC-岳阳-市场监测.商品房市场.项目累计.库存.xlsx</v>
      </c>
    </row>
    <row r="978" spans="1:9">
      <c r="A978" t="str">
        <f>IF(VIPcric_1!A967="","",VIPcric_1!A967)</f>
        <v/>
      </c>
      <c r="B978" t="str">
        <f>IF(VIPcric_1!B967="","",VIPcric_1!B967)</f>
        <v/>
      </c>
      <c r="C978" t="str">
        <f>IF(VIPcric_1!C967="","",VIPcric_1!C967)</f>
        <v/>
      </c>
      <c r="D978" t="str">
        <f>IF(VIPcric_1!D967="","",VIPcric_1!D967)</f>
        <v/>
      </c>
      <c r="E978" t="str">
        <f>IF(VIPcric_1!E967="","",VIPcric_1!E967)</f>
        <v/>
      </c>
      <c r="F978" t="str">
        <f>IF(VIPcric_1!F967="","",VIPcric_1!F967)</f>
        <v/>
      </c>
      <c r="G978" t="str">
        <f>IF(VIPcric_1!G967="","",VIPcric_1!G967)</f>
        <v/>
      </c>
      <c r="H978" t="str">
        <f>IF(VIPcric_1!H967="","",VIPcric_1!H967)</f>
        <v/>
      </c>
      <c r="I978" t="str">
        <f>IF(VIPcric_1!M967="","",VIPcric_1!M967)</f>
        <v/>
      </c>
    </row>
    <row r="979" spans="1:9">
      <c r="A979" t="str">
        <f>IF(VIPcric_1!A968="","",VIPcric_1!A968)</f>
        <v/>
      </c>
      <c r="B979" t="str">
        <f>IF(VIPcric_1!B968="","",VIPcric_1!B968)</f>
        <v/>
      </c>
      <c r="C979" t="str">
        <f>IF(VIPcric_1!C968="","",VIPcric_1!C968)</f>
        <v/>
      </c>
      <c r="D979" t="str">
        <f>IF(VIPcric_1!D968="","",VIPcric_1!D968)</f>
        <v/>
      </c>
      <c r="E979" t="str">
        <f>IF(VIPcric_1!E968="","",VIPcric_1!E968)</f>
        <v/>
      </c>
      <c r="F979" t="str">
        <f>IF(VIPcric_1!F968="","",VIPcric_1!F968)</f>
        <v/>
      </c>
      <c r="G979" t="str">
        <f>IF(VIPcric_1!G968="","",VIPcric_1!G968)</f>
        <v/>
      </c>
      <c r="H979" t="str">
        <f>IF(VIPcric_1!H968="","",VIPcric_1!H968)</f>
        <v/>
      </c>
      <c r="I979" t="str">
        <f>IF(VIPcric_1!M968="","",VIPcric_1!M968)</f>
        <v>CRIC-嵊州-市场监测.商品房市场.项目累计.供求.xlsx</v>
      </c>
    </row>
    <row r="980" spans="1:9">
      <c r="A980" t="str">
        <f>IF(VIPcric_1!A969="","",VIPcric_1!A969)</f>
        <v>时间(年)</v>
      </c>
      <c r="B980" t="str">
        <f>IF(VIPcric_1!B969="","",VIPcric_1!B969)</f>
        <v>供应面积(㎡)</v>
      </c>
      <c r="C980" t="str">
        <f>IF(VIPcric_1!C969="","",VIPcric_1!C969)</f>
        <v>供应套数(套)</v>
      </c>
      <c r="D980" t="str">
        <f>IF(VIPcric_1!D969="","",VIPcric_1!D969)</f>
        <v>成交面积(㎡)</v>
      </c>
      <c r="E980" t="str">
        <f>IF(VIPcric_1!E969="","",VIPcric_1!E969)</f>
        <v>成交套数(套)</v>
      </c>
      <c r="F980" t="str">
        <f>IF(VIPcric_1!F969="","",VIPcric_1!F969)</f>
        <v>成交均价(元/㎡)</v>
      </c>
      <c r="G980" t="str">
        <f>IF(VIPcric_1!G969="","",VIPcric_1!G969)</f>
        <v>成交金额(元)</v>
      </c>
      <c r="H980" t="str">
        <f>IF(VIPcric_1!H969="","",VIPcric_1!H969)</f>
        <v>供求比</v>
      </c>
      <c r="I980" t="str">
        <f>IF(VIPcric_1!M969="","",VIPcric_1!M969)</f>
        <v>CRIC-嵊州-市场监测.商品房市场.项目累计.供求.xlsx</v>
      </c>
    </row>
    <row r="981" spans="1:9">
      <c r="A981" t="str">
        <f>IF(VIPcric_1!A970="","",VIPcric_1!A970)</f>
        <v>2023年</v>
      </c>
      <c r="B981">
        <f>IF(VIPcric_1!B970="","",VIPcric_1!B970)</f>
        <v>172043</v>
      </c>
      <c r="C981">
        <f>IF(VIPcric_1!C970="","",VIPcric_1!C970)</f>
        <v>1576</v>
      </c>
      <c r="D981">
        <f>IF(VIPcric_1!D970="","",VIPcric_1!D970)</f>
        <v>225906</v>
      </c>
      <c r="E981">
        <f>IF(VIPcric_1!E970="","",VIPcric_1!E970)</f>
        <v>1911</v>
      </c>
      <c r="F981">
        <f>IF(VIPcric_1!F970="","",VIPcric_1!F970)</f>
        <v>11777</v>
      </c>
      <c r="G981">
        <f>IF(VIPcric_1!G970="","",VIPcric_1!G970)</f>
        <v>2660482972</v>
      </c>
      <c r="H981">
        <f>IF(VIPcric_1!H970="","",VIPcric_1!H970)</f>
        <v>0.76</v>
      </c>
      <c r="I981" t="str">
        <f>IF(VIPcric_1!M970="","",VIPcric_1!M970)</f>
        <v>CRIC-嵊州-市场监测.商品房市场.项目累计.供求.xlsx</v>
      </c>
    </row>
    <row r="982" spans="1:9">
      <c r="A982" t="str">
        <f>IF(VIPcric_1!A971="","",VIPcric_1!A971)</f>
        <v>2022年</v>
      </c>
      <c r="B982">
        <f>IF(VIPcric_1!B971="","",VIPcric_1!B971)</f>
        <v>300719</v>
      </c>
      <c r="C982">
        <f>IF(VIPcric_1!C971="","",VIPcric_1!C971)</f>
        <v>2468</v>
      </c>
      <c r="D982">
        <f>IF(VIPcric_1!D971="","",VIPcric_1!D971)</f>
        <v>173409</v>
      </c>
      <c r="E982">
        <f>IF(VIPcric_1!E971="","",VIPcric_1!E971)</f>
        <v>1503</v>
      </c>
      <c r="F982">
        <f>IF(VIPcric_1!F971="","",VIPcric_1!F971)</f>
        <v>11466</v>
      </c>
      <c r="G982">
        <f>IF(VIPcric_1!G971="","",VIPcric_1!G971)</f>
        <v>1988367871</v>
      </c>
      <c r="H982">
        <f>IF(VIPcric_1!H971="","",VIPcric_1!H971)</f>
        <v>1.73</v>
      </c>
      <c r="I982" t="str">
        <f>IF(VIPcric_1!M971="","",VIPcric_1!M971)</f>
        <v>CRIC-嵊州-市场监测.商品房市场.项目累计.供求.xlsx</v>
      </c>
    </row>
    <row r="983" spans="1:9">
      <c r="A983" t="str">
        <f>IF(VIPcric_1!A972="","",VIPcric_1!A972)</f>
        <v>2021年</v>
      </c>
      <c r="B983">
        <f>IF(VIPcric_1!B972="","",VIPcric_1!B972)</f>
        <v>648611</v>
      </c>
      <c r="C983">
        <f>IF(VIPcric_1!C972="","",VIPcric_1!C972)</f>
        <v>5882</v>
      </c>
      <c r="D983">
        <f>IF(VIPcric_1!D972="","",VIPcric_1!D972)</f>
        <v>688911</v>
      </c>
      <c r="E983">
        <f>IF(VIPcric_1!E972="","",VIPcric_1!E972)</f>
        <v>6010</v>
      </c>
      <c r="F983">
        <f>IF(VIPcric_1!F972="","",VIPcric_1!F972)</f>
        <v>10609</v>
      </c>
      <c r="G983">
        <f>IF(VIPcric_1!G972="","",VIPcric_1!G972)</f>
        <v>7308896155</v>
      </c>
      <c r="H983">
        <f>IF(VIPcric_1!H972="","",VIPcric_1!H972)</f>
        <v>0.94</v>
      </c>
      <c r="I983" t="str">
        <f>IF(VIPcric_1!M972="","",VIPcric_1!M972)</f>
        <v>CRIC-嵊州-市场监测.商品房市场.项目累计.供求.xlsx</v>
      </c>
    </row>
    <row r="984" spans="1:9">
      <c r="A984" t="str">
        <f>IF(VIPcric_1!A973="","",VIPcric_1!A973)</f>
        <v>2020年</v>
      </c>
      <c r="B984">
        <f>IF(VIPcric_1!B973="","",VIPcric_1!B973)</f>
        <v>622937</v>
      </c>
      <c r="C984">
        <f>IF(VIPcric_1!C973="","",VIPcric_1!C973)</f>
        <v>5900</v>
      </c>
      <c r="D984">
        <f>IF(VIPcric_1!D973="","",VIPcric_1!D973)</f>
        <v>1141325</v>
      </c>
      <c r="E984">
        <f>IF(VIPcric_1!E973="","",VIPcric_1!E973)</f>
        <v>9918</v>
      </c>
      <c r="F984">
        <f>IF(VIPcric_1!F973="","",VIPcric_1!F973)</f>
        <v>9249</v>
      </c>
      <c r="G984">
        <f>IF(VIPcric_1!G973="","",VIPcric_1!G973)</f>
        <v>10556268619</v>
      </c>
      <c r="H984">
        <f>IF(VIPcric_1!H973="","",VIPcric_1!H973)</f>
        <v>0.55000000000000004</v>
      </c>
      <c r="I984" t="str">
        <f>IF(VIPcric_1!M973="","",VIPcric_1!M973)</f>
        <v>CRIC-嵊州-市场监测.商品房市场.项目累计.供求.xlsx</v>
      </c>
    </row>
    <row r="985" spans="1:9">
      <c r="A985" t="str">
        <f>IF(VIPcric_1!A974="","",VIPcric_1!A974)</f>
        <v>2019年</v>
      </c>
      <c r="B985">
        <f>IF(VIPcric_1!B974="","",VIPcric_1!B974)</f>
        <v>767434</v>
      </c>
      <c r="C985">
        <f>IF(VIPcric_1!C974="","",VIPcric_1!C974)</f>
        <v>6264</v>
      </c>
      <c r="D985">
        <f>IF(VIPcric_1!D974="","",VIPcric_1!D974)</f>
        <v>1397493</v>
      </c>
      <c r="E985">
        <f>IF(VIPcric_1!E974="","",VIPcric_1!E974)</f>
        <v>12181</v>
      </c>
      <c r="F985">
        <f>IF(VIPcric_1!F974="","",VIPcric_1!F974)</f>
        <v>8559</v>
      </c>
      <c r="G985">
        <f>IF(VIPcric_1!G974="","",VIPcric_1!G974)</f>
        <v>11961121870</v>
      </c>
      <c r="H985">
        <f>IF(VIPcric_1!H974="","",VIPcric_1!H974)</f>
        <v>0.55000000000000004</v>
      </c>
      <c r="I985" t="str">
        <f>IF(VIPcric_1!M974="","",VIPcric_1!M974)</f>
        <v>CRIC-嵊州-市场监测.商品房市场.项目累计.供求.xlsx</v>
      </c>
    </row>
    <row r="986" spans="1:9">
      <c r="A986" t="str">
        <f>IF(VIPcric_1!A975="","",VIPcric_1!A975)</f>
        <v>2018年</v>
      </c>
      <c r="B986">
        <f>IF(VIPcric_1!B975="","",VIPcric_1!B975)</f>
        <v>1251603</v>
      </c>
      <c r="C986">
        <f>IF(VIPcric_1!C975="","",VIPcric_1!C975)</f>
        <v>10940</v>
      </c>
      <c r="D986">
        <f>IF(VIPcric_1!D975="","",VIPcric_1!D975)</f>
        <v>1267</v>
      </c>
      <c r="E986">
        <f>IF(VIPcric_1!E975="","",VIPcric_1!E975)</f>
        <v>10</v>
      </c>
      <c r="F986">
        <f>IF(VIPcric_1!F975="","",VIPcric_1!F975)</f>
        <v>10407</v>
      </c>
      <c r="G986">
        <f>IF(VIPcric_1!G975="","",VIPcric_1!G975)</f>
        <v>13188784</v>
      </c>
      <c r="H986">
        <f>IF(VIPcric_1!H975="","",VIPcric_1!H975)</f>
        <v>987.57</v>
      </c>
      <c r="I986" t="str">
        <f>IF(VIPcric_1!M975="","",VIPcric_1!M975)</f>
        <v>CRIC-嵊州-市场监测.商品房市场.项目累计.供求.xlsx</v>
      </c>
    </row>
    <row r="987" spans="1:9">
      <c r="A987" t="str">
        <f>IF(VIPcric_1!A976="","",VIPcric_1!A976)</f>
        <v>汇总</v>
      </c>
      <c r="B987">
        <f>IF(VIPcric_1!B976="","",VIPcric_1!B976)</f>
        <v>3763347</v>
      </c>
      <c r="C987">
        <f>IF(VIPcric_1!C976="","",VIPcric_1!C976)</f>
        <v>33030</v>
      </c>
      <c r="D987">
        <f>IF(VIPcric_1!D976="","",VIPcric_1!D976)</f>
        <v>3628312</v>
      </c>
      <c r="E987">
        <f>IF(VIPcric_1!E976="","",VIPcric_1!E976)</f>
        <v>31533</v>
      </c>
      <c r="F987">
        <f>IF(VIPcric_1!F976="","",VIPcric_1!F976)</f>
        <v>9505</v>
      </c>
      <c r="G987">
        <f>IF(VIPcric_1!G976="","",VIPcric_1!G976)</f>
        <v>34488326271</v>
      </c>
      <c r="H987">
        <f>IF(VIPcric_1!H976="","",VIPcric_1!H976)</f>
        <v>1.04</v>
      </c>
      <c r="I987" t="str">
        <f>IF(VIPcric_1!M976="","",VIPcric_1!M976)</f>
        <v>CRIC-嵊州-市场监测.商品房市场.项目累计.供求.xlsx</v>
      </c>
    </row>
    <row r="988" spans="1:9">
      <c r="A988" t="str">
        <f>IF(VIPcric_1!A977="","",VIPcric_1!A977)</f>
        <v/>
      </c>
      <c r="B988" t="str">
        <f>IF(VIPcric_1!B977="","",VIPcric_1!B977)</f>
        <v/>
      </c>
      <c r="C988" t="str">
        <f>IF(VIPcric_1!C977="","",VIPcric_1!C977)</f>
        <v/>
      </c>
      <c r="D988" t="str">
        <f>IF(VIPcric_1!D977="","",VIPcric_1!D977)</f>
        <v/>
      </c>
      <c r="E988" t="str">
        <f>IF(VIPcric_1!E977="","",VIPcric_1!E977)</f>
        <v/>
      </c>
      <c r="F988" t="str">
        <f>IF(VIPcric_1!F977="","",VIPcric_1!F977)</f>
        <v/>
      </c>
      <c r="G988" t="str">
        <f>IF(VIPcric_1!G977="","",VIPcric_1!G977)</f>
        <v/>
      </c>
      <c r="H988" t="str">
        <f>IF(VIPcric_1!H977="","",VIPcric_1!H977)</f>
        <v/>
      </c>
      <c r="I988" t="str">
        <f>IF(VIPcric_1!M977="","",VIPcric_1!M977)</f>
        <v/>
      </c>
    </row>
    <row r="989" spans="1:9">
      <c r="A989" t="str">
        <f>IF(VIPcric_1!A978="","",VIPcric_1!A978)</f>
        <v/>
      </c>
      <c r="B989" t="str">
        <f>IF(VIPcric_1!B978="","",VIPcric_1!B978)</f>
        <v/>
      </c>
      <c r="C989" t="str">
        <f>IF(VIPcric_1!C978="","",VIPcric_1!C978)</f>
        <v/>
      </c>
      <c r="D989" t="str">
        <f>IF(VIPcric_1!D978="","",VIPcric_1!D978)</f>
        <v/>
      </c>
      <c r="E989" t="str">
        <f>IF(VIPcric_1!E978="","",VIPcric_1!E978)</f>
        <v/>
      </c>
      <c r="F989" t="str">
        <f>IF(VIPcric_1!F978="","",VIPcric_1!F978)</f>
        <v/>
      </c>
      <c r="G989" t="str">
        <f>IF(VIPcric_1!G978="","",VIPcric_1!G978)</f>
        <v/>
      </c>
      <c r="H989" t="str">
        <f>IF(VIPcric_1!H978="","",VIPcric_1!H978)</f>
        <v/>
      </c>
      <c r="I989" t="str">
        <f>IF(VIPcric_1!M978="","",VIPcric_1!M978)</f>
        <v>CRIC-嵊州-市场监测.商品房市场.项目累计.库存.xlsx</v>
      </c>
    </row>
    <row r="990" spans="1:9">
      <c r="A990" t="str">
        <f>IF(VIPcric_1!A979="","",VIPcric_1!A979)</f>
        <v>时间(年)</v>
      </c>
      <c r="B990" t="str">
        <f>IF(VIPcric_1!B979="","",VIPcric_1!B979)</f>
        <v>库存面积(㎡)</v>
      </c>
      <c r="C990" t="str">
        <f>IF(VIPcric_1!C979="","",VIPcric_1!C979)</f>
        <v>库存套数(套)</v>
      </c>
      <c r="D990" t="str">
        <f>IF(VIPcric_1!D979="","",VIPcric_1!D979)</f>
        <v>去化周期12'(月)</v>
      </c>
      <c r="E990" t="str">
        <f>IF(VIPcric_1!E979="","",VIPcric_1!E979)</f>
        <v/>
      </c>
      <c r="F990" t="str">
        <f>IF(VIPcric_1!F979="","",VIPcric_1!F979)</f>
        <v/>
      </c>
      <c r="G990" t="str">
        <f>IF(VIPcric_1!G979="","",VIPcric_1!G979)</f>
        <v/>
      </c>
      <c r="H990" t="str">
        <f>IF(VIPcric_1!H979="","",VIPcric_1!H979)</f>
        <v/>
      </c>
      <c r="I990" t="str">
        <f>IF(VIPcric_1!M979="","",VIPcric_1!M979)</f>
        <v>CRIC-嵊州-市场监测.商品房市场.项目累计.库存.xlsx</v>
      </c>
    </row>
    <row r="991" spans="1:9">
      <c r="A991" t="str">
        <f>IF(VIPcric_1!A980="","",VIPcric_1!A980)</f>
        <v>2023年</v>
      </c>
      <c r="B991">
        <f>IF(VIPcric_1!B980="","",VIPcric_1!B980)</f>
        <v>385977</v>
      </c>
      <c r="C991">
        <f>IF(VIPcric_1!C980="","",VIPcric_1!C980)</f>
        <v>3347</v>
      </c>
      <c r="D991">
        <f>IF(VIPcric_1!D980="","",VIPcric_1!D980)</f>
        <v>18</v>
      </c>
      <c r="E991" t="str">
        <f>IF(VIPcric_1!E980="","",VIPcric_1!E980)</f>
        <v/>
      </c>
      <c r="F991" t="str">
        <f>IF(VIPcric_1!F980="","",VIPcric_1!F980)</f>
        <v/>
      </c>
      <c r="G991" t="str">
        <f>IF(VIPcric_1!G980="","",VIPcric_1!G980)</f>
        <v/>
      </c>
      <c r="H991" t="str">
        <f>IF(VIPcric_1!H980="","",VIPcric_1!H980)</f>
        <v/>
      </c>
      <c r="I991" t="str">
        <f>IF(VIPcric_1!M980="","",VIPcric_1!M980)</f>
        <v>CRIC-嵊州-市场监测.商品房市场.项目累计.库存.xlsx</v>
      </c>
    </row>
    <row r="992" spans="1:9">
      <c r="A992" t="str">
        <f>IF(VIPcric_1!A981="","",VIPcric_1!A981)</f>
        <v>2022年</v>
      </c>
      <c r="B992">
        <f>IF(VIPcric_1!B981="","",VIPcric_1!B981)</f>
        <v>368685</v>
      </c>
      <c r="C992">
        <f>IF(VIPcric_1!C981="","",VIPcric_1!C981)</f>
        <v>3082</v>
      </c>
      <c r="D992">
        <f>IF(VIPcric_1!D981="","",VIPcric_1!D981)</f>
        <v>25.5</v>
      </c>
      <c r="E992" t="str">
        <f>IF(VIPcric_1!E981="","",VIPcric_1!E981)</f>
        <v/>
      </c>
      <c r="F992" t="str">
        <f>IF(VIPcric_1!F981="","",VIPcric_1!F981)</f>
        <v/>
      </c>
      <c r="G992" t="str">
        <f>IF(VIPcric_1!G981="","",VIPcric_1!G981)</f>
        <v/>
      </c>
      <c r="H992" t="str">
        <f>IF(VIPcric_1!H981="","",VIPcric_1!H981)</f>
        <v/>
      </c>
      <c r="I992" t="str">
        <f>IF(VIPcric_1!M981="","",VIPcric_1!M981)</f>
        <v>CRIC-嵊州-市场监测.商品房市场.项目累计.库存.xlsx</v>
      </c>
    </row>
    <row r="993" spans="1:9">
      <c r="A993" t="str">
        <f>IF(VIPcric_1!A982="","",VIPcric_1!A982)</f>
        <v>2021年</v>
      </c>
      <c r="B993">
        <f>IF(VIPcric_1!B982="","",VIPcric_1!B982)</f>
        <v>339978</v>
      </c>
      <c r="C993">
        <f>IF(VIPcric_1!C982="","",VIPcric_1!C982)</f>
        <v>3049</v>
      </c>
      <c r="D993">
        <f>IF(VIPcric_1!D982="","",VIPcric_1!D982)</f>
        <v>5.9</v>
      </c>
      <c r="E993" t="str">
        <f>IF(VIPcric_1!E982="","",VIPcric_1!E982)</f>
        <v/>
      </c>
      <c r="F993" t="str">
        <f>IF(VIPcric_1!F982="","",VIPcric_1!F982)</f>
        <v/>
      </c>
      <c r="G993" t="str">
        <f>IF(VIPcric_1!G982="","",VIPcric_1!G982)</f>
        <v/>
      </c>
      <c r="H993" t="str">
        <f>IF(VIPcric_1!H982="","",VIPcric_1!H982)</f>
        <v/>
      </c>
      <c r="I993" t="str">
        <f>IF(VIPcric_1!M982="","",VIPcric_1!M982)</f>
        <v>CRIC-嵊州-市场监测.商品房市场.项目累计.库存.xlsx</v>
      </c>
    </row>
    <row r="994" spans="1:9">
      <c r="A994" t="str">
        <f>IF(VIPcric_1!A983="","",VIPcric_1!A983)</f>
        <v>2020年</v>
      </c>
      <c r="B994">
        <f>IF(VIPcric_1!B983="","",VIPcric_1!B983)</f>
        <v>369186</v>
      </c>
      <c r="C994">
        <f>IF(VIPcric_1!C983="","",VIPcric_1!C983)</f>
        <v>3123</v>
      </c>
      <c r="D994">
        <f>IF(VIPcric_1!D983="","",VIPcric_1!D983)</f>
        <v>3.9</v>
      </c>
      <c r="E994" t="str">
        <f>IF(VIPcric_1!E983="","",VIPcric_1!E983)</f>
        <v/>
      </c>
      <c r="F994" t="str">
        <f>IF(VIPcric_1!F983="","",VIPcric_1!F983)</f>
        <v/>
      </c>
      <c r="G994" t="str">
        <f>IF(VIPcric_1!G983="","",VIPcric_1!G983)</f>
        <v/>
      </c>
      <c r="H994" t="str">
        <f>IF(VIPcric_1!H983="","",VIPcric_1!H983)</f>
        <v/>
      </c>
      <c r="I994" t="str">
        <f>IF(VIPcric_1!M983="","",VIPcric_1!M983)</f>
        <v>CRIC-嵊州-市场监测.商品房市场.项目累计.库存.xlsx</v>
      </c>
    </row>
    <row r="995" spans="1:9">
      <c r="A995" t="str">
        <f>IF(VIPcric_1!A984="","",VIPcric_1!A984)</f>
        <v>2019年</v>
      </c>
      <c r="B995">
        <f>IF(VIPcric_1!B984="","",VIPcric_1!B984)</f>
        <v>0</v>
      </c>
      <c r="C995">
        <f>IF(VIPcric_1!C984="","",VIPcric_1!C984)</f>
        <v>0</v>
      </c>
      <c r="D995">
        <f>IF(VIPcric_1!D984="","",VIPcric_1!D984)</f>
        <v>0</v>
      </c>
      <c r="E995" t="str">
        <f>IF(VIPcric_1!E984="","",VIPcric_1!E984)</f>
        <v/>
      </c>
      <c r="F995" t="str">
        <f>IF(VIPcric_1!F984="","",VIPcric_1!F984)</f>
        <v/>
      </c>
      <c r="G995" t="str">
        <f>IF(VIPcric_1!G984="","",VIPcric_1!G984)</f>
        <v/>
      </c>
      <c r="H995" t="str">
        <f>IF(VIPcric_1!H984="","",VIPcric_1!H984)</f>
        <v/>
      </c>
      <c r="I995" t="str">
        <f>IF(VIPcric_1!M984="","",VIPcric_1!M984)</f>
        <v>CRIC-嵊州-市场监测.商品房市场.项目累计.库存.xlsx</v>
      </c>
    </row>
    <row r="996" spans="1:9">
      <c r="A996" t="str">
        <f>IF(VIPcric_1!A985="","",VIPcric_1!A985)</f>
        <v>2018年</v>
      </c>
      <c r="B996">
        <f>IF(VIPcric_1!B985="","",VIPcric_1!B985)</f>
        <v>0</v>
      </c>
      <c r="C996">
        <f>IF(VIPcric_1!C985="","",VIPcric_1!C985)</f>
        <v>0</v>
      </c>
      <c r="D996">
        <f>IF(VIPcric_1!D985="","",VIPcric_1!D985)</f>
        <v>0</v>
      </c>
      <c r="E996" t="str">
        <f>IF(VIPcric_1!E985="","",VIPcric_1!E985)</f>
        <v/>
      </c>
      <c r="F996" t="str">
        <f>IF(VIPcric_1!F985="","",VIPcric_1!F985)</f>
        <v/>
      </c>
      <c r="G996" t="str">
        <f>IF(VIPcric_1!G985="","",VIPcric_1!G985)</f>
        <v/>
      </c>
      <c r="H996" t="str">
        <f>IF(VIPcric_1!H985="","",VIPcric_1!H985)</f>
        <v/>
      </c>
      <c r="I996" t="str">
        <f>IF(VIPcric_1!M985="","",VIPcric_1!M985)</f>
        <v>CRIC-嵊州-市场监测.商品房市场.项目累计.库存.xlsx</v>
      </c>
    </row>
    <row r="997" spans="1:9">
      <c r="A997" t="str">
        <f>IF(VIPcric_1!A986="","",VIPcric_1!A986)</f>
        <v/>
      </c>
      <c r="B997" t="str">
        <f>IF(VIPcric_1!B986="","",VIPcric_1!B986)</f>
        <v/>
      </c>
      <c r="C997" t="str">
        <f>IF(VIPcric_1!C986="","",VIPcric_1!C986)</f>
        <v/>
      </c>
      <c r="D997" t="str">
        <f>IF(VIPcric_1!D986="","",VIPcric_1!D986)</f>
        <v/>
      </c>
      <c r="E997" t="str">
        <f>IF(VIPcric_1!E986="","",VIPcric_1!E986)</f>
        <v/>
      </c>
      <c r="F997" t="str">
        <f>IF(VIPcric_1!F986="","",VIPcric_1!F986)</f>
        <v/>
      </c>
      <c r="G997" t="str">
        <f>IF(VIPcric_1!G986="","",VIPcric_1!G986)</f>
        <v/>
      </c>
      <c r="H997" t="str">
        <f>IF(VIPcric_1!H986="","",VIPcric_1!H986)</f>
        <v/>
      </c>
      <c r="I997" t="str">
        <f>IF(VIPcric_1!M986="","",VIPcric_1!M986)</f>
        <v/>
      </c>
    </row>
    <row r="998" spans="1:9">
      <c r="A998" t="str">
        <f>IF(VIPcric_1!A987="","",VIPcric_1!A987)</f>
        <v/>
      </c>
      <c r="B998" t="str">
        <f>IF(VIPcric_1!B987="","",VIPcric_1!B987)</f>
        <v/>
      </c>
      <c r="C998" t="str">
        <f>IF(VIPcric_1!C987="","",VIPcric_1!C987)</f>
        <v/>
      </c>
      <c r="D998" t="str">
        <f>IF(VIPcric_1!D987="","",VIPcric_1!D987)</f>
        <v/>
      </c>
      <c r="E998" t="str">
        <f>IF(VIPcric_1!E987="","",VIPcric_1!E987)</f>
        <v/>
      </c>
      <c r="F998" t="str">
        <f>IF(VIPcric_1!F987="","",VIPcric_1!F987)</f>
        <v/>
      </c>
      <c r="G998" t="str">
        <f>IF(VIPcric_1!G987="","",VIPcric_1!G987)</f>
        <v/>
      </c>
      <c r="H998" t="str">
        <f>IF(VIPcric_1!H987="","",VIPcric_1!H987)</f>
        <v/>
      </c>
      <c r="I998" t="str">
        <f>IF(VIPcric_1!M987="","",VIPcric_1!M987)</f>
        <v>CRIC-常州-市场监测.商品房市场.项目累计.供求.xlsx</v>
      </c>
    </row>
    <row r="999" spans="1:9">
      <c r="A999" t="str">
        <f>IF(VIPcric_1!A988="","",VIPcric_1!A988)</f>
        <v>时间(年)</v>
      </c>
      <c r="B999" t="str">
        <f>IF(VIPcric_1!B988="","",VIPcric_1!B988)</f>
        <v>供应面积(㎡)</v>
      </c>
      <c r="C999" t="str">
        <f>IF(VIPcric_1!C988="","",VIPcric_1!C988)</f>
        <v>供应套数(套)</v>
      </c>
      <c r="D999" t="str">
        <f>IF(VIPcric_1!D988="","",VIPcric_1!D988)</f>
        <v>成交面积(㎡)</v>
      </c>
      <c r="E999" t="str">
        <f>IF(VIPcric_1!E988="","",VIPcric_1!E988)</f>
        <v>成交套数(套)</v>
      </c>
      <c r="F999" t="str">
        <f>IF(VIPcric_1!F988="","",VIPcric_1!F988)</f>
        <v>成交均价(元/㎡)</v>
      </c>
      <c r="G999" t="str">
        <f>IF(VIPcric_1!G988="","",VIPcric_1!G988)</f>
        <v>成交金额(元)</v>
      </c>
      <c r="H999" t="str">
        <f>IF(VIPcric_1!H988="","",VIPcric_1!H988)</f>
        <v>供求比</v>
      </c>
      <c r="I999" t="str">
        <f>IF(VIPcric_1!M988="","",VIPcric_1!M988)</f>
        <v>CRIC-常州-市场监测.商品房市场.项目累计.供求.xlsx</v>
      </c>
    </row>
    <row r="1000" spans="1:9">
      <c r="A1000" t="str">
        <f>IF(VIPcric_1!A989="","",VIPcric_1!A989)</f>
        <v>2023年</v>
      </c>
      <c r="B1000">
        <f>IF(VIPcric_1!B989="","",VIPcric_1!B989)</f>
        <v>1421402</v>
      </c>
      <c r="C1000">
        <f>IF(VIPcric_1!C989="","",VIPcric_1!C989)</f>
        <v>11569</v>
      </c>
      <c r="D1000">
        <f>IF(VIPcric_1!D989="","",VIPcric_1!D989)</f>
        <v>2124384</v>
      </c>
      <c r="E1000">
        <f>IF(VIPcric_1!E989="","",VIPcric_1!E989)</f>
        <v>16434</v>
      </c>
      <c r="F1000">
        <f>IF(VIPcric_1!F989="","",VIPcric_1!F989)</f>
        <v>16519</v>
      </c>
      <c r="G1000">
        <f>IF(VIPcric_1!G989="","",VIPcric_1!G989)</f>
        <v>35092795957</v>
      </c>
      <c r="H1000">
        <f>IF(VIPcric_1!H989="","",VIPcric_1!H989)</f>
        <v>0.67</v>
      </c>
      <c r="I1000" t="str">
        <f>IF(VIPcric_1!M989="","",VIPcric_1!M989)</f>
        <v>CRIC-常州-市场监测.商品房市场.项目累计.供求.xlsx</v>
      </c>
    </row>
    <row r="1001" spans="1:9">
      <c r="A1001" t="str">
        <f>IF(VIPcric_1!A990="","",VIPcric_1!A990)</f>
        <v>2022年</v>
      </c>
      <c r="B1001">
        <f>IF(VIPcric_1!B990="","",VIPcric_1!B990)</f>
        <v>3193491</v>
      </c>
      <c r="C1001">
        <f>IF(VIPcric_1!C990="","",VIPcric_1!C990)</f>
        <v>24587</v>
      </c>
      <c r="D1001">
        <f>IF(VIPcric_1!D990="","",VIPcric_1!D990)</f>
        <v>2701949</v>
      </c>
      <c r="E1001">
        <f>IF(VIPcric_1!E990="","",VIPcric_1!E990)</f>
        <v>21300</v>
      </c>
      <c r="F1001">
        <f>IF(VIPcric_1!F990="","",VIPcric_1!F990)</f>
        <v>17057</v>
      </c>
      <c r="G1001">
        <f>IF(VIPcric_1!G990="","",VIPcric_1!G990)</f>
        <v>46086867199</v>
      </c>
      <c r="H1001">
        <f>IF(VIPcric_1!H990="","",VIPcric_1!H990)</f>
        <v>1.18</v>
      </c>
      <c r="I1001" t="str">
        <f>IF(VIPcric_1!M990="","",VIPcric_1!M990)</f>
        <v>CRIC-常州-市场监测.商品房市场.项目累计.供求.xlsx</v>
      </c>
    </row>
    <row r="1002" spans="1:9">
      <c r="A1002" t="str">
        <f>IF(VIPcric_1!A991="","",VIPcric_1!A991)</f>
        <v>2021年</v>
      </c>
      <c r="B1002">
        <f>IF(VIPcric_1!B991="","",VIPcric_1!B991)</f>
        <v>7609642</v>
      </c>
      <c r="C1002">
        <f>IF(VIPcric_1!C991="","",VIPcric_1!C991)</f>
        <v>62125</v>
      </c>
      <c r="D1002">
        <f>IF(VIPcric_1!D991="","",VIPcric_1!D991)</f>
        <v>6401704</v>
      </c>
      <c r="E1002">
        <f>IF(VIPcric_1!E991="","",VIPcric_1!E991)</f>
        <v>52591</v>
      </c>
      <c r="F1002">
        <f>IF(VIPcric_1!F991="","",VIPcric_1!F991)</f>
        <v>16801</v>
      </c>
      <c r="G1002">
        <f>IF(VIPcric_1!G991="","",VIPcric_1!G991)</f>
        <v>107555958825</v>
      </c>
      <c r="H1002">
        <f>IF(VIPcric_1!H991="","",VIPcric_1!H991)</f>
        <v>1.19</v>
      </c>
      <c r="I1002" t="str">
        <f>IF(VIPcric_1!M991="","",VIPcric_1!M991)</f>
        <v>CRIC-常州-市场监测.商品房市场.项目累计.供求.xlsx</v>
      </c>
    </row>
    <row r="1003" spans="1:9">
      <c r="A1003" t="str">
        <f>IF(VIPcric_1!A992="","",VIPcric_1!A992)</f>
        <v>2020年</v>
      </c>
      <c r="B1003">
        <f>IF(VIPcric_1!B992="","",VIPcric_1!B992)</f>
        <v>7013160</v>
      </c>
      <c r="C1003">
        <f>IF(VIPcric_1!C992="","",VIPcric_1!C992)</f>
        <v>57666</v>
      </c>
      <c r="D1003">
        <f>IF(VIPcric_1!D992="","",VIPcric_1!D992)</f>
        <v>6940285</v>
      </c>
      <c r="E1003">
        <f>IF(VIPcric_1!E992="","",VIPcric_1!E992)</f>
        <v>55916</v>
      </c>
      <c r="F1003">
        <f>IF(VIPcric_1!F992="","",VIPcric_1!F992)</f>
        <v>16654</v>
      </c>
      <c r="G1003">
        <f>IF(VIPcric_1!G992="","",VIPcric_1!G992)</f>
        <v>115585802717</v>
      </c>
      <c r="H1003">
        <f>IF(VIPcric_1!H992="","",VIPcric_1!H992)</f>
        <v>1.01</v>
      </c>
      <c r="I1003" t="str">
        <f>IF(VIPcric_1!M992="","",VIPcric_1!M992)</f>
        <v>CRIC-常州-市场监测.商品房市场.项目累计.供求.xlsx</v>
      </c>
    </row>
    <row r="1004" spans="1:9">
      <c r="A1004" t="str">
        <f>IF(VIPcric_1!A993="","",VIPcric_1!A993)</f>
        <v>2019年</v>
      </c>
      <c r="B1004">
        <f>IF(VIPcric_1!B993="","",VIPcric_1!B993)</f>
        <v>6491984</v>
      </c>
      <c r="C1004">
        <f>IF(VIPcric_1!C993="","",VIPcric_1!C993)</f>
        <v>51349</v>
      </c>
      <c r="D1004">
        <f>IF(VIPcric_1!D993="","",VIPcric_1!D993)</f>
        <v>6420577</v>
      </c>
      <c r="E1004">
        <f>IF(VIPcric_1!E993="","",VIPcric_1!E993)</f>
        <v>50895</v>
      </c>
      <c r="F1004">
        <f>IF(VIPcric_1!F993="","",VIPcric_1!F993)</f>
        <v>15084</v>
      </c>
      <c r="G1004">
        <f>IF(VIPcric_1!G993="","",VIPcric_1!G993)</f>
        <v>96847601552</v>
      </c>
      <c r="H1004">
        <f>IF(VIPcric_1!H993="","",VIPcric_1!H993)</f>
        <v>1.01</v>
      </c>
      <c r="I1004" t="str">
        <f>IF(VIPcric_1!M993="","",VIPcric_1!M993)</f>
        <v>CRIC-常州-市场监测.商品房市场.项目累计.供求.xlsx</v>
      </c>
    </row>
    <row r="1005" spans="1:9">
      <c r="A1005" t="str">
        <f>IF(VIPcric_1!A994="","",VIPcric_1!A994)</f>
        <v>2018年</v>
      </c>
      <c r="B1005">
        <f>IF(VIPcric_1!B994="","",VIPcric_1!B994)</f>
        <v>7084387</v>
      </c>
      <c r="C1005">
        <f>IF(VIPcric_1!C994="","",VIPcric_1!C994)</f>
        <v>55738</v>
      </c>
      <c r="D1005">
        <f>IF(VIPcric_1!D994="","",VIPcric_1!D994)</f>
        <v>5911330</v>
      </c>
      <c r="E1005">
        <f>IF(VIPcric_1!E994="","",VIPcric_1!E994)</f>
        <v>47070</v>
      </c>
      <c r="F1005">
        <f>IF(VIPcric_1!F994="","",VIPcric_1!F994)</f>
        <v>13080</v>
      </c>
      <c r="G1005">
        <f>IF(VIPcric_1!G994="","",VIPcric_1!G994)</f>
        <v>77317404040</v>
      </c>
      <c r="H1005">
        <f>IF(VIPcric_1!H994="","",VIPcric_1!H994)</f>
        <v>1.2</v>
      </c>
      <c r="I1005" t="str">
        <f>IF(VIPcric_1!M994="","",VIPcric_1!M994)</f>
        <v>CRIC-常州-市场监测.商品房市场.项目累计.供求.xlsx</v>
      </c>
    </row>
    <row r="1006" spans="1:9">
      <c r="A1006" t="str">
        <f>IF(VIPcric_1!A995="","",VIPcric_1!A995)</f>
        <v>汇总</v>
      </c>
      <c r="B1006">
        <f>IF(VIPcric_1!B995="","",VIPcric_1!B995)</f>
        <v>32814067</v>
      </c>
      <c r="C1006">
        <f>IF(VIPcric_1!C995="","",VIPcric_1!C995)</f>
        <v>263034</v>
      </c>
      <c r="D1006">
        <f>IF(VIPcric_1!D995="","",VIPcric_1!D995)</f>
        <v>30500229</v>
      </c>
      <c r="E1006">
        <f>IF(VIPcric_1!E995="","",VIPcric_1!E995)</f>
        <v>244206</v>
      </c>
      <c r="F1006">
        <f>IF(VIPcric_1!F995="","",VIPcric_1!F995)</f>
        <v>15688</v>
      </c>
      <c r="G1006">
        <f>IF(VIPcric_1!G995="","",VIPcric_1!G995)</f>
        <v>478486430291</v>
      </c>
      <c r="H1006">
        <f>IF(VIPcric_1!H995="","",VIPcric_1!H995)</f>
        <v>1.08</v>
      </c>
      <c r="I1006" t="str">
        <f>IF(VIPcric_1!M995="","",VIPcric_1!M995)</f>
        <v>CRIC-常州-市场监测.商品房市场.项目累计.供求.xlsx</v>
      </c>
    </row>
    <row r="1007" spans="1:9">
      <c r="A1007" t="str">
        <f>IF(VIPcric_1!A996="","",VIPcric_1!A996)</f>
        <v/>
      </c>
      <c r="B1007" t="str">
        <f>IF(VIPcric_1!B996="","",VIPcric_1!B996)</f>
        <v/>
      </c>
      <c r="C1007" t="str">
        <f>IF(VIPcric_1!C996="","",VIPcric_1!C996)</f>
        <v/>
      </c>
      <c r="D1007" t="str">
        <f>IF(VIPcric_1!D996="","",VIPcric_1!D996)</f>
        <v/>
      </c>
      <c r="E1007" t="str">
        <f>IF(VIPcric_1!E996="","",VIPcric_1!E996)</f>
        <v/>
      </c>
      <c r="F1007" t="str">
        <f>IF(VIPcric_1!F996="","",VIPcric_1!F996)</f>
        <v/>
      </c>
      <c r="G1007" t="str">
        <f>IF(VIPcric_1!G996="","",VIPcric_1!G996)</f>
        <v/>
      </c>
      <c r="H1007" t="str">
        <f>IF(VIPcric_1!H996="","",VIPcric_1!H996)</f>
        <v/>
      </c>
      <c r="I1007" t="str">
        <f>IF(VIPcric_1!M996="","",VIPcric_1!M996)</f>
        <v/>
      </c>
    </row>
    <row r="1008" spans="1:9">
      <c r="A1008" t="str">
        <f>IF(VIPcric_1!A997="","",VIPcric_1!A997)</f>
        <v/>
      </c>
      <c r="B1008" t="str">
        <f>IF(VIPcric_1!B997="","",VIPcric_1!B997)</f>
        <v/>
      </c>
      <c r="C1008" t="str">
        <f>IF(VIPcric_1!C997="","",VIPcric_1!C997)</f>
        <v/>
      </c>
      <c r="D1008" t="str">
        <f>IF(VIPcric_1!D997="","",VIPcric_1!D997)</f>
        <v/>
      </c>
      <c r="E1008" t="str">
        <f>IF(VIPcric_1!E997="","",VIPcric_1!E997)</f>
        <v/>
      </c>
      <c r="F1008" t="str">
        <f>IF(VIPcric_1!F997="","",VIPcric_1!F997)</f>
        <v/>
      </c>
      <c r="G1008" t="str">
        <f>IF(VIPcric_1!G997="","",VIPcric_1!G997)</f>
        <v/>
      </c>
      <c r="H1008" t="str">
        <f>IF(VIPcric_1!H997="","",VIPcric_1!H997)</f>
        <v/>
      </c>
      <c r="I1008" t="str">
        <f>IF(VIPcric_1!M997="","",VIPcric_1!M997)</f>
        <v>CRIC-常州-市场监测.商品房市场.项目累计.库存.xlsx</v>
      </c>
    </row>
    <row r="1009" spans="1:9">
      <c r="A1009" t="str">
        <f>IF(VIPcric_1!A998="","",VIPcric_1!A998)</f>
        <v>时间(年)</v>
      </c>
      <c r="B1009" t="str">
        <f>IF(VIPcric_1!B998="","",VIPcric_1!B998)</f>
        <v>库存面积(㎡)</v>
      </c>
      <c r="C1009" t="str">
        <f>IF(VIPcric_1!C998="","",VIPcric_1!C998)</f>
        <v>库存套数(套)</v>
      </c>
      <c r="D1009" t="str">
        <f>IF(VIPcric_1!D998="","",VIPcric_1!D998)</f>
        <v>去化周期12'(月)</v>
      </c>
      <c r="E1009" t="str">
        <f>IF(VIPcric_1!E998="","",VIPcric_1!E998)</f>
        <v>去化周期24'(月)</v>
      </c>
      <c r="F1009" t="str">
        <f>IF(VIPcric_1!F998="","",VIPcric_1!F998)</f>
        <v/>
      </c>
      <c r="G1009" t="str">
        <f>IF(VIPcric_1!G998="","",VIPcric_1!G998)</f>
        <v/>
      </c>
      <c r="H1009" t="str">
        <f>IF(VIPcric_1!H998="","",VIPcric_1!H998)</f>
        <v/>
      </c>
      <c r="I1009" t="str">
        <f>IF(VIPcric_1!M998="","",VIPcric_1!M998)</f>
        <v>CRIC-常州-市场监测.商品房市场.项目累计.库存.xlsx</v>
      </c>
    </row>
    <row r="1010" spans="1:9">
      <c r="A1010" t="str">
        <f>IF(VIPcric_1!A999="","",VIPcric_1!A999)</f>
        <v>2024年</v>
      </c>
      <c r="B1010">
        <f>IF(VIPcric_1!B999="","",VIPcric_1!B999)</f>
        <v>4474723</v>
      </c>
      <c r="C1010">
        <f>IF(VIPcric_1!C999="","",VIPcric_1!C999)</f>
        <v>35681</v>
      </c>
      <c r="D1010">
        <f>IF(VIPcric_1!D999="","",VIPcric_1!D999)</f>
        <v>27.5</v>
      </c>
      <c r="E1010">
        <f>IF(VIPcric_1!E999="","",VIPcric_1!E999)</f>
        <v>23.5</v>
      </c>
      <c r="F1010" t="str">
        <f>IF(VIPcric_1!F999="","",VIPcric_1!F999)</f>
        <v/>
      </c>
      <c r="G1010" t="str">
        <f>IF(VIPcric_1!G999="","",VIPcric_1!G999)</f>
        <v/>
      </c>
      <c r="H1010" t="str">
        <f>IF(VIPcric_1!H999="","",VIPcric_1!H999)</f>
        <v/>
      </c>
      <c r="I1010" t="str">
        <f>IF(VIPcric_1!M999="","",VIPcric_1!M999)</f>
        <v>CRIC-常州-市场监测.商品房市场.项目累计.库存.xlsx</v>
      </c>
    </row>
    <row r="1011" spans="1:9">
      <c r="A1011" t="str">
        <f>IF(VIPcric_1!A1000="","",VIPcric_1!A1000)</f>
        <v>2023年</v>
      </c>
      <c r="B1011">
        <f>IF(VIPcric_1!B1000="","",VIPcric_1!B1000)</f>
        <v>4559915</v>
      </c>
      <c r="C1011">
        <f>IF(VIPcric_1!C1000="","",VIPcric_1!C1000)</f>
        <v>36292</v>
      </c>
      <c r="D1011">
        <f>IF(VIPcric_1!D1000="","",VIPcric_1!D1000)</f>
        <v>25.8</v>
      </c>
      <c r="E1011">
        <f>IF(VIPcric_1!E1000="","",VIPcric_1!E1000)</f>
        <v>22.7</v>
      </c>
      <c r="F1011" t="str">
        <f>IF(VIPcric_1!F1000="","",VIPcric_1!F1000)</f>
        <v/>
      </c>
      <c r="G1011" t="str">
        <f>IF(VIPcric_1!G1000="","",VIPcric_1!G1000)</f>
        <v/>
      </c>
      <c r="H1011" t="str">
        <f>IF(VIPcric_1!H1000="","",VIPcric_1!H1000)</f>
        <v/>
      </c>
      <c r="I1011" t="str">
        <f>IF(VIPcric_1!M1000="","",VIPcric_1!M1000)</f>
        <v>CRIC-常州-市场监测.商品房市场.项目累计.库存.xlsx</v>
      </c>
    </row>
    <row r="1012" spans="1:9">
      <c r="A1012" t="str">
        <f>IF(VIPcric_1!A1001="","",VIPcric_1!A1001)</f>
        <v>2022年</v>
      </c>
      <c r="B1012">
        <f>IF(VIPcric_1!B1001="","",VIPcric_1!B1001)</f>
        <v>5134810</v>
      </c>
      <c r="C1012">
        <f>IF(VIPcric_1!C1001="","",VIPcric_1!C1001)</f>
        <v>40251</v>
      </c>
      <c r="D1012">
        <f>IF(VIPcric_1!D1001="","",VIPcric_1!D1001)</f>
        <v>22.8</v>
      </c>
      <c r="E1012">
        <f>IF(VIPcric_1!E1001="","",VIPcric_1!E1001)</f>
        <v>13.5</v>
      </c>
      <c r="F1012" t="str">
        <f>IF(VIPcric_1!F1001="","",VIPcric_1!F1001)</f>
        <v/>
      </c>
      <c r="G1012" t="str">
        <f>IF(VIPcric_1!G1001="","",VIPcric_1!G1001)</f>
        <v/>
      </c>
      <c r="H1012" t="str">
        <f>IF(VIPcric_1!H1001="","",VIPcric_1!H1001)</f>
        <v/>
      </c>
      <c r="I1012" t="str">
        <f>IF(VIPcric_1!M1001="","",VIPcric_1!M1001)</f>
        <v>CRIC-常州-市场监测.商品房市场.项目累计.库存.xlsx</v>
      </c>
    </row>
    <row r="1013" spans="1:9">
      <c r="A1013" t="str">
        <f>IF(VIPcric_1!A1002="","",VIPcric_1!A1002)</f>
        <v>2021年</v>
      </c>
      <c r="B1013">
        <f>IF(VIPcric_1!B1002="","",VIPcric_1!B1002)</f>
        <v>4634065</v>
      </c>
      <c r="C1013">
        <f>IF(VIPcric_1!C1002="","",VIPcric_1!C1002)</f>
        <v>37067</v>
      </c>
      <c r="D1013">
        <f>IF(VIPcric_1!D1002="","",VIPcric_1!D1002)</f>
        <v>8.6999999999999993</v>
      </c>
      <c r="E1013">
        <f>IF(VIPcric_1!E1002="","",VIPcric_1!E1002)</f>
        <v>8.3000000000000007</v>
      </c>
      <c r="F1013" t="str">
        <f>IF(VIPcric_1!F1002="","",VIPcric_1!F1002)</f>
        <v/>
      </c>
      <c r="G1013" t="str">
        <f>IF(VIPcric_1!G1002="","",VIPcric_1!G1002)</f>
        <v/>
      </c>
      <c r="H1013" t="str">
        <f>IF(VIPcric_1!H1002="","",VIPcric_1!H1002)</f>
        <v/>
      </c>
      <c r="I1013" t="str">
        <f>IF(VIPcric_1!M1002="","",VIPcric_1!M1002)</f>
        <v>CRIC-常州-市场监测.商品房市场.项目累计.库存.xlsx</v>
      </c>
    </row>
    <row r="1014" spans="1:9">
      <c r="A1014" t="str">
        <f>IF(VIPcric_1!A1003="","",VIPcric_1!A1003)</f>
        <v>2020年</v>
      </c>
      <c r="B1014">
        <f>IF(VIPcric_1!B1003="","",VIPcric_1!B1003)</f>
        <v>3548919</v>
      </c>
      <c r="C1014">
        <f>IF(VIPcric_1!C1003="","",VIPcric_1!C1003)</f>
        <v>28401</v>
      </c>
      <c r="D1014">
        <f>IF(VIPcric_1!D1003="","",VIPcric_1!D1003)</f>
        <v>6.1</v>
      </c>
      <c r="E1014">
        <f>IF(VIPcric_1!E1003="","",VIPcric_1!E1003)</f>
        <v>6.4</v>
      </c>
      <c r="F1014" t="str">
        <f>IF(VIPcric_1!F1003="","",VIPcric_1!F1003)</f>
        <v/>
      </c>
      <c r="G1014" t="str">
        <f>IF(VIPcric_1!G1003="","",VIPcric_1!G1003)</f>
        <v/>
      </c>
      <c r="H1014" t="str">
        <f>IF(VIPcric_1!H1003="","",VIPcric_1!H1003)</f>
        <v/>
      </c>
      <c r="I1014" t="str">
        <f>IF(VIPcric_1!M1003="","",VIPcric_1!M1003)</f>
        <v>CRIC-常州-市场监测.商品房市场.项目累计.库存.xlsx</v>
      </c>
    </row>
    <row r="1015" spans="1:9">
      <c r="A1015" t="str">
        <f>IF(VIPcric_1!A1004="","",VIPcric_1!A1004)</f>
        <v>2019年</v>
      </c>
      <c r="B1015">
        <f>IF(VIPcric_1!B1004="","",VIPcric_1!B1004)</f>
        <v>3525243</v>
      </c>
      <c r="C1015">
        <f>IF(VIPcric_1!C1004="","",VIPcric_1!C1004)</f>
        <v>27140</v>
      </c>
      <c r="D1015">
        <f>IF(VIPcric_1!D1004="","",VIPcric_1!D1004)</f>
        <v>6.6</v>
      </c>
      <c r="E1015">
        <f>IF(VIPcric_1!E1004="","",VIPcric_1!E1004)</f>
        <v>6.9</v>
      </c>
      <c r="F1015" t="str">
        <f>IF(VIPcric_1!F1004="","",VIPcric_1!F1004)</f>
        <v/>
      </c>
      <c r="G1015" t="str">
        <f>IF(VIPcric_1!G1004="","",VIPcric_1!G1004)</f>
        <v/>
      </c>
      <c r="H1015" t="str">
        <f>IF(VIPcric_1!H1004="","",VIPcric_1!H1004)</f>
        <v/>
      </c>
      <c r="I1015" t="str">
        <f>IF(VIPcric_1!M1004="","",VIPcric_1!M1004)</f>
        <v>CRIC-常州-市场监测.商品房市场.项目累计.库存.xlsx</v>
      </c>
    </row>
    <row r="1016" spans="1:9">
      <c r="A1016" t="str">
        <f>IF(VIPcric_1!A1005="","",VIPcric_1!A1005)</f>
        <v/>
      </c>
      <c r="B1016" t="str">
        <f>IF(VIPcric_1!B1005="","",VIPcric_1!B1005)</f>
        <v/>
      </c>
      <c r="C1016" t="str">
        <f>IF(VIPcric_1!C1005="","",VIPcric_1!C1005)</f>
        <v/>
      </c>
      <c r="D1016" t="str">
        <f>IF(VIPcric_1!D1005="","",VIPcric_1!D1005)</f>
        <v/>
      </c>
      <c r="E1016" t="str">
        <f>IF(VIPcric_1!E1005="","",VIPcric_1!E1005)</f>
        <v/>
      </c>
      <c r="F1016" t="str">
        <f>IF(VIPcric_1!F1005="","",VIPcric_1!F1005)</f>
        <v/>
      </c>
      <c r="G1016" t="str">
        <f>IF(VIPcric_1!G1005="","",VIPcric_1!G1005)</f>
        <v/>
      </c>
      <c r="H1016" t="str">
        <f>IF(VIPcric_1!H1005="","",VIPcric_1!H1005)</f>
        <v/>
      </c>
      <c r="I1016" t="str">
        <f>IF(VIPcric_1!M1005="","",VIPcric_1!M1005)</f>
        <v/>
      </c>
    </row>
    <row r="1017" spans="1:9">
      <c r="A1017" t="str">
        <f>IF(VIPcric_1!A1006="","",VIPcric_1!A1006)</f>
        <v/>
      </c>
      <c r="B1017" t="str">
        <f>IF(VIPcric_1!B1006="","",VIPcric_1!B1006)</f>
        <v/>
      </c>
      <c r="C1017" t="str">
        <f>IF(VIPcric_1!C1006="","",VIPcric_1!C1006)</f>
        <v/>
      </c>
      <c r="D1017" t="str">
        <f>IF(VIPcric_1!D1006="","",VIPcric_1!D1006)</f>
        <v/>
      </c>
      <c r="E1017" t="str">
        <f>IF(VIPcric_1!E1006="","",VIPcric_1!E1006)</f>
        <v/>
      </c>
      <c r="F1017" t="str">
        <f>IF(VIPcric_1!F1006="","",VIPcric_1!F1006)</f>
        <v/>
      </c>
      <c r="G1017" t="str">
        <f>IF(VIPcric_1!G1006="","",VIPcric_1!G1006)</f>
        <v/>
      </c>
      <c r="H1017" t="str">
        <f>IF(VIPcric_1!H1006="","",VIPcric_1!H1006)</f>
        <v/>
      </c>
      <c r="I1017" t="str">
        <f>IF(VIPcric_1!M1006="","",VIPcric_1!M1006)</f>
        <v>CRIC-常德-市场监测.商品房市场.城市总量.xlsx</v>
      </c>
    </row>
    <row r="1018" spans="1:9">
      <c r="A1018" t="str">
        <f>IF(VIPcric_1!A1007="","",VIPcric_1!A1007)</f>
        <v>时间(年)</v>
      </c>
      <c r="B1018" t="str">
        <f>IF(VIPcric_1!B1007="","",VIPcric_1!B1007)</f>
        <v>成交面积(㎡)</v>
      </c>
      <c r="C1018" t="str">
        <f>IF(VIPcric_1!C1007="","",VIPcric_1!C1007)</f>
        <v>成交套数(套)</v>
      </c>
      <c r="D1018" t="str">
        <f>IF(VIPcric_1!D1007="","",VIPcric_1!D1007)</f>
        <v>成交均价(元)</v>
      </c>
      <c r="E1018" t="str">
        <f>IF(VIPcric_1!E1007="","",VIPcric_1!E1007)</f>
        <v>成交金额(元)</v>
      </c>
      <c r="F1018" t="s">
        <v>857</v>
      </c>
      <c r="G1018" t="str">
        <f>IF(VIPcric_1!G1007="","",VIPcric_1!G1007)</f>
        <v/>
      </c>
      <c r="H1018" t="str">
        <f>IF(VIPcric_1!H1007="","",VIPcric_1!H1007)</f>
        <v/>
      </c>
      <c r="I1018" t="str">
        <f>IF(VIPcric_1!M1007="","",VIPcric_1!M1007)</f>
        <v>CRIC-常德-市场监测.商品房市场.城市总量.xlsx</v>
      </c>
    </row>
    <row r="1019" spans="1:9">
      <c r="A1019" t="str">
        <f>IF(VIPcric_1!A1008="","",VIPcric_1!A1008)</f>
        <v>2024年</v>
      </c>
      <c r="B1019">
        <f>IF(VIPcric_1!B1008="","",VIPcric_1!B1008)</f>
        <v>0</v>
      </c>
      <c r="C1019">
        <f>IF(VIPcric_1!C1008="","",VIPcric_1!C1008)</f>
        <v>0</v>
      </c>
      <c r="D1019">
        <f>IF(VIPcric_1!D1008="","",VIPcric_1!D1008)</f>
        <v>0</v>
      </c>
      <c r="E1019">
        <f>IF(VIPcric_1!E1008="","",VIPcric_1!E1008)</f>
        <v>0</v>
      </c>
      <c r="F1019" t="str">
        <f>IF(VIPcric_1!F1008="","",VIPcric_1!F1008)</f>
        <v/>
      </c>
      <c r="G1019" t="str">
        <f>IF(VIPcric_1!G1008="","",VIPcric_1!G1008)</f>
        <v/>
      </c>
      <c r="H1019" t="str">
        <f>IF(VIPcric_1!H1008="","",VIPcric_1!H1008)</f>
        <v/>
      </c>
      <c r="I1019" t="str">
        <f>IF(VIPcric_1!M1008="","",VIPcric_1!M1008)</f>
        <v>CRIC-常德-市场监测.商品房市场.城市总量.xlsx</v>
      </c>
    </row>
    <row r="1020" spans="1:9">
      <c r="A1020" t="str">
        <f>IF(VIPcric_1!A1009="","",VIPcric_1!A1009)</f>
        <v>2023年</v>
      </c>
      <c r="B1020">
        <f>IF(VIPcric_1!B1009="","",VIPcric_1!B1009)</f>
        <v>612105</v>
      </c>
      <c r="C1020">
        <f>IF(VIPcric_1!C1009="","",VIPcric_1!C1009)</f>
        <v>5735</v>
      </c>
      <c r="D1020">
        <f>IF(VIPcric_1!D1009="","",VIPcric_1!D1009)</f>
        <v>6487</v>
      </c>
      <c r="E1020">
        <f>IF(VIPcric_1!E1009="","",VIPcric_1!E1009)</f>
        <v>3970626408</v>
      </c>
      <c r="F1020" s="38">
        <f>B1029/B1020*12</f>
        <v>8.2120028426495448</v>
      </c>
      <c r="G1020" t="str">
        <f>IF(VIPcric_1!G1009="","",VIPcric_1!G1009)</f>
        <v/>
      </c>
      <c r="H1020" t="str">
        <f>IF(VIPcric_1!H1009="","",VIPcric_1!H1009)</f>
        <v/>
      </c>
      <c r="I1020" t="str">
        <f>IF(VIPcric_1!M1009="","",VIPcric_1!M1009)</f>
        <v>CRIC-常德-市场监测.商品房市场.城市总量.xlsx</v>
      </c>
    </row>
    <row r="1021" spans="1:9">
      <c r="A1021" t="str">
        <f>IF(VIPcric_1!A1010="","",VIPcric_1!A1010)</f>
        <v>2022年</v>
      </c>
      <c r="B1021">
        <f>IF(VIPcric_1!B1010="","",VIPcric_1!B1010)</f>
        <v>1087790</v>
      </c>
      <c r="C1021">
        <f>IF(VIPcric_1!C1010="","",VIPcric_1!C1010)</f>
        <v>9922</v>
      </c>
      <c r="D1021">
        <f>IF(VIPcric_1!D1010="","",VIPcric_1!D1010)</f>
        <v>6449</v>
      </c>
      <c r="E1021">
        <f>IF(VIPcric_1!E1010="","",VIPcric_1!E1010)</f>
        <v>7014669795</v>
      </c>
      <c r="F1021" t="str">
        <f>IF(VIPcric_1!F1010="","",VIPcric_1!F1010)</f>
        <v/>
      </c>
      <c r="G1021" t="str">
        <f>IF(VIPcric_1!G1010="","",VIPcric_1!G1010)</f>
        <v/>
      </c>
      <c r="H1021" t="str">
        <f>IF(VIPcric_1!H1010="","",VIPcric_1!H1010)</f>
        <v/>
      </c>
      <c r="I1021" t="str">
        <f>IF(VIPcric_1!M1010="","",VIPcric_1!M1010)</f>
        <v>CRIC-常德-市场监测.商品房市场.城市总量.xlsx</v>
      </c>
    </row>
    <row r="1022" spans="1:9">
      <c r="A1022" t="str">
        <f>IF(VIPcric_1!A1011="","",VIPcric_1!A1011)</f>
        <v>2021年</v>
      </c>
      <c r="B1022">
        <f>IF(VIPcric_1!B1011="","",VIPcric_1!B1011)</f>
        <v>2342528</v>
      </c>
      <c r="C1022">
        <f>IF(VIPcric_1!C1011="","",VIPcric_1!C1011)</f>
        <v>21542</v>
      </c>
      <c r="D1022">
        <f>IF(VIPcric_1!D1011="","",VIPcric_1!D1011)</f>
        <v>6776</v>
      </c>
      <c r="E1022">
        <f>IF(VIPcric_1!E1011="","",VIPcric_1!E1011)</f>
        <v>15873005590</v>
      </c>
      <c r="F1022" t="str">
        <f>IF(VIPcric_1!F1011="","",VIPcric_1!F1011)</f>
        <v/>
      </c>
      <c r="G1022" t="str">
        <f>IF(VIPcric_1!G1011="","",VIPcric_1!G1011)</f>
        <v/>
      </c>
      <c r="H1022" t="str">
        <f>IF(VIPcric_1!H1011="","",VIPcric_1!H1011)</f>
        <v/>
      </c>
      <c r="I1022" t="str">
        <f>IF(VIPcric_1!M1011="","",VIPcric_1!M1011)</f>
        <v>CRIC-常德-市场监测.商品房市场.城市总量.xlsx</v>
      </c>
    </row>
    <row r="1023" spans="1:9">
      <c r="A1023" t="str">
        <f>IF(VIPcric_1!A1012="","",VIPcric_1!A1012)</f>
        <v>2020年</v>
      </c>
      <c r="B1023">
        <f>IF(VIPcric_1!B1012="","",VIPcric_1!B1012)</f>
        <v>2845390</v>
      </c>
      <c r="C1023">
        <f>IF(VIPcric_1!C1012="","",VIPcric_1!C1012)</f>
        <v>26375</v>
      </c>
      <c r="D1023">
        <f>IF(VIPcric_1!D1012="","",VIPcric_1!D1012)</f>
        <v>7099</v>
      </c>
      <c r="E1023">
        <f>IF(VIPcric_1!E1012="","",VIPcric_1!E1012)</f>
        <v>20198776347</v>
      </c>
      <c r="F1023" t="str">
        <f>IF(VIPcric_1!F1012="","",VIPcric_1!F1012)</f>
        <v/>
      </c>
      <c r="G1023" t="str">
        <f>IF(VIPcric_1!G1012="","",VIPcric_1!G1012)</f>
        <v/>
      </c>
      <c r="H1023" t="str">
        <f>IF(VIPcric_1!H1012="","",VIPcric_1!H1012)</f>
        <v/>
      </c>
      <c r="I1023" t="str">
        <f>IF(VIPcric_1!M1012="","",VIPcric_1!M1012)</f>
        <v>CRIC-常德-市场监测.商品房市场.城市总量.xlsx</v>
      </c>
    </row>
    <row r="1024" spans="1:9">
      <c r="A1024" t="str">
        <f>IF(VIPcric_1!A1013="","",VIPcric_1!A1013)</f>
        <v>2019年</v>
      </c>
      <c r="B1024">
        <f>IF(VIPcric_1!B1013="","",VIPcric_1!B1013)</f>
        <v>3434333</v>
      </c>
      <c r="C1024">
        <f>IF(VIPcric_1!C1013="","",VIPcric_1!C1013)</f>
        <v>29208</v>
      </c>
      <c r="D1024">
        <f>IF(VIPcric_1!D1013="","",VIPcric_1!D1013)</f>
        <v>6282</v>
      </c>
      <c r="E1024">
        <f>IF(VIPcric_1!E1013="","",VIPcric_1!E1013)</f>
        <v>21575910735</v>
      </c>
      <c r="F1024" t="str">
        <f>IF(VIPcric_1!F1013="","",VIPcric_1!F1013)</f>
        <v/>
      </c>
      <c r="G1024" t="str">
        <f>IF(VIPcric_1!G1013="","",VIPcric_1!G1013)</f>
        <v/>
      </c>
      <c r="H1024" t="str">
        <f>IF(VIPcric_1!H1013="","",VIPcric_1!H1013)</f>
        <v/>
      </c>
      <c r="I1024" t="str">
        <f>IF(VIPcric_1!M1013="","",VIPcric_1!M1013)</f>
        <v>CRIC-常德-市场监测.商品房市场.城市总量.xlsx</v>
      </c>
    </row>
    <row r="1025" spans="1:9">
      <c r="A1025" t="str">
        <f>IF(VIPcric_1!A1014="","",VIPcric_1!A1014)</f>
        <v>汇总</v>
      </c>
      <c r="B1025">
        <f>IF(VIPcric_1!B1014="","",VIPcric_1!B1014)</f>
        <v>10322146</v>
      </c>
      <c r="C1025">
        <f>IF(VIPcric_1!C1014="","",VIPcric_1!C1014)</f>
        <v>92782</v>
      </c>
      <c r="D1025">
        <f>IF(VIPcric_1!D1014="","",VIPcric_1!D1014)</f>
        <v>6649</v>
      </c>
      <c r="E1025">
        <f>IF(VIPcric_1!E1014="","",VIPcric_1!E1014)</f>
        <v>68632988874</v>
      </c>
      <c r="F1025" t="str">
        <f>IF(VIPcric_1!F1014="","",VIPcric_1!F1014)</f>
        <v/>
      </c>
      <c r="G1025" t="str">
        <f>IF(VIPcric_1!G1014="","",VIPcric_1!G1014)</f>
        <v/>
      </c>
      <c r="H1025" t="str">
        <f>IF(VIPcric_1!H1014="","",VIPcric_1!H1014)</f>
        <v/>
      </c>
      <c r="I1025" t="str">
        <f>IF(VIPcric_1!M1014="","",VIPcric_1!M1014)</f>
        <v>CRIC-常德-市场监测.商品房市场.城市总量.xlsx</v>
      </c>
    </row>
    <row r="1026" spans="1:9">
      <c r="A1026" t="str">
        <f>IF(VIPcric_1!A1015="","",VIPcric_1!A1015)</f>
        <v/>
      </c>
      <c r="B1026" t="str">
        <f>IF(VIPcric_1!B1015="","",VIPcric_1!B1015)</f>
        <v/>
      </c>
      <c r="C1026" t="str">
        <f>IF(VIPcric_1!C1015="","",VIPcric_1!C1015)</f>
        <v/>
      </c>
      <c r="D1026" t="str">
        <f>IF(VIPcric_1!D1015="","",VIPcric_1!D1015)</f>
        <v/>
      </c>
      <c r="E1026" t="str">
        <f>IF(VIPcric_1!E1015="","",VIPcric_1!E1015)</f>
        <v/>
      </c>
      <c r="F1026" t="str">
        <f>IF(VIPcric_1!F1015="","",VIPcric_1!F1015)</f>
        <v/>
      </c>
      <c r="G1026" t="str">
        <f>IF(VIPcric_1!G1015="","",VIPcric_1!G1015)</f>
        <v/>
      </c>
      <c r="H1026" t="str">
        <f>IF(VIPcric_1!H1015="","",VIPcric_1!H1015)</f>
        <v/>
      </c>
      <c r="I1026" t="str">
        <f>IF(VIPcric_1!M1015="","",VIPcric_1!M1015)</f>
        <v/>
      </c>
    </row>
    <row r="1027" spans="1:9">
      <c r="A1027" t="str">
        <f>IF(VIPcric_1!A1016="","",VIPcric_1!A1016)</f>
        <v/>
      </c>
      <c r="B1027" t="str">
        <f>IF(VIPcric_1!B1016="","",VIPcric_1!B1016)</f>
        <v/>
      </c>
      <c r="C1027" t="str">
        <f>IF(VIPcric_1!C1016="","",VIPcric_1!C1016)</f>
        <v/>
      </c>
      <c r="D1027" t="str">
        <f>IF(VIPcric_1!D1016="","",VIPcric_1!D1016)</f>
        <v/>
      </c>
      <c r="E1027" t="str">
        <f>IF(VIPcric_1!E1016="","",VIPcric_1!E1016)</f>
        <v/>
      </c>
      <c r="F1027" t="str">
        <f>IF(VIPcric_1!F1016="","",VIPcric_1!F1016)</f>
        <v/>
      </c>
      <c r="G1027" t="str">
        <f>IF(VIPcric_1!G1016="","",VIPcric_1!G1016)</f>
        <v/>
      </c>
      <c r="H1027" t="str">
        <f>IF(VIPcric_1!H1016="","",VIPcric_1!H1016)</f>
        <v/>
      </c>
      <c r="I1027" t="str">
        <f>IF(VIPcric_1!M1016="","",VIPcric_1!M1016)</f>
        <v>CRIC-常德-市场监测.商品房市场.项目累计.供求 (1).xlsx</v>
      </c>
    </row>
    <row r="1028" spans="1:9">
      <c r="A1028" t="str">
        <f>IF(VIPcric_1!A1017="","",VIPcric_1!A1017)</f>
        <v>时间(年)</v>
      </c>
      <c r="B1028" t="str">
        <f>IF(VIPcric_1!B1017="","",VIPcric_1!B1017)</f>
        <v>供应面积(㎡)</v>
      </c>
      <c r="C1028" t="str">
        <f>IF(VIPcric_1!C1017="","",VIPcric_1!C1017)</f>
        <v>供应套数(套)</v>
      </c>
      <c r="D1028" t="str">
        <f>IF(VIPcric_1!D1017="","",VIPcric_1!D1017)</f>
        <v>成交面积(㎡)</v>
      </c>
      <c r="E1028" t="str">
        <f>IF(VIPcric_1!E1017="","",VIPcric_1!E1017)</f>
        <v>成交套数(套)</v>
      </c>
      <c r="F1028" t="str">
        <f>IF(VIPcric_1!F1017="","",VIPcric_1!F1017)</f>
        <v>成交均价(元/㎡)</v>
      </c>
      <c r="G1028" t="str">
        <f>IF(VIPcric_1!G1017="","",VIPcric_1!G1017)</f>
        <v>成交金额(元)</v>
      </c>
      <c r="H1028" t="str">
        <f>IF(VIPcric_1!H1017="","",VIPcric_1!H1017)</f>
        <v>供求比</v>
      </c>
      <c r="I1028" t="str">
        <f>IF(VIPcric_1!M1017="","",VIPcric_1!M1017)</f>
        <v>CRIC-常德-市场监测.商品房市场.项目累计.供求 (1).xlsx</v>
      </c>
    </row>
    <row r="1029" spans="1:9">
      <c r="A1029" t="str">
        <f>IF(VIPcric_1!A1018="","",VIPcric_1!A1018)</f>
        <v>2022年</v>
      </c>
      <c r="B1029">
        <f>IF(VIPcric_1!B1018="","",VIPcric_1!B1018)</f>
        <v>418884</v>
      </c>
      <c r="C1029">
        <f>IF(VIPcric_1!C1018="","",VIPcric_1!C1018)</f>
        <v>3633</v>
      </c>
      <c r="D1029">
        <f>IF(VIPcric_1!D1018="","",VIPcric_1!D1018)</f>
        <v>876430</v>
      </c>
      <c r="E1029">
        <f>IF(VIPcric_1!E1018="","",VIPcric_1!E1018)</f>
        <v>7257</v>
      </c>
      <c r="F1029">
        <f>IF(VIPcric_1!F1018="","",VIPcric_1!F1018)</f>
        <v>5912</v>
      </c>
      <c r="G1029">
        <f>IF(VIPcric_1!G1018="","",VIPcric_1!G1018)</f>
        <v>5181107837</v>
      </c>
      <c r="H1029">
        <f>IF(VIPcric_1!H1018="","",VIPcric_1!H1018)</f>
        <v>0.48</v>
      </c>
      <c r="I1029" t="str">
        <f>IF(VIPcric_1!M1018="","",VIPcric_1!M1018)</f>
        <v>CRIC-常德-市场监测.商品房市场.项目累计.供求 (1).xlsx</v>
      </c>
    </row>
    <row r="1030" spans="1:9">
      <c r="A1030" t="str">
        <f>IF(VIPcric_1!A1019="","",VIPcric_1!A1019)</f>
        <v>2021年</v>
      </c>
      <c r="B1030">
        <f>IF(VIPcric_1!B1019="","",VIPcric_1!B1019)</f>
        <v>1585465</v>
      </c>
      <c r="C1030">
        <f>IF(VIPcric_1!C1019="","",VIPcric_1!C1019)</f>
        <v>13368</v>
      </c>
      <c r="D1030">
        <f>IF(VIPcric_1!D1019="","",VIPcric_1!D1019)</f>
        <v>2330889</v>
      </c>
      <c r="E1030">
        <f>IF(VIPcric_1!E1019="","",VIPcric_1!E1019)</f>
        <v>19516</v>
      </c>
      <c r="F1030">
        <f>IF(VIPcric_1!F1019="","",VIPcric_1!F1019)</f>
        <v>6157</v>
      </c>
      <c r="G1030">
        <f>IF(VIPcric_1!G1019="","",VIPcric_1!G1019)</f>
        <v>14350549187</v>
      </c>
      <c r="H1030">
        <f>IF(VIPcric_1!H1019="","",VIPcric_1!H1019)</f>
        <v>0.68</v>
      </c>
      <c r="I1030" t="str">
        <f>IF(VIPcric_1!M1019="","",VIPcric_1!M1019)</f>
        <v>CRIC-常德-市场监测.商品房市场.项目累计.供求 (1).xlsx</v>
      </c>
    </row>
    <row r="1031" spans="1:9">
      <c r="A1031" t="str">
        <f>IF(VIPcric_1!A1020="","",VIPcric_1!A1020)</f>
        <v>2020年</v>
      </c>
      <c r="B1031">
        <f>IF(VIPcric_1!B1020="","",VIPcric_1!B1020)</f>
        <v>3123764</v>
      </c>
      <c r="C1031">
        <f>IF(VIPcric_1!C1020="","",VIPcric_1!C1020)</f>
        <v>24227</v>
      </c>
      <c r="D1031">
        <f>IF(VIPcric_1!D1020="","",VIPcric_1!D1020)</f>
        <v>2559012</v>
      </c>
      <c r="E1031">
        <f>IF(VIPcric_1!E1020="","",VIPcric_1!E1020)</f>
        <v>21797</v>
      </c>
      <c r="F1031">
        <f>IF(VIPcric_1!F1020="","",VIPcric_1!F1020)</f>
        <v>6413</v>
      </c>
      <c r="G1031">
        <f>IF(VIPcric_1!G1020="","",VIPcric_1!G1020)</f>
        <v>16409675896</v>
      </c>
      <c r="H1031">
        <f>IF(VIPcric_1!H1020="","",VIPcric_1!H1020)</f>
        <v>1.22</v>
      </c>
      <c r="I1031" t="str">
        <f>IF(VIPcric_1!M1020="","",VIPcric_1!M1020)</f>
        <v>CRIC-常德-市场监测.商品房市场.项目累计.供求 (1).xlsx</v>
      </c>
    </row>
    <row r="1032" spans="1:9">
      <c r="A1032" t="str">
        <f>IF(VIPcric_1!A1021="","",VIPcric_1!A1021)</f>
        <v>2019年</v>
      </c>
      <c r="B1032">
        <f>IF(VIPcric_1!B1021="","",VIPcric_1!B1021)</f>
        <v>2723809</v>
      </c>
      <c r="C1032">
        <f>IF(VIPcric_1!C1021="","",VIPcric_1!C1021)</f>
        <v>22510</v>
      </c>
      <c r="D1032">
        <f>IF(VIPcric_1!D1021="","",VIPcric_1!D1021)</f>
        <v>2712175</v>
      </c>
      <c r="E1032">
        <f>IF(VIPcric_1!E1021="","",VIPcric_1!E1021)</f>
        <v>22632</v>
      </c>
      <c r="F1032">
        <f>IF(VIPcric_1!F1021="","",VIPcric_1!F1021)</f>
        <v>6165</v>
      </c>
      <c r="G1032">
        <f>IF(VIPcric_1!G1021="","",VIPcric_1!G1021)</f>
        <v>16720854542</v>
      </c>
      <c r="H1032">
        <f>IF(VIPcric_1!H1021="","",VIPcric_1!H1021)</f>
        <v>1</v>
      </c>
      <c r="I1032" t="str">
        <f>IF(VIPcric_1!M1021="","",VIPcric_1!M1021)</f>
        <v>CRIC-常德-市场监测.商品房市场.项目累计.供求 (1).xlsx</v>
      </c>
    </row>
    <row r="1033" spans="1:9">
      <c r="A1033" t="str">
        <f>IF(VIPcric_1!A1022="","",VIPcric_1!A1022)</f>
        <v>2018年</v>
      </c>
      <c r="B1033">
        <f>IF(VIPcric_1!B1022="","",VIPcric_1!B1022)</f>
        <v>3062793</v>
      </c>
      <c r="C1033">
        <f>IF(VIPcric_1!C1022="","",VIPcric_1!C1022)</f>
        <v>24340</v>
      </c>
      <c r="D1033">
        <f>IF(VIPcric_1!D1022="","",VIPcric_1!D1022)</f>
        <v>3163089</v>
      </c>
      <c r="E1033">
        <f>IF(VIPcric_1!E1022="","",VIPcric_1!E1022)</f>
        <v>26885</v>
      </c>
      <c r="F1033">
        <f>IF(VIPcric_1!F1022="","",VIPcric_1!F1022)</f>
        <v>5686</v>
      </c>
      <c r="G1033">
        <f>IF(VIPcric_1!G1022="","",VIPcric_1!G1022)</f>
        <v>17984770452</v>
      </c>
      <c r="H1033">
        <f>IF(VIPcric_1!H1022="","",VIPcric_1!H1022)</f>
        <v>0.97</v>
      </c>
      <c r="I1033" t="str">
        <f>IF(VIPcric_1!M1022="","",VIPcric_1!M1022)</f>
        <v>CRIC-常德-市场监测.商品房市场.项目累计.供求 (1).xlsx</v>
      </c>
    </row>
    <row r="1034" spans="1:9">
      <c r="A1034" t="str">
        <f>IF(VIPcric_1!A1023="","",VIPcric_1!A1023)</f>
        <v>2017年</v>
      </c>
      <c r="B1034">
        <f>IF(VIPcric_1!B1023="","",VIPcric_1!B1023)</f>
        <v>1532673</v>
      </c>
      <c r="C1034">
        <f>IF(VIPcric_1!C1023="","",VIPcric_1!C1023)</f>
        <v>13966</v>
      </c>
      <c r="D1034">
        <f>IF(VIPcric_1!D1023="","",VIPcric_1!D1023)</f>
        <v>2002951</v>
      </c>
      <c r="E1034">
        <f>IF(VIPcric_1!E1023="","",VIPcric_1!E1023)</f>
        <v>17505</v>
      </c>
      <c r="F1034">
        <f>IF(VIPcric_1!F1023="","",VIPcric_1!F1023)</f>
        <v>5363</v>
      </c>
      <c r="G1034">
        <f>IF(VIPcric_1!G1023="","",VIPcric_1!G1023)</f>
        <v>10741275506</v>
      </c>
      <c r="H1034">
        <f>IF(VIPcric_1!H1023="","",VIPcric_1!H1023)</f>
        <v>0.77</v>
      </c>
      <c r="I1034" t="str">
        <f>IF(VIPcric_1!M1023="","",VIPcric_1!M1023)</f>
        <v>CRIC-常德-市场监测.商品房市场.项目累计.供求 (1).xlsx</v>
      </c>
    </row>
    <row r="1035" spans="1:9">
      <c r="A1035" t="str">
        <f>IF(VIPcric_1!A1024="","",VIPcric_1!A1024)</f>
        <v>汇总</v>
      </c>
      <c r="B1035">
        <f>IF(VIPcric_1!B1024="","",VIPcric_1!B1024)</f>
        <v>12447389</v>
      </c>
      <c r="C1035">
        <f>IF(VIPcric_1!C1024="","",VIPcric_1!C1024)</f>
        <v>102044</v>
      </c>
      <c r="D1035">
        <f>IF(VIPcric_1!D1024="","",VIPcric_1!D1024)</f>
        <v>13644546</v>
      </c>
      <c r="E1035">
        <f>IF(VIPcric_1!E1024="","",VIPcric_1!E1024)</f>
        <v>115592</v>
      </c>
      <c r="F1035">
        <f>IF(VIPcric_1!F1024="","",VIPcric_1!F1024)</f>
        <v>5965</v>
      </c>
      <c r="G1035">
        <f>IF(VIPcric_1!G1024="","",VIPcric_1!G1024)</f>
        <v>81388233419</v>
      </c>
      <c r="H1035">
        <f>IF(VIPcric_1!H1024="","",VIPcric_1!H1024)</f>
        <v>0.91</v>
      </c>
      <c r="I1035" t="str">
        <f>IF(VIPcric_1!M1024="","",VIPcric_1!M1024)</f>
        <v>CRIC-常德-市场监测.商品房市场.项目累计.供求 (1).xlsx</v>
      </c>
    </row>
    <row r="1036" spans="1:9">
      <c r="A1036" t="str">
        <f>IF(VIPcric_1!A1025="","",VIPcric_1!A1025)</f>
        <v/>
      </c>
      <c r="B1036" t="str">
        <f>IF(VIPcric_1!B1025="","",VIPcric_1!B1025)</f>
        <v/>
      </c>
      <c r="C1036" t="str">
        <f>IF(VIPcric_1!C1025="","",VIPcric_1!C1025)</f>
        <v/>
      </c>
      <c r="D1036" t="str">
        <f>IF(VIPcric_1!D1025="","",VIPcric_1!D1025)</f>
        <v/>
      </c>
      <c r="E1036" t="str">
        <f>IF(VIPcric_1!E1025="","",VIPcric_1!E1025)</f>
        <v/>
      </c>
      <c r="F1036" t="str">
        <f>IF(VIPcric_1!F1025="","",VIPcric_1!F1025)</f>
        <v/>
      </c>
      <c r="G1036" t="str">
        <f>IF(VIPcric_1!G1025="","",VIPcric_1!G1025)</f>
        <v/>
      </c>
      <c r="H1036" t="str">
        <f>IF(VIPcric_1!H1025="","",VIPcric_1!H1025)</f>
        <v/>
      </c>
      <c r="I1036" t="str">
        <f>IF(VIPcric_1!M1025="","",VIPcric_1!M1025)</f>
        <v/>
      </c>
    </row>
    <row r="1037" spans="1:9">
      <c r="A1037" t="str">
        <f>IF(VIPcric_1!A1026="","",VIPcric_1!A1026)</f>
        <v/>
      </c>
      <c r="B1037" t="str">
        <f>IF(VIPcric_1!B1026="","",VIPcric_1!B1026)</f>
        <v/>
      </c>
      <c r="C1037" t="str">
        <f>IF(VIPcric_1!C1026="","",VIPcric_1!C1026)</f>
        <v/>
      </c>
      <c r="D1037" t="str">
        <f>IF(VIPcric_1!D1026="","",VIPcric_1!D1026)</f>
        <v/>
      </c>
      <c r="E1037" t="str">
        <f>IF(VIPcric_1!E1026="","",VIPcric_1!E1026)</f>
        <v/>
      </c>
      <c r="F1037" t="str">
        <f>IF(VIPcric_1!F1026="","",VIPcric_1!F1026)</f>
        <v/>
      </c>
      <c r="G1037" t="str">
        <f>IF(VIPcric_1!G1026="","",VIPcric_1!G1026)</f>
        <v/>
      </c>
      <c r="H1037" t="str">
        <f>IF(VIPcric_1!H1026="","",VIPcric_1!H1026)</f>
        <v/>
      </c>
      <c r="I1037" t="str">
        <f>IF(VIPcric_1!M1026="","",VIPcric_1!M1026)</f>
        <v>CRIC-常熟-市场监测.商品房市场.项目累计.供求.xlsx</v>
      </c>
    </row>
    <row r="1038" spans="1:9">
      <c r="A1038" t="str">
        <f>IF(VIPcric_1!A1027="","",VIPcric_1!A1027)</f>
        <v>时间(年)</v>
      </c>
      <c r="B1038" t="str">
        <f>IF(VIPcric_1!B1027="","",VIPcric_1!B1027)</f>
        <v>供应面积(㎡)</v>
      </c>
      <c r="C1038" t="str">
        <f>IF(VIPcric_1!C1027="","",VIPcric_1!C1027)</f>
        <v>供应套数(套)</v>
      </c>
      <c r="D1038" t="str">
        <f>IF(VIPcric_1!D1027="","",VIPcric_1!D1027)</f>
        <v>成交面积(㎡)</v>
      </c>
      <c r="E1038" t="str">
        <f>IF(VIPcric_1!E1027="","",VIPcric_1!E1027)</f>
        <v>成交套数(套)</v>
      </c>
      <c r="F1038" t="str">
        <f>IF(VIPcric_1!F1027="","",VIPcric_1!F1027)</f>
        <v>成交均价(元/㎡)</v>
      </c>
      <c r="G1038" t="str">
        <f>IF(VIPcric_1!G1027="","",VIPcric_1!G1027)</f>
        <v>成交金额(元)</v>
      </c>
      <c r="H1038" t="str">
        <f>IF(VIPcric_1!H1027="","",VIPcric_1!H1027)</f>
        <v>供求比</v>
      </c>
      <c r="I1038" t="str">
        <f>IF(VIPcric_1!M1027="","",VIPcric_1!M1027)</f>
        <v>CRIC-常熟-市场监测.商品房市场.项目累计.供求.xlsx</v>
      </c>
    </row>
    <row r="1039" spans="1:9">
      <c r="A1039" t="str">
        <f>IF(VIPcric_1!A1028="","",VIPcric_1!A1028)</f>
        <v>2024年</v>
      </c>
      <c r="B1039">
        <f>IF(VIPcric_1!B1028="","",VIPcric_1!B1028)</f>
        <v>65838</v>
      </c>
      <c r="C1039">
        <f>IF(VIPcric_1!C1028="","",VIPcric_1!C1028)</f>
        <v>260</v>
      </c>
      <c r="D1039">
        <f>IF(VIPcric_1!D1028="","",VIPcric_1!D1028)</f>
        <v>61115</v>
      </c>
      <c r="E1039">
        <f>IF(VIPcric_1!E1028="","",VIPcric_1!E1028)</f>
        <v>520</v>
      </c>
      <c r="F1039">
        <f>IF(VIPcric_1!F1028="","",VIPcric_1!F1028)</f>
        <v>14245</v>
      </c>
      <c r="G1039">
        <f>IF(VIPcric_1!G1028="","",VIPcric_1!G1028)</f>
        <v>870565321</v>
      </c>
      <c r="H1039">
        <f>IF(VIPcric_1!H1028="","",VIPcric_1!H1028)</f>
        <v>1.08</v>
      </c>
      <c r="I1039" t="str">
        <f>IF(VIPcric_1!M1028="","",VIPcric_1!M1028)</f>
        <v>CRIC-常熟-市场监测.商品房市场.项目累计.供求.xlsx</v>
      </c>
    </row>
    <row r="1040" spans="1:9">
      <c r="A1040" t="str">
        <f>IF(VIPcric_1!A1029="","",VIPcric_1!A1029)</f>
        <v>2023年</v>
      </c>
      <c r="B1040">
        <f>IF(VIPcric_1!B1029="","",VIPcric_1!B1029)</f>
        <v>340948</v>
      </c>
      <c r="C1040">
        <f>IF(VIPcric_1!C1029="","",VIPcric_1!C1029)</f>
        <v>3075</v>
      </c>
      <c r="D1040">
        <f>IF(VIPcric_1!D1029="","",VIPcric_1!D1029)</f>
        <v>850381</v>
      </c>
      <c r="E1040">
        <f>IF(VIPcric_1!E1029="","",VIPcric_1!E1029)</f>
        <v>7465</v>
      </c>
      <c r="F1040">
        <f>IF(VIPcric_1!F1029="","",VIPcric_1!F1029)</f>
        <v>15775</v>
      </c>
      <c r="G1040">
        <f>IF(VIPcric_1!G1029="","",VIPcric_1!G1029)</f>
        <v>13415130242</v>
      </c>
      <c r="H1040">
        <f>IF(VIPcric_1!H1029="","",VIPcric_1!H1029)</f>
        <v>0.4</v>
      </c>
      <c r="I1040" t="str">
        <f>IF(VIPcric_1!M1029="","",VIPcric_1!M1029)</f>
        <v>CRIC-常熟-市场监测.商品房市场.项目累计.供求.xlsx</v>
      </c>
    </row>
    <row r="1041" spans="1:9">
      <c r="A1041" t="str">
        <f>IF(VIPcric_1!A1030="","",VIPcric_1!A1030)</f>
        <v>2022年</v>
      </c>
      <c r="B1041">
        <f>IF(VIPcric_1!B1030="","",VIPcric_1!B1030)</f>
        <v>835550</v>
      </c>
      <c r="C1041">
        <f>IF(VIPcric_1!C1030="","",VIPcric_1!C1030)</f>
        <v>6845</v>
      </c>
      <c r="D1041">
        <f>IF(VIPcric_1!D1030="","",VIPcric_1!D1030)</f>
        <v>974230</v>
      </c>
      <c r="E1041">
        <f>IF(VIPcric_1!E1030="","",VIPcric_1!E1030)</f>
        <v>8459</v>
      </c>
      <c r="F1041">
        <f>IF(VIPcric_1!F1030="","",VIPcric_1!F1030)</f>
        <v>17076</v>
      </c>
      <c r="G1041">
        <f>IF(VIPcric_1!G1030="","",VIPcric_1!G1030)</f>
        <v>16636235425</v>
      </c>
      <c r="H1041">
        <f>IF(VIPcric_1!H1030="","",VIPcric_1!H1030)</f>
        <v>0.86</v>
      </c>
      <c r="I1041" t="str">
        <f>IF(VIPcric_1!M1030="","",VIPcric_1!M1030)</f>
        <v>CRIC-常熟-市场监测.商品房市场.项目累计.供求.xlsx</v>
      </c>
    </row>
    <row r="1042" spans="1:9">
      <c r="A1042" t="str">
        <f>IF(VIPcric_1!A1031="","",VIPcric_1!A1031)</f>
        <v>2021年</v>
      </c>
      <c r="B1042">
        <f>IF(VIPcric_1!B1031="","",VIPcric_1!B1031)</f>
        <v>2110924</v>
      </c>
      <c r="C1042">
        <f>IF(VIPcric_1!C1031="","",VIPcric_1!C1031)</f>
        <v>18875</v>
      </c>
      <c r="D1042">
        <f>IF(VIPcric_1!D1031="","",VIPcric_1!D1031)</f>
        <v>1435435</v>
      </c>
      <c r="E1042">
        <f>IF(VIPcric_1!E1031="","",VIPcric_1!E1031)</f>
        <v>12304</v>
      </c>
      <c r="F1042">
        <f>IF(VIPcric_1!F1031="","",VIPcric_1!F1031)</f>
        <v>18105</v>
      </c>
      <c r="G1042">
        <f>IF(VIPcric_1!G1031="","",VIPcric_1!G1031)</f>
        <v>25988821667</v>
      </c>
      <c r="H1042">
        <f>IF(VIPcric_1!H1031="","",VIPcric_1!H1031)</f>
        <v>1.47</v>
      </c>
      <c r="I1042" t="str">
        <f>IF(VIPcric_1!M1031="","",VIPcric_1!M1031)</f>
        <v>CRIC-常熟-市场监测.商品房市场.项目累计.供求.xlsx</v>
      </c>
    </row>
    <row r="1043" spans="1:9">
      <c r="A1043" t="str">
        <f>IF(VIPcric_1!A1032="","",VIPcric_1!A1032)</f>
        <v>2020年</v>
      </c>
      <c r="B1043">
        <f>IF(VIPcric_1!B1032="","",VIPcric_1!B1032)</f>
        <v>1425894</v>
      </c>
      <c r="C1043">
        <f>IF(VIPcric_1!C1032="","",VIPcric_1!C1032)</f>
        <v>12161</v>
      </c>
      <c r="D1043">
        <f>IF(VIPcric_1!D1032="","",VIPcric_1!D1032)</f>
        <v>1194644</v>
      </c>
      <c r="E1043">
        <f>IF(VIPcric_1!E1032="","",VIPcric_1!E1032)</f>
        <v>9680</v>
      </c>
      <c r="F1043">
        <f>IF(VIPcric_1!F1032="","",VIPcric_1!F1032)</f>
        <v>18297</v>
      </c>
      <c r="G1043">
        <f>IF(VIPcric_1!G1032="","",VIPcric_1!G1032)</f>
        <v>21858453390</v>
      </c>
      <c r="H1043">
        <f>IF(VIPcric_1!H1032="","",VIPcric_1!H1032)</f>
        <v>1.19</v>
      </c>
      <c r="I1043" t="str">
        <f>IF(VIPcric_1!M1032="","",VIPcric_1!M1032)</f>
        <v>CRIC-常熟-市场监测.商品房市场.项目累计.供求.xlsx</v>
      </c>
    </row>
    <row r="1044" spans="1:9">
      <c r="A1044" t="str">
        <f>IF(VIPcric_1!A1033="","",VIPcric_1!A1033)</f>
        <v>2019年</v>
      </c>
      <c r="B1044">
        <f>IF(VIPcric_1!B1033="","",VIPcric_1!B1033)</f>
        <v>2260853</v>
      </c>
      <c r="C1044">
        <f>IF(VIPcric_1!C1033="","",VIPcric_1!C1033)</f>
        <v>18586</v>
      </c>
      <c r="D1044">
        <f>IF(VIPcric_1!D1033="","",VIPcric_1!D1033)</f>
        <v>1622612</v>
      </c>
      <c r="E1044">
        <f>IF(VIPcric_1!E1033="","",VIPcric_1!E1033)</f>
        <v>13526</v>
      </c>
      <c r="F1044">
        <f>IF(VIPcric_1!F1033="","",VIPcric_1!F1033)</f>
        <v>17067</v>
      </c>
      <c r="G1044">
        <f>IF(VIPcric_1!G1033="","",VIPcric_1!G1033)</f>
        <v>27692482267</v>
      </c>
      <c r="H1044">
        <f>IF(VIPcric_1!H1033="","",VIPcric_1!H1033)</f>
        <v>1.39</v>
      </c>
      <c r="I1044" t="str">
        <f>IF(VIPcric_1!M1033="","",VIPcric_1!M1033)</f>
        <v>CRIC-常熟-市场监测.商品房市场.项目累计.供求.xlsx</v>
      </c>
    </row>
    <row r="1045" spans="1:9">
      <c r="A1045" t="str">
        <f>IF(VIPcric_1!A1034="","",VIPcric_1!A1034)</f>
        <v>汇总</v>
      </c>
      <c r="B1045">
        <f>IF(VIPcric_1!B1034="","",VIPcric_1!B1034)</f>
        <v>7040008</v>
      </c>
      <c r="C1045">
        <f>IF(VIPcric_1!C1034="","",VIPcric_1!C1034)</f>
        <v>59802</v>
      </c>
      <c r="D1045">
        <f>IF(VIPcric_1!D1034="","",VIPcric_1!D1034)</f>
        <v>6138417</v>
      </c>
      <c r="E1045">
        <f>IF(VIPcric_1!E1034="","",VIPcric_1!E1034)</f>
        <v>51954</v>
      </c>
      <c r="F1045">
        <f>IF(VIPcric_1!F1034="","",VIPcric_1!F1034)</f>
        <v>17344</v>
      </c>
      <c r="G1045">
        <f>IF(VIPcric_1!G1034="","",VIPcric_1!G1034)</f>
        <v>106461688312</v>
      </c>
      <c r="H1045">
        <f>IF(VIPcric_1!H1034="","",VIPcric_1!H1034)</f>
        <v>1.1499999999999999</v>
      </c>
      <c r="I1045" t="str">
        <f>IF(VIPcric_1!M1034="","",VIPcric_1!M1034)</f>
        <v>CRIC-常熟-市场监测.商品房市场.项目累计.供求.xlsx</v>
      </c>
    </row>
    <row r="1046" spans="1:9">
      <c r="A1046" t="str">
        <f>IF(VIPcric_1!A1035="","",VIPcric_1!A1035)</f>
        <v/>
      </c>
      <c r="B1046" t="str">
        <f>IF(VIPcric_1!B1035="","",VIPcric_1!B1035)</f>
        <v/>
      </c>
      <c r="C1046" t="str">
        <f>IF(VIPcric_1!C1035="","",VIPcric_1!C1035)</f>
        <v/>
      </c>
      <c r="D1046" t="str">
        <f>IF(VIPcric_1!D1035="","",VIPcric_1!D1035)</f>
        <v/>
      </c>
      <c r="E1046" t="str">
        <f>IF(VIPcric_1!E1035="","",VIPcric_1!E1035)</f>
        <v/>
      </c>
      <c r="F1046" t="str">
        <f>IF(VIPcric_1!F1035="","",VIPcric_1!F1035)</f>
        <v/>
      </c>
      <c r="G1046" t="str">
        <f>IF(VIPcric_1!G1035="","",VIPcric_1!G1035)</f>
        <v/>
      </c>
      <c r="H1046" t="str">
        <f>IF(VIPcric_1!H1035="","",VIPcric_1!H1035)</f>
        <v/>
      </c>
      <c r="I1046" t="str">
        <f>IF(VIPcric_1!M1035="","",VIPcric_1!M1035)</f>
        <v/>
      </c>
    </row>
    <row r="1047" spans="1:9">
      <c r="A1047" t="str">
        <f>IF(VIPcric_1!A1036="","",VIPcric_1!A1036)</f>
        <v/>
      </c>
      <c r="B1047" t="str">
        <f>IF(VIPcric_1!B1036="","",VIPcric_1!B1036)</f>
        <v/>
      </c>
      <c r="C1047" t="str">
        <f>IF(VIPcric_1!C1036="","",VIPcric_1!C1036)</f>
        <v/>
      </c>
      <c r="D1047" t="str">
        <f>IF(VIPcric_1!D1036="","",VIPcric_1!D1036)</f>
        <v/>
      </c>
      <c r="E1047" t="str">
        <f>IF(VIPcric_1!E1036="","",VIPcric_1!E1036)</f>
        <v/>
      </c>
      <c r="F1047" t="str">
        <f>IF(VIPcric_1!F1036="","",VIPcric_1!F1036)</f>
        <v/>
      </c>
      <c r="G1047" t="str">
        <f>IF(VIPcric_1!G1036="","",VIPcric_1!G1036)</f>
        <v/>
      </c>
      <c r="H1047" t="str">
        <f>IF(VIPcric_1!H1036="","",VIPcric_1!H1036)</f>
        <v/>
      </c>
      <c r="I1047" t="str">
        <f>IF(VIPcric_1!M1036="","",VIPcric_1!M1036)</f>
        <v>CRIC-常熟-市场监测.商品房市场.项目累计.库存.xlsx</v>
      </c>
    </row>
    <row r="1048" spans="1:9">
      <c r="A1048" t="str">
        <f>IF(VIPcric_1!A1037="","",VIPcric_1!A1037)</f>
        <v>时间(年)</v>
      </c>
      <c r="B1048" t="str">
        <f>IF(VIPcric_1!B1037="","",VIPcric_1!B1037)</f>
        <v>库存面积(㎡)</v>
      </c>
      <c r="C1048" t="str">
        <f>IF(VIPcric_1!C1037="","",VIPcric_1!C1037)</f>
        <v>库存套数(套)</v>
      </c>
      <c r="D1048" t="str">
        <f>IF(VIPcric_1!D1037="","",VIPcric_1!D1037)</f>
        <v>去化周期12'(月)</v>
      </c>
      <c r="E1048" t="str">
        <f>IF(VIPcric_1!E1037="","",VIPcric_1!E1037)</f>
        <v>去化周期24'(月)</v>
      </c>
      <c r="F1048" t="str">
        <f>IF(VIPcric_1!F1037="","",VIPcric_1!F1037)</f>
        <v/>
      </c>
      <c r="G1048" t="str">
        <f>IF(VIPcric_1!G1037="","",VIPcric_1!G1037)</f>
        <v/>
      </c>
      <c r="H1048" t="str">
        <f>IF(VIPcric_1!H1037="","",VIPcric_1!H1037)</f>
        <v/>
      </c>
      <c r="I1048" t="str">
        <f>IF(VIPcric_1!M1037="","",VIPcric_1!M1037)</f>
        <v>CRIC-常熟-市场监测.商品房市场.项目累计.库存.xlsx</v>
      </c>
    </row>
    <row r="1049" spans="1:9">
      <c r="A1049" t="str">
        <f>IF(VIPcric_1!A1038="","",VIPcric_1!A1038)</f>
        <v>2023年</v>
      </c>
      <c r="B1049">
        <f>IF(VIPcric_1!B1038="","",VIPcric_1!B1038)</f>
        <v>1901006</v>
      </c>
      <c r="C1049">
        <f>IF(VIPcric_1!C1038="","",VIPcric_1!C1038)</f>
        <v>15957</v>
      </c>
      <c r="D1049">
        <f>IF(VIPcric_1!D1038="","",VIPcric_1!D1038)</f>
        <v>26.8</v>
      </c>
      <c r="E1049">
        <f>IF(VIPcric_1!E1038="","",VIPcric_1!E1038)</f>
        <v>25</v>
      </c>
      <c r="F1049" t="str">
        <f>IF(VIPcric_1!F1038="","",VIPcric_1!F1038)</f>
        <v/>
      </c>
      <c r="G1049" t="str">
        <f>IF(VIPcric_1!G1038="","",VIPcric_1!G1038)</f>
        <v/>
      </c>
      <c r="H1049" t="str">
        <f>IF(VIPcric_1!H1038="","",VIPcric_1!H1038)</f>
        <v/>
      </c>
      <c r="I1049" t="str">
        <f>IF(VIPcric_1!M1038="","",VIPcric_1!M1038)</f>
        <v>CRIC-常熟-市场监测.商品房市场.项目累计.库存.xlsx</v>
      </c>
    </row>
    <row r="1050" spans="1:9">
      <c r="A1050" t="str">
        <f>IF(VIPcric_1!A1039="","",VIPcric_1!A1039)</f>
        <v>2022年</v>
      </c>
      <c r="B1050">
        <f>IF(VIPcric_1!B1039="","",VIPcric_1!B1039)</f>
        <v>2385402</v>
      </c>
      <c r="C1050">
        <f>IF(VIPcric_1!C1039="","",VIPcric_1!C1039)</f>
        <v>20019</v>
      </c>
      <c r="D1050">
        <f>IF(VIPcric_1!D1039="","",VIPcric_1!D1039)</f>
        <v>29.4</v>
      </c>
      <c r="E1050">
        <f>IF(VIPcric_1!E1039="","",VIPcric_1!E1039)</f>
        <v>23.8</v>
      </c>
      <c r="F1050" t="str">
        <f>IF(VIPcric_1!F1039="","",VIPcric_1!F1039)</f>
        <v/>
      </c>
      <c r="G1050" t="str">
        <f>IF(VIPcric_1!G1039="","",VIPcric_1!G1039)</f>
        <v/>
      </c>
      <c r="H1050" t="str">
        <f>IF(VIPcric_1!H1039="","",VIPcric_1!H1039)</f>
        <v/>
      </c>
      <c r="I1050" t="str">
        <f>IF(VIPcric_1!M1039="","",VIPcric_1!M1039)</f>
        <v>CRIC-常熟-市场监测.商品房市场.项目累计.库存.xlsx</v>
      </c>
    </row>
    <row r="1051" spans="1:9">
      <c r="A1051" t="str">
        <f>IF(VIPcric_1!A1040="","",VIPcric_1!A1040)</f>
        <v>2021年</v>
      </c>
      <c r="B1051">
        <f>IF(VIPcric_1!B1040="","",VIPcric_1!B1040)</f>
        <v>2423503</v>
      </c>
      <c r="C1051">
        <f>IF(VIPcric_1!C1040="","",VIPcric_1!C1040)</f>
        <v>20683</v>
      </c>
      <c r="D1051">
        <f>IF(VIPcric_1!D1040="","",VIPcric_1!D1040)</f>
        <v>20.3</v>
      </c>
      <c r="E1051">
        <f>IF(VIPcric_1!E1040="","",VIPcric_1!E1040)</f>
        <v>22.1</v>
      </c>
      <c r="F1051" t="str">
        <f>IF(VIPcric_1!F1040="","",VIPcric_1!F1040)</f>
        <v/>
      </c>
      <c r="G1051" t="str">
        <f>IF(VIPcric_1!G1040="","",VIPcric_1!G1040)</f>
        <v/>
      </c>
      <c r="H1051" t="str">
        <f>IF(VIPcric_1!H1040="","",VIPcric_1!H1040)</f>
        <v/>
      </c>
      <c r="I1051" t="str">
        <f>IF(VIPcric_1!M1040="","",VIPcric_1!M1040)</f>
        <v>CRIC-常熟-市场监测.商品房市场.项目累计.库存.xlsx</v>
      </c>
    </row>
    <row r="1052" spans="1:9">
      <c r="A1052" t="str">
        <f>IF(VIPcric_1!A1041="","",VIPcric_1!A1041)</f>
        <v>2020年</v>
      </c>
      <c r="B1052">
        <f>IF(VIPcric_1!B1041="","",VIPcric_1!B1041)</f>
        <v>2007597</v>
      </c>
      <c r="C1052">
        <f>IF(VIPcric_1!C1041="","",VIPcric_1!C1041)</f>
        <v>16491</v>
      </c>
      <c r="D1052">
        <f>IF(VIPcric_1!D1041="","",VIPcric_1!D1041)</f>
        <v>20.2</v>
      </c>
      <c r="E1052">
        <f>IF(VIPcric_1!E1041="","",VIPcric_1!E1041)</f>
        <v>17.100000000000001</v>
      </c>
      <c r="F1052" t="str">
        <f>IF(VIPcric_1!F1041="","",VIPcric_1!F1041)</f>
        <v/>
      </c>
      <c r="G1052" t="str">
        <f>IF(VIPcric_1!G1041="","",VIPcric_1!G1041)</f>
        <v/>
      </c>
      <c r="H1052" t="str">
        <f>IF(VIPcric_1!H1041="","",VIPcric_1!H1041)</f>
        <v/>
      </c>
      <c r="I1052" t="str">
        <f>IF(VIPcric_1!M1041="","",VIPcric_1!M1041)</f>
        <v>CRIC-常熟-市场监测.商品房市场.项目累计.库存.xlsx</v>
      </c>
    </row>
    <row r="1053" spans="1:9">
      <c r="A1053" t="str">
        <f>IF(VIPcric_1!A1042="","",VIPcric_1!A1042)</f>
        <v>2019年</v>
      </c>
      <c r="B1053">
        <f>IF(VIPcric_1!B1042="","",VIPcric_1!B1042)</f>
        <v>1795423</v>
      </c>
      <c r="C1053">
        <f>IF(VIPcric_1!C1042="","",VIPcric_1!C1042)</f>
        <v>14119</v>
      </c>
      <c r="D1053">
        <f>IF(VIPcric_1!D1042="","",VIPcric_1!D1042)</f>
        <v>13.3</v>
      </c>
      <c r="E1053">
        <f>IF(VIPcric_1!E1042="","",VIPcric_1!E1042)</f>
        <v>17.600000000000001</v>
      </c>
      <c r="F1053" t="str">
        <f>IF(VIPcric_1!F1042="","",VIPcric_1!F1042)</f>
        <v/>
      </c>
      <c r="G1053" t="str">
        <f>IF(VIPcric_1!G1042="","",VIPcric_1!G1042)</f>
        <v/>
      </c>
      <c r="H1053" t="str">
        <f>IF(VIPcric_1!H1042="","",VIPcric_1!H1042)</f>
        <v/>
      </c>
      <c r="I1053" t="str">
        <f>IF(VIPcric_1!M1042="","",VIPcric_1!M1042)</f>
        <v>CRIC-常熟-市场监测.商品房市场.项目累计.库存.xlsx</v>
      </c>
    </row>
    <row r="1054" spans="1:9">
      <c r="A1054" t="str">
        <f>IF(VIPcric_1!A1043="","",VIPcric_1!A1043)</f>
        <v>2018年</v>
      </c>
      <c r="B1054">
        <f>IF(VIPcric_1!B1043="","",VIPcric_1!B1043)</f>
        <v>1046639</v>
      </c>
      <c r="C1054">
        <f>IF(VIPcric_1!C1043="","",VIPcric_1!C1043)</f>
        <v>8309</v>
      </c>
      <c r="D1054">
        <f>IF(VIPcric_1!D1043="","",VIPcric_1!D1043)</f>
        <v>15.2</v>
      </c>
      <c r="E1054">
        <f>IF(VIPcric_1!E1043="","",VIPcric_1!E1043)</f>
        <v>13.8</v>
      </c>
      <c r="F1054" t="str">
        <f>IF(VIPcric_1!F1043="","",VIPcric_1!F1043)</f>
        <v/>
      </c>
      <c r="G1054" t="str">
        <f>IF(VIPcric_1!G1043="","",VIPcric_1!G1043)</f>
        <v/>
      </c>
      <c r="H1054" t="str">
        <f>IF(VIPcric_1!H1043="","",VIPcric_1!H1043)</f>
        <v/>
      </c>
      <c r="I1054" t="str">
        <f>IF(VIPcric_1!M1043="","",VIPcric_1!M1043)</f>
        <v>CRIC-常熟-市场监测.商品房市场.项目累计.库存.xlsx</v>
      </c>
    </row>
    <row r="1055" spans="1:9">
      <c r="A1055" t="str">
        <f>IF(VIPcric_1!A1044="","",VIPcric_1!A1044)</f>
        <v/>
      </c>
      <c r="B1055" t="str">
        <f>IF(VIPcric_1!B1044="","",VIPcric_1!B1044)</f>
        <v/>
      </c>
      <c r="C1055" t="str">
        <f>IF(VIPcric_1!C1044="","",VIPcric_1!C1044)</f>
        <v/>
      </c>
      <c r="D1055" t="str">
        <f>IF(VIPcric_1!D1044="","",VIPcric_1!D1044)</f>
        <v/>
      </c>
      <c r="E1055" t="str">
        <f>IF(VIPcric_1!E1044="","",VIPcric_1!E1044)</f>
        <v/>
      </c>
      <c r="F1055" t="str">
        <f>IF(VIPcric_1!F1044="","",VIPcric_1!F1044)</f>
        <v/>
      </c>
      <c r="G1055" t="str">
        <f>IF(VIPcric_1!G1044="","",VIPcric_1!G1044)</f>
        <v/>
      </c>
      <c r="H1055" t="str">
        <f>IF(VIPcric_1!H1044="","",VIPcric_1!H1044)</f>
        <v/>
      </c>
      <c r="I1055" t="str">
        <f>IF(VIPcric_1!M1044="","",VIPcric_1!M1044)</f>
        <v/>
      </c>
    </row>
    <row r="1056" spans="1:9">
      <c r="A1056" t="str">
        <f>IF(VIPcric_1!A1045="","",VIPcric_1!A1045)</f>
        <v/>
      </c>
      <c r="B1056" t="str">
        <f>IF(VIPcric_1!B1045="","",VIPcric_1!B1045)</f>
        <v/>
      </c>
      <c r="C1056" t="str">
        <f>IF(VIPcric_1!C1045="","",VIPcric_1!C1045)</f>
        <v/>
      </c>
      <c r="D1056" t="str">
        <f>IF(VIPcric_1!D1045="","",VIPcric_1!D1045)</f>
        <v/>
      </c>
      <c r="E1056" t="str">
        <f>IF(VIPcric_1!E1045="","",VIPcric_1!E1045)</f>
        <v/>
      </c>
      <c r="F1056" t="str">
        <f>IF(VIPcric_1!F1045="","",VIPcric_1!F1045)</f>
        <v/>
      </c>
      <c r="G1056" t="str">
        <f>IF(VIPcric_1!G1045="","",VIPcric_1!G1045)</f>
        <v/>
      </c>
      <c r="H1056" t="str">
        <f>IF(VIPcric_1!H1045="","",VIPcric_1!H1045)</f>
        <v/>
      </c>
      <c r="I1056" t="str">
        <f>IF(VIPcric_1!M1045="","",VIPcric_1!M1045)</f>
        <v>CRIC-平顶山-市场监测.商品房市场.项目累计.供求.xlsx</v>
      </c>
    </row>
    <row r="1057" spans="1:9">
      <c r="A1057" t="str">
        <f>IF(VIPcric_1!A1046="","",VIPcric_1!A1046)</f>
        <v>时间(年)</v>
      </c>
      <c r="B1057" t="str">
        <f>IF(VIPcric_1!B1046="","",VIPcric_1!B1046)</f>
        <v>供应面积(㎡)</v>
      </c>
      <c r="C1057" t="str">
        <f>IF(VIPcric_1!C1046="","",VIPcric_1!C1046)</f>
        <v>供应套数(套)</v>
      </c>
      <c r="D1057" t="str">
        <f>IF(VIPcric_1!D1046="","",VIPcric_1!D1046)</f>
        <v>成交面积(㎡)</v>
      </c>
      <c r="E1057" t="str">
        <f>IF(VIPcric_1!E1046="","",VIPcric_1!E1046)</f>
        <v>成交套数(套)</v>
      </c>
      <c r="F1057" t="str">
        <f>IF(VIPcric_1!F1046="","",VIPcric_1!F1046)</f>
        <v>成交均价(元/㎡)</v>
      </c>
      <c r="G1057" t="str">
        <f>IF(VIPcric_1!G1046="","",VIPcric_1!G1046)</f>
        <v>成交金额(元)</v>
      </c>
      <c r="H1057" t="str">
        <f>IF(VIPcric_1!H1046="","",VIPcric_1!H1046)</f>
        <v>供求比</v>
      </c>
      <c r="I1057" t="str">
        <f>IF(VIPcric_1!M1046="","",VIPcric_1!M1046)</f>
        <v>CRIC-平顶山-市场监测.商品房市场.项目累计.供求.xlsx</v>
      </c>
    </row>
    <row r="1058" spans="1:9">
      <c r="A1058" t="str">
        <f>IF(VIPcric_1!A1047="","",VIPcric_1!A1047)</f>
        <v>2023年</v>
      </c>
      <c r="B1058">
        <f>IF(VIPcric_1!B1047="","",VIPcric_1!B1047)</f>
        <v>661497</v>
      </c>
      <c r="C1058">
        <f>IF(VIPcric_1!C1047="","",VIPcric_1!C1047)</f>
        <v>5458</v>
      </c>
      <c r="D1058">
        <f>IF(VIPcric_1!D1047="","",VIPcric_1!D1047)</f>
        <v>1697253</v>
      </c>
      <c r="E1058">
        <f>IF(VIPcric_1!E1047="","",VIPcric_1!E1047)</f>
        <v>14612</v>
      </c>
      <c r="F1058">
        <f>IF(VIPcric_1!F1047="","",VIPcric_1!F1047)</f>
        <v>7122</v>
      </c>
      <c r="G1058">
        <f>IF(VIPcric_1!G1047="","",VIPcric_1!G1047)</f>
        <v>12088299831</v>
      </c>
      <c r="H1058">
        <f>IF(VIPcric_1!H1047="","",VIPcric_1!H1047)</f>
        <v>0.39</v>
      </c>
      <c r="I1058" t="str">
        <f>IF(VIPcric_1!M1047="","",VIPcric_1!M1047)</f>
        <v>CRIC-平顶山-市场监测.商品房市场.项目累计.供求.xlsx</v>
      </c>
    </row>
    <row r="1059" spans="1:9">
      <c r="A1059" t="str">
        <f>IF(VIPcric_1!A1048="","",VIPcric_1!A1048)</f>
        <v>2022年</v>
      </c>
      <c r="B1059">
        <f>IF(VIPcric_1!B1048="","",VIPcric_1!B1048)</f>
        <v>825999</v>
      </c>
      <c r="C1059">
        <f>IF(VIPcric_1!C1048="","",VIPcric_1!C1048)</f>
        <v>6788</v>
      </c>
      <c r="D1059">
        <f>IF(VIPcric_1!D1048="","",VIPcric_1!D1048)</f>
        <v>1740945</v>
      </c>
      <c r="E1059">
        <f>IF(VIPcric_1!E1048="","",VIPcric_1!E1048)</f>
        <v>13848</v>
      </c>
      <c r="F1059">
        <f>IF(VIPcric_1!F1048="","",VIPcric_1!F1048)</f>
        <v>7016</v>
      </c>
      <c r="G1059">
        <f>IF(VIPcric_1!G1048="","",VIPcric_1!G1048)</f>
        <v>12214433567</v>
      </c>
      <c r="H1059">
        <f>IF(VIPcric_1!H1048="","",VIPcric_1!H1048)</f>
        <v>0.47</v>
      </c>
      <c r="I1059" t="str">
        <f>IF(VIPcric_1!M1048="","",VIPcric_1!M1048)</f>
        <v>CRIC-平顶山-市场监测.商品房市场.项目累计.供求.xlsx</v>
      </c>
    </row>
    <row r="1060" spans="1:9">
      <c r="A1060" t="str">
        <f>IF(VIPcric_1!A1049="","",VIPcric_1!A1049)</f>
        <v>2021年</v>
      </c>
      <c r="B1060">
        <f>IF(VIPcric_1!B1049="","",VIPcric_1!B1049)</f>
        <v>2091548</v>
      </c>
      <c r="C1060">
        <f>IF(VIPcric_1!C1049="","",VIPcric_1!C1049)</f>
        <v>17720</v>
      </c>
      <c r="D1060">
        <f>IF(VIPcric_1!D1049="","",VIPcric_1!D1049)</f>
        <v>2805726</v>
      </c>
      <c r="E1060">
        <f>IF(VIPcric_1!E1049="","",VIPcric_1!E1049)</f>
        <v>24748</v>
      </c>
      <c r="F1060">
        <f>IF(VIPcric_1!F1049="","",VIPcric_1!F1049)</f>
        <v>7272</v>
      </c>
      <c r="G1060">
        <f>IF(VIPcric_1!G1049="","",VIPcric_1!G1049)</f>
        <v>20402284500</v>
      </c>
      <c r="H1060">
        <f>IF(VIPcric_1!H1049="","",VIPcric_1!H1049)</f>
        <v>0.75</v>
      </c>
      <c r="I1060" t="str">
        <f>IF(VIPcric_1!M1049="","",VIPcric_1!M1049)</f>
        <v>CRIC-平顶山-市场监测.商品房市场.项目累计.供求.xlsx</v>
      </c>
    </row>
    <row r="1061" spans="1:9">
      <c r="A1061" t="str">
        <f>IF(VIPcric_1!A1050="","",VIPcric_1!A1050)</f>
        <v>2020年</v>
      </c>
      <c r="B1061">
        <f>IF(VIPcric_1!B1050="","",VIPcric_1!B1050)</f>
        <v>2329986</v>
      </c>
      <c r="C1061">
        <f>IF(VIPcric_1!C1050="","",VIPcric_1!C1050)</f>
        <v>19854</v>
      </c>
      <c r="D1061">
        <f>IF(VIPcric_1!D1050="","",VIPcric_1!D1050)</f>
        <v>2064934</v>
      </c>
      <c r="E1061">
        <f>IF(VIPcric_1!E1050="","",VIPcric_1!E1050)</f>
        <v>17755</v>
      </c>
      <c r="F1061">
        <f>IF(VIPcric_1!F1050="","",VIPcric_1!F1050)</f>
        <v>7794</v>
      </c>
      <c r="G1061">
        <f>IF(VIPcric_1!G1050="","",VIPcric_1!G1050)</f>
        <v>16093586989</v>
      </c>
      <c r="H1061">
        <f>IF(VIPcric_1!H1050="","",VIPcric_1!H1050)</f>
        <v>1.1299999999999999</v>
      </c>
      <c r="I1061" t="str">
        <f>IF(VIPcric_1!M1050="","",VIPcric_1!M1050)</f>
        <v>CRIC-平顶山-市场监测.商品房市场.项目累计.供求.xlsx</v>
      </c>
    </row>
    <row r="1062" spans="1:9">
      <c r="A1062" t="str">
        <f>IF(VIPcric_1!A1051="","",VIPcric_1!A1051)</f>
        <v>2019年</v>
      </c>
      <c r="B1062">
        <f>IF(VIPcric_1!B1051="","",VIPcric_1!B1051)</f>
        <v>1976123</v>
      </c>
      <c r="C1062">
        <f>IF(VIPcric_1!C1051="","",VIPcric_1!C1051)</f>
        <v>17287</v>
      </c>
      <c r="D1062">
        <f>IF(VIPcric_1!D1051="","",VIPcric_1!D1051)</f>
        <v>198031</v>
      </c>
      <c r="E1062">
        <f>IF(VIPcric_1!E1051="","",VIPcric_1!E1051)</f>
        <v>1666</v>
      </c>
      <c r="F1062">
        <f>IF(VIPcric_1!F1051="","",VIPcric_1!F1051)</f>
        <v>7998</v>
      </c>
      <c r="G1062">
        <f>IF(VIPcric_1!G1051="","",VIPcric_1!G1051)</f>
        <v>1583869965</v>
      </c>
      <c r="H1062">
        <f>IF(VIPcric_1!H1051="","",VIPcric_1!H1051)</f>
        <v>9.98</v>
      </c>
      <c r="I1062" t="str">
        <f>IF(VIPcric_1!M1051="","",VIPcric_1!M1051)</f>
        <v>CRIC-平顶山-市场监测.商品房市场.项目累计.供求.xlsx</v>
      </c>
    </row>
    <row r="1063" spans="1:9">
      <c r="A1063" t="str">
        <f>IF(VIPcric_1!A1052="","",VIPcric_1!A1052)</f>
        <v>汇总</v>
      </c>
      <c r="B1063">
        <f>IF(VIPcric_1!B1052="","",VIPcric_1!B1052)</f>
        <v>7885153</v>
      </c>
      <c r="C1063">
        <f>IF(VIPcric_1!C1052="","",VIPcric_1!C1052)</f>
        <v>67107</v>
      </c>
      <c r="D1063">
        <f>IF(VIPcric_1!D1052="","",VIPcric_1!D1052)</f>
        <v>8506889</v>
      </c>
      <c r="E1063">
        <f>IF(VIPcric_1!E1052="","",VIPcric_1!E1052)</f>
        <v>72629</v>
      </c>
      <c r="F1063">
        <f>IF(VIPcric_1!F1052="","",VIPcric_1!F1052)</f>
        <v>7333</v>
      </c>
      <c r="G1063">
        <f>IF(VIPcric_1!G1052="","",VIPcric_1!G1052)</f>
        <v>62382474852</v>
      </c>
      <c r="H1063">
        <f>IF(VIPcric_1!H1052="","",VIPcric_1!H1052)</f>
        <v>0.93</v>
      </c>
      <c r="I1063" t="str">
        <f>IF(VIPcric_1!M1052="","",VIPcric_1!M1052)</f>
        <v>CRIC-平顶山-市场监测.商品房市场.项目累计.供求.xlsx</v>
      </c>
    </row>
    <row r="1064" spans="1:9">
      <c r="A1064" t="str">
        <f>IF(VIPcric_1!A1053="","",VIPcric_1!A1053)</f>
        <v/>
      </c>
      <c r="B1064" t="str">
        <f>IF(VIPcric_1!B1053="","",VIPcric_1!B1053)</f>
        <v/>
      </c>
      <c r="C1064" t="str">
        <f>IF(VIPcric_1!C1053="","",VIPcric_1!C1053)</f>
        <v/>
      </c>
      <c r="D1064" t="str">
        <f>IF(VIPcric_1!D1053="","",VIPcric_1!D1053)</f>
        <v/>
      </c>
      <c r="E1064" t="str">
        <f>IF(VIPcric_1!E1053="","",VIPcric_1!E1053)</f>
        <v/>
      </c>
      <c r="F1064" t="str">
        <f>IF(VIPcric_1!F1053="","",VIPcric_1!F1053)</f>
        <v/>
      </c>
      <c r="G1064" t="str">
        <f>IF(VIPcric_1!G1053="","",VIPcric_1!G1053)</f>
        <v/>
      </c>
      <c r="H1064" t="str">
        <f>IF(VIPcric_1!H1053="","",VIPcric_1!H1053)</f>
        <v/>
      </c>
      <c r="I1064" t="str">
        <f>IF(VIPcric_1!M1053="","",VIPcric_1!M1053)</f>
        <v/>
      </c>
    </row>
    <row r="1065" spans="1:9">
      <c r="A1065" t="str">
        <f>IF(VIPcric_1!A1054="","",VIPcric_1!A1054)</f>
        <v/>
      </c>
      <c r="B1065" t="str">
        <f>IF(VIPcric_1!B1054="","",VIPcric_1!B1054)</f>
        <v/>
      </c>
      <c r="C1065" t="str">
        <f>IF(VIPcric_1!C1054="","",VIPcric_1!C1054)</f>
        <v/>
      </c>
      <c r="D1065" t="str">
        <f>IF(VIPcric_1!D1054="","",VIPcric_1!D1054)</f>
        <v/>
      </c>
      <c r="E1065" t="str">
        <f>IF(VIPcric_1!E1054="","",VIPcric_1!E1054)</f>
        <v/>
      </c>
      <c r="F1065" t="str">
        <f>IF(VIPcric_1!F1054="","",VIPcric_1!F1054)</f>
        <v/>
      </c>
      <c r="G1065" t="str">
        <f>IF(VIPcric_1!G1054="","",VIPcric_1!G1054)</f>
        <v/>
      </c>
      <c r="H1065" t="str">
        <f>IF(VIPcric_1!H1054="","",VIPcric_1!H1054)</f>
        <v/>
      </c>
      <c r="I1065" t="str">
        <f>IF(VIPcric_1!M1054="","",VIPcric_1!M1054)</f>
        <v>CRIC-平顶山-市场监测.商品房市场.项目累计.库存.xlsx</v>
      </c>
    </row>
    <row r="1066" spans="1:9">
      <c r="A1066" t="str">
        <f>IF(VIPcric_1!A1055="","",VIPcric_1!A1055)</f>
        <v>时间(年)</v>
      </c>
      <c r="B1066" t="str">
        <f>IF(VIPcric_1!B1055="","",VIPcric_1!B1055)</f>
        <v>库存面积(㎡)</v>
      </c>
      <c r="C1066" t="str">
        <f>IF(VIPcric_1!C1055="","",VIPcric_1!C1055)</f>
        <v>库存套数(套)</v>
      </c>
      <c r="D1066" t="str">
        <f>IF(VIPcric_1!D1055="","",VIPcric_1!D1055)</f>
        <v>去化周期12'(月)</v>
      </c>
      <c r="E1066" t="str">
        <f>IF(VIPcric_1!E1055="","",VIPcric_1!E1055)</f>
        <v/>
      </c>
      <c r="F1066" t="str">
        <f>IF(VIPcric_1!F1055="","",VIPcric_1!F1055)</f>
        <v/>
      </c>
      <c r="G1066" t="str">
        <f>IF(VIPcric_1!G1055="","",VIPcric_1!G1055)</f>
        <v/>
      </c>
      <c r="H1066" t="str">
        <f>IF(VIPcric_1!H1055="","",VIPcric_1!H1055)</f>
        <v/>
      </c>
      <c r="I1066" t="str">
        <f>IF(VIPcric_1!M1055="","",VIPcric_1!M1055)</f>
        <v>CRIC-平顶山-市场监测.商品房市场.项目累计.库存.xlsx</v>
      </c>
    </row>
    <row r="1067" spans="1:9">
      <c r="A1067" t="str">
        <f>IF(VIPcric_1!A1056="","",VIPcric_1!A1056)</f>
        <v>2023年</v>
      </c>
      <c r="B1067">
        <f>IF(VIPcric_1!B1056="","",VIPcric_1!B1056)</f>
        <v>2954076</v>
      </c>
      <c r="C1067">
        <f>IF(VIPcric_1!C1056="","",VIPcric_1!C1056)</f>
        <v>26732</v>
      </c>
      <c r="D1067">
        <f>IF(VIPcric_1!D1056="","",VIPcric_1!D1056)</f>
        <v>25</v>
      </c>
      <c r="E1067" t="str">
        <f>IF(VIPcric_1!E1056="","",VIPcric_1!E1056)</f>
        <v/>
      </c>
      <c r="F1067" t="str">
        <f>IF(VIPcric_1!F1056="","",VIPcric_1!F1056)</f>
        <v/>
      </c>
      <c r="G1067" t="str">
        <f>IF(VIPcric_1!G1056="","",VIPcric_1!G1056)</f>
        <v/>
      </c>
      <c r="H1067" t="str">
        <f>IF(VIPcric_1!H1056="","",VIPcric_1!H1056)</f>
        <v/>
      </c>
      <c r="I1067" t="str">
        <f>IF(VIPcric_1!M1056="","",VIPcric_1!M1056)</f>
        <v>CRIC-平顶山-市场监测.商品房市场.项目累计.库存.xlsx</v>
      </c>
    </row>
    <row r="1068" spans="1:9">
      <c r="A1068" t="str">
        <f>IF(VIPcric_1!A1057="","",VIPcric_1!A1057)</f>
        <v>2022年</v>
      </c>
      <c r="B1068">
        <f>IF(VIPcric_1!B1057="","",VIPcric_1!B1057)</f>
        <v>2796647</v>
      </c>
      <c r="C1068">
        <f>IF(VIPcric_1!C1057="","",VIPcric_1!C1057)</f>
        <v>25441</v>
      </c>
      <c r="D1068">
        <f>IF(VIPcric_1!D1057="","",VIPcric_1!D1057)</f>
        <v>28</v>
      </c>
      <c r="E1068" t="str">
        <f>IF(VIPcric_1!E1057="","",VIPcric_1!E1057)</f>
        <v/>
      </c>
      <c r="F1068" t="str">
        <f>IF(VIPcric_1!F1057="","",VIPcric_1!F1057)</f>
        <v/>
      </c>
      <c r="G1068" t="str">
        <f>IF(VIPcric_1!G1057="","",VIPcric_1!G1057)</f>
        <v/>
      </c>
      <c r="H1068" t="str">
        <f>IF(VIPcric_1!H1057="","",VIPcric_1!H1057)</f>
        <v/>
      </c>
      <c r="I1068" t="str">
        <f>IF(VIPcric_1!M1057="","",VIPcric_1!M1057)</f>
        <v>CRIC-平顶山-市场监测.商品房市场.项目累计.库存.xlsx</v>
      </c>
    </row>
    <row r="1069" spans="1:9">
      <c r="A1069" t="str">
        <f>IF(VIPcric_1!A1058="","",VIPcric_1!A1058)</f>
        <v>2021年</v>
      </c>
      <c r="B1069">
        <f>IF(VIPcric_1!B1058="","",VIPcric_1!B1058)</f>
        <v>2947444</v>
      </c>
      <c r="C1069">
        <f>IF(VIPcric_1!C1058="","",VIPcric_1!C1058)</f>
        <v>26724</v>
      </c>
      <c r="D1069">
        <f>IF(VIPcric_1!D1058="","",VIPcric_1!D1058)</f>
        <v>15.3</v>
      </c>
      <c r="E1069" t="str">
        <f>IF(VIPcric_1!E1058="","",VIPcric_1!E1058)</f>
        <v/>
      </c>
      <c r="F1069" t="str">
        <f>IF(VIPcric_1!F1058="","",VIPcric_1!F1058)</f>
        <v/>
      </c>
      <c r="G1069" t="str">
        <f>IF(VIPcric_1!G1058="","",VIPcric_1!G1058)</f>
        <v/>
      </c>
      <c r="H1069" t="str">
        <f>IF(VIPcric_1!H1058="","",VIPcric_1!H1058)</f>
        <v/>
      </c>
      <c r="I1069" t="str">
        <f>IF(VIPcric_1!M1058="","",VIPcric_1!M1058)</f>
        <v>CRIC-平顶山-市场监测.商品房市场.项目累计.库存.xlsx</v>
      </c>
    </row>
    <row r="1070" spans="1:9">
      <c r="A1070" t="str">
        <f>IF(VIPcric_1!A1059="","",VIPcric_1!A1059)</f>
        <v>2020年</v>
      </c>
      <c r="B1070">
        <f>IF(VIPcric_1!B1059="","",VIPcric_1!B1059)</f>
        <v>2504014</v>
      </c>
      <c r="C1070">
        <f>IF(VIPcric_1!C1059="","",VIPcric_1!C1059)</f>
        <v>22786</v>
      </c>
      <c r="D1070">
        <f>IF(VIPcric_1!D1059="","",VIPcric_1!D1059)</f>
        <v>16.3</v>
      </c>
      <c r="E1070" t="str">
        <f>IF(VIPcric_1!E1059="","",VIPcric_1!E1059)</f>
        <v/>
      </c>
      <c r="F1070" t="str">
        <f>IF(VIPcric_1!F1059="","",VIPcric_1!F1059)</f>
        <v/>
      </c>
      <c r="G1070" t="str">
        <f>IF(VIPcric_1!G1059="","",VIPcric_1!G1059)</f>
        <v/>
      </c>
      <c r="H1070" t="str">
        <f>IF(VIPcric_1!H1059="","",VIPcric_1!H1059)</f>
        <v/>
      </c>
      <c r="I1070" t="str">
        <f>IF(VIPcric_1!M1059="","",VIPcric_1!M1059)</f>
        <v>CRIC-平顶山-市场监测.商品房市场.项目累计.库存.xlsx</v>
      </c>
    </row>
    <row r="1071" spans="1:9">
      <c r="A1071" t="str">
        <f>IF(VIPcric_1!A1060="","",VIPcric_1!A1060)</f>
        <v>2019年</v>
      </c>
      <c r="B1071">
        <f>IF(VIPcric_1!B1060="","",VIPcric_1!B1060)</f>
        <v>2037944</v>
      </c>
      <c r="C1071">
        <f>IF(VIPcric_1!C1060="","",VIPcric_1!C1060)</f>
        <v>19129</v>
      </c>
      <c r="D1071">
        <f>IF(VIPcric_1!D1060="","",VIPcric_1!D1060)</f>
        <v>136.9</v>
      </c>
      <c r="E1071" t="str">
        <f>IF(VIPcric_1!E1060="","",VIPcric_1!E1060)</f>
        <v/>
      </c>
      <c r="F1071" t="str">
        <f>IF(VIPcric_1!F1060="","",VIPcric_1!F1060)</f>
        <v/>
      </c>
      <c r="G1071" t="str">
        <f>IF(VIPcric_1!G1060="","",VIPcric_1!G1060)</f>
        <v/>
      </c>
      <c r="H1071" t="str">
        <f>IF(VIPcric_1!H1060="","",VIPcric_1!H1060)</f>
        <v/>
      </c>
      <c r="I1071" t="str">
        <f>IF(VIPcric_1!M1060="","",VIPcric_1!M1060)</f>
        <v>CRIC-平顶山-市场监测.商品房市场.项目累计.库存.xlsx</v>
      </c>
    </row>
    <row r="1072" spans="1:9">
      <c r="A1072" t="str">
        <f>IF(VIPcric_1!A1061="","",VIPcric_1!A1061)</f>
        <v/>
      </c>
      <c r="B1072" t="str">
        <f>IF(VIPcric_1!B1061="","",VIPcric_1!B1061)</f>
        <v/>
      </c>
      <c r="C1072" t="str">
        <f>IF(VIPcric_1!C1061="","",VIPcric_1!C1061)</f>
        <v/>
      </c>
      <c r="D1072" t="str">
        <f>IF(VIPcric_1!D1061="","",VIPcric_1!D1061)</f>
        <v/>
      </c>
      <c r="E1072" t="str">
        <f>IF(VIPcric_1!E1061="","",VIPcric_1!E1061)</f>
        <v/>
      </c>
      <c r="F1072" t="str">
        <f>IF(VIPcric_1!F1061="","",VIPcric_1!F1061)</f>
        <v/>
      </c>
      <c r="G1072" t="str">
        <f>IF(VIPcric_1!G1061="","",VIPcric_1!G1061)</f>
        <v/>
      </c>
      <c r="H1072" t="str">
        <f>IF(VIPcric_1!H1061="","",VIPcric_1!H1061)</f>
        <v/>
      </c>
      <c r="I1072" t="str">
        <f>IF(VIPcric_1!M1061="","",VIPcric_1!M1061)</f>
        <v/>
      </c>
    </row>
    <row r="1073" spans="1:9">
      <c r="A1073" t="str">
        <f>IF(VIPcric_1!A1062="","",VIPcric_1!A1062)</f>
        <v/>
      </c>
      <c r="B1073" t="str">
        <f>IF(VIPcric_1!B1062="","",VIPcric_1!B1062)</f>
        <v/>
      </c>
      <c r="C1073" t="str">
        <f>IF(VIPcric_1!C1062="","",VIPcric_1!C1062)</f>
        <v/>
      </c>
      <c r="D1073" t="str">
        <f>IF(VIPcric_1!D1062="","",VIPcric_1!D1062)</f>
        <v/>
      </c>
      <c r="E1073" t="str">
        <f>IF(VIPcric_1!E1062="","",VIPcric_1!E1062)</f>
        <v/>
      </c>
      <c r="F1073" t="str">
        <f>IF(VIPcric_1!F1062="","",VIPcric_1!F1062)</f>
        <v/>
      </c>
      <c r="G1073" t="str">
        <f>IF(VIPcric_1!G1062="","",VIPcric_1!G1062)</f>
        <v/>
      </c>
      <c r="H1073" t="str">
        <f>IF(VIPcric_1!H1062="","",VIPcric_1!H1062)</f>
        <v/>
      </c>
      <c r="I1073" t="str">
        <f>IF(VIPcric_1!M1062="","",VIPcric_1!M1062)</f>
        <v>CRIC-广安-市场监测.商品房市场.项目累计.供求.xlsx</v>
      </c>
    </row>
    <row r="1074" spans="1:9">
      <c r="A1074" t="str">
        <f>IF(VIPcric_1!A1063="","",VIPcric_1!A1063)</f>
        <v>时间(年)</v>
      </c>
      <c r="B1074" t="str">
        <f>IF(VIPcric_1!B1063="","",VIPcric_1!B1063)</f>
        <v>供应面积(㎡)</v>
      </c>
      <c r="C1074" t="str">
        <f>IF(VIPcric_1!C1063="","",VIPcric_1!C1063)</f>
        <v>供应套数(套)</v>
      </c>
      <c r="D1074" t="str">
        <f>IF(VIPcric_1!D1063="","",VIPcric_1!D1063)</f>
        <v>成交面积(㎡)</v>
      </c>
      <c r="E1074" t="str">
        <f>IF(VIPcric_1!E1063="","",VIPcric_1!E1063)</f>
        <v>成交套数(套)</v>
      </c>
      <c r="F1074" t="str">
        <f>IF(VIPcric_1!F1063="","",VIPcric_1!F1063)</f>
        <v>成交均价(元/㎡)</v>
      </c>
      <c r="G1074" t="str">
        <f>IF(VIPcric_1!G1063="","",VIPcric_1!G1063)</f>
        <v>成交金额(元)</v>
      </c>
      <c r="H1074" t="str">
        <f>IF(VIPcric_1!H1063="","",VIPcric_1!H1063)</f>
        <v>供求比</v>
      </c>
      <c r="I1074" t="str">
        <f>IF(VIPcric_1!M1063="","",VIPcric_1!M1063)</f>
        <v>CRIC-广安-市场监测.商品房市场.项目累计.供求.xlsx</v>
      </c>
    </row>
    <row r="1075" spans="1:9">
      <c r="A1075" t="str">
        <f>IF(VIPcric_1!A1064="","",VIPcric_1!A1064)</f>
        <v>2023年</v>
      </c>
      <c r="B1075">
        <f>IF(VIPcric_1!B1064="","",VIPcric_1!B1064)</f>
        <v>818995</v>
      </c>
      <c r="C1075">
        <f>IF(VIPcric_1!C1064="","",VIPcric_1!C1064)</f>
        <v>8287</v>
      </c>
      <c r="D1075">
        <f>IF(VIPcric_1!D1064="","",VIPcric_1!D1064)</f>
        <v>965609</v>
      </c>
      <c r="E1075">
        <f>IF(VIPcric_1!E1064="","",VIPcric_1!E1064)</f>
        <v>9359</v>
      </c>
      <c r="F1075">
        <f>IF(VIPcric_1!F1064="","",VIPcric_1!F1064)</f>
        <v>6184</v>
      </c>
      <c r="G1075">
        <f>IF(VIPcric_1!G1064="","",VIPcric_1!G1064)</f>
        <v>5971146425</v>
      </c>
      <c r="H1075">
        <f>IF(VIPcric_1!H1064="","",VIPcric_1!H1064)</f>
        <v>0.85</v>
      </c>
      <c r="I1075" t="str">
        <f>IF(VIPcric_1!M1064="","",VIPcric_1!M1064)</f>
        <v>CRIC-广安-市场监测.商品房市场.项目累计.供求.xlsx</v>
      </c>
    </row>
    <row r="1076" spans="1:9">
      <c r="A1076" t="str">
        <f>IF(VIPcric_1!A1065="","",VIPcric_1!A1065)</f>
        <v>2022年</v>
      </c>
      <c r="B1076">
        <f>IF(VIPcric_1!B1065="","",VIPcric_1!B1065)</f>
        <v>406098</v>
      </c>
      <c r="C1076">
        <f>IF(VIPcric_1!C1065="","",VIPcric_1!C1065)</f>
        <v>3807</v>
      </c>
      <c r="D1076">
        <f>IF(VIPcric_1!D1065="","",VIPcric_1!D1065)</f>
        <v>865574</v>
      </c>
      <c r="E1076">
        <f>IF(VIPcric_1!E1065="","",VIPcric_1!E1065)</f>
        <v>8154</v>
      </c>
      <c r="F1076">
        <f>IF(VIPcric_1!F1065="","",VIPcric_1!F1065)</f>
        <v>6381</v>
      </c>
      <c r="G1076">
        <f>IF(VIPcric_1!G1065="","",VIPcric_1!G1065)</f>
        <v>5522975737</v>
      </c>
      <c r="H1076">
        <f>IF(VIPcric_1!H1065="","",VIPcric_1!H1065)</f>
        <v>0.47</v>
      </c>
      <c r="I1076" t="str">
        <f>IF(VIPcric_1!M1065="","",VIPcric_1!M1065)</f>
        <v>CRIC-广安-市场监测.商品房市场.项目累计.供求.xlsx</v>
      </c>
    </row>
    <row r="1077" spans="1:9">
      <c r="A1077" t="str">
        <f>IF(VIPcric_1!A1066="","",VIPcric_1!A1066)</f>
        <v>2021年</v>
      </c>
      <c r="B1077">
        <f>IF(VIPcric_1!B1066="","",VIPcric_1!B1066)</f>
        <v>1338082</v>
      </c>
      <c r="C1077">
        <f>IF(VIPcric_1!C1066="","",VIPcric_1!C1066)</f>
        <v>13559</v>
      </c>
      <c r="D1077">
        <f>IF(VIPcric_1!D1066="","",VIPcric_1!D1066)</f>
        <v>275374</v>
      </c>
      <c r="E1077">
        <f>IF(VIPcric_1!E1066="","",VIPcric_1!E1066)</f>
        <v>2574</v>
      </c>
      <c r="F1077">
        <f>IF(VIPcric_1!F1066="","",VIPcric_1!F1066)</f>
        <v>6216</v>
      </c>
      <c r="G1077">
        <f>IF(VIPcric_1!G1066="","",VIPcric_1!G1066)</f>
        <v>1711637456</v>
      </c>
      <c r="H1077">
        <f>IF(VIPcric_1!H1066="","",VIPcric_1!H1066)</f>
        <v>4.8600000000000003</v>
      </c>
      <c r="I1077" t="str">
        <f>IF(VIPcric_1!M1066="","",VIPcric_1!M1066)</f>
        <v>CRIC-广安-市场监测.商品房市场.项目累计.供求.xlsx</v>
      </c>
    </row>
    <row r="1078" spans="1:9">
      <c r="A1078" t="str">
        <f>IF(VIPcric_1!A1067="","",VIPcric_1!A1067)</f>
        <v>2020年</v>
      </c>
      <c r="B1078">
        <f>IF(VIPcric_1!B1067="","",VIPcric_1!B1067)</f>
        <v>1144915</v>
      </c>
      <c r="C1078">
        <f>IF(VIPcric_1!C1067="","",VIPcric_1!C1067)</f>
        <v>11694</v>
      </c>
      <c r="D1078">
        <f>IF(VIPcric_1!D1067="","",VIPcric_1!D1067)</f>
        <v>0</v>
      </c>
      <c r="E1078">
        <f>IF(VIPcric_1!E1067="","",VIPcric_1!E1067)</f>
        <v>0</v>
      </c>
      <c r="F1078">
        <f>IF(VIPcric_1!F1067="","",VIPcric_1!F1067)</f>
        <v>0</v>
      </c>
      <c r="G1078">
        <f>IF(VIPcric_1!G1067="","",VIPcric_1!G1067)</f>
        <v>0</v>
      </c>
      <c r="H1078">
        <f>IF(VIPcric_1!H1067="","",VIPcric_1!H1067)</f>
        <v>0</v>
      </c>
      <c r="I1078" t="str">
        <f>IF(VIPcric_1!M1067="","",VIPcric_1!M1067)</f>
        <v>CRIC-广安-市场监测.商品房市场.项目累计.供求.xlsx</v>
      </c>
    </row>
    <row r="1079" spans="1:9">
      <c r="A1079" t="str">
        <f>IF(VIPcric_1!A1068="","",VIPcric_1!A1068)</f>
        <v>2019年</v>
      </c>
      <c r="B1079">
        <f>IF(VIPcric_1!B1068="","",VIPcric_1!B1068)</f>
        <v>2679395</v>
      </c>
      <c r="C1079">
        <f>IF(VIPcric_1!C1068="","",VIPcric_1!C1068)</f>
        <v>25131</v>
      </c>
      <c r="D1079">
        <f>IF(VIPcric_1!D1068="","",VIPcric_1!D1068)</f>
        <v>0</v>
      </c>
      <c r="E1079">
        <f>IF(VIPcric_1!E1068="","",VIPcric_1!E1068)</f>
        <v>0</v>
      </c>
      <c r="F1079">
        <f>IF(VIPcric_1!F1068="","",VIPcric_1!F1068)</f>
        <v>0</v>
      </c>
      <c r="G1079">
        <f>IF(VIPcric_1!G1068="","",VIPcric_1!G1068)</f>
        <v>0</v>
      </c>
      <c r="H1079">
        <f>IF(VIPcric_1!H1068="","",VIPcric_1!H1068)</f>
        <v>0</v>
      </c>
      <c r="I1079" t="str">
        <f>IF(VIPcric_1!M1068="","",VIPcric_1!M1068)</f>
        <v>CRIC-广安-市场监测.商品房市场.项目累计.供求.xlsx</v>
      </c>
    </row>
    <row r="1080" spans="1:9">
      <c r="A1080" t="str">
        <f>IF(VIPcric_1!A1069="","",VIPcric_1!A1069)</f>
        <v>汇总</v>
      </c>
      <c r="B1080">
        <f>IF(VIPcric_1!B1069="","",VIPcric_1!B1069)</f>
        <v>6387486</v>
      </c>
      <c r="C1080">
        <f>IF(VIPcric_1!C1069="","",VIPcric_1!C1069)</f>
        <v>62478</v>
      </c>
      <c r="D1080">
        <f>IF(VIPcric_1!D1069="","",VIPcric_1!D1069)</f>
        <v>2106558</v>
      </c>
      <c r="E1080">
        <f>IF(VIPcric_1!E1069="","",VIPcric_1!E1069)</f>
        <v>20087</v>
      </c>
      <c r="F1080">
        <f>IF(VIPcric_1!F1069="","",VIPcric_1!F1069)</f>
        <v>6269</v>
      </c>
      <c r="G1080">
        <f>IF(VIPcric_1!G1069="","",VIPcric_1!G1069)</f>
        <v>13205759618</v>
      </c>
      <c r="H1080">
        <f>IF(VIPcric_1!H1069="","",VIPcric_1!H1069)</f>
        <v>3.03</v>
      </c>
      <c r="I1080" t="str">
        <f>IF(VIPcric_1!M1069="","",VIPcric_1!M1069)</f>
        <v>CRIC-广安-市场监测.商品房市场.项目累计.供求.xlsx</v>
      </c>
    </row>
    <row r="1081" spans="1:9">
      <c r="A1081" t="str">
        <f>IF(VIPcric_1!A1070="","",VIPcric_1!A1070)</f>
        <v/>
      </c>
      <c r="B1081" t="str">
        <f>IF(VIPcric_1!B1070="","",VIPcric_1!B1070)</f>
        <v/>
      </c>
      <c r="C1081" t="str">
        <f>IF(VIPcric_1!C1070="","",VIPcric_1!C1070)</f>
        <v/>
      </c>
      <c r="D1081" t="str">
        <f>IF(VIPcric_1!D1070="","",VIPcric_1!D1070)</f>
        <v/>
      </c>
      <c r="E1081" t="str">
        <f>IF(VIPcric_1!E1070="","",VIPcric_1!E1070)</f>
        <v/>
      </c>
      <c r="F1081" t="str">
        <f>IF(VIPcric_1!F1070="","",VIPcric_1!F1070)</f>
        <v/>
      </c>
      <c r="G1081" t="str">
        <f>IF(VIPcric_1!G1070="","",VIPcric_1!G1070)</f>
        <v/>
      </c>
      <c r="H1081" t="str">
        <f>IF(VIPcric_1!H1070="","",VIPcric_1!H1070)</f>
        <v/>
      </c>
      <c r="I1081" t="str">
        <f>IF(VIPcric_1!M1070="","",VIPcric_1!M1070)</f>
        <v/>
      </c>
    </row>
    <row r="1082" spans="1:9">
      <c r="A1082" t="str">
        <f>IF(VIPcric_1!A1071="","",VIPcric_1!A1071)</f>
        <v/>
      </c>
      <c r="B1082" t="str">
        <f>IF(VIPcric_1!B1071="","",VIPcric_1!B1071)</f>
        <v/>
      </c>
      <c r="C1082" t="str">
        <f>IF(VIPcric_1!C1071="","",VIPcric_1!C1071)</f>
        <v/>
      </c>
      <c r="D1082" t="str">
        <f>IF(VIPcric_1!D1071="","",VIPcric_1!D1071)</f>
        <v/>
      </c>
      <c r="E1082" t="str">
        <f>IF(VIPcric_1!E1071="","",VIPcric_1!E1071)</f>
        <v/>
      </c>
      <c r="F1082" t="str">
        <f>IF(VIPcric_1!F1071="","",VIPcric_1!F1071)</f>
        <v/>
      </c>
      <c r="G1082" t="str">
        <f>IF(VIPcric_1!G1071="","",VIPcric_1!G1071)</f>
        <v/>
      </c>
      <c r="H1082" t="str">
        <f>IF(VIPcric_1!H1071="","",VIPcric_1!H1071)</f>
        <v/>
      </c>
      <c r="I1082" t="str">
        <f>IF(VIPcric_1!M1071="","",VIPcric_1!M1071)</f>
        <v>CRIC-广安-市场监测.商品房市场.项目累计.库存.xlsx</v>
      </c>
    </row>
    <row r="1083" spans="1:9">
      <c r="A1083" t="str">
        <f>IF(VIPcric_1!A1072="","",VIPcric_1!A1072)</f>
        <v>时间(年)</v>
      </c>
      <c r="B1083" t="str">
        <f>IF(VIPcric_1!B1072="","",VIPcric_1!B1072)</f>
        <v>库存面积(㎡)</v>
      </c>
      <c r="C1083" t="str">
        <f>IF(VIPcric_1!C1072="","",VIPcric_1!C1072)</f>
        <v>库存套数(套)</v>
      </c>
      <c r="D1083" t="str">
        <f>IF(VIPcric_1!D1072="","",VIPcric_1!D1072)</f>
        <v>去化周期12'(月)</v>
      </c>
      <c r="E1083" t="str">
        <f>IF(VIPcric_1!E1072="","",VIPcric_1!E1072)</f>
        <v/>
      </c>
      <c r="F1083" t="str">
        <f>IF(VIPcric_1!F1072="","",VIPcric_1!F1072)</f>
        <v/>
      </c>
      <c r="G1083" t="str">
        <f>IF(VIPcric_1!G1072="","",VIPcric_1!G1072)</f>
        <v/>
      </c>
      <c r="H1083" t="str">
        <f>IF(VIPcric_1!H1072="","",VIPcric_1!H1072)</f>
        <v/>
      </c>
      <c r="I1083" t="str">
        <f>IF(VIPcric_1!M1072="","",VIPcric_1!M1072)</f>
        <v>CRIC-广安-市场监测.商品房市场.项目累计.库存.xlsx</v>
      </c>
    </row>
    <row r="1084" spans="1:9">
      <c r="A1084" t="str">
        <f>IF(VIPcric_1!A1073="","",VIPcric_1!A1073)</f>
        <v>2023年</v>
      </c>
      <c r="B1084">
        <f>IF(VIPcric_1!B1073="","",VIPcric_1!B1073)</f>
        <v>942258</v>
      </c>
      <c r="C1084">
        <f>IF(VIPcric_1!C1073="","",VIPcric_1!C1073)</f>
        <v>8998</v>
      </c>
      <c r="D1084">
        <f>IF(VIPcric_1!D1073="","",VIPcric_1!D1073)</f>
        <v>11.7</v>
      </c>
      <c r="E1084" t="str">
        <f>IF(VIPcric_1!E1073="","",VIPcric_1!E1073)</f>
        <v/>
      </c>
      <c r="F1084" t="str">
        <f>IF(VIPcric_1!F1073="","",VIPcric_1!F1073)</f>
        <v/>
      </c>
      <c r="G1084" t="str">
        <f>IF(VIPcric_1!G1073="","",VIPcric_1!G1073)</f>
        <v/>
      </c>
      <c r="H1084" t="str">
        <f>IF(VIPcric_1!H1073="","",VIPcric_1!H1073)</f>
        <v/>
      </c>
      <c r="I1084" t="str">
        <f>IF(VIPcric_1!M1073="","",VIPcric_1!M1073)</f>
        <v>CRIC-广安-市场监测.商品房市场.项目累计.库存.xlsx</v>
      </c>
    </row>
    <row r="1085" spans="1:9">
      <c r="A1085" t="str">
        <f>IF(VIPcric_1!A1074="","",VIPcric_1!A1074)</f>
        <v>2022年</v>
      </c>
      <c r="B1085">
        <f>IF(VIPcric_1!B1074="","",VIPcric_1!B1074)</f>
        <v>1002827</v>
      </c>
      <c r="C1085">
        <f>IF(VIPcric_1!C1074="","",VIPcric_1!C1074)</f>
        <v>9449</v>
      </c>
      <c r="D1085">
        <f>IF(VIPcric_1!D1074="","",VIPcric_1!D1074)</f>
        <v>13.9</v>
      </c>
      <c r="E1085" t="str">
        <f>IF(VIPcric_1!E1074="","",VIPcric_1!E1074)</f>
        <v/>
      </c>
      <c r="F1085" t="str">
        <f>IF(VIPcric_1!F1074="","",VIPcric_1!F1074)</f>
        <v/>
      </c>
      <c r="G1085" t="str">
        <f>IF(VIPcric_1!G1074="","",VIPcric_1!G1074)</f>
        <v/>
      </c>
      <c r="H1085" t="str">
        <f>IF(VIPcric_1!H1074="","",VIPcric_1!H1074)</f>
        <v/>
      </c>
      <c r="I1085" t="str">
        <f>IF(VIPcric_1!M1074="","",VIPcric_1!M1074)</f>
        <v>CRIC-广安-市场监测.商品房市场.项目累计.库存.xlsx</v>
      </c>
    </row>
    <row r="1086" spans="1:9">
      <c r="A1086" t="str">
        <f>IF(VIPcric_1!A1075="","",VIPcric_1!A1075)</f>
        <v>2021年</v>
      </c>
      <c r="B1086">
        <f>IF(VIPcric_1!B1075="","",VIPcric_1!B1075)</f>
        <v>1410092</v>
      </c>
      <c r="C1086">
        <f>IF(VIPcric_1!C1075="","",VIPcric_1!C1075)</f>
        <v>13342</v>
      </c>
      <c r="D1086">
        <f>IF(VIPcric_1!D1075="","",VIPcric_1!D1075)</f>
        <v>61.4</v>
      </c>
      <c r="E1086" t="str">
        <f>IF(VIPcric_1!E1075="","",VIPcric_1!E1075)</f>
        <v/>
      </c>
      <c r="F1086" t="str">
        <f>IF(VIPcric_1!F1075="","",VIPcric_1!F1075)</f>
        <v/>
      </c>
      <c r="G1086" t="str">
        <f>IF(VIPcric_1!G1075="","",VIPcric_1!G1075)</f>
        <v/>
      </c>
      <c r="H1086" t="str">
        <f>IF(VIPcric_1!H1075="","",VIPcric_1!H1075)</f>
        <v/>
      </c>
      <c r="I1086" t="str">
        <f>IF(VIPcric_1!M1075="","",VIPcric_1!M1075)</f>
        <v>CRIC-广安-市场监测.商品房市场.项目累计.库存.xlsx</v>
      </c>
    </row>
    <row r="1087" spans="1:9">
      <c r="A1087" t="str">
        <f>IF(VIPcric_1!A1076="","",VIPcric_1!A1076)</f>
        <v/>
      </c>
      <c r="B1087" t="str">
        <f>IF(VIPcric_1!B1076="","",VIPcric_1!B1076)</f>
        <v/>
      </c>
      <c r="C1087" t="str">
        <f>IF(VIPcric_1!C1076="","",VIPcric_1!C1076)</f>
        <v/>
      </c>
      <c r="D1087" t="str">
        <f>IF(VIPcric_1!D1076="","",VIPcric_1!D1076)</f>
        <v/>
      </c>
      <c r="E1087" t="str">
        <f>IF(VIPcric_1!E1076="","",VIPcric_1!E1076)</f>
        <v/>
      </c>
      <c r="F1087" t="str">
        <f>IF(VIPcric_1!F1076="","",VIPcric_1!F1076)</f>
        <v/>
      </c>
      <c r="G1087" t="str">
        <f>IF(VIPcric_1!G1076="","",VIPcric_1!G1076)</f>
        <v/>
      </c>
      <c r="H1087" t="str">
        <f>IF(VIPcric_1!H1076="","",VIPcric_1!H1076)</f>
        <v/>
      </c>
      <c r="I1087" t="str">
        <f>IF(VIPcric_1!M1076="","",VIPcric_1!M1076)</f>
        <v/>
      </c>
    </row>
    <row r="1088" spans="1:9">
      <c r="A1088" t="str">
        <f>IF(VIPcric_1!A1077="","",VIPcric_1!A1077)</f>
        <v/>
      </c>
      <c r="B1088" t="str">
        <f>IF(VIPcric_1!B1077="","",VIPcric_1!B1077)</f>
        <v/>
      </c>
      <c r="C1088" t="str">
        <f>IF(VIPcric_1!C1077="","",VIPcric_1!C1077)</f>
        <v/>
      </c>
      <c r="D1088" t="str">
        <f>IF(VIPcric_1!D1077="","",VIPcric_1!D1077)</f>
        <v/>
      </c>
      <c r="E1088" t="str">
        <f>IF(VIPcric_1!E1077="","",VIPcric_1!E1077)</f>
        <v/>
      </c>
      <c r="F1088" t="str">
        <f>IF(VIPcric_1!F1077="","",VIPcric_1!F1077)</f>
        <v/>
      </c>
      <c r="G1088" t="str">
        <f>IF(VIPcric_1!G1077="","",VIPcric_1!G1077)</f>
        <v/>
      </c>
      <c r="H1088" t="str">
        <f>IF(VIPcric_1!H1077="","",VIPcric_1!H1077)</f>
        <v/>
      </c>
      <c r="I1088" t="str">
        <f>IF(VIPcric_1!M1077="","",VIPcric_1!M1077)</f>
        <v>CRIC-广州-市场监测.商品房市场.项目累计.供求.xlsx</v>
      </c>
    </row>
    <row r="1089" spans="1:9">
      <c r="A1089" t="str">
        <f>IF(VIPcric_1!A1078="","",VIPcric_1!A1078)</f>
        <v>时间(年)</v>
      </c>
      <c r="B1089" t="str">
        <f>IF(VIPcric_1!B1078="","",VIPcric_1!B1078)</f>
        <v>供应面积(㎡)</v>
      </c>
      <c r="C1089" t="str">
        <f>IF(VIPcric_1!C1078="","",VIPcric_1!C1078)</f>
        <v>供应套数(套)</v>
      </c>
      <c r="D1089" t="str">
        <f>IF(VIPcric_1!D1078="","",VIPcric_1!D1078)</f>
        <v>成交面积(㎡)</v>
      </c>
      <c r="E1089" t="str">
        <f>IF(VIPcric_1!E1078="","",VIPcric_1!E1078)</f>
        <v>成交套数(套)</v>
      </c>
      <c r="F1089" t="str">
        <f>IF(VIPcric_1!F1078="","",VIPcric_1!F1078)</f>
        <v>成交均价(元/㎡)</v>
      </c>
      <c r="G1089" t="str">
        <f>IF(VIPcric_1!G1078="","",VIPcric_1!G1078)</f>
        <v>成交金额(元)</v>
      </c>
      <c r="H1089" t="str">
        <f>IF(VIPcric_1!H1078="","",VIPcric_1!H1078)</f>
        <v>供求比</v>
      </c>
      <c r="I1089" t="str">
        <f>IF(VIPcric_1!M1078="","",VIPcric_1!M1078)</f>
        <v>CRIC-广州-市场监测.商品房市场.项目累计.供求.xlsx</v>
      </c>
    </row>
    <row r="1090" spans="1:9">
      <c r="A1090" t="str">
        <f>IF(VIPcric_1!A1079="","",VIPcric_1!A1079)</f>
        <v>2023年</v>
      </c>
      <c r="B1090">
        <f>IF(VIPcric_1!B1079="","",VIPcric_1!B1079)</f>
        <v>7350139</v>
      </c>
      <c r="C1090">
        <f>IF(VIPcric_1!C1079="","",VIPcric_1!C1079)</f>
        <v>66024</v>
      </c>
      <c r="D1090">
        <f>IF(VIPcric_1!D1079="","",VIPcric_1!D1079)</f>
        <v>7917104</v>
      </c>
      <c r="E1090">
        <f>IF(VIPcric_1!E1079="","",VIPcric_1!E1079)</f>
        <v>73137</v>
      </c>
      <c r="F1090">
        <f>IF(VIPcric_1!F1079="","",VIPcric_1!F1079)</f>
        <v>37881</v>
      </c>
      <c r="G1090">
        <f>IF(VIPcric_1!G1079="","",VIPcric_1!G1079)</f>
        <v>299907790616</v>
      </c>
      <c r="H1090">
        <f>IF(VIPcric_1!H1079="","",VIPcric_1!H1079)</f>
        <v>0.93</v>
      </c>
      <c r="I1090" t="str">
        <f>IF(VIPcric_1!M1079="","",VIPcric_1!M1079)</f>
        <v>CRIC-广州-市场监测.商品房市场.项目累计.供求.xlsx</v>
      </c>
    </row>
    <row r="1091" spans="1:9">
      <c r="A1091" t="str">
        <f>IF(VIPcric_1!A1080="","",VIPcric_1!A1080)</f>
        <v>2022年</v>
      </c>
      <c r="B1091">
        <f>IF(VIPcric_1!B1080="","",VIPcric_1!B1080)</f>
        <v>9294596</v>
      </c>
      <c r="C1091">
        <f>IF(VIPcric_1!C1080="","",VIPcric_1!C1080)</f>
        <v>83977</v>
      </c>
      <c r="D1091">
        <f>IF(VIPcric_1!D1080="","",VIPcric_1!D1080)</f>
        <v>7368807</v>
      </c>
      <c r="E1091">
        <f>IF(VIPcric_1!E1080="","",VIPcric_1!E1080)</f>
        <v>69138</v>
      </c>
      <c r="F1091">
        <f>IF(VIPcric_1!F1080="","",VIPcric_1!F1080)</f>
        <v>37247</v>
      </c>
      <c r="G1091">
        <f>IF(VIPcric_1!G1080="","",VIPcric_1!G1080)</f>
        <v>274468620023</v>
      </c>
      <c r="H1091">
        <f>IF(VIPcric_1!H1080="","",VIPcric_1!H1080)</f>
        <v>1.26</v>
      </c>
      <c r="I1091" t="str">
        <f>IF(VIPcric_1!M1080="","",VIPcric_1!M1080)</f>
        <v>CRIC-广州-市场监测.商品房市场.项目累计.供求.xlsx</v>
      </c>
    </row>
    <row r="1092" spans="1:9">
      <c r="A1092" t="str">
        <f>IF(VIPcric_1!A1081="","",VIPcric_1!A1081)</f>
        <v>2021年</v>
      </c>
      <c r="B1092">
        <f>IF(VIPcric_1!B1081="","",VIPcric_1!B1081)</f>
        <v>11925492</v>
      </c>
      <c r="C1092">
        <f>IF(VIPcric_1!C1081="","",VIPcric_1!C1081)</f>
        <v>118079</v>
      </c>
      <c r="D1092">
        <f>IF(VIPcric_1!D1081="","",VIPcric_1!D1081)</f>
        <v>11118295</v>
      </c>
      <c r="E1092">
        <f>IF(VIPcric_1!E1081="","",VIPcric_1!E1081)</f>
        <v>105536</v>
      </c>
      <c r="F1092">
        <f>IF(VIPcric_1!F1081="","",VIPcric_1!F1081)</f>
        <v>33845</v>
      </c>
      <c r="G1092">
        <f>IF(VIPcric_1!G1081="","",VIPcric_1!G1081)</f>
        <v>376299259086</v>
      </c>
      <c r="H1092">
        <f>IF(VIPcric_1!H1081="","",VIPcric_1!H1081)</f>
        <v>1.07</v>
      </c>
      <c r="I1092" t="str">
        <f>IF(VIPcric_1!M1081="","",VIPcric_1!M1081)</f>
        <v>CRIC-广州-市场监测.商品房市场.项目累计.供求.xlsx</v>
      </c>
    </row>
    <row r="1093" spans="1:9">
      <c r="A1093" t="str">
        <f>IF(VIPcric_1!A1082="","",VIPcric_1!A1082)</f>
        <v>2020年</v>
      </c>
      <c r="B1093">
        <f>IF(VIPcric_1!B1082="","",VIPcric_1!B1082)</f>
        <v>12047198</v>
      </c>
      <c r="C1093">
        <f>IF(VIPcric_1!C1082="","",VIPcric_1!C1082)</f>
        <v>115304</v>
      </c>
      <c r="D1093">
        <f>IF(VIPcric_1!D1082="","",VIPcric_1!D1082)</f>
        <v>10479308</v>
      </c>
      <c r="E1093">
        <f>IF(VIPcric_1!E1082="","",VIPcric_1!E1082)</f>
        <v>98799</v>
      </c>
      <c r="F1093">
        <f>IF(VIPcric_1!F1082="","",VIPcric_1!F1082)</f>
        <v>28955</v>
      </c>
      <c r="G1093">
        <f>IF(VIPcric_1!G1082="","",VIPcric_1!G1082)</f>
        <v>303431329000</v>
      </c>
      <c r="H1093">
        <f>IF(VIPcric_1!H1082="","",VIPcric_1!H1082)</f>
        <v>1.1499999999999999</v>
      </c>
      <c r="I1093" t="str">
        <f>IF(VIPcric_1!M1082="","",VIPcric_1!M1082)</f>
        <v>CRIC-广州-市场监测.商品房市场.项目累计.供求.xlsx</v>
      </c>
    </row>
    <row r="1094" spans="1:9">
      <c r="A1094" t="str">
        <f>IF(VIPcric_1!A1083="","",VIPcric_1!A1083)</f>
        <v>2019年</v>
      </c>
      <c r="B1094">
        <f>IF(VIPcric_1!B1083="","",VIPcric_1!B1083)</f>
        <v>7955986</v>
      </c>
      <c r="C1094">
        <f>IF(VIPcric_1!C1083="","",VIPcric_1!C1083)</f>
        <v>77053</v>
      </c>
      <c r="D1094">
        <f>IF(VIPcric_1!D1083="","",VIPcric_1!D1083)</f>
        <v>8080671</v>
      </c>
      <c r="E1094">
        <f>IF(VIPcric_1!E1083="","",VIPcric_1!E1083)</f>
        <v>76565</v>
      </c>
      <c r="F1094">
        <f>IF(VIPcric_1!F1083="","",VIPcric_1!F1083)</f>
        <v>27963</v>
      </c>
      <c r="G1094">
        <f>IF(VIPcric_1!G1083="","",VIPcric_1!G1083)</f>
        <v>225963704000</v>
      </c>
      <c r="H1094">
        <f>IF(VIPcric_1!H1083="","",VIPcric_1!H1083)</f>
        <v>0.98</v>
      </c>
      <c r="I1094" t="str">
        <f>IF(VIPcric_1!M1083="","",VIPcric_1!M1083)</f>
        <v>CRIC-广州-市场监测.商品房市场.项目累计.供求.xlsx</v>
      </c>
    </row>
    <row r="1095" spans="1:9">
      <c r="A1095" t="str">
        <f>IF(VIPcric_1!A1084="","",VIPcric_1!A1084)</f>
        <v>汇总</v>
      </c>
      <c r="B1095">
        <f>IF(VIPcric_1!B1084="","",VIPcric_1!B1084)</f>
        <v>48573411</v>
      </c>
      <c r="C1095">
        <f>IF(VIPcric_1!C1084="","",VIPcric_1!C1084)</f>
        <v>460437</v>
      </c>
      <c r="D1095">
        <f>IF(VIPcric_1!D1084="","",VIPcric_1!D1084)</f>
        <v>44964185</v>
      </c>
      <c r="E1095">
        <f>IF(VIPcric_1!E1084="","",VIPcric_1!E1084)</f>
        <v>423175</v>
      </c>
      <c r="F1095">
        <f>IF(VIPcric_1!F1084="","",VIPcric_1!F1084)</f>
        <v>32917</v>
      </c>
      <c r="G1095">
        <f>IF(VIPcric_1!G1084="","",VIPcric_1!G1084)</f>
        <v>1480070702725</v>
      </c>
      <c r="H1095">
        <f>IF(VIPcric_1!H1084="","",VIPcric_1!H1084)</f>
        <v>1.08</v>
      </c>
      <c r="I1095" t="str">
        <f>IF(VIPcric_1!M1084="","",VIPcric_1!M1084)</f>
        <v>CRIC-广州-市场监测.商品房市场.项目累计.供求.xlsx</v>
      </c>
    </row>
    <row r="1096" spans="1:9">
      <c r="A1096" t="str">
        <f>IF(VIPcric_1!A1085="","",VIPcric_1!A1085)</f>
        <v/>
      </c>
      <c r="B1096" t="str">
        <f>IF(VIPcric_1!B1085="","",VIPcric_1!B1085)</f>
        <v/>
      </c>
      <c r="C1096" t="str">
        <f>IF(VIPcric_1!C1085="","",VIPcric_1!C1085)</f>
        <v/>
      </c>
      <c r="D1096" t="str">
        <f>IF(VIPcric_1!D1085="","",VIPcric_1!D1085)</f>
        <v/>
      </c>
      <c r="E1096" t="str">
        <f>IF(VIPcric_1!E1085="","",VIPcric_1!E1085)</f>
        <v/>
      </c>
      <c r="F1096" t="str">
        <f>IF(VIPcric_1!F1085="","",VIPcric_1!F1085)</f>
        <v/>
      </c>
      <c r="G1096" t="str">
        <f>IF(VIPcric_1!G1085="","",VIPcric_1!G1085)</f>
        <v/>
      </c>
      <c r="H1096" t="str">
        <f>IF(VIPcric_1!H1085="","",VIPcric_1!H1085)</f>
        <v/>
      </c>
      <c r="I1096" t="str">
        <f>IF(VIPcric_1!M1085="","",VIPcric_1!M1085)</f>
        <v/>
      </c>
    </row>
    <row r="1097" spans="1:9">
      <c r="A1097" t="str">
        <f>IF(VIPcric_1!A1086="","",VIPcric_1!A1086)</f>
        <v/>
      </c>
      <c r="B1097" t="str">
        <f>IF(VIPcric_1!B1086="","",VIPcric_1!B1086)</f>
        <v/>
      </c>
      <c r="C1097" t="str">
        <f>IF(VIPcric_1!C1086="","",VIPcric_1!C1086)</f>
        <v/>
      </c>
      <c r="D1097" t="str">
        <f>IF(VIPcric_1!D1086="","",VIPcric_1!D1086)</f>
        <v/>
      </c>
      <c r="E1097" t="str">
        <f>IF(VIPcric_1!E1086="","",VIPcric_1!E1086)</f>
        <v/>
      </c>
      <c r="F1097" t="str">
        <f>IF(VIPcric_1!F1086="","",VIPcric_1!F1086)</f>
        <v/>
      </c>
      <c r="G1097" t="str">
        <f>IF(VIPcric_1!G1086="","",VIPcric_1!G1086)</f>
        <v/>
      </c>
      <c r="H1097" t="str">
        <f>IF(VIPcric_1!H1086="","",VIPcric_1!H1086)</f>
        <v/>
      </c>
      <c r="I1097" t="str">
        <f>IF(VIPcric_1!M1086="","",VIPcric_1!M1086)</f>
        <v>CRIC-广州-市场监测.商品房市场.项目累计.库存.xlsx</v>
      </c>
    </row>
    <row r="1098" spans="1:9">
      <c r="A1098" t="str">
        <f>IF(VIPcric_1!A1087="","",VIPcric_1!A1087)</f>
        <v>时间(年)</v>
      </c>
      <c r="B1098" t="str">
        <f>IF(VIPcric_1!B1087="","",VIPcric_1!B1087)</f>
        <v>库存面积(㎡)</v>
      </c>
      <c r="C1098" t="str">
        <f>IF(VIPcric_1!C1087="","",VIPcric_1!C1087)</f>
        <v>库存套数(套)</v>
      </c>
      <c r="D1098" t="str">
        <f>IF(VIPcric_1!D1087="","",VIPcric_1!D1087)</f>
        <v>去化周期12'(月)</v>
      </c>
      <c r="E1098" t="str">
        <f>IF(VIPcric_1!E1087="","",VIPcric_1!E1087)</f>
        <v>去化周期24'(月)</v>
      </c>
      <c r="F1098" t="str">
        <f>IF(VIPcric_1!F1087="","",VIPcric_1!F1087)</f>
        <v/>
      </c>
      <c r="G1098" t="str">
        <f>IF(VIPcric_1!G1087="","",VIPcric_1!G1087)</f>
        <v/>
      </c>
      <c r="H1098" t="str">
        <f>IF(VIPcric_1!H1087="","",VIPcric_1!H1087)</f>
        <v/>
      </c>
      <c r="I1098" t="str">
        <f>IF(VIPcric_1!M1087="","",VIPcric_1!M1087)</f>
        <v>CRIC-广州-市场监测.商品房市场.项目累计.库存.xlsx</v>
      </c>
    </row>
    <row r="1099" spans="1:9">
      <c r="A1099" t="str">
        <f>IF(VIPcric_1!A1088="","",VIPcric_1!A1088)</f>
        <v>2024年</v>
      </c>
      <c r="B1099">
        <f>IF(VIPcric_1!B1088="","",VIPcric_1!B1088)</f>
        <v>11286739</v>
      </c>
      <c r="C1099">
        <f>IF(VIPcric_1!C1088="","",VIPcric_1!C1088)</f>
        <v>103097</v>
      </c>
      <c r="D1099">
        <f>IF(VIPcric_1!D1088="","",VIPcric_1!D1088)</f>
        <v>17.100000000000001</v>
      </c>
      <c r="E1099">
        <f>IF(VIPcric_1!E1088="","",VIPcric_1!E1088)</f>
        <v>18</v>
      </c>
      <c r="F1099" t="str">
        <f>IF(VIPcric_1!F1088="","",VIPcric_1!F1088)</f>
        <v/>
      </c>
      <c r="G1099" t="str">
        <f>IF(VIPcric_1!G1088="","",VIPcric_1!G1088)</f>
        <v/>
      </c>
      <c r="H1099" t="str">
        <f>IF(VIPcric_1!H1088="","",VIPcric_1!H1088)</f>
        <v/>
      </c>
      <c r="I1099" t="str">
        <f>IF(VIPcric_1!M1088="","",VIPcric_1!M1088)</f>
        <v>CRIC-广州-市场监测.商品房市场.项目累计.库存.xlsx</v>
      </c>
    </row>
    <row r="1100" spans="1:9">
      <c r="A1100" t="str">
        <f>IF(VIPcric_1!A1089="","",VIPcric_1!A1089)</f>
        <v>2023年</v>
      </c>
      <c r="B1100">
        <f>IF(VIPcric_1!B1089="","",VIPcric_1!B1089)</f>
        <v>11602412</v>
      </c>
      <c r="C1100">
        <f>IF(VIPcric_1!C1089="","",VIPcric_1!C1089)</f>
        <v>105597</v>
      </c>
      <c r="D1100">
        <f>IF(VIPcric_1!D1089="","",VIPcric_1!D1089)</f>
        <v>17.600000000000001</v>
      </c>
      <c r="E1100">
        <f>IF(VIPcric_1!E1089="","",VIPcric_1!E1089)</f>
        <v>18.2</v>
      </c>
      <c r="F1100" t="str">
        <f>IF(VIPcric_1!F1089="","",VIPcric_1!F1089)</f>
        <v/>
      </c>
      <c r="G1100" t="str">
        <f>IF(VIPcric_1!G1089="","",VIPcric_1!G1089)</f>
        <v/>
      </c>
      <c r="H1100" t="str">
        <f>IF(VIPcric_1!H1089="","",VIPcric_1!H1089)</f>
        <v/>
      </c>
      <c r="I1100" t="str">
        <f>IF(VIPcric_1!M1089="","",VIPcric_1!M1089)</f>
        <v>CRIC-广州-市场监测.商品房市场.项目累计.库存.xlsx</v>
      </c>
    </row>
    <row r="1101" spans="1:9">
      <c r="A1101" t="str">
        <f>IF(VIPcric_1!A1090="","",VIPcric_1!A1090)</f>
        <v>2022年</v>
      </c>
      <c r="B1101">
        <f>IF(VIPcric_1!B1090="","",VIPcric_1!B1090)</f>
        <v>12435416</v>
      </c>
      <c r="C1101">
        <f>IF(VIPcric_1!C1090="","",VIPcric_1!C1090)</f>
        <v>113970</v>
      </c>
      <c r="D1101">
        <f>IF(VIPcric_1!D1090="","",VIPcric_1!D1090)</f>
        <v>20.3</v>
      </c>
      <c r="E1101">
        <f>IF(VIPcric_1!E1090="","",VIPcric_1!E1090)</f>
        <v>16.100000000000001</v>
      </c>
      <c r="F1101" t="str">
        <f>IF(VIPcric_1!F1090="","",VIPcric_1!F1090)</f>
        <v/>
      </c>
      <c r="G1101" t="str">
        <f>IF(VIPcric_1!G1090="","",VIPcric_1!G1090)</f>
        <v/>
      </c>
      <c r="H1101" t="str">
        <f>IF(VIPcric_1!H1090="","",VIPcric_1!H1090)</f>
        <v/>
      </c>
      <c r="I1101" t="str">
        <f>IF(VIPcric_1!M1090="","",VIPcric_1!M1090)</f>
        <v>CRIC-广州-市场监测.商品房市场.项目累计.库存.xlsx</v>
      </c>
    </row>
    <row r="1102" spans="1:9">
      <c r="A1102" t="str">
        <f>IF(VIPcric_1!A1091="","",VIPcric_1!A1091)</f>
        <v>2021年</v>
      </c>
      <c r="B1102">
        <f>IF(VIPcric_1!B1091="","",VIPcric_1!B1091)</f>
        <v>11096302</v>
      </c>
      <c r="C1102">
        <f>IF(VIPcric_1!C1091="","",VIPcric_1!C1091)</f>
        <v>104934</v>
      </c>
      <c r="D1102">
        <f>IF(VIPcric_1!D1091="","",VIPcric_1!D1091)</f>
        <v>12</v>
      </c>
      <c r="E1102">
        <f>IF(VIPcric_1!E1091="","",VIPcric_1!E1091)</f>
        <v>12.3</v>
      </c>
      <c r="F1102" t="str">
        <f>IF(VIPcric_1!F1091="","",VIPcric_1!F1091)</f>
        <v/>
      </c>
      <c r="G1102" t="str">
        <f>IF(VIPcric_1!G1091="","",VIPcric_1!G1091)</f>
        <v/>
      </c>
      <c r="H1102" t="str">
        <f>IF(VIPcric_1!H1091="","",VIPcric_1!H1091)</f>
        <v/>
      </c>
      <c r="I1102" t="str">
        <f>IF(VIPcric_1!M1091="","",VIPcric_1!M1091)</f>
        <v>CRIC-广州-市场监测.商品房市场.项目累计.库存.xlsx</v>
      </c>
    </row>
    <row r="1103" spans="1:9">
      <c r="A1103" t="str">
        <f>IF(VIPcric_1!A1092="","",VIPcric_1!A1092)</f>
        <v>2020年</v>
      </c>
      <c r="B1103">
        <f>IF(VIPcric_1!B1092="","",VIPcric_1!B1092)</f>
        <v>10150224</v>
      </c>
      <c r="C1103">
        <f>IF(VIPcric_1!C1092="","",VIPcric_1!C1092)</f>
        <v>93556</v>
      </c>
      <c r="D1103">
        <f>IF(VIPcric_1!D1092="","",VIPcric_1!D1092)</f>
        <v>11.6</v>
      </c>
      <c r="E1103">
        <f>IF(VIPcric_1!E1092="","",VIPcric_1!E1092)</f>
        <v>13.1</v>
      </c>
      <c r="F1103" t="str">
        <f>IF(VIPcric_1!F1092="","",VIPcric_1!F1092)</f>
        <v/>
      </c>
      <c r="G1103" t="str">
        <f>IF(VIPcric_1!G1092="","",VIPcric_1!G1092)</f>
        <v/>
      </c>
      <c r="H1103" t="str">
        <f>IF(VIPcric_1!H1092="","",VIPcric_1!H1092)</f>
        <v/>
      </c>
      <c r="I1103" t="str">
        <f>IF(VIPcric_1!M1092="","",VIPcric_1!M1092)</f>
        <v>CRIC-广州-市场监测.商品房市场.项目累计.库存.xlsx</v>
      </c>
    </row>
    <row r="1104" spans="1:9">
      <c r="A1104" t="str">
        <f>IF(VIPcric_1!A1093="","",VIPcric_1!A1093)</f>
        <v>2019年</v>
      </c>
      <c r="B1104">
        <f>IF(VIPcric_1!B1093="","",VIPcric_1!B1093)</f>
        <v>8522891</v>
      </c>
      <c r="C1104">
        <f>IF(VIPcric_1!C1093="","",VIPcric_1!C1093)</f>
        <v>75954</v>
      </c>
      <c r="D1104">
        <f>IF(VIPcric_1!D1093="","",VIPcric_1!D1093)</f>
        <v>12.7</v>
      </c>
      <c r="E1104">
        <f>IF(VIPcric_1!E1093="","",VIPcric_1!E1093)</f>
        <v>12.3</v>
      </c>
      <c r="F1104" t="str">
        <f>IF(VIPcric_1!F1093="","",VIPcric_1!F1093)</f>
        <v/>
      </c>
      <c r="G1104" t="str">
        <f>IF(VIPcric_1!G1093="","",VIPcric_1!G1093)</f>
        <v/>
      </c>
      <c r="H1104" t="str">
        <f>IF(VIPcric_1!H1093="","",VIPcric_1!H1093)</f>
        <v/>
      </c>
      <c r="I1104" t="str">
        <f>IF(VIPcric_1!M1093="","",VIPcric_1!M1093)</f>
        <v>CRIC-广州-市场监测.商品房市场.项目累计.库存.xlsx</v>
      </c>
    </row>
    <row r="1111" spans="1:9">
      <c r="F1111" t="s">
        <v>857</v>
      </c>
    </row>
    <row r="1112" spans="1:9">
      <c r="A1112" t="str">
        <f>IF(VIPcric_1!A1094="","",VIPcric_1!A1094)</f>
        <v/>
      </c>
      <c r="B1112" t="str">
        <f>IF(VIPcric_1!B1094="","",VIPcric_1!B1094)</f>
        <v/>
      </c>
      <c r="C1112" t="str">
        <f>IF(VIPcric_1!C1094="","",VIPcric_1!C1094)</f>
        <v/>
      </c>
      <c r="D1112" t="str">
        <f>IF(VIPcric_1!D1094="","",VIPcric_1!D1094)</f>
        <v/>
      </c>
      <c r="E1112" t="str">
        <f>IF(VIPcric_1!E1094="","",VIPcric_1!E1094)</f>
        <v/>
      </c>
      <c r="F1112">
        <v>24</v>
      </c>
      <c r="G1112" t="str">
        <f>IF(VIPcric_1!G1094="","",VIPcric_1!G1094)</f>
        <v/>
      </c>
      <c r="H1112" t="str">
        <f>IF(VIPcric_1!H1094="","",VIPcric_1!H1094)</f>
        <v/>
      </c>
      <c r="I1112" t="str">
        <f>IF(VIPcric_1!M1094="","",VIPcric_1!M1094)</f>
        <v/>
      </c>
    </row>
    <row r="1113" spans="1:9">
      <c r="A1113" t="str">
        <f>IF(VIPcric_1!A1095="","",VIPcric_1!A1095)</f>
        <v/>
      </c>
      <c r="B1113" t="str">
        <f>IF(VIPcric_1!B1095="","",VIPcric_1!B1095)</f>
        <v/>
      </c>
      <c r="C1113" t="str">
        <f>IF(VIPcric_1!C1095="","",VIPcric_1!C1095)</f>
        <v/>
      </c>
      <c r="D1113" t="str">
        <f>IF(VIPcric_1!D1095="","",VIPcric_1!D1095)</f>
        <v/>
      </c>
      <c r="E1113" t="str">
        <f>IF(VIPcric_1!E1095="","",VIPcric_1!E1095)</f>
        <v/>
      </c>
      <c r="F1113" t="str">
        <f>IF(VIPcric_1!F1095="","",VIPcric_1!F1095)</f>
        <v/>
      </c>
      <c r="G1113" t="str">
        <f>IF(VIPcric_1!G1095="","",VIPcric_1!G1095)</f>
        <v/>
      </c>
      <c r="H1113" t="str">
        <f>IF(VIPcric_1!H1095="","",VIPcric_1!H1095)</f>
        <v/>
      </c>
      <c r="I1113" t="str">
        <f>IF(VIPcric_1!M1095="","",VIPcric_1!M1095)</f>
        <v>CRIC-廊坊-市场监测.商品房市场.项目累计.供求.xlsx</v>
      </c>
    </row>
    <row r="1114" spans="1:9">
      <c r="A1114" t="str">
        <f>IF(VIPcric_1!A1096="","",VIPcric_1!A1096)</f>
        <v>时间(年)</v>
      </c>
      <c r="B1114" t="str">
        <f>IF(VIPcric_1!B1096="","",VIPcric_1!B1096)</f>
        <v>供应面积(㎡)</v>
      </c>
      <c r="C1114" t="str">
        <f>IF(VIPcric_1!C1096="","",VIPcric_1!C1096)</f>
        <v>供应套数(套)</v>
      </c>
      <c r="D1114" t="str">
        <f>IF(VIPcric_1!D1096="","",VIPcric_1!D1096)</f>
        <v>成交面积(㎡)</v>
      </c>
      <c r="E1114" t="str">
        <f>IF(VIPcric_1!E1096="","",VIPcric_1!E1096)</f>
        <v>成交套数(套)</v>
      </c>
      <c r="F1114" t="str">
        <f>IF(VIPcric_1!F1096="","",VIPcric_1!F1096)</f>
        <v>成交均价(元/㎡)</v>
      </c>
      <c r="G1114" t="str">
        <f>IF(VIPcric_1!G1096="","",VIPcric_1!G1096)</f>
        <v>成交金额(元)</v>
      </c>
      <c r="H1114" t="str">
        <f>IF(VIPcric_1!H1096="","",VIPcric_1!H1096)</f>
        <v>供求比</v>
      </c>
      <c r="I1114" t="str">
        <f>IF(VIPcric_1!M1096="","",VIPcric_1!M1096)</f>
        <v>CRIC-廊坊-市场监测.商品房市场.项目累计.供求.xlsx</v>
      </c>
    </row>
    <row r="1115" spans="1:9">
      <c r="A1115" t="str">
        <f>IF(VIPcric_1!A1097="","",VIPcric_1!A1097)</f>
        <v>2023年</v>
      </c>
      <c r="B1115">
        <f>IF(VIPcric_1!B1097="","",VIPcric_1!B1097)</f>
        <v>0</v>
      </c>
      <c r="C1115">
        <f>IF(VIPcric_1!C1097="","",VIPcric_1!C1097)</f>
        <v>0</v>
      </c>
      <c r="D1115">
        <f>IF(VIPcric_1!D1097="","",VIPcric_1!D1097)</f>
        <v>1186714</v>
      </c>
      <c r="E1115">
        <f>IF(VIPcric_1!E1097="","",VIPcric_1!E1097)</f>
        <v>11552</v>
      </c>
      <c r="F1115">
        <f>IF(VIPcric_1!F1097="","",VIPcric_1!F1097)</f>
        <v>9213</v>
      </c>
      <c r="G1115">
        <f>IF(VIPcric_1!G1097="","",VIPcric_1!G1097)</f>
        <v>10932753412</v>
      </c>
      <c r="H1115">
        <f>IF(VIPcric_1!H1097="","",VIPcric_1!H1097)</f>
        <v>0</v>
      </c>
      <c r="I1115" t="str">
        <f>IF(VIPcric_1!M1097="","",VIPcric_1!M1097)</f>
        <v>CRIC-廊坊-市场监测.商品房市场.项目累计.供求.xlsx</v>
      </c>
    </row>
    <row r="1116" spans="1:9">
      <c r="A1116" t="str">
        <f>IF(VIPcric_1!A1098="","",VIPcric_1!A1098)</f>
        <v>2022年</v>
      </c>
      <c r="B1116">
        <f>IF(VIPcric_1!B1098="","",VIPcric_1!B1098)</f>
        <v>0</v>
      </c>
      <c r="C1116">
        <f>IF(VIPcric_1!C1098="","",VIPcric_1!C1098)</f>
        <v>0</v>
      </c>
      <c r="D1116">
        <f>IF(VIPcric_1!D1098="","",VIPcric_1!D1098)</f>
        <v>1344955</v>
      </c>
      <c r="E1116">
        <f>IF(VIPcric_1!E1098="","",VIPcric_1!E1098)</f>
        <v>12923</v>
      </c>
      <c r="F1116">
        <f>IF(VIPcric_1!F1098="","",VIPcric_1!F1098)</f>
        <v>9959</v>
      </c>
      <c r="G1116">
        <f>IF(VIPcric_1!G1098="","",VIPcric_1!G1098)</f>
        <v>13394238278</v>
      </c>
      <c r="H1116">
        <f>IF(VIPcric_1!H1098="","",VIPcric_1!H1098)</f>
        <v>0</v>
      </c>
      <c r="I1116" t="str">
        <f>IF(VIPcric_1!M1098="","",VIPcric_1!M1098)</f>
        <v>CRIC-廊坊-市场监测.商品房市场.项目累计.供求.xlsx</v>
      </c>
    </row>
    <row r="1117" spans="1:9">
      <c r="A1117" t="str">
        <f>IF(VIPcric_1!A1099="","",VIPcric_1!A1099)</f>
        <v>2021年</v>
      </c>
      <c r="B1117">
        <f>IF(VIPcric_1!B1099="","",VIPcric_1!B1099)</f>
        <v>0</v>
      </c>
      <c r="C1117">
        <f>IF(VIPcric_1!C1099="","",VIPcric_1!C1099)</f>
        <v>0</v>
      </c>
      <c r="D1117">
        <f>IF(VIPcric_1!D1099="","",VIPcric_1!D1099)</f>
        <v>1606240</v>
      </c>
      <c r="E1117">
        <f>IF(VIPcric_1!E1099="","",VIPcric_1!E1099)</f>
        <v>15860</v>
      </c>
      <c r="F1117">
        <f>IF(VIPcric_1!F1099="","",VIPcric_1!F1099)</f>
        <v>10569</v>
      </c>
      <c r="G1117">
        <f>IF(VIPcric_1!G1099="","",VIPcric_1!G1099)</f>
        <v>16976305589</v>
      </c>
      <c r="H1117">
        <f>IF(VIPcric_1!H1099="","",VIPcric_1!H1099)</f>
        <v>0</v>
      </c>
      <c r="I1117" t="str">
        <f>IF(VIPcric_1!M1099="","",VIPcric_1!M1099)</f>
        <v>CRIC-廊坊-市场监测.商品房市场.项目累计.供求.xlsx</v>
      </c>
    </row>
    <row r="1118" spans="1:9">
      <c r="A1118" t="str">
        <f>IF(VIPcric_1!A1100="","",VIPcric_1!A1100)</f>
        <v>2020年</v>
      </c>
      <c r="B1118">
        <f>IF(VIPcric_1!B1100="","",VIPcric_1!B1100)</f>
        <v>0</v>
      </c>
      <c r="C1118">
        <f>IF(VIPcric_1!C1100="","",VIPcric_1!C1100)</f>
        <v>0</v>
      </c>
      <c r="D1118">
        <f>IF(VIPcric_1!D1100="","",VIPcric_1!D1100)</f>
        <v>1738696</v>
      </c>
      <c r="E1118">
        <f>IF(VIPcric_1!E1100="","",VIPcric_1!E1100)</f>
        <v>17724</v>
      </c>
      <c r="F1118">
        <f>IF(VIPcric_1!F1100="","",VIPcric_1!F1100)</f>
        <v>10561</v>
      </c>
      <c r="G1118">
        <f>IF(VIPcric_1!G1100="","",VIPcric_1!G1100)</f>
        <v>18362925998</v>
      </c>
      <c r="H1118">
        <f>IF(VIPcric_1!H1100="","",VIPcric_1!H1100)</f>
        <v>0</v>
      </c>
      <c r="I1118" t="str">
        <f>IF(VIPcric_1!M1100="","",VIPcric_1!M1100)</f>
        <v>CRIC-廊坊-市场监测.商品房市场.项目累计.供求.xlsx</v>
      </c>
    </row>
    <row r="1119" spans="1:9">
      <c r="A1119" t="str">
        <f>IF(VIPcric_1!A1101="","",VIPcric_1!A1101)</f>
        <v>2019年</v>
      </c>
      <c r="B1119">
        <f>IF(VIPcric_1!B1101="","",VIPcric_1!B1101)</f>
        <v>0</v>
      </c>
      <c r="C1119">
        <f>IF(VIPcric_1!C1101="","",VIPcric_1!C1101)</f>
        <v>0</v>
      </c>
      <c r="D1119">
        <f>IF(VIPcric_1!D1101="","",VIPcric_1!D1101)</f>
        <v>1327491</v>
      </c>
      <c r="E1119">
        <f>IF(VIPcric_1!E1101="","",VIPcric_1!E1101)</f>
        <v>13304</v>
      </c>
      <c r="F1119">
        <f>IF(VIPcric_1!F1101="","",VIPcric_1!F1101)</f>
        <v>11356</v>
      </c>
      <c r="G1119">
        <f>IF(VIPcric_1!G1101="","",VIPcric_1!G1101)</f>
        <v>15074344369</v>
      </c>
      <c r="H1119">
        <f>IF(VIPcric_1!H1101="","",VIPcric_1!H1101)</f>
        <v>0</v>
      </c>
      <c r="I1119" t="str">
        <f>IF(VIPcric_1!M1101="","",VIPcric_1!M1101)</f>
        <v>CRIC-廊坊-市场监测.商品房市场.项目累计.供求.xlsx</v>
      </c>
    </row>
    <row r="1120" spans="1:9">
      <c r="A1120" t="str">
        <f>IF(VIPcric_1!A1102="","",VIPcric_1!A1102)</f>
        <v>2018年</v>
      </c>
      <c r="B1120">
        <f>IF(VIPcric_1!B1102="","",VIPcric_1!B1102)</f>
        <v>0</v>
      </c>
      <c r="C1120">
        <f>IF(VIPcric_1!C1102="","",VIPcric_1!C1102)</f>
        <v>0</v>
      </c>
      <c r="D1120">
        <f>IF(VIPcric_1!D1102="","",VIPcric_1!D1102)</f>
        <v>1055995</v>
      </c>
      <c r="E1120">
        <f>IF(VIPcric_1!E1102="","",VIPcric_1!E1102)</f>
        <v>10374</v>
      </c>
      <c r="F1120">
        <f>IF(VIPcric_1!F1102="","",VIPcric_1!F1102)</f>
        <v>11525</v>
      </c>
      <c r="G1120">
        <f>IF(VIPcric_1!G1102="","",VIPcric_1!G1102)</f>
        <v>12170838955</v>
      </c>
      <c r="H1120">
        <f>IF(VIPcric_1!H1102="","",VIPcric_1!H1102)</f>
        <v>0</v>
      </c>
      <c r="I1120" t="str">
        <f>IF(VIPcric_1!M1102="","",VIPcric_1!M1102)</f>
        <v>CRIC-廊坊-市场监测.商品房市场.项目累计.供求.xlsx</v>
      </c>
    </row>
    <row r="1121" spans="1:9">
      <c r="A1121" t="str">
        <f>IF(VIPcric_1!A1103="","",VIPcric_1!A1103)</f>
        <v>汇总</v>
      </c>
      <c r="B1121">
        <f>IF(VIPcric_1!B1103="","",VIPcric_1!B1103)</f>
        <v>0</v>
      </c>
      <c r="C1121">
        <f>IF(VIPcric_1!C1103="","",VIPcric_1!C1103)</f>
        <v>0</v>
      </c>
      <c r="D1121">
        <f>IF(VIPcric_1!D1103="","",VIPcric_1!D1103)</f>
        <v>8260090</v>
      </c>
      <c r="E1121">
        <f>IF(VIPcric_1!E1103="","",VIPcric_1!E1103)</f>
        <v>81737</v>
      </c>
      <c r="F1121">
        <f>IF(VIPcric_1!F1103="","",VIPcric_1!F1103)</f>
        <v>10522</v>
      </c>
      <c r="G1121">
        <f>IF(VIPcric_1!G1103="","",VIPcric_1!G1103)</f>
        <v>86911406602</v>
      </c>
      <c r="H1121">
        <f>IF(VIPcric_1!H1103="","",VIPcric_1!H1103)</f>
        <v>0</v>
      </c>
      <c r="I1121" t="str">
        <f>IF(VIPcric_1!M1103="","",VIPcric_1!M1103)</f>
        <v>CRIC-廊坊-市场监测.商品房市场.项目累计.供求.xlsx</v>
      </c>
    </row>
    <row r="1122" spans="1:9">
      <c r="A1122" t="str">
        <f>IF(VIPcric_1!A1104="","",VIPcric_1!A1104)</f>
        <v/>
      </c>
      <c r="B1122" t="str">
        <f>IF(VIPcric_1!B1104="","",VIPcric_1!B1104)</f>
        <v/>
      </c>
      <c r="C1122" t="str">
        <f>IF(VIPcric_1!C1104="","",VIPcric_1!C1104)</f>
        <v/>
      </c>
      <c r="D1122" t="str">
        <f>IF(VIPcric_1!D1104="","",VIPcric_1!D1104)</f>
        <v/>
      </c>
      <c r="E1122" t="str">
        <f>IF(VIPcric_1!E1104="","",VIPcric_1!E1104)</f>
        <v/>
      </c>
      <c r="F1122" t="str">
        <f>IF(VIPcric_1!F1104="","",VIPcric_1!F1104)</f>
        <v/>
      </c>
      <c r="G1122" t="str">
        <f>IF(VIPcric_1!G1104="","",VIPcric_1!G1104)</f>
        <v/>
      </c>
      <c r="H1122" t="str">
        <f>IF(VIPcric_1!H1104="","",VIPcric_1!H1104)</f>
        <v/>
      </c>
      <c r="I1122" t="str">
        <f>IF(VIPcric_1!M1104="","",VIPcric_1!M1104)</f>
        <v/>
      </c>
    </row>
    <row r="1123" spans="1:9">
      <c r="A1123" t="str">
        <f>IF(VIPcric_1!A1105="","",VIPcric_1!A1105)</f>
        <v/>
      </c>
      <c r="B1123" t="str">
        <f>IF(VIPcric_1!B1105="","",VIPcric_1!B1105)</f>
        <v/>
      </c>
      <c r="C1123" t="str">
        <f>IF(VIPcric_1!C1105="","",VIPcric_1!C1105)</f>
        <v/>
      </c>
      <c r="D1123" t="str">
        <f>IF(VIPcric_1!D1105="","",VIPcric_1!D1105)</f>
        <v/>
      </c>
      <c r="E1123" t="str">
        <f>IF(VIPcric_1!E1105="","",VIPcric_1!E1105)</f>
        <v/>
      </c>
      <c r="F1123" t="str">
        <f>IF(VIPcric_1!F1105="","",VIPcric_1!F1105)</f>
        <v/>
      </c>
      <c r="G1123" t="str">
        <f>IF(VIPcric_1!G1105="","",VIPcric_1!G1105)</f>
        <v/>
      </c>
      <c r="H1123" t="str">
        <f>IF(VIPcric_1!H1105="","",VIPcric_1!H1105)</f>
        <v/>
      </c>
      <c r="I1123" t="str">
        <f>IF(VIPcric_1!M1105="","",VIPcric_1!M1105)</f>
        <v>CRIC-建德-市场监测.商品房市场.项目累计.供求 (1).xlsx</v>
      </c>
    </row>
    <row r="1124" spans="1:9">
      <c r="A1124" t="str">
        <f>IF(VIPcric_1!A1106="","",VIPcric_1!A1106)</f>
        <v>时间(年)</v>
      </c>
      <c r="B1124" t="str">
        <f>IF(VIPcric_1!B1106="","",VIPcric_1!B1106)</f>
        <v>供应面积(㎡)</v>
      </c>
      <c r="C1124" t="str">
        <f>IF(VIPcric_1!C1106="","",VIPcric_1!C1106)</f>
        <v>供应套数(套)</v>
      </c>
      <c r="D1124" t="str">
        <f>IF(VIPcric_1!D1106="","",VIPcric_1!D1106)</f>
        <v>成交面积(㎡)</v>
      </c>
      <c r="E1124" t="str">
        <f>IF(VIPcric_1!E1106="","",VIPcric_1!E1106)</f>
        <v>成交套数(套)</v>
      </c>
      <c r="F1124" t="str">
        <f>IF(VIPcric_1!F1106="","",VIPcric_1!F1106)</f>
        <v>成交均价(元/㎡)</v>
      </c>
      <c r="G1124" t="str">
        <f>IF(VIPcric_1!G1106="","",VIPcric_1!G1106)</f>
        <v>成交金额(元)</v>
      </c>
      <c r="H1124" t="str">
        <f>IF(VIPcric_1!H1106="","",VIPcric_1!H1106)</f>
        <v>供求比</v>
      </c>
      <c r="I1124" t="str">
        <f>IF(VIPcric_1!M1106="","",VIPcric_1!M1106)</f>
        <v>CRIC-建德-市场监测.商品房市场.项目累计.供求 (1).xlsx</v>
      </c>
    </row>
    <row r="1125" spans="1:9">
      <c r="A1125" t="str">
        <f>IF(VIPcric_1!A1107="","",VIPcric_1!A1107)</f>
        <v>2024年</v>
      </c>
      <c r="B1125">
        <f>IF(VIPcric_1!B1107="","",VIPcric_1!B1107)</f>
        <v>0</v>
      </c>
      <c r="C1125">
        <f>IF(VIPcric_1!C1107="","",VIPcric_1!C1107)</f>
        <v>0</v>
      </c>
      <c r="D1125">
        <f>IF(VIPcric_1!D1107="","",VIPcric_1!D1107)</f>
        <v>2113</v>
      </c>
      <c r="E1125">
        <f>IF(VIPcric_1!E1107="","",VIPcric_1!E1107)</f>
        <v>19</v>
      </c>
      <c r="F1125">
        <f>IF(VIPcric_1!F1107="","",VIPcric_1!F1107)</f>
        <v>17498</v>
      </c>
      <c r="G1125">
        <f>IF(VIPcric_1!G1107="","",VIPcric_1!G1107)</f>
        <v>36977621</v>
      </c>
      <c r="H1125">
        <f>IF(VIPcric_1!H1107="","",VIPcric_1!H1107)</f>
        <v>0</v>
      </c>
      <c r="I1125" t="str">
        <f>IF(VIPcric_1!M1107="","",VIPcric_1!M1107)</f>
        <v>CRIC-建德-市场监测.商品房市场.项目累计.供求 (1).xlsx</v>
      </c>
    </row>
    <row r="1126" spans="1:9">
      <c r="A1126" t="str">
        <f>IF(VIPcric_1!A1108="","",VIPcric_1!A1108)</f>
        <v>2023年</v>
      </c>
      <c r="B1126">
        <f>IF(VIPcric_1!B1108="","",VIPcric_1!B1108)</f>
        <v>49195</v>
      </c>
      <c r="C1126">
        <f>IF(VIPcric_1!C1108="","",VIPcric_1!C1108)</f>
        <v>472</v>
      </c>
      <c r="D1126">
        <f>IF(VIPcric_1!D1108="","",VIPcric_1!D1108)</f>
        <v>66715</v>
      </c>
      <c r="E1126">
        <f>IF(VIPcric_1!E1108="","",VIPcric_1!E1108)</f>
        <v>648</v>
      </c>
      <c r="F1126">
        <f>IF(VIPcric_1!F1108="","",VIPcric_1!F1108)</f>
        <v>16254</v>
      </c>
      <c r="G1126">
        <f>IF(VIPcric_1!G1108="","",VIPcric_1!G1108)</f>
        <v>1084423060</v>
      </c>
      <c r="H1126">
        <f>IF(VIPcric_1!H1108="","",VIPcric_1!H1108)</f>
        <v>0.74</v>
      </c>
      <c r="I1126" t="str">
        <f>IF(VIPcric_1!M1108="","",VIPcric_1!M1108)</f>
        <v>CRIC-建德-市场监测.商品房市场.项目累计.供求 (1).xlsx</v>
      </c>
    </row>
    <row r="1127" spans="1:9">
      <c r="A1127" t="str">
        <f>IF(VIPcric_1!A1109="","",VIPcric_1!A1109)</f>
        <v>2022年</v>
      </c>
      <c r="B1127">
        <f>IF(VIPcric_1!B1109="","",VIPcric_1!B1109)</f>
        <v>86034</v>
      </c>
      <c r="C1127">
        <f>IF(VIPcric_1!C1109="","",VIPcric_1!C1109)</f>
        <v>898</v>
      </c>
      <c r="D1127">
        <f>IF(VIPcric_1!D1109="","",VIPcric_1!D1109)</f>
        <v>158739</v>
      </c>
      <c r="E1127">
        <f>IF(VIPcric_1!E1109="","",VIPcric_1!E1109)</f>
        <v>1707</v>
      </c>
      <c r="F1127">
        <f>IF(VIPcric_1!F1109="","",VIPcric_1!F1109)</f>
        <v>15539</v>
      </c>
      <c r="G1127">
        <f>IF(VIPcric_1!G1109="","",VIPcric_1!G1109)</f>
        <v>2466627048</v>
      </c>
      <c r="H1127">
        <f>IF(VIPcric_1!H1109="","",VIPcric_1!H1109)</f>
        <v>0.54</v>
      </c>
      <c r="I1127" t="str">
        <f>IF(VIPcric_1!M1109="","",VIPcric_1!M1109)</f>
        <v>CRIC-建德-市场监测.商品房市场.项目累计.供求 (1).xlsx</v>
      </c>
    </row>
    <row r="1128" spans="1:9">
      <c r="A1128" t="str">
        <f>IF(VIPcric_1!A1110="","",VIPcric_1!A1110)</f>
        <v>2021年</v>
      </c>
      <c r="B1128">
        <f>IF(VIPcric_1!B1110="","",VIPcric_1!B1110)</f>
        <v>342123</v>
      </c>
      <c r="C1128">
        <f>IF(VIPcric_1!C1110="","",VIPcric_1!C1110)</f>
        <v>3120</v>
      </c>
      <c r="D1128">
        <f>IF(VIPcric_1!D1110="","",VIPcric_1!D1110)</f>
        <v>378842</v>
      </c>
      <c r="E1128">
        <f>IF(VIPcric_1!E1110="","",VIPcric_1!E1110)</f>
        <v>3628</v>
      </c>
      <c r="F1128">
        <f>IF(VIPcric_1!F1110="","",VIPcric_1!F1110)</f>
        <v>16369</v>
      </c>
      <c r="G1128">
        <f>IF(VIPcric_1!G1110="","",VIPcric_1!G1110)</f>
        <v>6201186069</v>
      </c>
      <c r="H1128">
        <f>IF(VIPcric_1!H1110="","",VIPcric_1!H1110)</f>
        <v>0.9</v>
      </c>
      <c r="I1128" t="str">
        <f>IF(VIPcric_1!M1110="","",VIPcric_1!M1110)</f>
        <v>CRIC-建德-市场监测.商品房市场.项目累计.供求 (1).xlsx</v>
      </c>
    </row>
    <row r="1129" spans="1:9">
      <c r="A1129" t="str">
        <f>IF(VIPcric_1!A1111="","",VIPcric_1!A1111)</f>
        <v>2020年</v>
      </c>
      <c r="B1129">
        <f>IF(VIPcric_1!B1111="","",VIPcric_1!B1111)</f>
        <v>414029</v>
      </c>
      <c r="C1129">
        <f>IF(VIPcric_1!C1111="","",VIPcric_1!C1111)</f>
        <v>3987</v>
      </c>
      <c r="D1129">
        <f>IF(VIPcric_1!D1111="","",VIPcric_1!D1111)</f>
        <v>433572</v>
      </c>
      <c r="E1129">
        <f>IF(VIPcric_1!E1111="","",VIPcric_1!E1111)</f>
        <v>4067</v>
      </c>
      <c r="F1129">
        <f>IF(VIPcric_1!F1111="","",VIPcric_1!F1111)</f>
        <v>17447</v>
      </c>
      <c r="G1129">
        <f>IF(VIPcric_1!G1111="","",VIPcric_1!G1111)</f>
        <v>7564537743</v>
      </c>
      <c r="H1129">
        <f>IF(VIPcric_1!H1111="","",VIPcric_1!H1111)</f>
        <v>0.95</v>
      </c>
      <c r="I1129" t="str">
        <f>IF(VIPcric_1!M1111="","",VIPcric_1!M1111)</f>
        <v>CRIC-建德-市场监测.商品房市场.项目累计.供求 (1).xlsx</v>
      </c>
    </row>
    <row r="1130" spans="1:9">
      <c r="A1130" t="str">
        <f>IF(VIPcric_1!A1112="","",VIPcric_1!A1112)</f>
        <v>2019年</v>
      </c>
      <c r="B1130">
        <f>IF(VIPcric_1!B1112="","",VIPcric_1!B1112)</f>
        <v>347192</v>
      </c>
      <c r="C1130">
        <f>IF(VIPcric_1!C1112="","",VIPcric_1!C1112)</f>
        <v>3136</v>
      </c>
      <c r="D1130">
        <f>IF(VIPcric_1!D1112="","",VIPcric_1!D1112)</f>
        <v>347266</v>
      </c>
      <c r="E1130">
        <f>IF(VIPcric_1!E1112="","",VIPcric_1!E1112)</f>
        <v>3198</v>
      </c>
      <c r="F1130">
        <f>IF(VIPcric_1!F1112="","",VIPcric_1!F1112)</f>
        <v>14286</v>
      </c>
      <c r="G1130">
        <f>IF(VIPcric_1!G1112="","",VIPcric_1!G1112)</f>
        <v>4961123920</v>
      </c>
      <c r="H1130">
        <f>IF(VIPcric_1!H1112="","",VIPcric_1!H1112)</f>
        <v>1</v>
      </c>
      <c r="I1130" t="str">
        <f>IF(VIPcric_1!M1112="","",VIPcric_1!M1112)</f>
        <v>CRIC-建德-市场监测.商品房市场.项目累计.供求 (1).xlsx</v>
      </c>
    </row>
    <row r="1131" spans="1:9">
      <c r="A1131" t="str">
        <f>IF(VIPcric_1!A1113="","",VIPcric_1!A1113)</f>
        <v>汇总</v>
      </c>
      <c r="B1131">
        <f>IF(VIPcric_1!B1113="","",VIPcric_1!B1113)</f>
        <v>1238574</v>
      </c>
      <c r="C1131">
        <f>IF(VIPcric_1!C1113="","",VIPcric_1!C1113)</f>
        <v>11613</v>
      </c>
      <c r="D1131">
        <f>IF(VIPcric_1!D1113="","",VIPcric_1!D1113)</f>
        <v>1387248</v>
      </c>
      <c r="E1131">
        <f>IF(VIPcric_1!E1113="","",VIPcric_1!E1113)</f>
        <v>13267</v>
      </c>
      <c r="F1131">
        <f>IF(VIPcric_1!F1113="","",VIPcric_1!F1113)</f>
        <v>16086</v>
      </c>
      <c r="G1131">
        <f>IF(VIPcric_1!G1113="","",VIPcric_1!G1113)</f>
        <v>22314875461</v>
      </c>
      <c r="H1131">
        <f>IF(VIPcric_1!H1113="","",VIPcric_1!H1113)</f>
        <v>0.89</v>
      </c>
      <c r="I1131" t="str">
        <f>IF(VIPcric_1!M1113="","",VIPcric_1!M1113)</f>
        <v>CRIC-建德-市场监测.商品房市场.项目累计.供求 (1).xlsx</v>
      </c>
    </row>
    <row r="1132" spans="1:9">
      <c r="A1132" t="str">
        <f>IF(VIPcric_1!A1114="","",VIPcric_1!A1114)</f>
        <v/>
      </c>
      <c r="B1132" t="str">
        <f>IF(VIPcric_1!B1114="","",VIPcric_1!B1114)</f>
        <v/>
      </c>
      <c r="C1132" t="str">
        <f>IF(VIPcric_1!C1114="","",VIPcric_1!C1114)</f>
        <v/>
      </c>
      <c r="D1132" t="str">
        <f>IF(VIPcric_1!D1114="","",VIPcric_1!D1114)</f>
        <v/>
      </c>
      <c r="E1132" t="str">
        <f>IF(VIPcric_1!E1114="","",VIPcric_1!E1114)</f>
        <v/>
      </c>
      <c r="F1132" t="str">
        <f>IF(VIPcric_1!F1114="","",VIPcric_1!F1114)</f>
        <v/>
      </c>
      <c r="G1132" t="str">
        <f>IF(VIPcric_1!G1114="","",VIPcric_1!G1114)</f>
        <v/>
      </c>
      <c r="H1132" t="str">
        <f>IF(VIPcric_1!H1114="","",VIPcric_1!H1114)</f>
        <v/>
      </c>
      <c r="I1132" t="str">
        <f>IF(VIPcric_1!M1114="","",VIPcric_1!M1114)</f>
        <v/>
      </c>
    </row>
    <row r="1133" spans="1:9">
      <c r="A1133" t="str">
        <f>IF(VIPcric_1!A1115="","",VIPcric_1!A1115)</f>
        <v/>
      </c>
      <c r="B1133" t="str">
        <f>IF(VIPcric_1!B1115="","",VIPcric_1!B1115)</f>
        <v/>
      </c>
      <c r="C1133" t="str">
        <f>IF(VIPcric_1!C1115="","",VIPcric_1!C1115)</f>
        <v/>
      </c>
      <c r="D1133" t="str">
        <f>IF(VIPcric_1!D1115="","",VIPcric_1!D1115)</f>
        <v/>
      </c>
      <c r="E1133" t="str">
        <f>IF(VIPcric_1!E1115="","",VIPcric_1!E1115)</f>
        <v/>
      </c>
      <c r="F1133" t="str">
        <f>IF(VIPcric_1!F1115="","",VIPcric_1!F1115)</f>
        <v/>
      </c>
      <c r="G1133" t="str">
        <f>IF(VIPcric_1!G1115="","",VIPcric_1!G1115)</f>
        <v/>
      </c>
      <c r="H1133" t="str">
        <f>IF(VIPcric_1!H1115="","",VIPcric_1!H1115)</f>
        <v/>
      </c>
      <c r="I1133" t="str">
        <f>IF(VIPcric_1!M1115="","",VIPcric_1!M1115)</f>
        <v>CRIC-建德-市场监测.商品房市场.项目累计.库存.xlsx</v>
      </c>
    </row>
    <row r="1134" spans="1:9">
      <c r="A1134" t="str">
        <f>IF(VIPcric_1!A1116="","",VIPcric_1!A1116)</f>
        <v>时间(年)</v>
      </c>
      <c r="B1134" t="str">
        <f>IF(VIPcric_1!B1116="","",VIPcric_1!B1116)</f>
        <v>库存面积(㎡)</v>
      </c>
      <c r="C1134" t="str">
        <f>IF(VIPcric_1!C1116="","",VIPcric_1!C1116)</f>
        <v>库存套数(套)</v>
      </c>
      <c r="D1134" t="str">
        <f>IF(VIPcric_1!D1116="","",VIPcric_1!D1116)</f>
        <v>去化周期12'(月)</v>
      </c>
      <c r="E1134" t="str">
        <f>IF(VIPcric_1!E1116="","",VIPcric_1!E1116)</f>
        <v>去化周期24'(月)</v>
      </c>
      <c r="F1134" t="str">
        <f>IF(VIPcric_1!F1116="","",VIPcric_1!F1116)</f>
        <v/>
      </c>
      <c r="G1134" t="str">
        <f>IF(VIPcric_1!G1116="","",VIPcric_1!G1116)</f>
        <v/>
      </c>
      <c r="H1134" t="str">
        <f>IF(VIPcric_1!H1116="","",VIPcric_1!H1116)</f>
        <v/>
      </c>
      <c r="I1134" t="str">
        <f>IF(VIPcric_1!M1116="","",VIPcric_1!M1116)</f>
        <v>CRIC-建德-市场监测.商品房市场.项目累计.库存.xlsx</v>
      </c>
    </row>
    <row r="1135" spans="1:9">
      <c r="A1135" t="str">
        <f>IF(VIPcric_1!A1117="","",VIPcric_1!A1117)</f>
        <v>2024年</v>
      </c>
      <c r="B1135">
        <f>IF(VIPcric_1!B1117="","",VIPcric_1!B1117)</f>
        <v>151455</v>
      </c>
      <c r="C1135">
        <f>IF(VIPcric_1!C1117="","",VIPcric_1!C1117)</f>
        <v>1455</v>
      </c>
      <c r="D1135">
        <f>IF(VIPcric_1!D1117="","",VIPcric_1!D1117)</f>
        <v>28.9</v>
      </c>
      <c r="E1135">
        <f>IF(VIPcric_1!E1117="","",VIPcric_1!E1117)</f>
        <v>16.7</v>
      </c>
      <c r="F1135" t="str">
        <f>IF(VIPcric_1!F1117="","",VIPcric_1!F1117)</f>
        <v/>
      </c>
      <c r="G1135" t="str">
        <f>IF(VIPcric_1!G1117="","",VIPcric_1!G1117)</f>
        <v/>
      </c>
      <c r="H1135" t="str">
        <f>IF(VIPcric_1!H1117="","",VIPcric_1!H1117)</f>
        <v/>
      </c>
      <c r="I1135" t="str">
        <f>IF(VIPcric_1!M1117="","",VIPcric_1!M1117)</f>
        <v>CRIC-建德-市场监测.商品房市场.项目累计.库存.xlsx</v>
      </c>
    </row>
    <row r="1136" spans="1:9">
      <c r="A1136" t="str">
        <f>IF(VIPcric_1!A1118="","",VIPcric_1!A1118)</f>
        <v>2023年</v>
      </c>
      <c r="B1136">
        <f>IF(VIPcric_1!B1118="","",VIPcric_1!B1118)</f>
        <v>152762</v>
      </c>
      <c r="C1136">
        <f>IF(VIPcric_1!C1118="","",VIPcric_1!C1118)</f>
        <v>1467</v>
      </c>
      <c r="D1136">
        <f>IF(VIPcric_1!D1118="","",VIPcric_1!D1118)</f>
        <v>27.5</v>
      </c>
      <c r="E1136">
        <f>IF(VIPcric_1!E1118="","",VIPcric_1!E1118)</f>
        <v>16.3</v>
      </c>
      <c r="F1136" t="str">
        <f>IF(VIPcric_1!F1118="","",VIPcric_1!F1118)</f>
        <v/>
      </c>
      <c r="G1136" t="str">
        <f>IF(VIPcric_1!G1118="","",VIPcric_1!G1118)</f>
        <v/>
      </c>
      <c r="H1136" t="str">
        <f>IF(VIPcric_1!H1118="","",VIPcric_1!H1118)</f>
        <v/>
      </c>
      <c r="I1136" t="str">
        <f>IF(VIPcric_1!M1118="","",VIPcric_1!M1118)</f>
        <v>CRIC-建德-市场监测.商品房市场.项目累计.库存.xlsx</v>
      </c>
    </row>
    <row r="1137" spans="1:9">
      <c r="A1137" t="str">
        <f>IF(VIPcric_1!A1119="","",VIPcric_1!A1119)</f>
        <v>2022年</v>
      </c>
      <c r="B1137">
        <f>IF(VIPcric_1!B1119="","",VIPcric_1!B1119)</f>
        <v>241246</v>
      </c>
      <c r="C1137">
        <f>IF(VIPcric_1!C1119="","",VIPcric_1!C1119)</f>
        <v>2269</v>
      </c>
      <c r="D1137">
        <f>IF(VIPcric_1!D1119="","",VIPcric_1!D1119)</f>
        <v>18.2</v>
      </c>
      <c r="E1137">
        <f>IF(VIPcric_1!E1119="","",VIPcric_1!E1119)</f>
        <v>10.8</v>
      </c>
      <c r="F1137" t="str">
        <f>IF(VIPcric_1!F1119="","",VIPcric_1!F1119)</f>
        <v/>
      </c>
      <c r="G1137" t="str">
        <f>IF(VIPcric_1!G1119="","",VIPcric_1!G1119)</f>
        <v/>
      </c>
      <c r="H1137" t="str">
        <f>IF(VIPcric_1!H1119="","",VIPcric_1!H1119)</f>
        <v/>
      </c>
      <c r="I1137" t="str">
        <f>IF(VIPcric_1!M1119="","",VIPcric_1!M1119)</f>
        <v>CRIC-建德-市场监测.商品房市场.项目累计.库存.xlsx</v>
      </c>
    </row>
    <row r="1138" spans="1:9">
      <c r="A1138" t="str">
        <f>IF(VIPcric_1!A1120="","",VIPcric_1!A1120)</f>
        <v>2021年</v>
      </c>
      <c r="B1138">
        <f>IF(VIPcric_1!B1120="","",VIPcric_1!B1120)</f>
        <v>255483</v>
      </c>
      <c r="C1138">
        <f>IF(VIPcric_1!C1120="","",VIPcric_1!C1120)</f>
        <v>2384</v>
      </c>
      <c r="D1138">
        <f>IF(VIPcric_1!D1120="","",VIPcric_1!D1120)</f>
        <v>8.1</v>
      </c>
      <c r="E1138">
        <f>IF(VIPcric_1!E1120="","",VIPcric_1!E1120)</f>
        <v>7.5</v>
      </c>
      <c r="F1138" t="str">
        <f>IF(VIPcric_1!F1120="","",VIPcric_1!F1120)</f>
        <v/>
      </c>
      <c r="G1138" t="str">
        <f>IF(VIPcric_1!G1120="","",VIPcric_1!G1120)</f>
        <v/>
      </c>
      <c r="H1138" t="str">
        <f>IF(VIPcric_1!H1120="","",VIPcric_1!H1120)</f>
        <v/>
      </c>
      <c r="I1138" t="str">
        <f>IF(VIPcric_1!M1120="","",VIPcric_1!M1120)</f>
        <v>CRIC-建德-市场监测.商品房市场.项目累计.库存.xlsx</v>
      </c>
    </row>
    <row r="1139" spans="1:9">
      <c r="A1139" t="str">
        <f>IF(VIPcric_1!A1121="","",VIPcric_1!A1121)</f>
        <v>2020年</v>
      </c>
      <c r="B1139">
        <f>IF(VIPcric_1!B1121="","",VIPcric_1!B1121)</f>
        <v>437891</v>
      </c>
      <c r="C1139">
        <f>IF(VIPcric_1!C1121="","",VIPcric_1!C1121)</f>
        <v>4595</v>
      </c>
      <c r="D1139">
        <f>IF(VIPcric_1!D1121="","",VIPcric_1!D1121)</f>
        <v>12.1</v>
      </c>
      <c r="E1139">
        <f>IF(VIPcric_1!E1121="","",VIPcric_1!E1121)</f>
        <v>13.5</v>
      </c>
      <c r="F1139" t="str">
        <f>IF(VIPcric_1!F1121="","",VIPcric_1!F1121)</f>
        <v/>
      </c>
      <c r="G1139" t="str">
        <f>IF(VIPcric_1!G1121="","",VIPcric_1!G1121)</f>
        <v/>
      </c>
      <c r="H1139" t="str">
        <f>IF(VIPcric_1!H1121="","",VIPcric_1!H1121)</f>
        <v/>
      </c>
      <c r="I1139" t="str">
        <f>IF(VIPcric_1!M1121="","",VIPcric_1!M1121)</f>
        <v>CRIC-建德-市场监测.商品房市场.项目累计.库存.xlsx</v>
      </c>
    </row>
    <row r="1140" spans="1:9">
      <c r="A1140" t="str">
        <f>IF(VIPcric_1!A1122="","",VIPcric_1!A1122)</f>
        <v>2019年</v>
      </c>
      <c r="B1140">
        <f>IF(VIPcric_1!B1122="","",VIPcric_1!B1122)</f>
        <v>814912</v>
      </c>
      <c r="C1140">
        <f>IF(VIPcric_1!C1122="","",VIPcric_1!C1122)</f>
        <v>6681</v>
      </c>
      <c r="D1140">
        <f>IF(VIPcric_1!D1122="","",VIPcric_1!D1122)</f>
        <v>28.2</v>
      </c>
      <c r="E1140">
        <f>IF(VIPcric_1!E1122="","",VIPcric_1!E1122)</f>
        <v>24.6</v>
      </c>
      <c r="F1140" t="str">
        <f>IF(VIPcric_1!F1122="","",VIPcric_1!F1122)</f>
        <v/>
      </c>
      <c r="G1140" t="str">
        <f>IF(VIPcric_1!G1122="","",VIPcric_1!G1122)</f>
        <v/>
      </c>
      <c r="H1140" t="str">
        <f>IF(VIPcric_1!H1122="","",VIPcric_1!H1122)</f>
        <v/>
      </c>
      <c r="I1140" t="str">
        <f>IF(VIPcric_1!M1122="","",VIPcric_1!M1122)</f>
        <v>CRIC-建德-市场监测.商品房市场.项目累计.库存.xlsx</v>
      </c>
    </row>
    <row r="1141" spans="1:9">
      <c r="A1141" t="str">
        <f>IF(VIPcric_1!A1123="","",VIPcric_1!A1123)</f>
        <v/>
      </c>
      <c r="B1141" t="str">
        <f>IF(VIPcric_1!B1123="","",VIPcric_1!B1123)</f>
        <v/>
      </c>
      <c r="C1141" t="str">
        <f>IF(VIPcric_1!C1123="","",VIPcric_1!C1123)</f>
        <v/>
      </c>
      <c r="D1141" t="str">
        <f>IF(VIPcric_1!D1123="","",VIPcric_1!D1123)</f>
        <v/>
      </c>
      <c r="E1141" t="str">
        <f>IF(VIPcric_1!E1123="","",VIPcric_1!E1123)</f>
        <v/>
      </c>
      <c r="F1141" t="str">
        <f>IF(VIPcric_1!F1123="","",VIPcric_1!F1123)</f>
        <v/>
      </c>
      <c r="G1141" t="str">
        <f>IF(VIPcric_1!G1123="","",VIPcric_1!G1123)</f>
        <v/>
      </c>
      <c r="H1141" t="str">
        <f>IF(VIPcric_1!H1123="","",VIPcric_1!H1123)</f>
        <v/>
      </c>
      <c r="I1141" t="str">
        <f>IF(VIPcric_1!M1123="","",VIPcric_1!M1123)</f>
        <v/>
      </c>
    </row>
    <row r="1142" spans="1:9">
      <c r="A1142" t="str">
        <f>IF(VIPcric_1!A1124="","",VIPcric_1!A1124)</f>
        <v/>
      </c>
      <c r="B1142" t="str">
        <f>IF(VIPcric_1!B1124="","",VIPcric_1!B1124)</f>
        <v/>
      </c>
      <c r="C1142" t="str">
        <f>IF(VIPcric_1!C1124="","",VIPcric_1!C1124)</f>
        <v/>
      </c>
      <c r="D1142" t="str">
        <f>IF(VIPcric_1!D1124="","",VIPcric_1!D1124)</f>
        <v/>
      </c>
      <c r="E1142" t="str">
        <f>IF(VIPcric_1!E1124="","",VIPcric_1!E1124)</f>
        <v/>
      </c>
      <c r="F1142" t="str">
        <f>IF(VIPcric_1!F1124="","",VIPcric_1!F1124)</f>
        <v/>
      </c>
      <c r="G1142" t="str">
        <f>IF(VIPcric_1!G1124="","",VIPcric_1!G1124)</f>
        <v/>
      </c>
      <c r="H1142" t="str">
        <f>IF(VIPcric_1!H1124="","",VIPcric_1!H1124)</f>
        <v/>
      </c>
      <c r="I1142" t="str">
        <f>IF(VIPcric_1!M1124="","",VIPcric_1!M1124)</f>
        <v>CRIC-张家港-市场监测.商品房市场.项目累计.供求.xlsx</v>
      </c>
    </row>
    <row r="1143" spans="1:9">
      <c r="A1143" t="str">
        <f>IF(VIPcric_1!A1125="","",VIPcric_1!A1125)</f>
        <v>时间(年)</v>
      </c>
      <c r="B1143" t="str">
        <f>IF(VIPcric_1!B1125="","",VIPcric_1!B1125)</f>
        <v>供应面积(㎡)</v>
      </c>
      <c r="C1143" t="str">
        <f>IF(VIPcric_1!C1125="","",VIPcric_1!C1125)</f>
        <v>供应套数(套)</v>
      </c>
      <c r="D1143" t="str">
        <f>IF(VIPcric_1!D1125="","",VIPcric_1!D1125)</f>
        <v>成交面积(㎡)</v>
      </c>
      <c r="E1143" t="str">
        <f>IF(VIPcric_1!E1125="","",VIPcric_1!E1125)</f>
        <v>成交套数(套)</v>
      </c>
      <c r="F1143" t="str">
        <f>IF(VIPcric_1!F1125="","",VIPcric_1!F1125)</f>
        <v>成交均价(元/㎡)</v>
      </c>
      <c r="G1143" t="str">
        <f>IF(VIPcric_1!G1125="","",VIPcric_1!G1125)</f>
        <v>成交金额(元)</v>
      </c>
      <c r="H1143" t="str">
        <f>IF(VIPcric_1!H1125="","",VIPcric_1!H1125)</f>
        <v>供求比</v>
      </c>
      <c r="I1143" t="str">
        <f>IF(VIPcric_1!M1125="","",VIPcric_1!M1125)</f>
        <v>CRIC-张家港-市场监测.商品房市场.项目累计.供求.xlsx</v>
      </c>
    </row>
    <row r="1144" spans="1:9">
      <c r="A1144" t="str">
        <f>IF(VIPcric_1!A1126="","",VIPcric_1!A1126)</f>
        <v>2024年</v>
      </c>
      <c r="B1144">
        <f>IF(VIPcric_1!B1126="","",VIPcric_1!B1126)</f>
        <v>43404</v>
      </c>
      <c r="C1144">
        <f>IF(VIPcric_1!C1126="","",VIPcric_1!C1126)</f>
        <v>362</v>
      </c>
      <c r="D1144">
        <f>IF(VIPcric_1!D1126="","",VIPcric_1!D1126)</f>
        <v>73992</v>
      </c>
      <c r="E1144">
        <f>IF(VIPcric_1!E1126="","",VIPcric_1!E1126)</f>
        <v>679</v>
      </c>
      <c r="F1144">
        <f>IF(VIPcric_1!F1126="","",VIPcric_1!F1126)</f>
        <v>14132</v>
      </c>
      <c r="G1144">
        <f>IF(VIPcric_1!G1126="","",VIPcric_1!G1126)</f>
        <v>1045668977</v>
      </c>
      <c r="H1144">
        <f>IF(VIPcric_1!H1126="","",VIPcric_1!H1126)</f>
        <v>0.59</v>
      </c>
      <c r="I1144" t="str">
        <f>IF(VIPcric_1!M1126="","",VIPcric_1!M1126)</f>
        <v>CRIC-张家港-市场监测.商品房市场.项目累计.供求.xlsx</v>
      </c>
    </row>
    <row r="1145" spans="1:9">
      <c r="A1145" t="str">
        <f>IF(VIPcric_1!A1127="","",VIPcric_1!A1127)</f>
        <v>2023年</v>
      </c>
      <c r="B1145">
        <f>IF(VIPcric_1!B1127="","",VIPcric_1!B1127)</f>
        <v>302542</v>
      </c>
      <c r="C1145">
        <f>IF(VIPcric_1!C1127="","",VIPcric_1!C1127)</f>
        <v>2501</v>
      </c>
      <c r="D1145">
        <f>IF(VIPcric_1!D1127="","",VIPcric_1!D1127)</f>
        <v>613323</v>
      </c>
      <c r="E1145">
        <f>IF(VIPcric_1!E1127="","",VIPcric_1!E1127)</f>
        <v>5216</v>
      </c>
      <c r="F1145">
        <f>IF(VIPcric_1!F1127="","",VIPcric_1!F1127)</f>
        <v>15801</v>
      </c>
      <c r="G1145">
        <f>IF(VIPcric_1!G1127="","",VIPcric_1!G1127)</f>
        <v>9691076419</v>
      </c>
      <c r="H1145">
        <f>IF(VIPcric_1!H1127="","",VIPcric_1!H1127)</f>
        <v>0.49</v>
      </c>
      <c r="I1145" t="str">
        <f>IF(VIPcric_1!M1127="","",VIPcric_1!M1127)</f>
        <v>CRIC-张家港-市场监测.商品房市场.项目累计.供求.xlsx</v>
      </c>
    </row>
    <row r="1146" spans="1:9">
      <c r="A1146" t="str">
        <f>IF(VIPcric_1!A1128="","",VIPcric_1!A1128)</f>
        <v>2022年</v>
      </c>
      <c r="B1146">
        <f>IF(VIPcric_1!B1128="","",VIPcric_1!B1128)</f>
        <v>374149</v>
      </c>
      <c r="C1146">
        <f>IF(VIPcric_1!C1128="","",VIPcric_1!C1128)</f>
        <v>3154</v>
      </c>
      <c r="D1146">
        <f>IF(VIPcric_1!D1128="","",VIPcric_1!D1128)</f>
        <v>885541</v>
      </c>
      <c r="E1146">
        <f>IF(VIPcric_1!E1128="","",VIPcric_1!E1128)</f>
        <v>7708</v>
      </c>
      <c r="F1146">
        <f>IF(VIPcric_1!F1128="","",VIPcric_1!F1128)</f>
        <v>15680</v>
      </c>
      <c r="G1146">
        <f>IF(VIPcric_1!G1128="","",VIPcric_1!G1128)</f>
        <v>13885568493</v>
      </c>
      <c r="H1146">
        <f>IF(VIPcric_1!H1128="","",VIPcric_1!H1128)</f>
        <v>0.42</v>
      </c>
      <c r="I1146" t="str">
        <f>IF(VIPcric_1!M1128="","",VIPcric_1!M1128)</f>
        <v>CRIC-张家港-市场监测.商品房市场.项目累计.供求.xlsx</v>
      </c>
    </row>
    <row r="1147" spans="1:9">
      <c r="A1147" t="str">
        <f>IF(VIPcric_1!A1129="","",VIPcric_1!A1129)</f>
        <v>2021年</v>
      </c>
      <c r="B1147">
        <f>IF(VIPcric_1!B1129="","",VIPcric_1!B1129)</f>
        <v>2256823</v>
      </c>
      <c r="C1147">
        <f>IF(VIPcric_1!C1129="","",VIPcric_1!C1129)</f>
        <v>19635</v>
      </c>
      <c r="D1147">
        <f>IF(VIPcric_1!D1129="","",VIPcric_1!D1129)</f>
        <v>1488873</v>
      </c>
      <c r="E1147">
        <f>IF(VIPcric_1!E1129="","",VIPcric_1!E1129)</f>
        <v>12493</v>
      </c>
      <c r="F1147">
        <f>IF(VIPcric_1!F1129="","",VIPcric_1!F1129)</f>
        <v>16465</v>
      </c>
      <c r="G1147">
        <f>IF(VIPcric_1!G1129="","",VIPcric_1!G1129)</f>
        <v>24514865436</v>
      </c>
      <c r="H1147">
        <f>IF(VIPcric_1!H1129="","",VIPcric_1!H1129)</f>
        <v>1.52</v>
      </c>
      <c r="I1147" t="str">
        <f>IF(VIPcric_1!M1129="","",VIPcric_1!M1129)</f>
        <v>CRIC-张家港-市场监测.商品房市场.项目累计.供求.xlsx</v>
      </c>
    </row>
    <row r="1148" spans="1:9">
      <c r="A1148" t="str">
        <f>IF(VIPcric_1!A1130="","",VIPcric_1!A1130)</f>
        <v>2020年</v>
      </c>
      <c r="B1148">
        <f>IF(VIPcric_1!B1130="","",VIPcric_1!B1130)</f>
        <v>1866863</v>
      </c>
      <c r="C1148">
        <f>IF(VIPcric_1!C1130="","",VIPcric_1!C1130)</f>
        <v>15618</v>
      </c>
      <c r="D1148">
        <f>IF(VIPcric_1!D1130="","",VIPcric_1!D1130)</f>
        <v>1500428</v>
      </c>
      <c r="E1148">
        <f>IF(VIPcric_1!E1130="","",VIPcric_1!E1130)</f>
        <v>12055</v>
      </c>
      <c r="F1148">
        <f>IF(VIPcric_1!F1130="","",VIPcric_1!F1130)</f>
        <v>16166</v>
      </c>
      <c r="G1148">
        <f>IF(VIPcric_1!G1130="","",VIPcric_1!G1130)</f>
        <v>24255850420</v>
      </c>
      <c r="H1148">
        <f>IF(VIPcric_1!H1130="","",VIPcric_1!H1130)</f>
        <v>1.24</v>
      </c>
      <c r="I1148" t="str">
        <f>IF(VIPcric_1!M1130="","",VIPcric_1!M1130)</f>
        <v>CRIC-张家港-市场监测.商品房市场.项目累计.供求.xlsx</v>
      </c>
    </row>
    <row r="1149" spans="1:9">
      <c r="A1149" t="str">
        <f>IF(VIPcric_1!A1131="","",VIPcric_1!A1131)</f>
        <v>2019年</v>
      </c>
      <c r="B1149">
        <f>IF(VIPcric_1!B1131="","",VIPcric_1!B1131)</f>
        <v>1627288</v>
      </c>
      <c r="C1149">
        <f>IF(VIPcric_1!C1131="","",VIPcric_1!C1131)</f>
        <v>12673</v>
      </c>
      <c r="D1149">
        <f>IF(VIPcric_1!D1131="","",VIPcric_1!D1131)</f>
        <v>1291437</v>
      </c>
      <c r="E1149">
        <f>IF(VIPcric_1!E1131="","",VIPcric_1!E1131)</f>
        <v>10186</v>
      </c>
      <c r="F1149">
        <f>IF(VIPcric_1!F1131="","",VIPcric_1!F1131)</f>
        <v>14088</v>
      </c>
      <c r="G1149">
        <f>IF(VIPcric_1!G1131="","",VIPcric_1!G1131)</f>
        <v>18193287863</v>
      </c>
      <c r="H1149">
        <f>IF(VIPcric_1!H1131="","",VIPcric_1!H1131)</f>
        <v>1.26</v>
      </c>
      <c r="I1149" t="str">
        <f>IF(VIPcric_1!M1131="","",VIPcric_1!M1131)</f>
        <v>CRIC-张家港-市场监测.商品房市场.项目累计.供求.xlsx</v>
      </c>
    </row>
    <row r="1150" spans="1:9">
      <c r="A1150" t="str">
        <f>IF(VIPcric_1!A1132="","",VIPcric_1!A1132)</f>
        <v>汇总</v>
      </c>
      <c r="B1150">
        <f>IF(VIPcric_1!B1132="","",VIPcric_1!B1132)</f>
        <v>6471068</v>
      </c>
      <c r="C1150">
        <f>IF(VIPcric_1!C1132="","",VIPcric_1!C1132)</f>
        <v>53943</v>
      </c>
      <c r="D1150">
        <f>IF(VIPcric_1!D1132="","",VIPcric_1!D1132)</f>
        <v>5853594</v>
      </c>
      <c r="E1150">
        <f>IF(VIPcric_1!E1132="","",VIPcric_1!E1132)</f>
        <v>48337</v>
      </c>
      <c r="F1150">
        <f>IF(VIPcric_1!F1132="","",VIPcric_1!F1132)</f>
        <v>15646</v>
      </c>
      <c r="G1150">
        <f>IF(VIPcric_1!G1132="","",VIPcric_1!G1132)</f>
        <v>91586317609</v>
      </c>
      <c r="H1150">
        <f>IF(VIPcric_1!H1132="","",VIPcric_1!H1132)</f>
        <v>1.1100000000000001</v>
      </c>
      <c r="I1150" t="str">
        <f>IF(VIPcric_1!M1132="","",VIPcric_1!M1132)</f>
        <v>CRIC-张家港-市场监测.商品房市场.项目累计.供求.xlsx</v>
      </c>
    </row>
    <row r="1151" spans="1:9">
      <c r="A1151" t="str">
        <f>IF(VIPcric_1!A1133="","",VIPcric_1!A1133)</f>
        <v/>
      </c>
      <c r="B1151" t="str">
        <f>IF(VIPcric_1!B1133="","",VIPcric_1!B1133)</f>
        <v/>
      </c>
      <c r="C1151" t="str">
        <f>IF(VIPcric_1!C1133="","",VIPcric_1!C1133)</f>
        <v/>
      </c>
      <c r="D1151" t="str">
        <f>IF(VIPcric_1!D1133="","",VIPcric_1!D1133)</f>
        <v/>
      </c>
      <c r="E1151" t="str">
        <f>IF(VIPcric_1!E1133="","",VIPcric_1!E1133)</f>
        <v/>
      </c>
      <c r="F1151" t="str">
        <f>IF(VIPcric_1!F1133="","",VIPcric_1!F1133)</f>
        <v/>
      </c>
      <c r="G1151" t="str">
        <f>IF(VIPcric_1!G1133="","",VIPcric_1!G1133)</f>
        <v/>
      </c>
      <c r="H1151" t="str">
        <f>IF(VIPcric_1!H1133="","",VIPcric_1!H1133)</f>
        <v/>
      </c>
      <c r="I1151" t="str">
        <f>IF(VIPcric_1!M1133="","",VIPcric_1!M1133)</f>
        <v/>
      </c>
    </row>
    <row r="1152" spans="1:9">
      <c r="A1152" t="str">
        <f>IF(VIPcric_1!A1134="","",VIPcric_1!A1134)</f>
        <v/>
      </c>
      <c r="B1152" t="str">
        <f>IF(VIPcric_1!B1134="","",VIPcric_1!B1134)</f>
        <v/>
      </c>
      <c r="C1152" t="str">
        <f>IF(VIPcric_1!C1134="","",VIPcric_1!C1134)</f>
        <v/>
      </c>
      <c r="D1152" t="str">
        <f>IF(VIPcric_1!D1134="","",VIPcric_1!D1134)</f>
        <v/>
      </c>
      <c r="E1152" t="str">
        <f>IF(VIPcric_1!E1134="","",VIPcric_1!E1134)</f>
        <v/>
      </c>
      <c r="F1152" t="str">
        <f>IF(VIPcric_1!F1134="","",VIPcric_1!F1134)</f>
        <v/>
      </c>
      <c r="G1152" t="str">
        <f>IF(VIPcric_1!G1134="","",VIPcric_1!G1134)</f>
        <v/>
      </c>
      <c r="H1152" t="str">
        <f>IF(VIPcric_1!H1134="","",VIPcric_1!H1134)</f>
        <v/>
      </c>
      <c r="I1152" t="str">
        <f>IF(VIPcric_1!M1134="","",VIPcric_1!M1134)</f>
        <v>CRIC-张家港-市场监测.商品房市场.项目累计.库存.xlsx</v>
      </c>
    </row>
    <row r="1153" spans="1:9">
      <c r="A1153" t="str">
        <f>IF(VIPcric_1!A1135="","",VIPcric_1!A1135)</f>
        <v>时间(年)</v>
      </c>
      <c r="B1153" t="str">
        <f>IF(VIPcric_1!B1135="","",VIPcric_1!B1135)</f>
        <v>库存面积(㎡)</v>
      </c>
      <c r="C1153" t="str">
        <f>IF(VIPcric_1!C1135="","",VIPcric_1!C1135)</f>
        <v>库存套数(套)</v>
      </c>
      <c r="D1153" t="str">
        <f>IF(VIPcric_1!D1135="","",VIPcric_1!D1135)</f>
        <v>去化周期12'(月)</v>
      </c>
      <c r="E1153" t="str">
        <f>IF(VIPcric_1!E1135="","",VIPcric_1!E1135)</f>
        <v/>
      </c>
      <c r="F1153" t="str">
        <f>IF(VIPcric_1!F1135="","",VIPcric_1!F1135)</f>
        <v/>
      </c>
      <c r="G1153" t="str">
        <f>IF(VIPcric_1!G1135="","",VIPcric_1!G1135)</f>
        <v/>
      </c>
      <c r="H1153" t="str">
        <f>IF(VIPcric_1!H1135="","",VIPcric_1!H1135)</f>
        <v/>
      </c>
      <c r="I1153" t="str">
        <f>IF(VIPcric_1!M1135="","",VIPcric_1!M1135)</f>
        <v>CRIC-张家港-市场监测.商品房市场.项目累计.库存.xlsx</v>
      </c>
    </row>
    <row r="1154" spans="1:9">
      <c r="A1154" t="str">
        <f>IF(VIPcric_1!A1136="","",VIPcric_1!A1136)</f>
        <v>2024年</v>
      </c>
      <c r="B1154">
        <f>IF(VIPcric_1!B1136="","",VIPcric_1!B1136)</f>
        <v>1355909</v>
      </c>
      <c r="C1154">
        <f>IF(VIPcric_1!C1136="","",VIPcric_1!C1136)</f>
        <v>11344</v>
      </c>
      <c r="D1154">
        <f>IF(VIPcric_1!D1136="","",VIPcric_1!D1136)</f>
        <v>25</v>
      </c>
      <c r="E1154" t="str">
        <f>IF(VIPcric_1!E1136="","",VIPcric_1!E1136)</f>
        <v/>
      </c>
      <c r="F1154" t="str">
        <f>IF(VIPcric_1!F1136="","",VIPcric_1!F1136)</f>
        <v/>
      </c>
      <c r="G1154" t="str">
        <f>IF(VIPcric_1!G1136="","",VIPcric_1!G1136)</f>
        <v/>
      </c>
      <c r="H1154" t="str">
        <f>IF(VIPcric_1!H1136="","",VIPcric_1!H1136)</f>
        <v/>
      </c>
      <c r="I1154" t="str">
        <f>IF(VIPcric_1!M1136="","",VIPcric_1!M1136)</f>
        <v>CRIC-张家港-市场监测.商品房市场.项目累计.库存.xlsx</v>
      </c>
    </row>
    <row r="1155" spans="1:9">
      <c r="A1155" t="str">
        <f>IF(VIPcric_1!A1137="","",VIPcric_1!A1137)</f>
        <v>2023年</v>
      </c>
      <c r="B1155">
        <f>IF(VIPcric_1!B1137="","",VIPcric_1!B1137)</f>
        <v>1381638</v>
      </c>
      <c r="C1155">
        <f>IF(VIPcric_1!C1137="","",VIPcric_1!C1137)</f>
        <v>11620</v>
      </c>
      <c r="D1155">
        <f>IF(VIPcric_1!D1137="","",VIPcric_1!D1137)</f>
        <v>27</v>
      </c>
      <c r="E1155" t="str">
        <f>IF(VIPcric_1!E1137="","",VIPcric_1!E1137)</f>
        <v/>
      </c>
      <c r="F1155" t="str">
        <f>IF(VIPcric_1!F1137="","",VIPcric_1!F1137)</f>
        <v/>
      </c>
      <c r="G1155" t="str">
        <f>IF(VIPcric_1!G1137="","",VIPcric_1!G1137)</f>
        <v/>
      </c>
      <c r="H1155" t="str">
        <f>IF(VIPcric_1!H1137="","",VIPcric_1!H1137)</f>
        <v/>
      </c>
      <c r="I1155" t="str">
        <f>IF(VIPcric_1!M1137="","",VIPcric_1!M1137)</f>
        <v>CRIC-张家港-市场监测.商品房市场.项目累计.库存.xlsx</v>
      </c>
    </row>
    <row r="1156" spans="1:9">
      <c r="A1156" t="str">
        <f>IF(VIPcric_1!A1138="","",VIPcric_1!A1138)</f>
        <v>2022年</v>
      </c>
      <c r="B1156">
        <f>IF(VIPcric_1!B1138="","",VIPcric_1!B1138)</f>
        <v>1655951</v>
      </c>
      <c r="C1156">
        <f>IF(VIPcric_1!C1138="","",VIPcric_1!C1138)</f>
        <v>14023</v>
      </c>
      <c r="D1156">
        <f>IF(VIPcric_1!D1138="","",VIPcric_1!D1138)</f>
        <v>22.4</v>
      </c>
      <c r="E1156" t="str">
        <f>IF(VIPcric_1!E1138="","",VIPcric_1!E1138)</f>
        <v/>
      </c>
      <c r="F1156" t="str">
        <f>IF(VIPcric_1!F1138="","",VIPcric_1!F1138)</f>
        <v/>
      </c>
      <c r="G1156" t="str">
        <f>IF(VIPcric_1!G1138="","",VIPcric_1!G1138)</f>
        <v/>
      </c>
      <c r="H1156" t="str">
        <f>IF(VIPcric_1!H1138="","",VIPcric_1!H1138)</f>
        <v/>
      </c>
      <c r="I1156" t="str">
        <f>IF(VIPcric_1!M1138="","",VIPcric_1!M1138)</f>
        <v>CRIC-张家港-市场监测.商品房市场.项目累计.库存.xlsx</v>
      </c>
    </row>
    <row r="1157" spans="1:9">
      <c r="A1157" t="str">
        <f>IF(VIPcric_1!A1139="","",VIPcric_1!A1139)</f>
        <v>2021年</v>
      </c>
      <c r="B1157">
        <f>IF(VIPcric_1!B1139="","",VIPcric_1!B1139)</f>
        <v>2079811</v>
      </c>
      <c r="C1157">
        <f>IF(VIPcric_1!C1139="","",VIPcric_1!C1139)</f>
        <v>17770</v>
      </c>
      <c r="D1157">
        <f>IF(VIPcric_1!D1139="","",VIPcric_1!D1139)</f>
        <v>16.8</v>
      </c>
      <c r="E1157" t="str">
        <f>IF(VIPcric_1!E1139="","",VIPcric_1!E1139)</f>
        <v/>
      </c>
      <c r="F1157" t="str">
        <f>IF(VIPcric_1!F1139="","",VIPcric_1!F1139)</f>
        <v/>
      </c>
      <c r="G1157" t="str">
        <f>IF(VIPcric_1!G1139="","",VIPcric_1!G1139)</f>
        <v/>
      </c>
      <c r="H1157" t="str">
        <f>IF(VIPcric_1!H1139="","",VIPcric_1!H1139)</f>
        <v/>
      </c>
      <c r="I1157" t="str">
        <f>IF(VIPcric_1!M1139="","",VIPcric_1!M1139)</f>
        <v>CRIC-张家港-市场监测.商品房市场.项目累计.库存.xlsx</v>
      </c>
    </row>
    <row r="1158" spans="1:9">
      <c r="A1158" t="str">
        <f>IF(VIPcric_1!A1140="","",VIPcric_1!A1140)</f>
        <v>2020年</v>
      </c>
      <c r="B1158">
        <f>IF(VIPcric_1!B1140="","",VIPcric_1!B1140)</f>
        <v>1304822</v>
      </c>
      <c r="C1158">
        <f>IF(VIPcric_1!C1140="","",VIPcric_1!C1140)</f>
        <v>10598</v>
      </c>
      <c r="D1158">
        <f>IF(VIPcric_1!D1140="","",VIPcric_1!D1140)</f>
        <v>10.4</v>
      </c>
      <c r="E1158" t="str">
        <f>IF(VIPcric_1!E1140="","",VIPcric_1!E1140)</f>
        <v/>
      </c>
      <c r="F1158" t="str">
        <f>IF(VIPcric_1!F1140="","",VIPcric_1!F1140)</f>
        <v/>
      </c>
      <c r="G1158" t="str">
        <f>IF(VIPcric_1!G1140="","",VIPcric_1!G1140)</f>
        <v/>
      </c>
      <c r="H1158" t="str">
        <f>IF(VIPcric_1!H1140="","",VIPcric_1!H1140)</f>
        <v/>
      </c>
      <c r="I1158" t="str">
        <f>IF(VIPcric_1!M1140="","",VIPcric_1!M1140)</f>
        <v>CRIC-张家港-市场监测.商品房市场.项目累计.库存.xlsx</v>
      </c>
    </row>
    <row r="1159" spans="1:9">
      <c r="A1159" t="str">
        <f>IF(VIPcric_1!A1141="","",VIPcric_1!A1141)</f>
        <v>2019年</v>
      </c>
      <c r="B1159">
        <f>IF(VIPcric_1!B1141="","",VIPcric_1!B1141)</f>
        <v>972482</v>
      </c>
      <c r="C1159">
        <f>IF(VIPcric_1!C1141="","",VIPcric_1!C1141)</f>
        <v>7332</v>
      </c>
      <c r="D1159">
        <f>IF(VIPcric_1!D1141="","",VIPcric_1!D1141)</f>
        <v>9</v>
      </c>
      <c r="E1159" t="str">
        <f>IF(VIPcric_1!E1141="","",VIPcric_1!E1141)</f>
        <v/>
      </c>
      <c r="F1159" t="str">
        <f>IF(VIPcric_1!F1141="","",VIPcric_1!F1141)</f>
        <v/>
      </c>
      <c r="G1159" t="str">
        <f>IF(VIPcric_1!G1141="","",VIPcric_1!G1141)</f>
        <v/>
      </c>
      <c r="H1159" t="str">
        <f>IF(VIPcric_1!H1141="","",VIPcric_1!H1141)</f>
        <v/>
      </c>
      <c r="I1159" t="str">
        <f>IF(VIPcric_1!M1141="","",VIPcric_1!M1141)</f>
        <v>CRIC-张家港-市场监测.商品房市场.项目累计.库存.xlsx</v>
      </c>
    </row>
    <row r="1160" spans="1:9">
      <c r="A1160" t="str">
        <f>IF(VIPcric_1!A1142="","",VIPcric_1!A1142)</f>
        <v/>
      </c>
      <c r="B1160" t="str">
        <f>IF(VIPcric_1!B1142="","",VIPcric_1!B1142)</f>
        <v/>
      </c>
      <c r="C1160" t="str">
        <f>IF(VIPcric_1!C1142="","",VIPcric_1!C1142)</f>
        <v/>
      </c>
      <c r="D1160" t="str">
        <f>IF(VIPcric_1!D1142="","",VIPcric_1!D1142)</f>
        <v/>
      </c>
      <c r="E1160" t="str">
        <f>IF(VIPcric_1!E1142="","",VIPcric_1!E1142)</f>
        <v/>
      </c>
      <c r="F1160" t="str">
        <f>IF(VIPcric_1!F1142="","",VIPcric_1!F1142)</f>
        <v/>
      </c>
      <c r="G1160" t="str">
        <f>IF(VIPcric_1!G1142="","",VIPcric_1!G1142)</f>
        <v/>
      </c>
      <c r="H1160" t="str">
        <f>IF(VIPcric_1!H1142="","",VIPcric_1!H1142)</f>
        <v/>
      </c>
      <c r="I1160" t="str">
        <f>IF(VIPcric_1!M1142="","",VIPcric_1!M1142)</f>
        <v/>
      </c>
    </row>
    <row r="1161" spans="1:9">
      <c r="A1161" t="str">
        <f>IF(VIPcric_1!A1143="","",VIPcric_1!A1143)</f>
        <v/>
      </c>
      <c r="B1161" t="str">
        <f>IF(VIPcric_1!B1143="","",VIPcric_1!B1143)</f>
        <v/>
      </c>
      <c r="C1161" t="str">
        <f>IF(VIPcric_1!C1143="","",VIPcric_1!C1143)</f>
        <v/>
      </c>
      <c r="D1161" t="str">
        <f>IF(VIPcric_1!D1143="","",VIPcric_1!D1143)</f>
        <v/>
      </c>
      <c r="E1161" t="str">
        <f>IF(VIPcric_1!E1143="","",VIPcric_1!E1143)</f>
        <v/>
      </c>
      <c r="F1161" t="str">
        <f>IF(VIPcric_1!F1143="","",VIPcric_1!F1143)</f>
        <v/>
      </c>
      <c r="G1161" t="str">
        <f>IF(VIPcric_1!G1143="","",VIPcric_1!G1143)</f>
        <v/>
      </c>
      <c r="H1161" t="str">
        <f>IF(VIPcric_1!H1143="","",VIPcric_1!H1143)</f>
        <v/>
      </c>
      <c r="I1161" t="str">
        <f>IF(VIPcric_1!M1143="","",VIPcric_1!M1143)</f>
        <v>CRIC-张掖-市场监测.商品房市场.项目累计.供求.xlsx</v>
      </c>
    </row>
    <row r="1162" spans="1:9">
      <c r="A1162" t="str">
        <f>IF(VIPcric_1!A1144="","",VIPcric_1!A1144)</f>
        <v>时间(年)</v>
      </c>
      <c r="B1162" t="str">
        <f>IF(VIPcric_1!B1144="","",VIPcric_1!B1144)</f>
        <v>供应面积(㎡)</v>
      </c>
      <c r="C1162" t="str">
        <f>IF(VIPcric_1!C1144="","",VIPcric_1!C1144)</f>
        <v>供应套数(套)</v>
      </c>
      <c r="D1162" t="str">
        <f>IF(VIPcric_1!D1144="","",VIPcric_1!D1144)</f>
        <v>成交面积(㎡)</v>
      </c>
      <c r="E1162" t="str">
        <f>IF(VIPcric_1!E1144="","",VIPcric_1!E1144)</f>
        <v>成交套数(套)</v>
      </c>
      <c r="F1162" t="str">
        <f>IF(VIPcric_1!F1144="","",VIPcric_1!F1144)</f>
        <v>成交均价(元/㎡)</v>
      </c>
      <c r="G1162" t="str">
        <f>IF(VIPcric_1!G1144="","",VIPcric_1!G1144)</f>
        <v>成交金额(元)</v>
      </c>
      <c r="H1162" t="str">
        <f>IF(VIPcric_1!H1144="","",VIPcric_1!H1144)</f>
        <v>供求比</v>
      </c>
      <c r="I1162" t="str">
        <f>IF(VIPcric_1!M1144="","",VIPcric_1!M1144)</f>
        <v>CRIC-张掖-市场监测.商品房市场.项目累计.供求.xlsx</v>
      </c>
    </row>
    <row r="1163" spans="1:9">
      <c r="A1163" t="str">
        <f>IF(VIPcric_1!A1145="","",VIPcric_1!A1145)</f>
        <v>2021年</v>
      </c>
      <c r="B1163">
        <f>IF(VIPcric_1!B1145="","",VIPcric_1!B1145)</f>
        <v>89405</v>
      </c>
      <c r="C1163">
        <f>IF(VIPcric_1!C1145="","",VIPcric_1!C1145)</f>
        <v>723</v>
      </c>
      <c r="D1163">
        <f>IF(VIPcric_1!D1145="","",VIPcric_1!D1145)</f>
        <v>235348</v>
      </c>
      <c r="E1163">
        <f>IF(VIPcric_1!E1145="","",VIPcric_1!E1145)</f>
        <v>1962</v>
      </c>
      <c r="F1163">
        <f>IF(VIPcric_1!F1145="","",VIPcric_1!F1145)</f>
        <v>3715</v>
      </c>
      <c r="G1163">
        <f>IF(VIPcric_1!G1145="","",VIPcric_1!G1145)</f>
        <v>874227991</v>
      </c>
      <c r="H1163">
        <f>IF(VIPcric_1!H1145="","",VIPcric_1!H1145)</f>
        <v>0.38</v>
      </c>
      <c r="I1163" t="str">
        <f>IF(VIPcric_1!M1145="","",VIPcric_1!M1145)</f>
        <v>CRIC-张掖-市场监测.商品房市场.项目累计.供求.xlsx</v>
      </c>
    </row>
    <row r="1164" spans="1:9">
      <c r="A1164" t="str">
        <f>IF(VIPcric_1!A1146="","",VIPcric_1!A1146)</f>
        <v>2020年</v>
      </c>
      <c r="B1164">
        <f>IF(VIPcric_1!B1146="","",VIPcric_1!B1146)</f>
        <v>588305</v>
      </c>
      <c r="C1164">
        <f>IF(VIPcric_1!C1146="","",VIPcric_1!C1146)</f>
        <v>4694</v>
      </c>
      <c r="D1164">
        <f>IF(VIPcric_1!D1146="","",VIPcric_1!D1146)</f>
        <v>567075</v>
      </c>
      <c r="E1164">
        <f>IF(VIPcric_1!E1146="","",VIPcric_1!E1146)</f>
        <v>4848</v>
      </c>
      <c r="F1164">
        <f>IF(VIPcric_1!F1146="","",VIPcric_1!F1146)</f>
        <v>3628</v>
      </c>
      <c r="G1164">
        <f>IF(VIPcric_1!G1146="","",VIPcric_1!G1146)</f>
        <v>2057534903</v>
      </c>
      <c r="H1164">
        <f>IF(VIPcric_1!H1146="","",VIPcric_1!H1146)</f>
        <v>1.04</v>
      </c>
      <c r="I1164" t="str">
        <f>IF(VIPcric_1!M1146="","",VIPcric_1!M1146)</f>
        <v>CRIC-张掖-市场监测.商品房市场.项目累计.供求.xlsx</v>
      </c>
    </row>
    <row r="1165" spans="1:9">
      <c r="A1165" t="str">
        <f>IF(VIPcric_1!A1147="","",VIPcric_1!A1147)</f>
        <v>2019年</v>
      </c>
      <c r="B1165">
        <f>IF(VIPcric_1!B1147="","",VIPcric_1!B1147)</f>
        <v>543938</v>
      </c>
      <c r="C1165">
        <f>IF(VIPcric_1!C1147="","",VIPcric_1!C1147)</f>
        <v>4750</v>
      </c>
      <c r="D1165">
        <f>IF(VIPcric_1!D1147="","",VIPcric_1!D1147)</f>
        <v>234927</v>
      </c>
      <c r="E1165">
        <f>IF(VIPcric_1!E1147="","",VIPcric_1!E1147)</f>
        <v>2004</v>
      </c>
      <c r="F1165">
        <f>IF(VIPcric_1!F1147="","",VIPcric_1!F1147)</f>
        <v>3928</v>
      </c>
      <c r="G1165">
        <f>IF(VIPcric_1!G1147="","",VIPcric_1!G1147)</f>
        <v>922743010</v>
      </c>
      <c r="H1165">
        <f>IF(VIPcric_1!H1147="","",VIPcric_1!H1147)</f>
        <v>2.3199999999999998</v>
      </c>
      <c r="I1165" t="str">
        <f>IF(VIPcric_1!M1147="","",VIPcric_1!M1147)</f>
        <v>CRIC-张掖-市场监测.商品房市场.项目累计.供求.xlsx</v>
      </c>
    </row>
    <row r="1166" spans="1:9">
      <c r="A1166" t="str">
        <f>IF(VIPcric_1!A1148="","",VIPcric_1!A1148)</f>
        <v>2018年</v>
      </c>
      <c r="B1166">
        <f>IF(VIPcric_1!B1148="","",VIPcric_1!B1148)</f>
        <v>1078624</v>
      </c>
      <c r="C1166">
        <f>IF(VIPcric_1!C1148="","",VIPcric_1!C1148)</f>
        <v>9074</v>
      </c>
      <c r="D1166">
        <f>IF(VIPcric_1!D1148="","",VIPcric_1!D1148)</f>
        <v>0</v>
      </c>
      <c r="E1166">
        <f>IF(VIPcric_1!E1148="","",VIPcric_1!E1148)</f>
        <v>0</v>
      </c>
      <c r="F1166">
        <f>IF(VIPcric_1!F1148="","",VIPcric_1!F1148)</f>
        <v>0</v>
      </c>
      <c r="G1166">
        <f>IF(VIPcric_1!G1148="","",VIPcric_1!G1148)</f>
        <v>0</v>
      </c>
      <c r="H1166">
        <f>IF(VIPcric_1!H1148="","",VIPcric_1!H1148)</f>
        <v>0</v>
      </c>
      <c r="I1166" t="str">
        <f>IF(VIPcric_1!M1148="","",VIPcric_1!M1148)</f>
        <v>CRIC-张掖-市场监测.商品房市场.项目累计.供求.xlsx</v>
      </c>
    </row>
    <row r="1167" spans="1:9">
      <c r="A1167" t="str">
        <f>IF(VIPcric_1!A1149="","",VIPcric_1!A1149)</f>
        <v>2017年</v>
      </c>
      <c r="B1167">
        <f>IF(VIPcric_1!B1149="","",VIPcric_1!B1149)</f>
        <v>526729</v>
      </c>
      <c r="C1167">
        <f>IF(VIPcric_1!C1149="","",VIPcric_1!C1149)</f>
        <v>4618</v>
      </c>
      <c r="D1167">
        <f>IF(VIPcric_1!D1149="","",VIPcric_1!D1149)</f>
        <v>0</v>
      </c>
      <c r="E1167">
        <f>IF(VIPcric_1!E1149="","",VIPcric_1!E1149)</f>
        <v>0</v>
      </c>
      <c r="F1167">
        <f>IF(VIPcric_1!F1149="","",VIPcric_1!F1149)</f>
        <v>0</v>
      </c>
      <c r="G1167">
        <f>IF(VIPcric_1!G1149="","",VIPcric_1!G1149)</f>
        <v>0</v>
      </c>
      <c r="H1167">
        <f>IF(VIPcric_1!H1149="","",VIPcric_1!H1149)</f>
        <v>0</v>
      </c>
      <c r="I1167" t="str">
        <f>IF(VIPcric_1!M1149="","",VIPcric_1!M1149)</f>
        <v>CRIC-张掖-市场监测.商品房市场.项目累计.供求.xlsx</v>
      </c>
    </row>
    <row r="1168" spans="1:9">
      <c r="A1168" t="str">
        <f>IF(VIPcric_1!A1150="","",VIPcric_1!A1150)</f>
        <v>2016年</v>
      </c>
      <c r="B1168">
        <f>IF(VIPcric_1!B1150="","",VIPcric_1!B1150)</f>
        <v>2040599</v>
      </c>
      <c r="C1168">
        <f>IF(VIPcric_1!C1150="","",VIPcric_1!C1150)</f>
        <v>17496</v>
      </c>
      <c r="D1168">
        <f>IF(VIPcric_1!D1150="","",VIPcric_1!D1150)</f>
        <v>0</v>
      </c>
      <c r="E1168">
        <f>IF(VIPcric_1!E1150="","",VIPcric_1!E1150)</f>
        <v>0</v>
      </c>
      <c r="F1168">
        <f>IF(VIPcric_1!F1150="","",VIPcric_1!F1150)</f>
        <v>0</v>
      </c>
      <c r="G1168">
        <f>IF(VIPcric_1!G1150="","",VIPcric_1!G1150)</f>
        <v>0</v>
      </c>
      <c r="H1168">
        <f>IF(VIPcric_1!H1150="","",VIPcric_1!H1150)</f>
        <v>0</v>
      </c>
      <c r="I1168" t="str">
        <f>IF(VIPcric_1!M1150="","",VIPcric_1!M1150)</f>
        <v>CRIC-张掖-市场监测.商品房市场.项目累计.供求.xlsx</v>
      </c>
    </row>
    <row r="1169" spans="1:9">
      <c r="A1169" t="str">
        <f>IF(VIPcric_1!A1151="","",VIPcric_1!A1151)</f>
        <v>汇总</v>
      </c>
      <c r="B1169">
        <f>IF(VIPcric_1!B1151="","",VIPcric_1!B1151)</f>
        <v>4867600</v>
      </c>
      <c r="C1169">
        <f>IF(VIPcric_1!C1151="","",VIPcric_1!C1151)</f>
        <v>41355</v>
      </c>
      <c r="D1169">
        <f>IF(VIPcric_1!D1151="","",VIPcric_1!D1151)</f>
        <v>1037351</v>
      </c>
      <c r="E1169">
        <f>IF(VIPcric_1!E1151="","",VIPcric_1!E1151)</f>
        <v>8814</v>
      </c>
      <c r="F1169">
        <f>IF(VIPcric_1!F1151="","",VIPcric_1!F1151)</f>
        <v>3716</v>
      </c>
      <c r="G1169">
        <f>IF(VIPcric_1!G1151="","",VIPcric_1!G1151)</f>
        <v>3854505905</v>
      </c>
      <c r="H1169">
        <f>IF(VIPcric_1!H1151="","",VIPcric_1!H1151)</f>
        <v>4.6900000000000004</v>
      </c>
      <c r="I1169" t="str">
        <f>IF(VIPcric_1!M1151="","",VIPcric_1!M1151)</f>
        <v>CRIC-张掖-市场监测.商品房市场.项目累计.供求.xlsx</v>
      </c>
    </row>
    <row r="1170" spans="1:9">
      <c r="A1170" t="str">
        <f>IF(VIPcric_1!A1152="","",VIPcric_1!A1152)</f>
        <v/>
      </c>
      <c r="B1170" t="str">
        <f>IF(VIPcric_1!B1152="","",VIPcric_1!B1152)</f>
        <v/>
      </c>
      <c r="C1170" t="str">
        <f>IF(VIPcric_1!C1152="","",VIPcric_1!C1152)</f>
        <v/>
      </c>
      <c r="D1170" t="str">
        <f>IF(VIPcric_1!D1152="","",VIPcric_1!D1152)</f>
        <v/>
      </c>
      <c r="E1170" t="str">
        <f>IF(VIPcric_1!E1152="","",VIPcric_1!E1152)</f>
        <v/>
      </c>
      <c r="F1170" t="str">
        <f>IF(VIPcric_1!F1152="","",VIPcric_1!F1152)</f>
        <v/>
      </c>
      <c r="G1170" t="str">
        <f>IF(VIPcric_1!G1152="","",VIPcric_1!G1152)</f>
        <v/>
      </c>
      <c r="H1170" t="str">
        <f>IF(VIPcric_1!H1152="","",VIPcric_1!H1152)</f>
        <v/>
      </c>
      <c r="I1170" t="str">
        <f>IF(VIPcric_1!M1152="","",VIPcric_1!M1152)</f>
        <v/>
      </c>
    </row>
    <row r="1171" spans="1:9">
      <c r="A1171" t="str">
        <f>IF(VIPcric_1!A1153="","",VIPcric_1!A1153)</f>
        <v/>
      </c>
      <c r="B1171" t="str">
        <f>IF(VIPcric_1!B1153="","",VIPcric_1!B1153)</f>
        <v/>
      </c>
      <c r="C1171" t="str">
        <f>IF(VIPcric_1!C1153="","",VIPcric_1!C1153)</f>
        <v/>
      </c>
      <c r="D1171" t="str">
        <f>IF(VIPcric_1!D1153="","",VIPcric_1!D1153)</f>
        <v/>
      </c>
      <c r="E1171" t="str">
        <f>IF(VIPcric_1!E1153="","",VIPcric_1!E1153)</f>
        <v/>
      </c>
      <c r="F1171" t="str">
        <f>IF(VIPcric_1!F1153="","",VIPcric_1!F1153)</f>
        <v/>
      </c>
      <c r="G1171" t="str">
        <f>IF(VIPcric_1!G1153="","",VIPcric_1!G1153)</f>
        <v/>
      </c>
      <c r="H1171" t="str">
        <f>IF(VIPcric_1!H1153="","",VIPcric_1!H1153)</f>
        <v/>
      </c>
      <c r="I1171" t="str">
        <f>IF(VIPcric_1!M1153="","",VIPcric_1!M1153)</f>
        <v>CRIC-张掖-市场监测.商品房市场.项目累计.库存.xlsx</v>
      </c>
    </row>
    <row r="1172" spans="1:9">
      <c r="A1172" t="str">
        <f>IF(VIPcric_1!A1154="","",VIPcric_1!A1154)</f>
        <v>时间(年)</v>
      </c>
      <c r="B1172" t="str">
        <f>IF(VIPcric_1!B1154="","",VIPcric_1!B1154)</f>
        <v>库存面积(㎡)</v>
      </c>
      <c r="C1172" t="str">
        <f>IF(VIPcric_1!C1154="","",VIPcric_1!C1154)</f>
        <v>库存套数(套)</v>
      </c>
      <c r="D1172" t="str">
        <f>IF(VIPcric_1!D1154="","",VIPcric_1!D1154)</f>
        <v>去化周期12'(月)</v>
      </c>
      <c r="E1172" t="str">
        <f>IF(VIPcric_1!E1154="","",VIPcric_1!E1154)</f>
        <v/>
      </c>
      <c r="F1172" t="str">
        <f>IF(VIPcric_1!F1154="","",VIPcric_1!F1154)</f>
        <v/>
      </c>
      <c r="G1172" t="str">
        <f>IF(VIPcric_1!G1154="","",VIPcric_1!G1154)</f>
        <v/>
      </c>
      <c r="H1172" t="str">
        <f>IF(VIPcric_1!H1154="","",VIPcric_1!H1154)</f>
        <v/>
      </c>
      <c r="I1172" t="str">
        <f>IF(VIPcric_1!M1154="","",VIPcric_1!M1154)</f>
        <v>CRIC-张掖-市场监测.商品房市场.项目累计.库存.xlsx</v>
      </c>
    </row>
    <row r="1173" spans="1:9">
      <c r="A1173" t="str">
        <f>IF(VIPcric_1!A1155="","",VIPcric_1!A1155)</f>
        <v>2021年</v>
      </c>
      <c r="B1173">
        <f>IF(VIPcric_1!B1155="","",VIPcric_1!B1155)</f>
        <v>1370793</v>
      </c>
      <c r="C1173">
        <f>IF(VIPcric_1!C1155="","",VIPcric_1!C1155)</f>
        <v>11590</v>
      </c>
      <c r="D1173">
        <f>IF(VIPcric_1!D1155="","",VIPcric_1!D1155)</f>
        <v>26.7</v>
      </c>
      <c r="E1173" t="str">
        <f>IF(VIPcric_1!E1155="","",VIPcric_1!E1155)</f>
        <v/>
      </c>
      <c r="F1173" t="str">
        <f>IF(VIPcric_1!F1155="","",VIPcric_1!F1155)</f>
        <v/>
      </c>
      <c r="G1173" t="str">
        <f>IF(VIPcric_1!G1155="","",VIPcric_1!G1155)</f>
        <v/>
      </c>
      <c r="H1173" t="str">
        <f>IF(VIPcric_1!H1155="","",VIPcric_1!H1155)</f>
        <v/>
      </c>
      <c r="I1173" t="str">
        <f>IF(VIPcric_1!M1155="","",VIPcric_1!M1155)</f>
        <v>CRIC-张掖-市场监测.商品房市场.项目累计.库存.xlsx</v>
      </c>
    </row>
    <row r="1174" spans="1:9">
      <c r="A1174" t="str">
        <f>IF(VIPcric_1!A1156="","",VIPcric_1!A1156)</f>
        <v>2020年</v>
      </c>
      <c r="B1174">
        <f>IF(VIPcric_1!B1156="","",VIPcric_1!B1156)</f>
        <v>1561454</v>
      </c>
      <c r="C1174">
        <f>IF(VIPcric_1!C1156="","",VIPcric_1!C1156)</f>
        <v>13268</v>
      </c>
      <c r="D1174">
        <f>IF(VIPcric_1!D1156="","",VIPcric_1!D1156)</f>
        <v>33</v>
      </c>
      <c r="E1174" t="str">
        <f>IF(VIPcric_1!E1156="","",VIPcric_1!E1156)</f>
        <v/>
      </c>
      <c r="F1174" t="str">
        <f>IF(VIPcric_1!F1156="","",VIPcric_1!F1156)</f>
        <v/>
      </c>
      <c r="G1174" t="str">
        <f>IF(VIPcric_1!G1156="","",VIPcric_1!G1156)</f>
        <v/>
      </c>
      <c r="H1174" t="str">
        <f>IF(VIPcric_1!H1156="","",VIPcric_1!H1156)</f>
        <v/>
      </c>
      <c r="I1174" t="str">
        <f>IF(VIPcric_1!M1156="","",VIPcric_1!M1156)</f>
        <v>CRIC-张掖-市场监测.商品房市场.项目累计.库存.xlsx</v>
      </c>
    </row>
    <row r="1175" spans="1:9">
      <c r="A1175" t="str">
        <f>IF(VIPcric_1!A1157="","",VIPcric_1!A1157)</f>
        <v>2019年</v>
      </c>
      <c r="B1175">
        <f>IF(VIPcric_1!B1157="","",VIPcric_1!B1157)</f>
        <v>1713902</v>
      </c>
      <c r="C1175">
        <f>IF(VIPcric_1!C1157="","",VIPcric_1!C1157)</f>
        <v>14806</v>
      </c>
      <c r="D1175">
        <f>IF(VIPcric_1!D1157="","",VIPcric_1!D1157)</f>
        <v>87.5</v>
      </c>
      <c r="E1175" t="str">
        <f>IF(VIPcric_1!E1157="","",VIPcric_1!E1157)</f>
        <v/>
      </c>
      <c r="F1175" t="str">
        <f>IF(VIPcric_1!F1157="","",VIPcric_1!F1157)</f>
        <v/>
      </c>
      <c r="G1175" t="str">
        <f>IF(VIPcric_1!G1157="","",VIPcric_1!G1157)</f>
        <v/>
      </c>
      <c r="H1175" t="str">
        <f>IF(VIPcric_1!H1157="","",VIPcric_1!H1157)</f>
        <v/>
      </c>
      <c r="I1175" t="str">
        <f>IF(VIPcric_1!M1157="","",VIPcric_1!M1157)</f>
        <v>CRIC-张掖-市场监测.商品房市场.项目累计.库存.xlsx</v>
      </c>
    </row>
    <row r="1176" spans="1:9">
      <c r="A1176" t="str">
        <f>IF(VIPcric_1!A1158="","",VIPcric_1!A1158)</f>
        <v/>
      </c>
      <c r="B1176" t="str">
        <f>IF(VIPcric_1!B1158="","",VIPcric_1!B1158)</f>
        <v/>
      </c>
      <c r="C1176" t="str">
        <f>IF(VIPcric_1!C1158="","",VIPcric_1!C1158)</f>
        <v/>
      </c>
      <c r="D1176" t="str">
        <f>IF(VIPcric_1!D1158="","",VIPcric_1!D1158)</f>
        <v/>
      </c>
      <c r="E1176" t="str">
        <f>IF(VIPcric_1!E1158="","",VIPcric_1!E1158)</f>
        <v/>
      </c>
      <c r="F1176" t="str">
        <f>IF(VIPcric_1!F1158="","",VIPcric_1!F1158)</f>
        <v/>
      </c>
      <c r="G1176" t="str">
        <f>IF(VIPcric_1!G1158="","",VIPcric_1!G1158)</f>
        <v/>
      </c>
      <c r="H1176" t="str">
        <f>IF(VIPcric_1!H1158="","",VIPcric_1!H1158)</f>
        <v/>
      </c>
      <c r="I1176" t="str">
        <f>IF(VIPcric_1!M1158="","",VIPcric_1!M1158)</f>
        <v/>
      </c>
    </row>
    <row r="1177" spans="1:9">
      <c r="A1177" t="str">
        <f>IF(VIPcric_1!A1159="","",VIPcric_1!A1159)</f>
        <v/>
      </c>
      <c r="B1177" t="str">
        <f>IF(VIPcric_1!B1159="","",VIPcric_1!B1159)</f>
        <v/>
      </c>
      <c r="C1177" t="str">
        <f>IF(VIPcric_1!C1159="","",VIPcric_1!C1159)</f>
        <v/>
      </c>
      <c r="D1177" t="str">
        <f>IF(VIPcric_1!D1159="","",VIPcric_1!D1159)</f>
        <v/>
      </c>
      <c r="E1177" t="str">
        <f>IF(VIPcric_1!E1159="","",VIPcric_1!E1159)</f>
        <v/>
      </c>
      <c r="F1177" t="str">
        <f>IF(VIPcric_1!F1159="","",VIPcric_1!F1159)</f>
        <v/>
      </c>
      <c r="G1177" t="str">
        <f>IF(VIPcric_1!G1159="","",VIPcric_1!G1159)</f>
        <v/>
      </c>
      <c r="H1177" t="str">
        <f>IF(VIPcric_1!H1159="","",VIPcric_1!H1159)</f>
        <v/>
      </c>
      <c r="I1177" t="str">
        <f>IF(VIPcric_1!M1159="","",VIPcric_1!M1159)</f>
        <v>CRIC-徐州-市场监测.商品房市场.项目累计.供求.xlsx</v>
      </c>
    </row>
    <row r="1178" spans="1:9">
      <c r="A1178" t="str">
        <f>IF(VIPcric_1!A1160="","",VIPcric_1!A1160)</f>
        <v>时间(年)</v>
      </c>
      <c r="B1178" t="str">
        <f>IF(VIPcric_1!B1160="","",VIPcric_1!B1160)</f>
        <v>供应面积(㎡)</v>
      </c>
      <c r="C1178" t="str">
        <f>IF(VIPcric_1!C1160="","",VIPcric_1!C1160)</f>
        <v>供应套数(套)</v>
      </c>
      <c r="D1178" t="str">
        <f>IF(VIPcric_1!D1160="","",VIPcric_1!D1160)</f>
        <v>成交面积(㎡)</v>
      </c>
      <c r="E1178" t="str">
        <f>IF(VIPcric_1!E1160="","",VIPcric_1!E1160)</f>
        <v>成交套数(套)</v>
      </c>
      <c r="F1178" t="str">
        <f>IF(VIPcric_1!F1160="","",VIPcric_1!F1160)</f>
        <v>成交均价(元/㎡)</v>
      </c>
      <c r="G1178" t="str">
        <f>IF(VIPcric_1!G1160="","",VIPcric_1!G1160)</f>
        <v>成交金额(元)</v>
      </c>
      <c r="H1178" t="str">
        <f>IF(VIPcric_1!H1160="","",VIPcric_1!H1160)</f>
        <v>供求比</v>
      </c>
      <c r="I1178" t="str">
        <f>IF(VIPcric_1!M1160="","",VIPcric_1!M1160)</f>
        <v>CRIC-徐州-市场监测.商品房市场.项目累计.供求.xlsx</v>
      </c>
    </row>
    <row r="1179" spans="1:9">
      <c r="A1179" t="str">
        <f>IF(VIPcric_1!A1161="","",VIPcric_1!A1161)</f>
        <v>2023年</v>
      </c>
      <c r="B1179">
        <f>IF(VIPcric_1!B1161="","",VIPcric_1!B1161)</f>
        <v>4281696</v>
      </c>
      <c r="C1179">
        <f>IF(VIPcric_1!C1161="","",VIPcric_1!C1161)</f>
        <v>33483</v>
      </c>
      <c r="D1179">
        <f>IF(VIPcric_1!D1161="","",VIPcric_1!D1161)</f>
        <v>5282659</v>
      </c>
      <c r="E1179">
        <f>IF(VIPcric_1!E1161="","",VIPcric_1!E1161)</f>
        <v>41788</v>
      </c>
      <c r="F1179">
        <f>IF(VIPcric_1!F1161="","",VIPcric_1!F1161)</f>
        <v>9562</v>
      </c>
      <c r="G1179">
        <f>IF(VIPcric_1!G1161="","",VIPcric_1!G1161)</f>
        <v>50514223999</v>
      </c>
      <c r="H1179">
        <f>IF(VIPcric_1!H1161="","",VIPcric_1!H1161)</f>
        <v>0.81</v>
      </c>
      <c r="I1179" t="str">
        <f>IF(VIPcric_1!M1161="","",VIPcric_1!M1161)</f>
        <v>CRIC-徐州-市场监测.商品房市场.项目累计.供求.xlsx</v>
      </c>
    </row>
    <row r="1180" spans="1:9">
      <c r="A1180" t="str">
        <f>IF(VIPcric_1!A1162="","",VIPcric_1!A1162)</f>
        <v>2022年</v>
      </c>
      <c r="B1180">
        <f>IF(VIPcric_1!B1162="","",VIPcric_1!B1162)</f>
        <v>5186547</v>
      </c>
      <c r="C1180">
        <f>IF(VIPcric_1!C1162="","",VIPcric_1!C1162)</f>
        <v>41463</v>
      </c>
      <c r="D1180">
        <f>IF(VIPcric_1!D1162="","",VIPcric_1!D1162)</f>
        <v>5410768</v>
      </c>
      <c r="E1180">
        <f>IF(VIPcric_1!E1162="","",VIPcric_1!E1162)</f>
        <v>43537</v>
      </c>
      <c r="F1180">
        <f>IF(VIPcric_1!F1162="","",VIPcric_1!F1162)</f>
        <v>9779</v>
      </c>
      <c r="G1180">
        <f>IF(VIPcric_1!G1162="","",VIPcric_1!G1162)</f>
        <v>52914525163</v>
      </c>
      <c r="H1180">
        <f>IF(VIPcric_1!H1162="","",VIPcric_1!H1162)</f>
        <v>0.96</v>
      </c>
      <c r="I1180" t="str">
        <f>IF(VIPcric_1!M1162="","",VIPcric_1!M1162)</f>
        <v>CRIC-徐州-市场监测.商品房市场.项目累计.供求.xlsx</v>
      </c>
    </row>
    <row r="1181" spans="1:9">
      <c r="A1181" t="str">
        <f>IF(VIPcric_1!A1163="","",VIPcric_1!A1163)</f>
        <v>2021年</v>
      </c>
      <c r="B1181">
        <f>IF(VIPcric_1!B1163="","",VIPcric_1!B1163)</f>
        <v>12951445</v>
      </c>
      <c r="C1181">
        <f>IF(VIPcric_1!C1163="","",VIPcric_1!C1163)</f>
        <v>106526</v>
      </c>
      <c r="D1181">
        <f>IF(VIPcric_1!D1163="","",VIPcric_1!D1163)</f>
        <v>12279809</v>
      </c>
      <c r="E1181">
        <f>IF(VIPcric_1!E1163="","",VIPcric_1!E1163)</f>
        <v>101023</v>
      </c>
      <c r="F1181">
        <f>IF(VIPcric_1!F1163="","",VIPcric_1!F1163)</f>
        <v>9802</v>
      </c>
      <c r="G1181">
        <f>IF(VIPcric_1!G1163="","",VIPcric_1!G1163)</f>
        <v>120361155941</v>
      </c>
      <c r="H1181">
        <f>IF(VIPcric_1!H1163="","",VIPcric_1!H1163)</f>
        <v>1.05</v>
      </c>
      <c r="I1181" t="str">
        <f>IF(VIPcric_1!M1163="","",VIPcric_1!M1163)</f>
        <v>CRIC-徐州-市场监测.商品房市场.项目累计.供求.xlsx</v>
      </c>
    </row>
    <row r="1182" spans="1:9">
      <c r="A1182" t="str">
        <f>IF(VIPcric_1!A1164="","",VIPcric_1!A1164)</f>
        <v>2020年</v>
      </c>
      <c r="B1182">
        <f>IF(VIPcric_1!B1164="","",VIPcric_1!B1164)</f>
        <v>13780407</v>
      </c>
      <c r="C1182">
        <f>IF(VIPcric_1!C1164="","",VIPcric_1!C1164)</f>
        <v>114109</v>
      </c>
      <c r="D1182">
        <f>IF(VIPcric_1!D1164="","",VIPcric_1!D1164)</f>
        <v>14392677</v>
      </c>
      <c r="E1182">
        <f>IF(VIPcric_1!E1164="","",VIPcric_1!E1164)</f>
        <v>119636</v>
      </c>
      <c r="F1182">
        <f>IF(VIPcric_1!F1164="","",VIPcric_1!F1164)</f>
        <v>9576</v>
      </c>
      <c r="G1182">
        <f>IF(VIPcric_1!G1164="","",VIPcric_1!G1164)</f>
        <v>137822214248</v>
      </c>
      <c r="H1182">
        <f>IF(VIPcric_1!H1164="","",VIPcric_1!H1164)</f>
        <v>0.96</v>
      </c>
      <c r="I1182" t="str">
        <f>IF(VIPcric_1!M1164="","",VIPcric_1!M1164)</f>
        <v>CRIC-徐州-市场监测.商品房市场.项目累计.供求.xlsx</v>
      </c>
    </row>
    <row r="1183" spans="1:9">
      <c r="A1183" t="str">
        <f>IF(VIPcric_1!A1165="","",VIPcric_1!A1165)</f>
        <v>2019年</v>
      </c>
      <c r="B1183">
        <f>IF(VIPcric_1!B1165="","",VIPcric_1!B1165)</f>
        <v>13996770</v>
      </c>
      <c r="C1183">
        <f>IF(VIPcric_1!C1165="","",VIPcric_1!C1165)</f>
        <v>116934</v>
      </c>
      <c r="D1183">
        <f>IF(VIPcric_1!D1165="","",VIPcric_1!D1165)</f>
        <v>12233011</v>
      </c>
      <c r="E1183">
        <f>IF(VIPcric_1!E1165="","",VIPcric_1!E1165)</f>
        <v>102836</v>
      </c>
      <c r="F1183">
        <f>IF(VIPcric_1!F1165="","",VIPcric_1!F1165)</f>
        <v>8892</v>
      </c>
      <c r="G1183">
        <f>IF(VIPcric_1!G1165="","",VIPcric_1!G1165)</f>
        <v>108773203156</v>
      </c>
      <c r="H1183">
        <f>IF(VIPcric_1!H1165="","",VIPcric_1!H1165)</f>
        <v>1.1399999999999999</v>
      </c>
      <c r="I1183" t="str">
        <f>IF(VIPcric_1!M1165="","",VIPcric_1!M1165)</f>
        <v>CRIC-徐州-市场监测.商品房市场.项目累计.供求.xlsx</v>
      </c>
    </row>
    <row r="1184" spans="1:9">
      <c r="A1184" t="str">
        <f>IF(VIPcric_1!A1166="","",VIPcric_1!A1166)</f>
        <v>汇总</v>
      </c>
      <c r="B1184">
        <f>IF(VIPcric_1!B1166="","",VIPcric_1!B1166)</f>
        <v>50196865</v>
      </c>
      <c r="C1184">
        <f>IF(VIPcric_1!C1166="","",VIPcric_1!C1166)</f>
        <v>412515</v>
      </c>
      <c r="D1184">
        <f>IF(VIPcric_1!D1166="","",VIPcric_1!D1166)</f>
        <v>49598924</v>
      </c>
      <c r="E1184">
        <f>IF(VIPcric_1!E1166="","",VIPcric_1!E1166)</f>
        <v>408820</v>
      </c>
      <c r="F1184">
        <f>IF(VIPcric_1!F1166="","",VIPcric_1!F1166)</f>
        <v>9484</v>
      </c>
      <c r="G1184">
        <f>IF(VIPcric_1!G1166="","",VIPcric_1!G1166)</f>
        <v>470385322507</v>
      </c>
      <c r="H1184">
        <f>IF(VIPcric_1!H1166="","",VIPcric_1!H1166)</f>
        <v>1.01</v>
      </c>
      <c r="I1184" t="str">
        <f>IF(VIPcric_1!M1166="","",VIPcric_1!M1166)</f>
        <v>CRIC-徐州-市场监测.商品房市场.项目累计.供求.xlsx</v>
      </c>
    </row>
    <row r="1185" spans="1:9">
      <c r="A1185" t="str">
        <f>IF(VIPcric_1!A1167="","",VIPcric_1!A1167)</f>
        <v/>
      </c>
      <c r="B1185" t="str">
        <f>IF(VIPcric_1!B1167="","",VIPcric_1!B1167)</f>
        <v/>
      </c>
      <c r="C1185" t="str">
        <f>IF(VIPcric_1!C1167="","",VIPcric_1!C1167)</f>
        <v/>
      </c>
      <c r="D1185" t="str">
        <f>IF(VIPcric_1!D1167="","",VIPcric_1!D1167)</f>
        <v/>
      </c>
      <c r="E1185" t="str">
        <f>IF(VIPcric_1!E1167="","",VIPcric_1!E1167)</f>
        <v/>
      </c>
      <c r="F1185" t="str">
        <f>IF(VIPcric_1!F1167="","",VIPcric_1!F1167)</f>
        <v/>
      </c>
      <c r="G1185" t="str">
        <f>IF(VIPcric_1!G1167="","",VIPcric_1!G1167)</f>
        <v/>
      </c>
      <c r="H1185" t="str">
        <f>IF(VIPcric_1!H1167="","",VIPcric_1!H1167)</f>
        <v/>
      </c>
      <c r="I1185" t="str">
        <f>IF(VIPcric_1!M1167="","",VIPcric_1!M1167)</f>
        <v/>
      </c>
    </row>
    <row r="1186" spans="1:9">
      <c r="A1186" t="str">
        <f>IF(VIPcric_1!A1168="","",VIPcric_1!A1168)</f>
        <v/>
      </c>
      <c r="B1186" t="str">
        <f>IF(VIPcric_1!B1168="","",VIPcric_1!B1168)</f>
        <v/>
      </c>
      <c r="C1186" t="str">
        <f>IF(VIPcric_1!C1168="","",VIPcric_1!C1168)</f>
        <v/>
      </c>
      <c r="D1186" t="str">
        <f>IF(VIPcric_1!D1168="","",VIPcric_1!D1168)</f>
        <v/>
      </c>
      <c r="E1186" t="str">
        <f>IF(VIPcric_1!E1168="","",VIPcric_1!E1168)</f>
        <v/>
      </c>
      <c r="F1186" t="str">
        <f>IF(VIPcric_1!F1168="","",VIPcric_1!F1168)</f>
        <v/>
      </c>
      <c r="G1186" t="str">
        <f>IF(VIPcric_1!G1168="","",VIPcric_1!G1168)</f>
        <v/>
      </c>
      <c r="H1186" t="str">
        <f>IF(VIPcric_1!H1168="","",VIPcric_1!H1168)</f>
        <v/>
      </c>
      <c r="I1186" t="str">
        <f>IF(VIPcric_1!M1168="","",VIPcric_1!M1168)</f>
        <v>CRIC-徐州-市场监测.商品房市场.项目累计.库存.xlsx</v>
      </c>
    </row>
    <row r="1187" spans="1:9">
      <c r="A1187" t="str">
        <f>IF(VIPcric_1!A1169="","",VIPcric_1!A1169)</f>
        <v>时间(年)</v>
      </c>
      <c r="B1187" t="str">
        <f>IF(VIPcric_1!B1169="","",VIPcric_1!B1169)</f>
        <v>库存面积(㎡)</v>
      </c>
      <c r="C1187" t="str">
        <f>IF(VIPcric_1!C1169="","",VIPcric_1!C1169)</f>
        <v>库存套数(套)</v>
      </c>
      <c r="D1187" t="str">
        <f>IF(VIPcric_1!D1169="","",VIPcric_1!D1169)</f>
        <v>去化周期12'(月)</v>
      </c>
      <c r="E1187" t="str">
        <f>IF(VIPcric_1!E1169="","",VIPcric_1!E1169)</f>
        <v>去化周期24'(月)</v>
      </c>
      <c r="F1187" t="str">
        <f>IF(VIPcric_1!F1169="","",VIPcric_1!F1169)</f>
        <v/>
      </c>
      <c r="G1187" t="str">
        <f>IF(VIPcric_1!G1169="","",VIPcric_1!G1169)</f>
        <v/>
      </c>
      <c r="H1187" t="str">
        <f>IF(VIPcric_1!H1169="","",VIPcric_1!H1169)</f>
        <v/>
      </c>
      <c r="I1187" t="str">
        <f>IF(VIPcric_1!M1169="","",VIPcric_1!M1169)</f>
        <v>CRIC-徐州-市场监测.商品房市场.项目累计.库存.xlsx</v>
      </c>
    </row>
    <row r="1188" spans="1:9">
      <c r="A1188" t="str">
        <f>IF(VIPcric_1!A1170="","",VIPcric_1!A1170)</f>
        <v>2024年</v>
      </c>
      <c r="B1188">
        <f>IF(VIPcric_1!B1170="","",VIPcric_1!B1170)</f>
        <v>7364756</v>
      </c>
      <c r="C1188">
        <f>IF(VIPcric_1!C1170="","",VIPcric_1!C1170)</f>
        <v>59431</v>
      </c>
      <c r="D1188">
        <f>IF(VIPcric_1!D1170="","",VIPcric_1!D1170)</f>
        <v>17.7</v>
      </c>
      <c r="E1188">
        <f>IF(VIPcric_1!E1170="","",VIPcric_1!E1170)</f>
        <v>16.899999999999999</v>
      </c>
      <c r="F1188" t="str">
        <f>IF(VIPcric_1!F1170="","",VIPcric_1!F1170)</f>
        <v/>
      </c>
      <c r="G1188" t="str">
        <f>IF(VIPcric_1!G1170="","",VIPcric_1!G1170)</f>
        <v/>
      </c>
      <c r="H1188" t="str">
        <f>IF(VIPcric_1!H1170="","",VIPcric_1!H1170)</f>
        <v/>
      </c>
      <c r="I1188" t="str">
        <f>IF(VIPcric_1!M1170="","",VIPcric_1!M1170)</f>
        <v>CRIC-徐州-市场监测.商品房市场.项目累计.库存.xlsx</v>
      </c>
    </row>
    <row r="1189" spans="1:9">
      <c r="A1189" t="str">
        <f>IF(VIPcric_1!A1171="","",VIPcric_1!A1171)</f>
        <v>2023年</v>
      </c>
      <c r="B1189">
        <f>IF(VIPcric_1!B1171="","",VIPcric_1!B1171)</f>
        <v>7352620</v>
      </c>
      <c r="C1189">
        <f>IF(VIPcric_1!C1171="","",VIPcric_1!C1171)</f>
        <v>59421</v>
      </c>
      <c r="D1189">
        <f>IF(VIPcric_1!D1171="","",VIPcric_1!D1171)</f>
        <v>16.7</v>
      </c>
      <c r="E1189">
        <f>IF(VIPcric_1!E1171="","",VIPcric_1!E1171)</f>
        <v>16.5</v>
      </c>
      <c r="F1189" t="str">
        <f>IF(VIPcric_1!F1171="","",VIPcric_1!F1171)</f>
        <v/>
      </c>
      <c r="G1189" t="str">
        <f>IF(VIPcric_1!G1171="","",VIPcric_1!G1171)</f>
        <v/>
      </c>
      <c r="H1189" t="str">
        <f>IF(VIPcric_1!H1171="","",VIPcric_1!H1171)</f>
        <v/>
      </c>
      <c r="I1189" t="str">
        <f>IF(VIPcric_1!M1171="","",VIPcric_1!M1171)</f>
        <v>CRIC-徐州-市场监测.商品房市场.项目累计.库存.xlsx</v>
      </c>
    </row>
    <row r="1190" spans="1:9">
      <c r="A1190" t="str">
        <f>IF(VIPcric_1!A1172="","",VIPcric_1!A1172)</f>
        <v>2022年</v>
      </c>
      <c r="B1190">
        <f>IF(VIPcric_1!B1172="","",VIPcric_1!B1172)</f>
        <v>8550148</v>
      </c>
      <c r="C1190">
        <f>IF(VIPcric_1!C1172="","",VIPcric_1!C1172)</f>
        <v>69512</v>
      </c>
      <c r="D1190">
        <f>IF(VIPcric_1!D1172="","",VIPcric_1!D1172)</f>
        <v>19</v>
      </c>
      <c r="E1190">
        <f>IF(VIPcric_1!E1172="","",VIPcric_1!E1172)</f>
        <v>11.6</v>
      </c>
      <c r="F1190" t="str">
        <f>IF(VIPcric_1!F1172="","",VIPcric_1!F1172)</f>
        <v/>
      </c>
      <c r="G1190" t="str">
        <f>IF(VIPcric_1!G1172="","",VIPcric_1!G1172)</f>
        <v/>
      </c>
      <c r="H1190" t="str">
        <f>IF(VIPcric_1!H1172="","",VIPcric_1!H1172)</f>
        <v/>
      </c>
      <c r="I1190" t="str">
        <f>IF(VIPcric_1!M1172="","",VIPcric_1!M1172)</f>
        <v>CRIC-徐州-市场监测.商品房市场.项目累计.库存.xlsx</v>
      </c>
    </row>
    <row r="1191" spans="1:9">
      <c r="A1191" t="str">
        <f>IF(VIPcric_1!A1173="","",VIPcric_1!A1173)</f>
        <v>2021年</v>
      </c>
      <c r="B1191">
        <f>IF(VIPcric_1!B1173="","",VIPcric_1!B1173)</f>
        <v>8935748</v>
      </c>
      <c r="C1191">
        <f>IF(VIPcric_1!C1173="","",VIPcric_1!C1173)</f>
        <v>72721</v>
      </c>
      <c r="D1191">
        <f>IF(VIPcric_1!D1173="","",VIPcric_1!D1173)</f>
        <v>8.6999999999999993</v>
      </c>
      <c r="E1191">
        <f>IF(VIPcric_1!E1173="","",VIPcric_1!E1173)</f>
        <v>8</v>
      </c>
      <c r="F1191" t="str">
        <f>IF(VIPcric_1!F1173="","",VIPcric_1!F1173)</f>
        <v/>
      </c>
      <c r="G1191" t="str">
        <f>IF(VIPcric_1!G1173="","",VIPcric_1!G1173)</f>
        <v/>
      </c>
      <c r="H1191" t="str">
        <f>IF(VIPcric_1!H1173="","",VIPcric_1!H1173)</f>
        <v/>
      </c>
      <c r="I1191" t="str">
        <f>IF(VIPcric_1!M1173="","",VIPcric_1!M1173)</f>
        <v>CRIC-徐州-市场监测.商品房市场.项目累计.库存.xlsx</v>
      </c>
    </row>
    <row r="1192" spans="1:9">
      <c r="A1192" t="str">
        <f>IF(VIPcric_1!A1174="","",VIPcric_1!A1174)</f>
        <v>2020年</v>
      </c>
      <c r="B1192">
        <f>IF(VIPcric_1!B1174="","",VIPcric_1!B1174)</f>
        <v>8370294</v>
      </c>
      <c r="C1192">
        <f>IF(VIPcric_1!C1174="","",VIPcric_1!C1174)</f>
        <v>68277</v>
      </c>
      <c r="D1192">
        <f>IF(VIPcric_1!D1174="","",VIPcric_1!D1174)</f>
        <v>7</v>
      </c>
      <c r="E1192">
        <f>IF(VIPcric_1!E1174="","",VIPcric_1!E1174)</f>
        <v>7.5</v>
      </c>
      <c r="F1192" t="str">
        <f>IF(VIPcric_1!F1174="","",VIPcric_1!F1174)</f>
        <v/>
      </c>
      <c r="G1192" t="str">
        <f>IF(VIPcric_1!G1174="","",VIPcric_1!G1174)</f>
        <v/>
      </c>
      <c r="H1192" t="str">
        <f>IF(VIPcric_1!H1174="","",VIPcric_1!H1174)</f>
        <v/>
      </c>
      <c r="I1192" t="str">
        <f>IF(VIPcric_1!M1174="","",VIPcric_1!M1174)</f>
        <v>CRIC-徐州-市场监测.商品房市场.项目累计.库存.xlsx</v>
      </c>
    </row>
    <row r="1193" spans="1:9">
      <c r="A1193" t="str">
        <f>IF(VIPcric_1!A1175="","",VIPcric_1!A1175)</f>
        <v>2019年</v>
      </c>
      <c r="B1193">
        <f>IF(VIPcric_1!B1175="","",VIPcric_1!B1175)</f>
        <v>9125911</v>
      </c>
      <c r="C1193">
        <f>IF(VIPcric_1!C1175="","",VIPcric_1!C1175)</f>
        <v>76044</v>
      </c>
      <c r="D1193">
        <f>IF(VIPcric_1!D1175="","",VIPcric_1!D1175)</f>
        <v>9</v>
      </c>
      <c r="E1193">
        <f>IF(VIPcric_1!E1175="","",VIPcric_1!E1175)</f>
        <v>9.1</v>
      </c>
      <c r="F1193" t="str">
        <f>IF(VIPcric_1!F1175="","",VIPcric_1!F1175)</f>
        <v/>
      </c>
      <c r="G1193" t="str">
        <f>IF(VIPcric_1!G1175="","",VIPcric_1!G1175)</f>
        <v/>
      </c>
      <c r="H1193" t="str">
        <f>IF(VIPcric_1!H1175="","",VIPcric_1!H1175)</f>
        <v/>
      </c>
      <c r="I1193" t="str">
        <f>IF(VIPcric_1!M1175="","",VIPcric_1!M1175)</f>
        <v>CRIC-徐州-市场监测.商品房市场.项目累计.库存.xlsx</v>
      </c>
    </row>
    <row r="1194" spans="1:9">
      <c r="A1194" t="str">
        <f>IF(VIPcric_1!A1176="","",VIPcric_1!A1176)</f>
        <v/>
      </c>
      <c r="B1194" t="str">
        <f>IF(VIPcric_1!B1176="","",VIPcric_1!B1176)</f>
        <v/>
      </c>
      <c r="C1194" t="str">
        <f>IF(VIPcric_1!C1176="","",VIPcric_1!C1176)</f>
        <v/>
      </c>
      <c r="D1194" t="str">
        <f>IF(VIPcric_1!D1176="","",VIPcric_1!D1176)</f>
        <v/>
      </c>
      <c r="E1194" t="str">
        <f>IF(VIPcric_1!E1176="","",VIPcric_1!E1176)</f>
        <v/>
      </c>
      <c r="F1194" t="str">
        <f>IF(VIPcric_1!F1176="","",VIPcric_1!F1176)</f>
        <v/>
      </c>
      <c r="G1194" t="str">
        <f>IF(VIPcric_1!G1176="","",VIPcric_1!G1176)</f>
        <v/>
      </c>
      <c r="H1194" t="str">
        <f>IF(VIPcric_1!H1176="","",VIPcric_1!H1176)</f>
        <v/>
      </c>
      <c r="I1194" t="str">
        <f>IF(VIPcric_1!M1176="","",VIPcric_1!M1176)</f>
        <v/>
      </c>
    </row>
    <row r="1195" spans="1:9">
      <c r="A1195" t="str">
        <f>IF(VIPcric_1!A1177="","",VIPcric_1!A1177)</f>
        <v/>
      </c>
      <c r="B1195" t="str">
        <f>IF(VIPcric_1!B1177="","",VIPcric_1!B1177)</f>
        <v/>
      </c>
      <c r="C1195" t="str">
        <f>IF(VIPcric_1!C1177="","",VIPcric_1!C1177)</f>
        <v/>
      </c>
      <c r="D1195" t="str">
        <f>IF(VIPcric_1!D1177="","",VIPcric_1!D1177)</f>
        <v/>
      </c>
      <c r="E1195" t="str">
        <f>IF(VIPcric_1!E1177="","",VIPcric_1!E1177)</f>
        <v/>
      </c>
      <c r="F1195" t="str">
        <f>IF(VIPcric_1!F1177="","",VIPcric_1!F1177)</f>
        <v/>
      </c>
      <c r="G1195" t="str">
        <f>IF(VIPcric_1!G1177="","",VIPcric_1!G1177)</f>
        <v/>
      </c>
      <c r="H1195" t="str">
        <f>IF(VIPcric_1!H1177="","",VIPcric_1!H1177)</f>
        <v/>
      </c>
      <c r="I1195" t="str">
        <f>IF(VIPcric_1!M1177="","",VIPcric_1!M1177)</f>
        <v>CRIC-德清-市场监测.商品房市场.项目累计.供求.xlsx</v>
      </c>
    </row>
    <row r="1196" spans="1:9">
      <c r="A1196" t="str">
        <f>IF(VIPcric_1!A1178="","",VIPcric_1!A1178)</f>
        <v>时间(年)</v>
      </c>
      <c r="B1196" t="str">
        <f>IF(VIPcric_1!B1178="","",VIPcric_1!B1178)</f>
        <v>供应面积(㎡)</v>
      </c>
      <c r="C1196" t="str">
        <f>IF(VIPcric_1!C1178="","",VIPcric_1!C1178)</f>
        <v>供应套数(套)</v>
      </c>
      <c r="D1196" t="str">
        <f>IF(VIPcric_1!D1178="","",VIPcric_1!D1178)</f>
        <v>成交面积(㎡)</v>
      </c>
      <c r="E1196" t="str">
        <f>IF(VIPcric_1!E1178="","",VIPcric_1!E1178)</f>
        <v>成交套数(套)</v>
      </c>
      <c r="F1196" t="str">
        <f>IF(VIPcric_1!F1178="","",VIPcric_1!F1178)</f>
        <v>成交均价(元/㎡)</v>
      </c>
      <c r="G1196" t="str">
        <f>IF(VIPcric_1!G1178="","",VIPcric_1!G1178)</f>
        <v>成交金额(元)</v>
      </c>
      <c r="H1196" t="str">
        <f>IF(VIPcric_1!H1178="","",VIPcric_1!H1178)</f>
        <v>供求比</v>
      </c>
      <c r="I1196" t="str">
        <f>IF(VIPcric_1!M1178="","",VIPcric_1!M1178)</f>
        <v>CRIC-德清-市场监测.商品房市场.项目累计.供求.xlsx</v>
      </c>
    </row>
    <row r="1197" spans="1:9">
      <c r="A1197" t="str">
        <f>IF(VIPcric_1!A1179="","",VIPcric_1!A1179)</f>
        <v>2024年</v>
      </c>
      <c r="B1197">
        <f>IF(VIPcric_1!B1179="","",VIPcric_1!B1179)</f>
        <v>6460</v>
      </c>
      <c r="C1197">
        <f>IF(VIPcric_1!C1179="","",VIPcric_1!C1179)</f>
        <v>60</v>
      </c>
      <c r="D1197">
        <f>IF(VIPcric_1!D1179="","",VIPcric_1!D1179)</f>
        <v>21654</v>
      </c>
      <c r="E1197">
        <f>IF(VIPcric_1!E1179="","",VIPcric_1!E1179)</f>
        <v>213</v>
      </c>
      <c r="F1197">
        <f>IF(VIPcric_1!F1179="","",VIPcric_1!F1179)</f>
        <v>16069</v>
      </c>
      <c r="G1197">
        <f>IF(VIPcric_1!G1179="","",VIPcric_1!G1179)</f>
        <v>347967350</v>
      </c>
      <c r="H1197">
        <f>IF(VIPcric_1!H1179="","",VIPcric_1!H1179)</f>
        <v>0.3</v>
      </c>
      <c r="I1197" t="str">
        <f>IF(VIPcric_1!M1179="","",VIPcric_1!M1179)</f>
        <v>CRIC-德清-市场监测.商品房市场.项目累计.供求.xlsx</v>
      </c>
    </row>
    <row r="1198" spans="1:9">
      <c r="A1198" t="str">
        <f>IF(VIPcric_1!A1180="","",VIPcric_1!A1180)</f>
        <v>2023年</v>
      </c>
      <c r="B1198">
        <f>IF(VIPcric_1!B1180="","",VIPcric_1!B1180)</f>
        <v>410317</v>
      </c>
      <c r="C1198">
        <f>IF(VIPcric_1!C1180="","",VIPcric_1!C1180)</f>
        <v>3708</v>
      </c>
      <c r="D1198">
        <f>IF(VIPcric_1!D1180="","",VIPcric_1!D1180)</f>
        <v>153739</v>
      </c>
      <c r="E1198">
        <f>IF(VIPcric_1!E1180="","",VIPcric_1!E1180)</f>
        <v>1368</v>
      </c>
      <c r="F1198">
        <f>IF(VIPcric_1!F1180="","",VIPcric_1!F1180)</f>
        <v>17132</v>
      </c>
      <c r="G1198">
        <f>IF(VIPcric_1!G1180="","",VIPcric_1!G1180)</f>
        <v>2633852885</v>
      </c>
      <c r="H1198">
        <f>IF(VIPcric_1!H1180="","",VIPcric_1!H1180)</f>
        <v>2.67</v>
      </c>
      <c r="I1198" t="str">
        <f>IF(VIPcric_1!M1180="","",VIPcric_1!M1180)</f>
        <v>CRIC-德清-市场监测.商品房市场.项目累计.供求.xlsx</v>
      </c>
    </row>
    <row r="1199" spans="1:9">
      <c r="A1199" t="str">
        <f>IF(VIPcric_1!A1181="","",VIPcric_1!A1181)</f>
        <v>2022年</v>
      </c>
      <c r="B1199">
        <f>IF(VIPcric_1!B1181="","",VIPcric_1!B1181)</f>
        <v>393923</v>
      </c>
      <c r="C1199">
        <f>IF(VIPcric_1!C1181="","",VIPcric_1!C1181)</f>
        <v>3571</v>
      </c>
      <c r="D1199">
        <f>IF(VIPcric_1!D1181="","",VIPcric_1!D1181)</f>
        <v>376426</v>
      </c>
      <c r="E1199">
        <f>IF(VIPcric_1!E1181="","",VIPcric_1!E1181)</f>
        <v>3425</v>
      </c>
      <c r="F1199">
        <f>IF(VIPcric_1!F1181="","",VIPcric_1!F1181)</f>
        <v>15149</v>
      </c>
      <c r="G1199">
        <f>IF(VIPcric_1!G1181="","",VIPcric_1!G1181)</f>
        <v>5702393911</v>
      </c>
      <c r="H1199">
        <f>IF(VIPcric_1!H1181="","",VIPcric_1!H1181)</f>
        <v>1.05</v>
      </c>
      <c r="I1199" t="str">
        <f>IF(VIPcric_1!M1181="","",VIPcric_1!M1181)</f>
        <v>CRIC-德清-市场监测.商品房市场.项目累计.供求.xlsx</v>
      </c>
    </row>
    <row r="1200" spans="1:9">
      <c r="A1200" t="str">
        <f>IF(VIPcric_1!A1182="","",VIPcric_1!A1182)</f>
        <v>2021年</v>
      </c>
      <c r="B1200">
        <f>IF(VIPcric_1!B1182="","",VIPcric_1!B1182)</f>
        <v>546220</v>
      </c>
      <c r="C1200">
        <f>IF(VIPcric_1!C1182="","",VIPcric_1!C1182)</f>
        <v>5115</v>
      </c>
      <c r="D1200">
        <f>IF(VIPcric_1!D1182="","",VIPcric_1!D1182)</f>
        <v>735399</v>
      </c>
      <c r="E1200">
        <f>IF(VIPcric_1!E1182="","",VIPcric_1!E1182)</f>
        <v>6444</v>
      </c>
      <c r="F1200">
        <f>IF(VIPcric_1!F1182="","",VIPcric_1!F1182)</f>
        <v>16001</v>
      </c>
      <c r="G1200">
        <f>IF(VIPcric_1!G1182="","",VIPcric_1!G1182)</f>
        <v>11767426380</v>
      </c>
      <c r="H1200">
        <f>IF(VIPcric_1!H1182="","",VIPcric_1!H1182)</f>
        <v>0.74</v>
      </c>
      <c r="I1200" t="str">
        <f>IF(VIPcric_1!M1182="","",VIPcric_1!M1182)</f>
        <v>CRIC-德清-市场监测.商品房市场.项目累计.供求.xlsx</v>
      </c>
    </row>
    <row r="1201" spans="1:9">
      <c r="A1201" t="str">
        <f>IF(VIPcric_1!A1183="","",VIPcric_1!A1183)</f>
        <v>2020年</v>
      </c>
      <c r="B1201">
        <f>IF(VIPcric_1!B1183="","",VIPcric_1!B1183)</f>
        <v>858136</v>
      </c>
      <c r="C1201">
        <f>IF(VIPcric_1!C1183="","",VIPcric_1!C1183)</f>
        <v>7766</v>
      </c>
      <c r="D1201">
        <f>IF(VIPcric_1!D1183="","",VIPcric_1!D1183)</f>
        <v>879206</v>
      </c>
      <c r="E1201">
        <f>IF(VIPcric_1!E1183="","",VIPcric_1!E1183)</f>
        <v>7844</v>
      </c>
      <c r="F1201">
        <f>IF(VIPcric_1!F1183="","",VIPcric_1!F1183)</f>
        <v>15623</v>
      </c>
      <c r="G1201">
        <f>IF(VIPcric_1!G1183="","",VIPcric_1!G1183)</f>
        <v>13735465703</v>
      </c>
      <c r="H1201">
        <f>IF(VIPcric_1!H1183="","",VIPcric_1!H1183)</f>
        <v>0.98</v>
      </c>
      <c r="I1201" t="str">
        <f>IF(VIPcric_1!M1183="","",VIPcric_1!M1183)</f>
        <v>CRIC-德清-市场监测.商品房市场.项目累计.供求.xlsx</v>
      </c>
    </row>
    <row r="1202" spans="1:9">
      <c r="A1202" t="str">
        <f>IF(VIPcric_1!A1184="","",VIPcric_1!A1184)</f>
        <v>2019年</v>
      </c>
      <c r="B1202">
        <f>IF(VIPcric_1!B1184="","",VIPcric_1!B1184)</f>
        <v>1088049</v>
      </c>
      <c r="C1202">
        <f>IF(VIPcric_1!C1184="","",VIPcric_1!C1184)</f>
        <v>9632</v>
      </c>
      <c r="D1202">
        <f>IF(VIPcric_1!D1184="","",VIPcric_1!D1184)</f>
        <v>901310</v>
      </c>
      <c r="E1202">
        <f>IF(VIPcric_1!E1184="","",VIPcric_1!E1184)</f>
        <v>8008</v>
      </c>
      <c r="F1202">
        <f>IF(VIPcric_1!F1184="","",VIPcric_1!F1184)</f>
        <v>15067</v>
      </c>
      <c r="G1202">
        <f>IF(VIPcric_1!G1184="","",VIPcric_1!G1184)</f>
        <v>13580120763</v>
      </c>
      <c r="H1202">
        <f>IF(VIPcric_1!H1184="","",VIPcric_1!H1184)</f>
        <v>1.21</v>
      </c>
      <c r="I1202" t="str">
        <f>IF(VIPcric_1!M1184="","",VIPcric_1!M1184)</f>
        <v>CRIC-德清-市场监测.商品房市场.项目累计.供求.xlsx</v>
      </c>
    </row>
    <row r="1203" spans="1:9">
      <c r="A1203" t="str">
        <f>IF(VIPcric_1!A1185="","",VIPcric_1!A1185)</f>
        <v>汇总</v>
      </c>
      <c r="B1203">
        <f>IF(VIPcric_1!B1185="","",VIPcric_1!B1185)</f>
        <v>3303104</v>
      </c>
      <c r="C1203">
        <f>IF(VIPcric_1!C1185="","",VIPcric_1!C1185)</f>
        <v>29852</v>
      </c>
      <c r="D1203">
        <f>IF(VIPcric_1!D1185="","",VIPcric_1!D1185)</f>
        <v>3067735</v>
      </c>
      <c r="E1203">
        <f>IF(VIPcric_1!E1185="","",VIPcric_1!E1185)</f>
        <v>27302</v>
      </c>
      <c r="F1203">
        <f>IF(VIPcric_1!F1185="","",VIPcric_1!F1185)</f>
        <v>15571</v>
      </c>
      <c r="G1203">
        <f>IF(VIPcric_1!G1185="","",VIPcric_1!G1185)</f>
        <v>47767226991</v>
      </c>
      <c r="H1203">
        <f>IF(VIPcric_1!H1185="","",VIPcric_1!H1185)</f>
        <v>1.08</v>
      </c>
      <c r="I1203" t="str">
        <f>IF(VIPcric_1!M1185="","",VIPcric_1!M1185)</f>
        <v>CRIC-德清-市场监测.商品房市场.项目累计.供求.xlsx</v>
      </c>
    </row>
    <row r="1204" spans="1:9">
      <c r="A1204" t="str">
        <f>IF(VIPcric_1!A1186="","",VIPcric_1!A1186)</f>
        <v/>
      </c>
      <c r="B1204" t="str">
        <f>IF(VIPcric_1!B1186="","",VIPcric_1!B1186)</f>
        <v/>
      </c>
      <c r="C1204" t="str">
        <f>IF(VIPcric_1!C1186="","",VIPcric_1!C1186)</f>
        <v/>
      </c>
      <c r="D1204" t="str">
        <f>IF(VIPcric_1!D1186="","",VIPcric_1!D1186)</f>
        <v/>
      </c>
      <c r="E1204" t="str">
        <f>IF(VIPcric_1!E1186="","",VIPcric_1!E1186)</f>
        <v/>
      </c>
      <c r="F1204" t="str">
        <f>IF(VIPcric_1!F1186="","",VIPcric_1!F1186)</f>
        <v/>
      </c>
      <c r="G1204" t="str">
        <f>IF(VIPcric_1!G1186="","",VIPcric_1!G1186)</f>
        <v/>
      </c>
      <c r="H1204" t="str">
        <f>IF(VIPcric_1!H1186="","",VIPcric_1!H1186)</f>
        <v/>
      </c>
      <c r="I1204" t="str">
        <f>IF(VIPcric_1!M1186="","",VIPcric_1!M1186)</f>
        <v/>
      </c>
    </row>
    <row r="1205" spans="1:9">
      <c r="A1205" t="str">
        <f>IF(VIPcric_1!A1187="","",VIPcric_1!A1187)</f>
        <v/>
      </c>
      <c r="B1205" t="str">
        <f>IF(VIPcric_1!B1187="","",VIPcric_1!B1187)</f>
        <v/>
      </c>
      <c r="C1205" t="str">
        <f>IF(VIPcric_1!C1187="","",VIPcric_1!C1187)</f>
        <v/>
      </c>
      <c r="D1205" t="str">
        <f>IF(VIPcric_1!D1187="","",VIPcric_1!D1187)</f>
        <v/>
      </c>
      <c r="E1205" t="str">
        <f>IF(VIPcric_1!E1187="","",VIPcric_1!E1187)</f>
        <v/>
      </c>
      <c r="F1205" t="str">
        <f>IF(VIPcric_1!F1187="","",VIPcric_1!F1187)</f>
        <v/>
      </c>
      <c r="G1205" t="str">
        <f>IF(VIPcric_1!G1187="","",VIPcric_1!G1187)</f>
        <v/>
      </c>
      <c r="H1205" t="str">
        <f>IF(VIPcric_1!H1187="","",VIPcric_1!H1187)</f>
        <v/>
      </c>
      <c r="I1205" t="str">
        <f>IF(VIPcric_1!M1187="","",VIPcric_1!M1187)</f>
        <v>CRIC-德清-市场监测.商品房市场.项目累计.库存.xlsx</v>
      </c>
    </row>
    <row r="1206" spans="1:9">
      <c r="A1206" t="str">
        <f>IF(VIPcric_1!A1188="","",VIPcric_1!A1188)</f>
        <v>时间(年)</v>
      </c>
      <c r="B1206" t="str">
        <f>IF(VIPcric_1!B1188="","",VIPcric_1!B1188)</f>
        <v>库存面积(㎡)</v>
      </c>
      <c r="C1206" t="str">
        <f>IF(VIPcric_1!C1188="","",VIPcric_1!C1188)</f>
        <v>库存套数(套)</v>
      </c>
      <c r="D1206" t="str">
        <f>IF(VIPcric_1!D1188="","",VIPcric_1!D1188)</f>
        <v>去化周期12'(月)</v>
      </c>
      <c r="E1206" t="str">
        <f>IF(VIPcric_1!E1188="","",VIPcric_1!E1188)</f>
        <v>去化周期24'(月)</v>
      </c>
      <c r="F1206" t="str">
        <f>IF(VIPcric_1!F1188="","",VIPcric_1!F1188)</f>
        <v/>
      </c>
      <c r="G1206" t="str">
        <f>IF(VIPcric_1!G1188="","",VIPcric_1!G1188)</f>
        <v/>
      </c>
      <c r="H1206" t="str">
        <f>IF(VIPcric_1!H1188="","",VIPcric_1!H1188)</f>
        <v/>
      </c>
      <c r="I1206" t="str">
        <f>IF(VIPcric_1!M1188="","",VIPcric_1!M1188)</f>
        <v>CRIC-德清-市场监测.商品房市场.项目累计.库存.xlsx</v>
      </c>
    </row>
    <row r="1207" spans="1:9">
      <c r="A1207" t="str">
        <f>IF(VIPcric_1!A1189="","",VIPcric_1!A1189)</f>
        <v>2024年</v>
      </c>
      <c r="B1207">
        <f>IF(VIPcric_1!B1189="","",VIPcric_1!B1189)</f>
        <v>560725</v>
      </c>
      <c r="C1207">
        <f>IF(VIPcric_1!C1189="","",VIPcric_1!C1189)</f>
        <v>5123</v>
      </c>
      <c r="D1207">
        <f>IF(VIPcric_1!D1189="","",VIPcric_1!D1189)</f>
        <v>42.7</v>
      </c>
      <c r="E1207">
        <f>IF(VIPcric_1!E1189="","",VIPcric_1!E1189)</f>
        <v>25.7</v>
      </c>
      <c r="F1207" t="str">
        <f>IF(VIPcric_1!F1189="","",VIPcric_1!F1189)</f>
        <v/>
      </c>
      <c r="G1207" t="str">
        <f>IF(VIPcric_1!G1189="","",VIPcric_1!G1189)</f>
        <v/>
      </c>
      <c r="H1207" t="str">
        <f>IF(VIPcric_1!H1189="","",VIPcric_1!H1189)</f>
        <v/>
      </c>
      <c r="I1207" t="str">
        <f>IF(VIPcric_1!M1189="","",VIPcric_1!M1189)</f>
        <v>CRIC-德清-市场监测.商品房市场.项目累计.库存.xlsx</v>
      </c>
    </row>
    <row r="1208" spans="1:9">
      <c r="A1208" t="str">
        <f>IF(VIPcric_1!A1190="","",VIPcric_1!A1190)</f>
        <v>2023年</v>
      </c>
      <c r="B1208">
        <f>IF(VIPcric_1!B1190="","",VIPcric_1!B1190)</f>
        <v>564221</v>
      </c>
      <c r="C1208">
        <f>IF(VIPcric_1!C1190="","",VIPcric_1!C1190)</f>
        <v>5161</v>
      </c>
      <c r="D1208">
        <f>IF(VIPcric_1!D1190="","",VIPcric_1!D1190)</f>
        <v>44</v>
      </c>
      <c r="E1208">
        <f>IF(VIPcric_1!E1190="","",VIPcric_1!E1190)</f>
        <v>25.5</v>
      </c>
      <c r="F1208" t="str">
        <f>IF(VIPcric_1!F1190="","",VIPcric_1!F1190)</f>
        <v/>
      </c>
      <c r="G1208" t="str">
        <f>IF(VIPcric_1!G1190="","",VIPcric_1!G1190)</f>
        <v/>
      </c>
      <c r="H1208" t="str">
        <f>IF(VIPcric_1!H1190="","",VIPcric_1!H1190)</f>
        <v/>
      </c>
      <c r="I1208" t="str">
        <f>IF(VIPcric_1!M1190="","",VIPcric_1!M1190)</f>
        <v>CRIC-德清-市场监测.商品房市场.项目累计.库存.xlsx</v>
      </c>
    </row>
    <row r="1209" spans="1:9">
      <c r="A1209" t="str">
        <f>IF(VIPcric_1!A1191="","",VIPcric_1!A1191)</f>
        <v>2022年</v>
      </c>
      <c r="B1209">
        <f>IF(VIPcric_1!B1191="","",VIPcric_1!B1191)</f>
        <v>275052</v>
      </c>
      <c r="C1209">
        <f>IF(VIPcric_1!C1191="","",VIPcric_1!C1191)</f>
        <v>2500</v>
      </c>
      <c r="D1209">
        <f>IF(VIPcric_1!D1191="","",VIPcric_1!D1191)</f>
        <v>8.8000000000000007</v>
      </c>
      <c r="E1209">
        <f>IF(VIPcric_1!E1191="","",VIPcric_1!E1191)</f>
        <v>5.9</v>
      </c>
      <c r="F1209" t="str">
        <f>IF(VIPcric_1!F1191="","",VIPcric_1!F1191)</f>
        <v/>
      </c>
      <c r="G1209" t="str">
        <f>IF(VIPcric_1!G1191="","",VIPcric_1!G1191)</f>
        <v/>
      </c>
      <c r="H1209" t="str">
        <f>IF(VIPcric_1!H1191="","",VIPcric_1!H1191)</f>
        <v/>
      </c>
      <c r="I1209" t="str">
        <f>IF(VIPcric_1!M1191="","",VIPcric_1!M1191)</f>
        <v>CRIC-德清-市场监测.商品房市场.项目累计.库存.xlsx</v>
      </c>
    </row>
    <row r="1210" spans="1:9">
      <c r="A1210" t="str">
        <f>IF(VIPcric_1!A1192="","",VIPcric_1!A1192)</f>
        <v>2021年</v>
      </c>
      <c r="B1210">
        <f>IF(VIPcric_1!B1192="","",VIPcric_1!B1192)</f>
        <v>334257</v>
      </c>
      <c r="C1210">
        <f>IF(VIPcric_1!C1192="","",VIPcric_1!C1192)</f>
        <v>3128</v>
      </c>
      <c r="D1210">
        <f>IF(VIPcric_1!D1192="","",VIPcric_1!D1192)</f>
        <v>5.5</v>
      </c>
      <c r="E1210">
        <f>IF(VIPcric_1!E1192="","",VIPcric_1!E1192)</f>
        <v>5</v>
      </c>
      <c r="F1210" t="str">
        <f>IF(VIPcric_1!F1192="","",VIPcric_1!F1192)</f>
        <v/>
      </c>
      <c r="G1210" t="str">
        <f>IF(VIPcric_1!G1192="","",VIPcric_1!G1192)</f>
        <v/>
      </c>
      <c r="H1210" t="str">
        <f>IF(VIPcric_1!H1192="","",VIPcric_1!H1192)</f>
        <v/>
      </c>
      <c r="I1210" t="str">
        <f>IF(VIPcric_1!M1192="","",VIPcric_1!M1192)</f>
        <v>CRIC-德清-市场监测.商品房市场.项目累计.库存.xlsx</v>
      </c>
    </row>
    <row r="1211" spans="1:9">
      <c r="A1211" t="str">
        <f>IF(VIPcric_1!A1193="","",VIPcric_1!A1193)</f>
        <v>2020年</v>
      </c>
      <c r="B1211">
        <f>IF(VIPcric_1!B1193="","",VIPcric_1!B1193)</f>
        <v>597298</v>
      </c>
      <c r="C1211">
        <f>IF(VIPcric_1!C1193="","",VIPcric_1!C1193)</f>
        <v>4973</v>
      </c>
      <c r="D1211">
        <f>IF(VIPcric_1!D1193="","",VIPcric_1!D1193)</f>
        <v>8.1999999999999993</v>
      </c>
      <c r="E1211">
        <f>IF(VIPcric_1!E1193="","",VIPcric_1!E1193)</f>
        <v>8.1</v>
      </c>
      <c r="F1211" t="str">
        <f>IF(VIPcric_1!F1193="","",VIPcric_1!F1193)</f>
        <v/>
      </c>
      <c r="G1211" t="str">
        <f>IF(VIPcric_1!G1193="","",VIPcric_1!G1193)</f>
        <v/>
      </c>
      <c r="H1211" t="str">
        <f>IF(VIPcric_1!H1193="","",VIPcric_1!H1193)</f>
        <v/>
      </c>
      <c r="I1211" t="str">
        <f>IF(VIPcric_1!M1193="","",VIPcric_1!M1193)</f>
        <v>CRIC-德清-市场监测.商品房市场.项目累计.库存.xlsx</v>
      </c>
    </row>
    <row r="1212" spans="1:9">
      <c r="A1212" t="str">
        <f>IF(VIPcric_1!A1194="","",VIPcric_1!A1194)</f>
        <v>2019年</v>
      </c>
      <c r="B1212">
        <f>IF(VIPcric_1!B1194="","",VIPcric_1!B1194)</f>
        <v>759852</v>
      </c>
      <c r="C1212">
        <f>IF(VIPcric_1!C1194="","",VIPcric_1!C1194)</f>
        <v>6346</v>
      </c>
      <c r="D1212">
        <f>IF(VIPcric_1!D1194="","",VIPcric_1!D1194)</f>
        <v>10.1</v>
      </c>
      <c r="E1212">
        <f>IF(VIPcric_1!E1194="","",VIPcric_1!E1194)</f>
        <v>13.6</v>
      </c>
      <c r="F1212" t="str">
        <f>IF(VIPcric_1!F1194="","",VIPcric_1!F1194)</f>
        <v/>
      </c>
      <c r="G1212" t="str">
        <f>IF(VIPcric_1!G1194="","",VIPcric_1!G1194)</f>
        <v/>
      </c>
      <c r="H1212" t="str">
        <f>IF(VIPcric_1!H1194="","",VIPcric_1!H1194)</f>
        <v/>
      </c>
      <c r="I1212" t="str">
        <f>IF(VIPcric_1!M1194="","",VIPcric_1!M1194)</f>
        <v>CRIC-德清-市场监测.商品房市场.项目累计.库存.xlsx</v>
      </c>
    </row>
    <row r="1213" spans="1:9">
      <c r="A1213" t="str">
        <f>IF(VIPcric_1!A1195="","",VIPcric_1!A1195)</f>
        <v/>
      </c>
      <c r="B1213" t="str">
        <f>IF(VIPcric_1!B1195="","",VIPcric_1!B1195)</f>
        <v/>
      </c>
      <c r="C1213" t="str">
        <f>IF(VIPcric_1!C1195="","",VIPcric_1!C1195)</f>
        <v/>
      </c>
      <c r="D1213" t="str">
        <f>IF(VIPcric_1!D1195="","",VIPcric_1!D1195)</f>
        <v/>
      </c>
      <c r="E1213" t="str">
        <f>IF(VIPcric_1!E1195="","",VIPcric_1!E1195)</f>
        <v/>
      </c>
      <c r="F1213" t="str">
        <f>IF(VIPcric_1!F1195="","",VIPcric_1!F1195)</f>
        <v/>
      </c>
      <c r="G1213" t="str">
        <f>IF(VIPcric_1!G1195="","",VIPcric_1!G1195)</f>
        <v/>
      </c>
      <c r="H1213" t="str">
        <f>IF(VIPcric_1!H1195="","",VIPcric_1!H1195)</f>
        <v/>
      </c>
      <c r="I1213" t="str">
        <f>IF(VIPcric_1!M1195="","",VIPcric_1!M1195)</f>
        <v/>
      </c>
    </row>
    <row r="1214" spans="1:9">
      <c r="A1214" t="str">
        <f>IF(VIPcric_1!A1196="","",VIPcric_1!A1196)</f>
        <v/>
      </c>
      <c r="B1214" t="str">
        <f>IF(VIPcric_1!B1196="","",VIPcric_1!B1196)</f>
        <v/>
      </c>
      <c r="C1214" t="str">
        <f>IF(VIPcric_1!C1196="","",VIPcric_1!C1196)</f>
        <v/>
      </c>
      <c r="D1214" t="str">
        <f>IF(VIPcric_1!D1196="","",VIPcric_1!D1196)</f>
        <v/>
      </c>
      <c r="E1214" t="str">
        <f>IF(VIPcric_1!E1196="","",VIPcric_1!E1196)</f>
        <v/>
      </c>
      <c r="F1214" t="str">
        <f>IF(VIPcric_1!F1196="","",VIPcric_1!F1196)</f>
        <v/>
      </c>
      <c r="G1214" t="str">
        <f>IF(VIPcric_1!G1196="","",VIPcric_1!G1196)</f>
        <v/>
      </c>
      <c r="H1214" t="str">
        <f>IF(VIPcric_1!H1196="","",VIPcric_1!H1196)</f>
        <v/>
      </c>
      <c r="I1214" t="str">
        <f>IF(VIPcric_1!M1196="","",VIPcric_1!M1196)</f>
        <v>CRIC-德阳-市场监测.商品房市场.项目累计.供求.xlsx</v>
      </c>
    </row>
    <row r="1215" spans="1:9">
      <c r="A1215" t="str">
        <f>IF(VIPcric_1!A1197="","",VIPcric_1!A1197)</f>
        <v>时间(年)</v>
      </c>
      <c r="B1215" t="str">
        <f>IF(VIPcric_1!B1197="","",VIPcric_1!B1197)</f>
        <v>供应面积(㎡)</v>
      </c>
      <c r="C1215" t="str">
        <f>IF(VIPcric_1!C1197="","",VIPcric_1!C1197)</f>
        <v>供应套数(套)</v>
      </c>
      <c r="D1215" t="str">
        <f>IF(VIPcric_1!D1197="","",VIPcric_1!D1197)</f>
        <v>成交面积(㎡)</v>
      </c>
      <c r="E1215" t="str">
        <f>IF(VIPcric_1!E1197="","",VIPcric_1!E1197)</f>
        <v>成交套数(套)</v>
      </c>
      <c r="F1215" t="str">
        <f>IF(VIPcric_1!F1197="","",VIPcric_1!F1197)</f>
        <v>成交均价(元/㎡)</v>
      </c>
      <c r="G1215" t="str">
        <f>IF(VIPcric_1!G1197="","",VIPcric_1!G1197)</f>
        <v>成交金额(元)</v>
      </c>
      <c r="H1215" t="str">
        <f>IF(VIPcric_1!H1197="","",VIPcric_1!H1197)</f>
        <v>供求比</v>
      </c>
      <c r="I1215" t="str">
        <f>IF(VIPcric_1!M1197="","",VIPcric_1!M1197)</f>
        <v>CRIC-德阳-市场监测.商品房市场.项目累计.供求.xlsx</v>
      </c>
    </row>
    <row r="1216" spans="1:9">
      <c r="A1216" t="str">
        <f>IF(VIPcric_1!A1198="","",VIPcric_1!A1198)</f>
        <v>2023年</v>
      </c>
      <c r="B1216">
        <f>IF(VIPcric_1!B1198="","",VIPcric_1!B1198)</f>
        <v>444557</v>
      </c>
      <c r="C1216">
        <f>IF(VIPcric_1!C1198="","",VIPcric_1!C1198)</f>
        <v>3848</v>
      </c>
      <c r="D1216">
        <f>IF(VIPcric_1!D1198="","",VIPcric_1!D1198)</f>
        <v>595358</v>
      </c>
      <c r="E1216">
        <f>IF(VIPcric_1!E1198="","",VIPcric_1!E1198)</f>
        <v>5414</v>
      </c>
      <c r="F1216">
        <f>IF(VIPcric_1!F1198="","",VIPcric_1!F1198)</f>
        <v>9300</v>
      </c>
      <c r="G1216">
        <f>IF(VIPcric_1!G1198="","",VIPcric_1!G1198)</f>
        <v>5536717703</v>
      </c>
      <c r="H1216">
        <f>IF(VIPcric_1!H1198="","",VIPcric_1!H1198)</f>
        <v>0.75</v>
      </c>
      <c r="I1216" t="str">
        <f>IF(VIPcric_1!M1198="","",VIPcric_1!M1198)</f>
        <v>CRIC-德阳-市场监测.商品房市场.项目累计.供求.xlsx</v>
      </c>
    </row>
    <row r="1217" spans="1:9">
      <c r="A1217" t="str">
        <f>IF(VIPcric_1!A1199="","",VIPcric_1!A1199)</f>
        <v>2022年</v>
      </c>
      <c r="B1217">
        <f>IF(VIPcric_1!B1199="","",VIPcric_1!B1199)</f>
        <v>938389</v>
      </c>
      <c r="C1217">
        <f>IF(VIPcric_1!C1199="","",VIPcric_1!C1199)</f>
        <v>9795</v>
      </c>
      <c r="D1217">
        <f>IF(VIPcric_1!D1199="","",VIPcric_1!D1199)</f>
        <v>727931</v>
      </c>
      <c r="E1217">
        <f>IF(VIPcric_1!E1199="","",VIPcric_1!E1199)</f>
        <v>6436</v>
      </c>
      <c r="F1217">
        <f>IF(VIPcric_1!F1199="","",VIPcric_1!F1199)</f>
        <v>9741</v>
      </c>
      <c r="G1217">
        <f>IF(VIPcric_1!G1199="","",VIPcric_1!G1199)</f>
        <v>7090528885</v>
      </c>
      <c r="H1217">
        <f>IF(VIPcric_1!H1199="","",VIPcric_1!H1199)</f>
        <v>1.29</v>
      </c>
      <c r="I1217" t="str">
        <f>IF(VIPcric_1!M1199="","",VIPcric_1!M1199)</f>
        <v>CRIC-德阳-市场监测.商品房市场.项目累计.供求.xlsx</v>
      </c>
    </row>
    <row r="1218" spans="1:9">
      <c r="A1218" t="str">
        <f>IF(VIPcric_1!A1200="","",VIPcric_1!A1200)</f>
        <v>2021年</v>
      </c>
      <c r="B1218">
        <f>IF(VIPcric_1!B1200="","",VIPcric_1!B1200)</f>
        <v>1031472</v>
      </c>
      <c r="C1218">
        <f>IF(VIPcric_1!C1200="","",VIPcric_1!C1200)</f>
        <v>9203</v>
      </c>
      <c r="D1218">
        <f>IF(VIPcric_1!D1200="","",VIPcric_1!D1200)</f>
        <v>1026762</v>
      </c>
      <c r="E1218">
        <f>IF(VIPcric_1!E1200="","",VIPcric_1!E1200)</f>
        <v>8746</v>
      </c>
      <c r="F1218">
        <f>IF(VIPcric_1!F1200="","",VIPcric_1!F1200)</f>
        <v>10298</v>
      </c>
      <c r="G1218">
        <f>IF(VIPcric_1!G1200="","",VIPcric_1!G1200)</f>
        <v>10574050005</v>
      </c>
      <c r="H1218">
        <f>IF(VIPcric_1!H1200="","",VIPcric_1!H1200)</f>
        <v>1</v>
      </c>
      <c r="I1218" t="str">
        <f>IF(VIPcric_1!M1200="","",VIPcric_1!M1200)</f>
        <v>CRIC-德阳-市场监测.商品房市场.项目累计.供求.xlsx</v>
      </c>
    </row>
    <row r="1219" spans="1:9">
      <c r="A1219" t="str">
        <f>IF(VIPcric_1!A1201="","",VIPcric_1!A1201)</f>
        <v>2020年</v>
      </c>
      <c r="B1219">
        <f>IF(VIPcric_1!B1201="","",VIPcric_1!B1201)</f>
        <v>1374578</v>
      </c>
      <c r="C1219">
        <f>IF(VIPcric_1!C1201="","",VIPcric_1!C1201)</f>
        <v>11162</v>
      </c>
      <c r="D1219">
        <f>IF(VIPcric_1!D1201="","",VIPcric_1!D1201)</f>
        <v>1875264</v>
      </c>
      <c r="E1219">
        <f>IF(VIPcric_1!E1201="","",VIPcric_1!E1201)</f>
        <v>16690</v>
      </c>
      <c r="F1219">
        <f>IF(VIPcric_1!F1201="","",VIPcric_1!F1201)</f>
        <v>7314</v>
      </c>
      <c r="G1219">
        <f>IF(VIPcric_1!G1201="","",VIPcric_1!G1201)</f>
        <v>13715426203</v>
      </c>
      <c r="H1219">
        <f>IF(VIPcric_1!H1201="","",VIPcric_1!H1201)</f>
        <v>0.73</v>
      </c>
      <c r="I1219" t="str">
        <f>IF(VIPcric_1!M1201="","",VIPcric_1!M1201)</f>
        <v>CRIC-德阳-市场监测.商品房市场.项目累计.供求.xlsx</v>
      </c>
    </row>
    <row r="1220" spans="1:9">
      <c r="A1220" t="str">
        <f>IF(VIPcric_1!A1202="","",VIPcric_1!A1202)</f>
        <v>2019年</v>
      </c>
      <c r="B1220">
        <f>IF(VIPcric_1!B1202="","",VIPcric_1!B1202)</f>
        <v>1535123</v>
      </c>
      <c r="C1220">
        <f>IF(VIPcric_1!C1202="","",VIPcric_1!C1202)</f>
        <v>12932</v>
      </c>
      <c r="D1220">
        <f>IF(VIPcric_1!D1202="","",VIPcric_1!D1202)</f>
        <v>2122479</v>
      </c>
      <c r="E1220">
        <f>IF(VIPcric_1!E1202="","",VIPcric_1!E1202)</f>
        <v>19996</v>
      </c>
      <c r="F1220">
        <f>IF(VIPcric_1!F1202="","",VIPcric_1!F1202)</f>
        <v>6466</v>
      </c>
      <c r="G1220">
        <f>IF(VIPcric_1!G1202="","",VIPcric_1!G1202)</f>
        <v>13723283479</v>
      </c>
      <c r="H1220">
        <f>IF(VIPcric_1!H1202="","",VIPcric_1!H1202)</f>
        <v>0.72</v>
      </c>
      <c r="I1220" t="str">
        <f>IF(VIPcric_1!M1202="","",VIPcric_1!M1202)</f>
        <v>CRIC-德阳-市场监测.商品房市场.项目累计.供求.xlsx</v>
      </c>
    </row>
    <row r="1221" spans="1:9">
      <c r="A1221" t="str">
        <f>IF(VIPcric_1!A1203="","",VIPcric_1!A1203)</f>
        <v>汇总</v>
      </c>
      <c r="B1221">
        <f>IF(VIPcric_1!B1203="","",VIPcric_1!B1203)</f>
        <v>5324119</v>
      </c>
      <c r="C1221">
        <f>IF(VIPcric_1!C1203="","",VIPcric_1!C1203)</f>
        <v>46940</v>
      </c>
      <c r="D1221">
        <f>IF(VIPcric_1!D1203="","",VIPcric_1!D1203)</f>
        <v>6347793</v>
      </c>
      <c r="E1221">
        <f>IF(VIPcric_1!E1203="","",VIPcric_1!E1203)</f>
        <v>57282</v>
      </c>
      <c r="F1221">
        <f>IF(VIPcric_1!F1203="","",VIPcric_1!F1203)</f>
        <v>7978</v>
      </c>
      <c r="G1221">
        <f>IF(VIPcric_1!G1203="","",VIPcric_1!G1203)</f>
        <v>50640006275</v>
      </c>
      <c r="H1221">
        <f>IF(VIPcric_1!H1203="","",VIPcric_1!H1203)</f>
        <v>0.84</v>
      </c>
      <c r="I1221" t="str">
        <f>IF(VIPcric_1!M1203="","",VIPcric_1!M1203)</f>
        <v>CRIC-德阳-市场监测.商品房市场.项目累计.供求.xlsx</v>
      </c>
    </row>
    <row r="1222" spans="1:9">
      <c r="A1222" t="str">
        <f>IF(VIPcric_1!A1204="","",VIPcric_1!A1204)</f>
        <v/>
      </c>
      <c r="B1222" t="str">
        <f>IF(VIPcric_1!B1204="","",VIPcric_1!B1204)</f>
        <v/>
      </c>
      <c r="C1222" t="str">
        <f>IF(VIPcric_1!C1204="","",VIPcric_1!C1204)</f>
        <v/>
      </c>
      <c r="D1222" t="str">
        <f>IF(VIPcric_1!D1204="","",VIPcric_1!D1204)</f>
        <v/>
      </c>
      <c r="E1222" t="str">
        <f>IF(VIPcric_1!E1204="","",VIPcric_1!E1204)</f>
        <v/>
      </c>
      <c r="F1222" t="str">
        <f>IF(VIPcric_1!F1204="","",VIPcric_1!F1204)</f>
        <v/>
      </c>
      <c r="G1222" t="str">
        <f>IF(VIPcric_1!G1204="","",VIPcric_1!G1204)</f>
        <v/>
      </c>
      <c r="H1222" t="str">
        <f>IF(VIPcric_1!H1204="","",VIPcric_1!H1204)</f>
        <v/>
      </c>
      <c r="I1222" t="str">
        <f>IF(VIPcric_1!M1204="","",VIPcric_1!M1204)</f>
        <v/>
      </c>
    </row>
    <row r="1223" spans="1:9">
      <c r="A1223" t="str">
        <f>IF(VIPcric_1!A1205="","",VIPcric_1!A1205)</f>
        <v/>
      </c>
      <c r="B1223" t="str">
        <f>IF(VIPcric_1!B1205="","",VIPcric_1!B1205)</f>
        <v/>
      </c>
      <c r="C1223" t="str">
        <f>IF(VIPcric_1!C1205="","",VIPcric_1!C1205)</f>
        <v/>
      </c>
      <c r="D1223" t="str">
        <f>IF(VIPcric_1!D1205="","",VIPcric_1!D1205)</f>
        <v/>
      </c>
      <c r="E1223" t="str">
        <f>IF(VIPcric_1!E1205="","",VIPcric_1!E1205)</f>
        <v/>
      </c>
      <c r="F1223" t="str">
        <f>IF(VIPcric_1!F1205="","",VIPcric_1!F1205)</f>
        <v/>
      </c>
      <c r="G1223" t="str">
        <f>IF(VIPcric_1!G1205="","",VIPcric_1!G1205)</f>
        <v/>
      </c>
      <c r="H1223" t="str">
        <f>IF(VIPcric_1!H1205="","",VIPcric_1!H1205)</f>
        <v/>
      </c>
      <c r="I1223" t="str">
        <f>IF(VIPcric_1!M1205="","",VIPcric_1!M1205)</f>
        <v>CRIC-德阳-市场监测.商品房市场.项目累计.库存.xlsx</v>
      </c>
    </row>
    <row r="1224" spans="1:9">
      <c r="A1224" t="str">
        <f>IF(VIPcric_1!A1206="","",VIPcric_1!A1206)</f>
        <v>时间(年)</v>
      </c>
      <c r="B1224" t="str">
        <f>IF(VIPcric_1!B1206="","",VIPcric_1!B1206)</f>
        <v>库存面积(㎡)</v>
      </c>
      <c r="C1224" t="str">
        <f>IF(VIPcric_1!C1206="","",VIPcric_1!C1206)</f>
        <v>库存套数(套)</v>
      </c>
      <c r="D1224" t="str">
        <f>IF(VIPcric_1!D1206="","",VIPcric_1!D1206)</f>
        <v>去化周期12'(月)</v>
      </c>
      <c r="E1224" t="str">
        <f>IF(VIPcric_1!E1206="","",VIPcric_1!E1206)</f>
        <v/>
      </c>
      <c r="F1224" t="str">
        <f>IF(VIPcric_1!F1206="","",VIPcric_1!F1206)</f>
        <v/>
      </c>
      <c r="G1224" t="str">
        <f>IF(VIPcric_1!G1206="","",VIPcric_1!G1206)</f>
        <v/>
      </c>
      <c r="H1224" t="str">
        <f>IF(VIPcric_1!H1206="","",VIPcric_1!H1206)</f>
        <v/>
      </c>
      <c r="I1224" t="str">
        <f>IF(VIPcric_1!M1206="","",VIPcric_1!M1206)</f>
        <v>CRIC-德阳-市场监测.商品房市场.项目累计.库存.xlsx</v>
      </c>
    </row>
    <row r="1225" spans="1:9">
      <c r="A1225" t="str">
        <f>IF(VIPcric_1!A1207="","",VIPcric_1!A1207)</f>
        <v>2023年</v>
      </c>
      <c r="B1225">
        <f>IF(VIPcric_1!B1207="","",VIPcric_1!B1207)</f>
        <v>1869366</v>
      </c>
      <c r="C1225">
        <f>IF(VIPcric_1!C1207="","",VIPcric_1!C1207)</f>
        <v>16124</v>
      </c>
      <c r="D1225">
        <f>IF(VIPcric_1!D1207="","",VIPcric_1!D1207)</f>
        <v>37.700000000000003</v>
      </c>
      <c r="E1225" t="str">
        <f>IF(VIPcric_1!E1207="","",VIPcric_1!E1207)</f>
        <v/>
      </c>
      <c r="F1225" t="str">
        <f>IF(VIPcric_1!F1207="","",VIPcric_1!F1207)</f>
        <v/>
      </c>
      <c r="G1225" t="str">
        <f>IF(VIPcric_1!G1207="","",VIPcric_1!G1207)</f>
        <v/>
      </c>
      <c r="H1225" t="str">
        <f>IF(VIPcric_1!H1207="","",VIPcric_1!H1207)</f>
        <v/>
      </c>
      <c r="I1225" t="str">
        <f>IF(VIPcric_1!M1207="","",VIPcric_1!M1207)</f>
        <v>CRIC-德阳-市场监测.商品房市场.项目累计.库存.xlsx</v>
      </c>
    </row>
    <row r="1226" spans="1:9">
      <c r="A1226" t="str">
        <f>IF(VIPcric_1!A1208="","",VIPcric_1!A1208)</f>
        <v>2022年</v>
      </c>
      <c r="B1226">
        <f>IF(VIPcric_1!B1208="","",VIPcric_1!B1208)</f>
        <v>1869108</v>
      </c>
      <c r="C1226">
        <f>IF(VIPcric_1!C1208="","",VIPcric_1!C1208)</f>
        <v>16092</v>
      </c>
      <c r="D1226">
        <f>IF(VIPcric_1!D1208="","",VIPcric_1!D1208)</f>
        <v>30.8</v>
      </c>
      <c r="E1226" t="str">
        <f>IF(VIPcric_1!E1208="","",VIPcric_1!E1208)</f>
        <v/>
      </c>
      <c r="F1226" t="str">
        <f>IF(VIPcric_1!F1208="","",VIPcric_1!F1208)</f>
        <v/>
      </c>
      <c r="G1226" t="str">
        <f>IF(VIPcric_1!G1208="","",VIPcric_1!G1208)</f>
        <v/>
      </c>
      <c r="H1226" t="str">
        <f>IF(VIPcric_1!H1208="","",VIPcric_1!H1208)</f>
        <v/>
      </c>
      <c r="I1226" t="str">
        <f>IF(VIPcric_1!M1208="","",VIPcric_1!M1208)</f>
        <v>CRIC-德阳-市场监测.商品房市场.项目累计.库存.xlsx</v>
      </c>
    </row>
    <row r="1227" spans="1:9">
      <c r="A1227" t="str">
        <f>IF(VIPcric_1!A1209="","",VIPcric_1!A1209)</f>
        <v>2021年</v>
      </c>
      <c r="B1227">
        <f>IF(VIPcric_1!B1209="","",VIPcric_1!B1209)</f>
        <v>1820517</v>
      </c>
      <c r="C1227">
        <f>IF(VIPcric_1!C1209="","",VIPcric_1!C1209)</f>
        <v>15039</v>
      </c>
      <c r="D1227">
        <f>IF(VIPcric_1!D1209="","",VIPcric_1!D1209)</f>
        <v>21.3</v>
      </c>
      <c r="E1227" t="str">
        <f>IF(VIPcric_1!E1209="","",VIPcric_1!E1209)</f>
        <v/>
      </c>
      <c r="F1227" t="str">
        <f>IF(VIPcric_1!F1209="","",VIPcric_1!F1209)</f>
        <v/>
      </c>
      <c r="G1227" t="str">
        <f>IF(VIPcric_1!G1209="","",VIPcric_1!G1209)</f>
        <v/>
      </c>
      <c r="H1227" t="str">
        <f>IF(VIPcric_1!H1209="","",VIPcric_1!H1209)</f>
        <v/>
      </c>
      <c r="I1227" t="str">
        <f>IF(VIPcric_1!M1209="","",VIPcric_1!M1209)</f>
        <v>CRIC-德阳-市场监测.商品房市场.项目累计.库存.xlsx</v>
      </c>
    </row>
    <row r="1228" spans="1:9">
      <c r="A1228" t="str">
        <f>IF(VIPcric_1!A1210="","",VIPcric_1!A1210)</f>
        <v/>
      </c>
      <c r="B1228" t="str">
        <f>IF(VIPcric_1!B1210="","",VIPcric_1!B1210)</f>
        <v/>
      </c>
      <c r="C1228" t="str">
        <f>IF(VIPcric_1!C1210="","",VIPcric_1!C1210)</f>
        <v/>
      </c>
      <c r="D1228" t="str">
        <f>IF(VIPcric_1!D1210="","",VIPcric_1!D1210)</f>
        <v/>
      </c>
      <c r="E1228" t="str">
        <f>IF(VIPcric_1!E1210="","",VIPcric_1!E1210)</f>
        <v/>
      </c>
      <c r="F1228" t="str">
        <f>IF(VIPcric_1!F1210="","",VIPcric_1!F1210)</f>
        <v/>
      </c>
      <c r="G1228" t="str">
        <f>IF(VIPcric_1!G1210="","",VIPcric_1!G1210)</f>
        <v/>
      </c>
      <c r="H1228" t="str">
        <f>IF(VIPcric_1!H1210="","",VIPcric_1!H1210)</f>
        <v/>
      </c>
      <c r="I1228" t="str">
        <f>IF(VIPcric_1!M1210="","",VIPcric_1!M1210)</f>
        <v/>
      </c>
    </row>
    <row r="1229" spans="1:9">
      <c r="A1229" t="str">
        <f>IF(VIPcric_1!A1211="","",VIPcric_1!A1211)</f>
        <v/>
      </c>
      <c r="B1229" t="str">
        <f>IF(VIPcric_1!B1211="","",VIPcric_1!B1211)</f>
        <v/>
      </c>
      <c r="C1229" t="str">
        <f>IF(VIPcric_1!C1211="","",VIPcric_1!C1211)</f>
        <v/>
      </c>
      <c r="D1229" t="str">
        <f>IF(VIPcric_1!D1211="","",VIPcric_1!D1211)</f>
        <v/>
      </c>
      <c r="E1229" t="str">
        <f>IF(VIPcric_1!E1211="","",VIPcric_1!E1211)</f>
        <v/>
      </c>
      <c r="F1229" t="str">
        <f>IF(VIPcric_1!F1211="","",VIPcric_1!F1211)</f>
        <v/>
      </c>
      <c r="G1229" t="str">
        <f>IF(VIPcric_1!G1211="","",VIPcric_1!G1211)</f>
        <v/>
      </c>
      <c r="H1229" t="str">
        <f>IF(VIPcric_1!H1211="","",VIPcric_1!H1211)</f>
        <v/>
      </c>
      <c r="I1229" t="str">
        <f>IF(VIPcric_1!M1211="","",VIPcric_1!M1211)</f>
        <v>CRIC-惠州-市场监测.商品房市场.项目累计.供求.xlsx</v>
      </c>
    </row>
    <row r="1230" spans="1:9">
      <c r="A1230" t="str">
        <f>IF(VIPcric_1!A1212="","",VIPcric_1!A1212)</f>
        <v>时间(年)</v>
      </c>
      <c r="B1230" t="str">
        <f>IF(VIPcric_1!B1212="","",VIPcric_1!B1212)</f>
        <v>供应面积(㎡)</v>
      </c>
      <c r="C1230" t="str">
        <f>IF(VIPcric_1!C1212="","",VIPcric_1!C1212)</f>
        <v>供应套数(套)</v>
      </c>
      <c r="D1230" t="str">
        <f>IF(VIPcric_1!D1212="","",VIPcric_1!D1212)</f>
        <v>成交面积(㎡)</v>
      </c>
      <c r="E1230" t="str">
        <f>IF(VIPcric_1!E1212="","",VIPcric_1!E1212)</f>
        <v>成交套数(套)</v>
      </c>
      <c r="F1230" t="str">
        <f>IF(VIPcric_1!F1212="","",VIPcric_1!F1212)</f>
        <v>成交均价(元/㎡)</v>
      </c>
      <c r="G1230" t="str">
        <f>IF(VIPcric_1!G1212="","",VIPcric_1!G1212)</f>
        <v>成交金额(元)</v>
      </c>
      <c r="H1230" t="str">
        <f>IF(VIPcric_1!H1212="","",VIPcric_1!H1212)</f>
        <v>供求比</v>
      </c>
      <c r="I1230" t="str">
        <f>IF(VIPcric_1!M1212="","",VIPcric_1!M1212)</f>
        <v>CRIC-惠州-市场监测.商品房市场.项目累计.供求.xlsx</v>
      </c>
    </row>
    <row r="1231" spans="1:9">
      <c r="A1231" t="str">
        <f>IF(VIPcric_1!A1213="","",VIPcric_1!A1213)</f>
        <v>2024年</v>
      </c>
      <c r="B1231">
        <f>IF(VIPcric_1!B1213="","",VIPcric_1!B1213)</f>
        <v>212258</v>
      </c>
      <c r="C1231">
        <f>IF(VIPcric_1!C1213="","",VIPcric_1!C1213)</f>
        <v>1985</v>
      </c>
      <c r="D1231">
        <f>IF(VIPcric_1!D1213="","",VIPcric_1!D1213)</f>
        <v>329908</v>
      </c>
      <c r="E1231">
        <f>IF(VIPcric_1!E1213="","",VIPcric_1!E1213)</f>
        <v>3087</v>
      </c>
      <c r="F1231">
        <f>IF(VIPcric_1!F1213="","",VIPcric_1!F1213)</f>
        <v>10836</v>
      </c>
      <c r="G1231">
        <f>IF(VIPcric_1!G1213="","",VIPcric_1!G1213)</f>
        <v>3574777854</v>
      </c>
      <c r="H1231">
        <f>IF(VIPcric_1!H1213="","",VIPcric_1!H1213)</f>
        <v>0.64</v>
      </c>
      <c r="I1231" t="str">
        <f>IF(VIPcric_1!M1213="","",VIPcric_1!M1213)</f>
        <v>CRIC-惠州-市场监测.商品房市场.项目累计.供求.xlsx</v>
      </c>
    </row>
    <row r="1232" spans="1:9">
      <c r="A1232" t="str">
        <f>IF(VIPcric_1!A1214="","",VIPcric_1!A1214)</f>
        <v>2023年</v>
      </c>
      <c r="B1232">
        <f>IF(VIPcric_1!B1214="","",VIPcric_1!B1214)</f>
        <v>4921505</v>
      </c>
      <c r="C1232">
        <f>IF(VIPcric_1!C1214="","",VIPcric_1!C1214)</f>
        <v>45769</v>
      </c>
      <c r="D1232">
        <f>IF(VIPcric_1!D1214="","",VIPcric_1!D1214)</f>
        <v>5902847</v>
      </c>
      <c r="E1232">
        <f>IF(VIPcric_1!E1214="","",VIPcric_1!E1214)</f>
        <v>55493</v>
      </c>
      <c r="F1232">
        <f>IF(VIPcric_1!F1214="","",VIPcric_1!F1214)</f>
        <v>12824</v>
      </c>
      <c r="G1232">
        <f>IF(VIPcric_1!G1214="","",VIPcric_1!G1214)</f>
        <v>75696199663</v>
      </c>
      <c r="H1232">
        <f>IF(VIPcric_1!H1214="","",VIPcric_1!H1214)</f>
        <v>0.83</v>
      </c>
      <c r="I1232" t="str">
        <f>IF(VIPcric_1!M1214="","",VIPcric_1!M1214)</f>
        <v>CRIC-惠州-市场监测.商品房市场.项目累计.供求.xlsx</v>
      </c>
    </row>
    <row r="1233" spans="1:9">
      <c r="A1233" t="str">
        <f>IF(VIPcric_1!A1215="","",VIPcric_1!A1215)</f>
        <v>2022年</v>
      </c>
      <c r="B1233">
        <f>IF(VIPcric_1!B1215="","",VIPcric_1!B1215)</f>
        <v>5921845</v>
      </c>
      <c r="C1233">
        <f>IF(VIPcric_1!C1215="","",VIPcric_1!C1215)</f>
        <v>54837</v>
      </c>
      <c r="D1233">
        <f>IF(VIPcric_1!D1215="","",VIPcric_1!D1215)</f>
        <v>4871174</v>
      </c>
      <c r="E1233">
        <f>IF(VIPcric_1!E1215="","",VIPcric_1!E1215)</f>
        <v>46126</v>
      </c>
      <c r="F1233">
        <f>IF(VIPcric_1!F1215="","",VIPcric_1!F1215)</f>
        <v>12903</v>
      </c>
      <c r="G1233">
        <f>IF(VIPcric_1!G1215="","",VIPcric_1!G1215)</f>
        <v>62852299048</v>
      </c>
      <c r="H1233">
        <f>IF(VIPcric_1!H1215="","",VIPcric_1!H1215)</f>
        <v>1.22</v>
      </c>
      <c r="I1233" t="str">
        <f>IF(VIPcric_1!M1215="","",VIPcric_1!M1215)</f>
        <v>CRIC-惠州-市场监测.商品房市场.项目累计.供求.xlsx</v>
      </c>
    </row>
    <row r="1234" spans="1:9">
      <c r="A1234" t="str">
        <f>IF(VIPcric_1!A1216="","",VIPcric_1!A1216)</f>
        <v>2021年</v>
      </c>
      <c r="B1234">
        <f>IF(VIPcric_1!B1216="","",VIPcric_1!B1216)</f>
        <v>13687425</v>
      </c>
      <c r="C1234">
        <f>IF(VIPcric_1!C1216="","",VIPcric_1!C1216)</f>
        <v>130730</v>
      </c>
      <c r="D1234">
        <f>IF(VIPcric_1!D1216="","",VIPcric_1!D1216)</f>
        <v>9605799</v>
      </c>
      <c r="E1234">
        <f>IF(VIPcric_1!E1216="","",VIPcric_1!E1216)</f>
        <v>90793</v>
      </c>
      <c r="F1234">
        <f>IF(VIPcric_1!F1216="","",VIPcric_1!F1216)</f>
        <v>12920</v>
      </c>
      <c r="G1234">
        <f>IF(VIPcric_1!G1216="","",VIPcric_1!G1216)</f>
        <v>124107585433</v>
      </c>
      <c r="H1234">
        <f>IF(VIPcric_1!H1216="","",VIPcric_1!H1216)</f>
        <v>1.42</v>
      </c>
      <c r="I1234" t="str">
        <f>IF(VIPcric_1!M1216="","",VIPcric_1!M1216)</f>
        <v>CRIC-惠州-市场监测.商品房市场.项目累计.供求.xlsx</v>
      </c>
    </row>
    <row r="1235" spans="1:9">
      <c r="A1235" t="str">
        <f>IF(VIPcric_1!A1217="","",VIPcric_1!A1217)</f>
        <v>2020年</v>
      </c>
      <c r="B1235">
        <f>IF(VIPcric_1!B1217="","",VIPcric_1!B1217)</f>
        <v>15942791</v>
      </c>
      <c r="C1235">
        <f>IF(VIPcric_1!C1217="","",VIPcric_1!C1217)</f>
        <v>153359</v>
      </c>
      <c r="D1235">
        <f>IF(VIPcric_1!D1217="","",VIPcric_1!D1217)</f>
        <v>14153030</v>
      </c>
      <c r="E1235">
        <f>IF(VIPcric_1!E1217="","",VIPcric_1!E1217)</f>
        <v>135325</v>
      </c>
      <c r="F1235">
        <f>IF(VIPcric_1!F1217="","",VIPcric_1!F1217)</f>
        <v>12013</v>
      </c>
      <c r="G1235">
        <f>IF(VIPcric_1!G1217="","",VIPcric_1!G1217)</f>
        <v>170018701748</v>
      </c>
      <c r="H1235">
        <f>IF(VIPcric_1!H1217="","",VIPcric_1!H1217)</f>
        <v>1.1299999999999999</v>
      </c>
      <c r="I1235" t="str">
        <f>IF(VIPcric_1!M1217="","",VIPcric_1!M1217)</f>
        <v>CRIC-惠州-市场监测.商品房市场.项目累计.供求.xlsx</v>
      </c>
    </row>
    <row r="1236" spans="1:9">
      <c r="A1236" t="str">
        <f>IF(VIPcric_1!A1218="","",VIPcric_1!A1218)</f>
        <v>2019年</v>
      </c>
      <c r="B1236">
        <f>IF(VIPcric_1!B1218="","",VIPcric_1!B1218)</f>
        <v>17668293</v>
      </c>
      <c r="C1236">
        <f>IF(VIPcric_1!C1218="","",VIPcric_1!C1218)</f>
        <v>167974</v>
      </c>
      <c r="D1236">
        <f>IF(VIPcric_1!D1218="","",VIPcric_1!D1218)</f>
        <v>13946002</v>
      </c>
      <c r="E1236">
        <f>IF(VIPcric_1!E1218="","",VIPcric_1!E1218)</f>
        <v>133162</v>
      </c>
      <c r="F1236">
        <f>IF(VIPcric_1!F1218="","",VIPcric_1!F1218)</f>
        <v>11114</v>
      </c>
      <c r="G1236">
        <f>IF(VIPcric_1!G1218="","",VIPcric_1!G1218)</f>
        <v>154992491210</v>
      </c>
      <c r="H1236">
        <f>IF(VIPcric_1!H1218="","",VIPcric_1!H1218)</f>
        <v>1.27</v>
      </c>
      <c r="I1236" t="str">
        <f>IF(VIPcric_1!M1218="","",VIPcric_1!M1218)</f>
        <v>CRIC-惠州-市场监测.商品房市场.项目累计.供求.xlsx</v>
      </c>
    </row>
    <row r="1237" spans="1:9">
      <c r="A1237" t="str">
        <f>IF(VIPcric_1!A1219="","",VIPcric_1!A1219)</f>
        <v>汇总</v>
      </c>
      <c r="B1237">
        <f>IF(VIPcric_1!B1219="","",VIPcric_1!B1219)</f>
        <v>58354116</v>
      </c>
      <c r="C1237">
        <f>IF(VIPcric_1!C1219="","",VIPcric_1!C1219)</f>
        <v>554654</v>
      </c>
      <c r="D1237">
        <f>IF(VIPcric_1!D1219="","",VIPcric_1!D1219)</f>
        <v>48808759</v>
      </c>
      <c r="E1237">
        <f>IF(VIPcric_1!E1219="","",VIPcric_1!E1219)</f>
        <v>463986</v>
      </c>
      <c r="F1237">
        <f>IF(VIPcric_1!F1219="","",VIPcric_1!F1219)</f>
        <v>12113</v>
      </c>
      <c r="G1237">
        <f>IF(VIPcric_1!G1219="","",VIPcric_1!G1219)</f>
        <v>591242054957</v>
      </c>
      <c r="H1237">
        <f>IF(VIPcric_1!H1219="","",VIPcric_1!H1219)</f>
        <v>1.2</v>
      </c>
      <c r="I1237" t="str">
        <f>IF(VIPcric_1!M1219="","",VIPcric_1!M1219)</f>
        <v>CRIC-惠州-市场监测.商品房市场.项目累计.供求.xlsx</v>
      </c>
    </row>
    <row r="1238" spans="1:9">
      <c r="A1238" t="str">
        <f>IF(VIPcric_1!A1220="","",VIPcric_1!A1220)</f>
        <v/>
      </c>
      <c r="B1238" t="str">
        <f>IF(VIPcric_1!B1220="","",VIPcric_1!B1220)</f>
        <v/>
      </c>
      <c r="C1238" t="str">
        <f>IF(VIPcric_1!C1220="","",VIPcric_1!C1220)</f>
        <v/>
      </c>
      <c r="D1238" t="str">
        <f>IF(VIPcric_1!D1220="","",VIPcric_1!D1220)</f>
        <v/>
      </c>
      <c r="E1238" t="str">
        <f>IF(VIPcric_1!E1220="","",VIPcric_1!E1220)</f>
        <v/>
      </c>
      <c r="F1238" t="str">
        <f>IF(VIPcric_1!F1220="","",VIPcric_1!F1220)</f>
        <v/>
      </c>
      <c r="G1238" t="str">
        <f>IF(VIPcric_1!G1220="","",VIPcric_1!G1220)</f>
        <v/>
      </c>
      <c r="H1238" t="str">
        <f>IF(VIPcric_1!H1220="","",VIPcric_1!H1220)</f>
        <v/>
      </c>
      <c r="I1238" t="str">
        <f>IF(VIPcric_1!M1220="","",VIPcric_1!M1220)</f>
        <v/>
      </c>
    </row>
    <row r="1239" spans="1:9">
      <c r="A1239" t="str">
        <f>IF(VIPcric_1!A1221="","",VIPcric_1!A1221)</f>
        <v/>
      </c>
      <c r="B1239" t="str">
        <f>IF(VIPcric_1!B1221="","",VIPcric_1!B1221)</f>
        <v/>
      </c>
      <c r="C1239" t="str">
        <f>IF(VIPcric_1!C1221="","",VIPcric_1!C1221)</f>
        <v/>
      </c>
      <c r="D1239" t="str">
        <f>IF(VIPcric_1!D1221="","",VIPcric_1!D1221)</f>
        <v/>
      </c>
      <c r="E1239" t="str">
        <f>IF(VIPcric_1!E1221="","",VIPcric_1!E1221)</f>
        <v/>
      </c>
      <c r="F1239" t="str">
        <f>IF(VIPcric_1!F1221="","",VIPcric_1!F1221)</f>
        <v/>
      </c>
      <c r="G1239" t="str">
        <f>IF(VIPcric_1!G1221="","",VIPcric_1!G1221)</f>
        <v/>
      </c>
      <c r="H1239" t="str">
        <f>IF(VIPcric_1!H1221="","",VIPcric_1!H1221)</f>
        <v/>
      </c>
      <c r="I1239" t="str">
        <f>IF(VIPcric_1!M1221="","",VIPcric_1!M1221)</f>
        <v>CRIC-惠州-市场监测.商品房市场.项目累计.库存.xlsx</v>
      </c>
    </row>
    <row r="1240" spans="1:9">
      <c r="A1240" t="str">
        <f>IF(VIPcric_1!A1222="","",VIPcric_1!A1222)</f>
        <v>时间(年)</v>
      </c>
      <c r="B1240" t="str">
        <f>IF(VIPcric_1!B1222="","",VIPcric_1!B1222)</f>
        <v>库存面积(㎡)</v>
      </c>
      <c r="C1240" t="str">
        <f>IF(VIPcric_1!C1222="","",VIPcric_1!C1222)</f>
        <v>库存套数(套)</v>
      </c>
      <c r="D1240" t="str">
        <f>IF(VIPcric_1!D1222="","",VIPcric_1!D1222)</f>
        <v>去化周期12'(月)</v>
      </c>
      <c r="E1240" t="str">
        <f>IF(VIPcric_1!E1222="","",VIPcric_1!E1222)</f>
        <v>去化周期24'(月)</v>
      </c>
      <c r="F1240" t="str">
        <f>IF(VIPcric_1!F1222="","",VIPcric_1!F1222)</f>
        <v/>
      </c>
      <c r="G1240" t="str">
        <f>IF(VIPcric_1!G1222="","",VIPcric_1!G1222)</f>
        <v/>
      </c>
      <c r="H1240" t="str">
        <f>IF(VIPcric_1!H1222="","",VIPcric_1!H1222)</f>
        <v/>
      </c>
      <c r="I1240" t="str">
        <f>IF(VIPcric_1!M1222="","",VIPcric_1!M1222)</f>
        <v>CRIC-惠州-市场监测.商品房市场.项目累计.库存.xlsx</v>
      </c>
    </row>
    <row r="1241" spans="1:9">
      <c r="A1241" t="str">
        <f>IF(VIPcric_1!A1223="","",VIPcric_1!A1223)</f>
        <v>2024年</v>
      </c>
      <c r="B1241">
        <f>IF(VIPcric_1!B1223="","",VIPcric_1!B1223)</f>
        <v>12360149</v>
      </c>
      <c r="C1241">
        <f>IF(VIPcric_1!C1223="","",VIPcric_1!C1223)</f>
        <v>121689</v>
      </c>
      <c r="D1241">
        <f>IF(VIPcric_1!D1223="","",VIPcric_1!D1223)</f>
        <v>25.2</v>
      </c>
      <c r="E1241">
        <f>IF(VIPcric_1!E1223="","",VIPcric_1!E1223)</f>
        <v>27.8</v>
      </c>
      <c r="F1241" t="str">
        <f>IF(VIPcric_1!F1223="","",VIPcric_1!F1223)</f>
        <v/>
      </c>
      <c r="G1241" t="str">
        <f>IF(VIPcric_1!G1223="","",VIPcric_1!G1223)</f>
        <v/>
      </c>
      <c r="H1241" t="str">
        <f>IF(VIPcric_1!H1223="","",VIPcric_1!H1223)</f>
        <v/>
      </c>
      <c r="I1241" t="str">
        <f>IF(VIPcric_1!M1223="","",VIPcric_1!M1223)</f>
        <v>CRIC-惠州-市场监测.商品房市场.项目累计.库存.xlsx</v>
      </c>
    </row>
    <row r="1242" spans="1:9">
      <c r="A1242" t="str">
        <f>IF(VIPcric_1!A1224="","",VIPcric_1!A1224)</f>
        <v>2023年</v>
      </c>
      <c r="B1242">
        <f>IF(VIPcric_1!B1224="","",VIPcric_1!B1224)</f>
        <v>12369206</v>
      </c>
      <c r="C1242">
        <f>IF(VIPcric_1!C1224="","",VIPcric_1!C1224)</f>
        <v>121734</v>
      </c>
      <c r="D1242">
        <f>IF(VIPcric_1!D1224="","",VIPcric_1!D1224)</f>
        <v>25.1</v>
      </c>
      <c r="E1242">
        <f>IF(VIPcric_1!E1224="","",VIPcric_1!E1224)</f>
        <v>27.6</v>
      </c>
      <c r="F1242" t="str">
        <f>IF(VIPcric_1!F1224="","",VIPcric_1!F1224)</f>
        <v/>
      </c>
      <c r="G1242" t="str">
        <f>IF(VIPcric_1!G1224="","",VIPcric_1!G1224)</f>
        <v/>
      </c>
      <c r="H1242" t="str">
        <f>IF(VIPcric_1!H1224="","",VIPcric_1!H1224)</f>
        <v/>
      </c>
      <c r="I1242" t="str">
        <f>IF(VIPcric_1!M1224="","",VIPcric_1!M1224)</f>
        <v>CRIC-惠州-市场监测.商品房市场.项目累计.库存.xlsx</v>
      </c>
    </row>
    <row r="1243" spans="1:9">
      <c r="A1243" t="str">
        <f>IF(VIPcric_1!A1225="","",VIPcric_1!A1225)</f>
        <v>2022年</v>
      </c>
      <c r="B1243">
        <f>IF(VIPcric_1!B1225="","",VIPcric_1!B1225)</f>
        <v>13399188</v>
      </c>
      <c r="C1243">
        <f>IF(VIPcric_1!C1225="","",VIPcric_1!C1225)</f>
        <v>131381</v>
      </c>
      <c r="D1243">
        <f>IF(VIPcric_1!D1225="","",VIPcric_1!D1225)</f>
        <v>33</v>
      </c>
      <c r="E1243">
        <f>IF(VIPcric_1!E1225="","",VIPcric_1!E1225)</f>
        <v>22.2</v>
      </c>
      <c r="F1243" t="str">
        <f>IF(VIPcric_1!F1225="","",VIPcric_1!F1225)</f>
        <v/>
      </c>
      <c r="G1243" t="str">
        <f>IF(VIPcric_1!G1225="","",VIPcric_1!G1225)</f>
        <v/>
      </c>
      <c r="H1243" t="str">
        <f>IF(VIPcric_1!H1225="","",VIPcric_1!H1225)</f>
        <v/>
      </c>
      <c r="I1243" t="str">
        <f>IF(VIPcric_1!M1225="","",VIPcric_1!M1225)</f>
        <v>CRIC-惠州-市场监测.商品房市场.项目累计.库存.xlsx</v>
      </c>
    </row>
    <row r="1244" spans="1:9">
      <c r="A1244" t="str">
        <f>IF(VIPcric_1!A1226="","",VIPcric_1!A1226)</f>
        <v>2021年</v>
      </c>
      <c r="B1244">
        <f>IF(VIPcric_1!B1226="","",VIPcric_1!B1226)</f>
        <v>13194388</v>
      </c>
      <c r="C1244">
        <f>IF(VIPcric_1!C1226="","",VIPcric_1!C1226)</f>
        <v>131538</v>
      </c>
      <c r="D1244">
        <f>IF(VIPcric_1!D1226="","",VIPcric_1!D1226)</f>
        <v>16.5</v>
      </c>
      <c r="E1244">
        <f>IF(VIPcric_1!E1226="","",VIPcric_1!E1226)</f>
        <v>13.3</v>
      </c>
      <c r="F1244" t="str">
        <f>IF(VIPcric_1!F1226="","",VIPcric_1!F1226)</f>
        <v/>
      </c>
      <c r="G1244" t="str">
        <f>IF(VIPcric_1!G1226="","",VIPcric_1!G1226)</f>
        <v/>
      </c>
      <c r="H1244" t="str">
        <f>IF(VIPcric_1!H1226="","",VIPcric_1!H1226)</f>
        <v/>
      </c>
      <c r="I1244" t="str">
        <f>IF(VIPcric_1!M1226="","",VIPcric_1!M1226)</f>
        <v>CRIC-惠州-市场监测.商品房市场.项目累计.库存.xlsx</v>
      </c>
    </row>
    <row r="1245" spans="1:9">
      <c r="A1245" t="str">
        <f>IF(VIPcric_1!A1227="","",VIPcric_1!A1227)</f>
        <v>2020年</v>
      </c>
      <c r="B1245">
        <f>IF(VIPcric_1!B1227="","",VIPcric_1!B1227)</f>
        <v>6175051</v>
      </c>
      <c r="C1245">
        <f>IF(VIPcric_1!C1227="","",VIPcric_1!C1227)</f>
        <v>63474</v>
      </c>
      <c r="D1245">
        <f>IF(VIPcric_1!D1227="","",VIPcric_1!D1227)</f>
        <v>5.2</v>
      </c>
      <c r="E1245">
        <f>IF(VIPcric_1!E1227="","",VIPcric_1!E1227)</f>
        <v>5.3</v>
      </c>
      <c r="F1245" t="str">
        <f>IF(VIPcric_1!F1227="","",VIPcric_1!F1227)</f>
        <v/>
      </c>
      <c r="G1245" t="str">
        <f>IF(VIPcric_1!G1227="","",VIPcric_1!G1227)</f>
        <v/>
      </c>
      <c r="H1245" t="str">
        <f>IF(VIPcric_1!H1227="","",VIPcric_1!H1227)</f>
        <v/>
      </c>
      <c r="I1245" t="str">
        <f>IF(VIPcric_1!M1227="","",VIPcric_1!M1227)</f>
        <v>CRIC-惠州-市场监测.商品房市场.项目累计.库存.xlsx</v>
      </c>
    </row>
    <row r="1246" spans="1:9">
      <c r="A1246" t="str">
        <f>IF(VIPcric_1!A1228="","",VIPcric_1!A1228)</f>
        <v/>
      </c>
      <c r="B1246" t="str">
        <f>IF(VIPcric_1!B1228="","",VIPcric_1!B1228)</f>
        <v/>
      </c>
      <c r="C1246" t="str">
        <f>IF(VIPcric_1!C1228="","",VIPcric_1!C1228)</f>
        <v/>
      </c>
      <c r="D1246" t="str">
        <f>IF(VIPcric_1!D1228="","",VIPcric_1!D1228)</f>
        <v/>
      </c>
      <c r="E1246" t="str">
        <f>IF(VIPcric_1!E1228="","",VIPcric_1!E1228)</f>
        <v/>
      </c>
      <c r="F1246" t="str">
        <f>IF(VIPcric_1!F1228="","",VIPcric_1!F1228)</f>
        <v/>
      </c>
      <c r="G1246" t="str">
        <f>IF(VIPcric_1!G1228="","",VIPcric_1!G1228)</f>
        <v/>
      </c>
      <c r="H1246" t="str">
        <f>IF(VIPcric_1!H1228="","",VIPcric_1!H1228)</f>
        <v/>
      </c>
      <c r="I1246" t="str">
        <f>IF(VIPcric_1!M1228="","",VIPcric_1!M1228)</f>
        <v/>
      </c>
    </row>
    <row r="1247" spans="1:9">
      <c r="A1247" t="str">
        <f>IF(VIPcric_1!A1229="","",VIPcric_1!A1229)</f>
        <v/>
      </c>
      <c r="B1247" t="str">
        <f>IF(VIPcric_1!B1229="","",VIPcric_1!B1229)</f>
        <v/>
      </c>
      <c r="C1247" t="str">
        <f>IF(VIPcric_1!C1229="","",VIPcric_1!C1229)</f>
        <v/>
      </c>
      <c r="D1247" t="str">
        <f>IF(VIPcric_1!D1229="","",VIPcric_1!D1229)</f>
        <v/>
      </c>
      <c r="E1247" t="str">
        <f>IF(VIPcric_1!E1229="","",VIPcric_1!E1229)</f>
        <v/>
      </c>
      <c r="F1247" t="str">
        <f>IF(VIPcric_1!F1229="","",VIPcric_1!F1229)</f>
        <v/>
      </c>
      <c r="G1247" t="str">
        <f>IF(VIPcric_1!G1229="","",VIPcric_1!G1229)</f>
        <v/>
      </c>
      <c r="H1247" t="str">
        <f>IF(VIPcric_1!H1229="","",VIPcric_1!H1229)</f>
        <v/>
      </c>
      <c r="I1247" t="str">
        <f>IF(VIPcric_1!M1229="","",VIPcric_1!M1229)</f>
        <v>CRIC-成都-市场监测.商品房市场.项目累计.供求.xlsx</v>
      </c>
    </row>
    <row r="1248" spans="1:9">
      <c r="A1248" t="str">
        <f>IF(VIPcric_1!A1230="","",VIPcric_1!A1230)</f>
        <v>时间(年)</v>
      </c>
      <c r="B1248" t="str">
        <f>IF(VIPcric_1!B1230="","",VIPcric_1!B1230)</f>
        <v>供应面积(㎡)</v>
      </c>
      <c r="C1248" t="str">
        <f>IF(VIPcric_1!C1230="","",VIPcric_1!C1230)</f>
        <v>供应套数(套)</v>
      </c>
      <c r="D1248" t="str">
        <f>IF(VIPcric_1!D1230="","",VIPcric_1!D1230)</f>
        <v>成交面积(㎡)</v>
      </c>
      <c r="E1248" t="str">
        <f>IF(VIPcric_1!E1230="","",VIPcric_1!E1230)</f>
        <v>成交套数(套)</v>
      </c>
      <c r="F1248" t="str">
        <f>IF(VIPcric_1!F1230="","",VIPcric_1!F1230)</f>
        <v>成交均价(元/㎡)</v>
      </c>
      <c r="G1248" t="str">
        <f>IF(VIPcric_1!G1230="","",VIPcric_1!G1230)</f>
        <v>成交金额(元)</v>
      </c>
      <c r="H1248" t="str">
        <f>IF(VIPcric_1!H1230="","",VIPcric_1!H1230)</f>
        <v>供求比</v>
      </c>
      <c r="I1248" t="str">
        <f>IF(VIPcric_1!M1230="","",VIPcric_1!M1230)</f>
        <v>CRIC-成都-市场监测.商品房市场.项目累计.供求.xlsx</v>
      </c>
    </row>
    <row r="1249" spans="1:9">
      <c r="A1249" t="str">
        <f>IF(VIPcric_1!A1231="","",VIPcric_1!A1231)</f>
        <v>2023年</v>
      </c>
      <c r="B1249">
        <f>IF(VIPcric_1!B1231="","",VIPcric_1!B1231)</f>
        <v>16291713</v>
      </c>
      <c r="C1249">
        <f>IF(VIPcric_1!C1231="","",VIPcric_1!C1231)</f>
        <v>127411</v>
      </c>
      <c r="D1249">
        <f>IF(VIPcric_1!D1231="","",VIPcric_1!D1231)</f>
        <v>17355175</v>
      </c>
      <c r="E1249">
        <f>IF(VIPcric_1!E1231="","",VIPcric_1!E1231)</f>
        <v>134714</v>
      </c>
      <c r="F1249">
        <f>IF(VIPcric_1!F1231="","",VIPcric_1!F1231)</f>
        <v>19262</v>
      </c>
      <c r="G1249">
        <f>IF(VIPcric_1!G1231="","",VIPcric_1!G1231)</f>
        <v>334289293575</v>
      </c>
      <c r="H1249">
        <f>IF(VIPcric_1!H1231="","",VIPcric_1!H1231)</f>
        <v>0.94</v>
      </c>
      <c r="I1249" t="str">
        <f>IF(VIPcric_1!M1231="","",VIPcric_1!M1231)</f>
        <v>CRIC-成都-市场监测.商品房市场.项目累计.供求.xlsx</v>
      </c>
    </row>
    <row r="1250" spans="1:9">
      <c r="A1250" t="str">
        <f>IF(VIPcric_1!A1232="","",VIPcric_1!A1232)</f>
        <v>2022年</v>
      </c>
      <c r="B1250">
        <f>IF(VIPcric_1!B1232="","",VIPcric_1!B1232)</f>
        <v>17245279</v>
      </c>
      <c r="C1250">
        <f>IF(VIPcric_1!C1232="","",VIPcric_1!C1232)</f>
        <v>136500</v>
      </c>
      <c r="D1250">
        <f>IF(VIPcric_1!D1232="","",VIPcric_1!D1232)</f>
        <v>16773536</v>
      </c>
      <c r="E1250">
        <f>IF(VIPcric_1!E1232="","",VIPcric_1!E1232)</f>
        <v>133539</v>
      </c>
      <c r="F1250">
        <f>IF(VIPcric_1!F1232="","",VIPcric_1!F1232)</f>
        <v>17167</v>
      </c>
      <c r="G1250">
        <f>IF(VIPcric_1!G1232="","",VIPcric_1!G1232)</f>
        <v>287954193201</v>
      </c>
      <c r="H1250">
        <f>IF(VIPcric_1!H1232="","",VIPcric_1!H1232)</f>
        <v>1.03</v>
      </c>
      <c r="I1250" t="str">
        <f>IF(VIPcric_1!M1232="","",VIPcric_1!M1232)</f>
        <v>CRIC-成都-市场监测.商品房市场.项目累计.供求.xlsx</v>
      </c>
    </row>
    <row r="1251" spans="1:9">
      <c r="A1251" t="str">
        <f>IF(VIPcric_1!A1233="","",VIPcric_1!A1233)</f>
        <v>2021年</v>
      </c>
      <c r="B1251">
        <f>IF(VIPcric_1!B1233="","",VIPcric_1!B1233)</f>
        <v>21092042</v>
      </c>
      <c r="C1251">
        <f>IF(VIPcric_1!C1233="","",VIPcric_1!C1233)</f>
        <v>171596</v>
      </c>
      <c r="D1251">
        <f>IF(VIPcric_1!D1233="","",VIPcric_1!D1233)</f>
        <v>22897886</v>
      </c>
      <c r="E1251">
        <f>IF(VIPcric_1!E1233="","",VIPcric_1!E1233)</f>
        <v>188876</v>
      </c>
      <c r="F1251">
        <f>IF(VIPcric_1!F1233="","",VIPcric_1!F1233)</f>
        <v>15375</v>
      </c>
      <c r="G1251">
        <f>IF(VIPcric_1!G1233="","",VIPcric_1!G1233)</f>
        <v>352046286179</v>
      </c>
      <c r="H1251">
        <f>IF(VIPcric_1!H1233="","",VIPcric_1!H1233)</f>
        <v>0.92</v>
      </c>
      <c r="I1251" t="str">
        <f>IF(VIPcric_1!M1233="","",VIPcric_1!M1233)</f>
        <v>CRIC-成都-市场监测.商品房市场.项目累计.供求.xlsx</v>
      </c>
    </row>
    <row r="1252" spans="1:9">
      <c r="A1252" t="str">
        <f>IF(VIPcric_1!A1234="","",VIPcric_1!A1234)</f>
        <v>2020年</v>
      </c>
      <c r="B1252">
        <f>IF(VIPcric_1!B1234="","",VIPcric_1!B1234)</f>
        <v>26011839</v>
      </c>
      <c r="C1252">
        <f>IF(VIPcric_1!C1234="","",VIPcric_1!C1234)</f>
        <v>215957</v>
      </c>
      <c r="D1252">
        <f>IF(VIPcric_1!D1234="","",VIPcric_1!D1234)</f>
        <v>20974098</v>
      </c>
      <c r="E1252">
        <f>IF(VIPcric_1!E1234="","",VIPcric_1!E1234)</f>
        <v>176099</v>
      </c>
      <c r="F1252">
        <f>IF(VIPcric_1!F1234="","",VIPcric_1!F1234)</f>
        <v>13936</v>
      </c>
      <c r="G1252">
        <f>IF(VIPcric_1!G1234="","",VIPcric_1!G1234)</f>
        <v>292301015112</v>
      </c>
      <c r="H1252">
        <f>IF(VIPcric_1!H1234="","",VIPcric_1!H1234)</f>
        <v>1.24</v>
      </c>
      <c r="I1252" t="str">
        <f>IF(VIPcric_1!M1234="","",VIPcric_1!M1234)</f>
        <v>CRIC-成都-市场监测.商品房市场.项目累计.供求.xlsx</v>
      </c>
    </row>
    <row r="1253" spans="1:9">
      <c r="A1253" t="str">
        <f>IF(VIPcric_1!A1235="","",VIPcric_1!A1235)</f>
        <v>2019年</v>
      </c>
      <c r="B1253">
        <f>IF(VIPcric_1!B1235="","",VIPcric_1!B1235)</f>
        <v>24323820</v>
      </c>
      <c r="C1253">
        <f>IF(VIPcric_1!C1235="","",VIPcric_1!C1235)</f>
        <v>201587</v>
      </c>
      <c r="D1253">
        <f>IF(VIPcric_1!D1235="","",VIPcric_1!D1235)</f>
        <v>20677303</v>
      </c>
      <c r="E1253">
        <f>IF(VIPcric_1!E1235="","",VIPcric_1!E1235)</f>
        <v>177797</v>
      </c>
      <c r="F1253">
        <f>IF(VIPcric_1!F1235="","",VIPcric_1!F1235)</f>
        <v>11331</v>
      </c>
      <c r="G1253">
        <f>IF(VIPcric_1!G1235="","",VIPcric_1!G1235)</f>
        <v>234285513307</v>
      </c>
      <c r="H1253">
        <f>IF(VIPcric_1!H1235="","",VIPcric_1!H1235)</f>
        <v>1.18</v>
      </c>
      <c r="I1253" t="str">
        <f>IF(VIPcric_1!M1235="","",VIPcric_1!M1235)</f>
        <v>CRIC-成都-市场监测.商品房市场.项目累计.供求.xlsx</v>
      </c>
    </row>
    <row r="1254" spans="1:9">
      <c r="A1254" t="str">
        <f>IF(VIPcric_1!A1236="","",VIPcric_1!A1236)</f>
        <v>汇总</v>
      </c>
      <c r="B1254">
        <f>IF(VIPcric_1!B1236="","",VIPcric_1!B1236)</f>
        <v>104964694</v>
      </c>
      <c r="C1254">
        <f>IF(VIPcric_1!C1236="","",VIPcric_1!C1236)</f>
        <v>853051</v>
      </c>
      <c r="D1254">
        <f>IF(VIPcric_1!D1236="","",VIPcric_1!D1236)</f>
        <v>98677998</v>
      </c>
      <c r="E1254">
        <f>IF(VIPcric_1!E1236="","",VIPcric_1!E1236)</f>
        <v>811025</v>
      </c>
      <c r="F1254">
        <f>IF(VIPcric_1!F1236="","",VIPcric_1!F1236)</f>
        <v>15210</v>
      </c>
      <c r="G1254">
        <f>IF(VIPcric_1!G1236="","",VIPcric_1!G1236)</f>
        <v>1500876301374</v>
      </c>
      <c r="H1254">
        <f>IF(VIPcric_1!H1236="","",VIPcric_1!H1236)</f>
        <v>1.06</v>
      </c>
      <c r="I1254" t="str">
        <f>IF(VIPcric_1!M1236="","",VIPcric_1!M1236)</f>
        <v>CRIC-成都-市场监测.商品房市场.项目累计.供求.xlsx</v>
      </c>
    </row>
    <row r="1255" spans="1:9">
      <c r="A1255" t="str">
        <f>IF(VIPcric_1!A1237="","",VIPcric_1!A1237)</f>
        <v/>
      </c>
      <c r="B1255" t="str">
        <f>IF(VIPcric_1!B1237="","",VIPcric_1!B1237)</f>
        <v/>
      </c>
      <c r="C1255" t="str">
        <f>IF(VIPcric_1!C1237="","",VIPcric_1!C1237)</f>
        <v/>
      </c>
      <c r="D1255" t="str">
        <f>IF(VIPcric_1!D1237="","",VIPcric_1!D1237)</f>
        <v/>
      </c>
      <c r="E1255" t="str">
        <f>IF(VIPcric_1!E1237="","",VIPcric_1!E1237)</f>
        <v/>
      </c>
      <c r="F1255" t="str">
        <f>IF(VIPcric_1!F1237="","",VIPcric_1!F1237)</f>
        <v/>
      </c>
      <c r="G1255" t="str">
        <f>IF(VIPcric_1!G1237="","",VIPcric_1!G1237)</f>
        <v/>
      </c>
      <c r="H1255" t="str">
        <f>IF(VIPcric_1!H1237="","",VIPcric_1!H1237)</f>
        <v/>
      </c>
      <c r="I1255" t="str">
        <f>IF(VIPcric_1!M1237="","",VIPcric_1!M1237)</f>
        <v/>
      </c>
    </row>
    <row r="1256" spans="1:9">
      <c r="A1256" t="str">
        <f>IF(VIPcric_1!A1238="","",VIPcric_1!A1238)</f>
        <v/>
      </c>
      <c r="B1256" t="str">
        <f>IF(VIPcric_1!B1238="","",VIPcric_1!B1238)</f>
        <v/>
      </c>
      <c r="C1256" t="str">
        <f>IF(VIPcric_1!C1238="","",VIPcric_1!C1238)</f>
        <v/>
      </c>
      <c r="D1256" t="str">
        <f>IF(VIPcric_1!D1238="","",VIPcric_1!D1238)</f>
        <v/>
      </c>
      <c r="E1256" t="str">
        <f>IF(VIPcric_1!E1238="","",VIPcric_1!E1238)</f>
        <v/>
      </c>
      <c r="F1256" t="str">
        <f>IF(VIPcric_1!F1238="","",VIPcric_1!F1238)</f>
        <v/>
      </c>
      <c r="G1256" t="str">
        <f>IF(VIPcric_1!G1238="","",VIPcric_1!G1238)</f>
        <v/>
      </c>
      <c r="H1256" t="str">
        <f>IF(VIPcric_1!H1238="","",VIPcric_1!H1238)</f>
        <v/>
      </c>
      <c r="I1256" t="str">
        <f>IF(VIPcric_1!M1238="","",VIPcric_1!M1238)</f>
        <v>CRIC-成都-市场监测.商品房市场.项目累计.库存.xlsx</v>
      </c>
    </row>
    <row r="1257" spans="1:9">
      <c r="A1257" t="str">
        <f>IF(VIPcric_1!A1239="","",VIPcric_1!A1239)</f>
        <v>时间(年)</v>
      </c>
      <c r="B1257" t="str">
        <f>IF(VIPcric_1!B1239="","",VIPcric_1!B1239)</f>
        <v>库存面积(㎡)</v>
      </c>
      <c r="C1257" t="str">
        <f>IF(VIPcric_1!C1239="","",VIPcric_1!C1239)</f>
        <v>库存套数(套)</v>
      </c>
      <c r="D1257" t="str">
        <f>IF(VIPcric_1!D1239="","",VIPcric_1!D1239)</f>
        <v>去化周期12'(月)</v>
      </c>
      <c r="E1257" t="str">
        <f>IF(VIPcric_1!E1239="","",VIPcric_1!E1239)</f>
        <v/>
      </c>
      <c r="F1257" t="str">
        <f>IF(VIPcric_1!F1239="","",VIPcric_1!F1239)</f>
        <v/>
      </c>
      <c r="G1257" t="str">
        <f>IF(VIPcric_1!G1239="","",VIPcric_1!G1239)</f>
        <v/>
      </c>
      <c r="H1257" t="str">
        <f>IF(VIPcric_1!H1239="","",VIPcric_1!H1239)</f>
        <v/>
      </c>
      <c r="I1257" t="str">
        <f>IF(VIPcric_1!M1239="","",VIPcric_1!M1239)</f>
        <v>CRIC-成都-市场监测.商品房市场.项目累计.库存.xlsx</v>
      </c>
    </row>
    <row r="1258" spans="1:9">
      <c r="A1258" t="str">
        <f>IF(VIPcric_1!A1240="","",VIPcric_1!A1240)</f>
        <v>2023年</v>
      </c>
      <c r="B1258">
        <f>IF(VIPcric_1!B1240="","",VIPcric_1!B1240)</f>
        <v>19794593</v>
      </c>
      <c r="C1258">
        <f>IF(VIPcric_1!C1240="","",VIPcric_1!C1240)</f>
        <v>161669</v>
      </c>
      <c r="D1258">
        <f>IF(VIPcric_1!D1240="","",VIPcric_1!D1240)</f>
        <v>13.7</v>
      </c>
      <c r="E1258" t="str">
        <f>IF(VIPcric_1!E1240="","",VIPcric_1!E1240)</f>
        <v/>
      </c>
      <c r="F1258" t="str">
        <f>IF(VIPcric_1!F1240="","",VIPcric_1!F1240)</f>
        <v/>
      </c>
      <c r="G1258" t="str">
        <f>IF(VIPcric_1!G1240="","",VIPcric_1!G1240)</f>
        <v/>
      </c>
      <c r="H1258" t="str">
        <f>IF(VIPcric_1!H1240="","",VIPcric_1!H1240)</f>
        <v/>
      </c>
      <c r="I1258" t="str">
        <f>IF(VIPcric_1!M1240="","",VIPcric_1!M1240)</f>
        <v>CRIC-成都-市场监测.商品房市场.项目累计.库存.xlsx</v>
      </c>
    </row>
    <row r="1259" spans="1:9">
      <c r="A1259" t="str">
        <f>IF(VIPcric_1!A1241="","",VIPcric_1!A1241)</f>
        <v>2022年</v>
      </c>
      <c r="B1259">
        <f>IF(VIPcric_1!B1241="","",VIPcric_1!B1241)</f>
        <v>13886971</v>
      </c>
      <c r="C1259">
        <f>IF(VIPcric_1!C1241="","",VIPcric_1!C1241)</f>
        <v>104576</v>
      </c>
      <c r="D1259">
        <f>IF(VIPcric_1!D1241="","",VIPcric_1!D1241)</f>
        <v>9.9</v>
      </c>
      <c r="E1259" t="str">
        <f>IF(VIPcric_1!E1241="","",VIPcric_1!E1241)</f>
        <v/>
      </c>
      <c r="F1259" t="str">
        <f>IF(VIPcric_1!F1241="","",VIPcric_1!F1241)</f>
        <v/>
      </c>
      <c r="G1259" t="str">
        <f>IF(VIPcric_1!G1241="","",VIPcric_1!G1241)</f>
        <v/>
      </c>
      <c r="H1259" t="str">
        <f>IF(VIPcric_1!H1241="","",VIPcric_1!H1241)</f>
        <v/>
      </c>
      <c r="I1259" t="str">
        <f>IF(VIPcric_1!M1241="","",VIPcric_1!M1241)</f>
        <v>CRIC-成都-市场监测.商品房市场.项目累计.库存.xlsx</v>
      </c>
    </row>
    <row r="1260" spans="1:9">
      <c r="A1260" t="str">
        <f>IF(VIPcric_1!A1242="","",VIPcric_1!A1242)</f>
        <v>2021年</v>
      </c>
      <c r="B1260">
        <f>IF(VIPcric_1!B1242="","",VIPcric_1!B1242)</f>
        <v>12825453</v>
      </c>
      <c r="C1260">
        <f>IF(VIPcric_1!C1242="","",VIPcric_1!C1242)</f>
        <v>96820</v>
      </c>
      <c r="D1260">
        <f>IF(VIPcric_1!D1242="","",VIPcric_1!D1242)</f>
        <v>6.7</v>
      </c>
      <c r="E1260" t="str">
        <f>IF(VIPcric_1!E1242="","",VIPcric_1!E1242)</f>
        <v/>
      </c>
      <c r="F1260" t="str">
        <f>IF(VIPcric_1!F1242="","",VIPcric_1!F1242)</f>
        <v/>
      </c>
      <c r="G1260" t="str">
        <f>IF(VIPcric_1!G1242="","",VIPcric_1!G1242)</f>
        <v/>
      </c>
      <c r="H1260" t="str">
        <f>IF(VIPcric_1!H1242="","",VIPcric_1!H1242)</f>
        <v/>
      </c>
      <c r="I1260" t="str">
        <f>IF(VIPcric_1!M1242="","",VIPcric_1!M1242)</f>
        <v>CRIC-成都-市场监测.商品房市场.项目累计.库存.xlsx</v>
      </c>
    </row>
    <row r="1261" spans="1:9">
      <c r="A1261" t="str">
        <f>IF(VIPcric_1!A1243="","",VIPcric_1!A1243)</f>
        <v>2020年</v>
      </c>
      <c r="B1261">
        <f>IF(VIPcric_1!B1243="","",VIPcric_1!B1243)</f>
        <v>12833347</v>
      </c>
      <c r="C1261">
        <f>IF(VIPcric_1!C1243="","",VIPcric_1!C1243)</f>
        <v>100738</v>
      </c>
      <c r="D1261">
        <f>IF(VIPcric_1!D1243="","",VIPcric_1!D1243)</f>
        <v>7.3</v>
      </c>
      <c r="E1261" t="str">
        <f>IF(VIPcric_1!E1243="","",VIPcric_1!E1243)</f>
        <v/>
      </c>
      <c r="F1261" t="str">
        <f>IF(VIPcric_1!F1243="","",VIPcric_1!F1243)</f>
        <v/>
      </c>
      <c r="G1261" t="str">
        <f>IF(VIPcric_1!G1243="","",VIPcric_1!G1243)</f>
        <v/>
      </c>
      <c r="H1261" t="str">
        <f>IF(VIPcric_1!H1243="","",VIPcric_1!H1243)</f>
        <v/>
      </c>
      <c r="I1261" t="str">
        <f>IF(VIPcric_1!M1243="","",VIPcric_1!M1243)</f>
        <v>CRIC-成都-市场监测.商品房市场.项目累计.库存.xlsx</v>
      </c>
    </row>
    <row r="1262" spans="1:9">
      <c r="A1262" t="str">
        <f>IF(VIPcric_1!A1244="","",VIPcric_1!A1244)</f>
        <v>2019年</v>
      </c>
      <c r="B1262">
        <f>IF(VIPcric_1!B1244="","",VIPcric_1!B1244)</f>
        <v>7966861</v>
      </c>
      <c r="C1262">
        <f>IF(VIPcric_1!C1244="","",VIPcric_1!C1244)</f>
        <v>60445</v>
      </c>
      <c r="D1262">
        <f>IF(VIPcric_1!D1244="","",VIPcric_1!D1244)</f>
        <v>4.5999999999999996</v>
      </c>
      <c r="E1262" t="str">
        <f>IF(VIPcric_1!E1244="","",VIPcric_1!E1244)</f>
        <v/>
      </c>
      <c r="F1262" t="str">
        <f>IF(VIPcric_1!F1244="","",VIPcric_1!F1244)</f>
        <v/>
      </c>
      <c r="G1262" t="str">
        <f>IF(VIPcric_1!G1244="","",VIPcric_1!G1244)</f>
        <v/>
      </c>
      <c r="H1262" t="str">
        <f>IF(VIPcric_1!H1244="","",VIPcric_1!H1244)</f>
        <v/>
      </c>
      <c r="I1262" t="str">
        <f>IF(VIPcric_1!M1244="","",VIPcric_1!M1244)</f>
        <v>CRIC-成都-市场监测.商品房市场.项目累计.库存.xlsx</v>
      </c>
    </row>
    <row r="1263" spans="1:9">
      <c r="A1263" t="str">
        <f>IF(VIPcric_1!A1245="","",VIPcric_1!A1245)</f>
        <v/>
      </c>
      <c r="B1263" t="str">
        <f>IF(VIPcric_1!B1245="","",VIPcric_1!B1245)</f>
        <v/>
      </c>
      <c r="C1263" t="str">
        <f>IF(VIPcric_1!C1245="","",VIPcric_1!C1245)</f>
        <v/>
      </c>
      <c r="D1263" t="str">
        <f>IF(VIPcric_1!D1245="","",VIPcric_1!D1245)</f>
        <v/>
      </c>
      <c r="E1263" t="str">
        <f>IF(VIPcric_1!E1245="","",VIPcric_1!E1245)</f>
        <v/>
      </c>
      <c r="F1263" t="str">
        <f>IF(VIPcric_1!F1245="","",VIPcric_1!F1245)</f>
        <v/>
      </c>
      <c r="G1263" t="str">
        <f>IF(VIPcric_1!G1245="","",VIPcric_1!G1245)</f>
        <v/>
      </c>
      <c r="H1263" t="str">
        <f>IF(VIPcric_1!H1245="","",VIPcric_1!H1245)</f>
        <v/>
      </c>
      <c r="I1263" t="str">
        <f>IF(VIPcric_1!M1245="","",VIPcric_1!M1245)</f>
        <v/>
      </c>
    </row>
    <row r="1264" spans="1:9">
      <c r="A1264" t="str">
        <f>IF(VIPcric_1!A1246="","",VIPcric_1!A1246)</f>
        <v/>
      </c>
      <c r="B1264" t="str">
        <f>IF(VIPcric_1!B1246="","",VIPcric_1!B1246)</f>
        <v/>
      </c>
      <c r="C1264" t="str">
        <f>IF(VIPcric_1!C1246="","",VIPcric_1!C1246)</f>
        <v/>
      </c>
      <c r="D1264" t="str">
        <f>IF(VIPcric_1!D1246="","",VIPcric_1!D1246)</f>
        <v/>
      </c>
      <c r="E1264" t="str">
        <f>IF(VIPcric_1!E1246="","",VIPcric_1!E1246)</f>
        <v/>
      </c>
      <c r="F1264" t="str">
        <f>IF(VIPcric_1!F1246="","",VIPcric_1!F1246)</f>
        <v/>
      </c>
      <c r="G1264" t="str">
        <f>IF(VIPcric_1!G1246="","",VIPcric_1!G1246)</f>
        <v/>
      </c>
      <c r="H1264" t="str">
        <f>IF(VIPcric_1!H1246="","",VIPcric_1!H1246)</f>
        <v/>
      </c>
      <c r="I1264" t="str">
        <f>IF(VIPcric_1!M1246="","",VIPcric_1!M1246)</f>
        <v>CRIC-扬州-市场监测.商品房市场.城市总量.xlsx</v>
      </c>
    </row>
    <row r="1265" spans="1:9">
      <c r="A1265" t="str">
        <f>IF(VIPcric_1!A1247="","",VIPcric_1!A1247)</f>
        <v>时间(年)</v>
      </c>
      <c r="B1265" t="str">
        <f>IF(VIPcric_1!B1247="","",VIPcric_1!B1247)</f>
        <v>成交面积(㎡)</v>
      </c>
      <c r="C1265" t="str">
        <f>IF(VIPcric_1!C1247="","",VIPcric_1!C1247)</f>
        <v>成交套数(套)</v>
      </c>
      <c r="D1265" t="str">
        <f>IF(VIPcric_1!D1247="","",VIPcric_1!D1247)</f>
        <v/>
      </c>
      <c r="E1265" t="str">
        <f>IF(VIPcric_1!E1247="","",VIPcric_1!E1247)</f>
        <v/>
      </c>
      <c r="F1265" t="str">
        <f>IF(VIPcric_1!F1247="","",VIPcric_1!F1247)</f>
        <v/>
      </c>
      <c r="G1265" t="str">
        <f>IF(VIPcric_1!G1247="","",VIPcric_1!G1247)</f>
        <v/>
      </c>
      <c r="H1265" t="str">
        <f>IF(VIPcric_1!H1247="","",VIPcric_1!H1247)</f>
        <v/>
      </c>
      <c r="I1265" t="str">
        <f>IF(VIPcric_1!M1247="","",VIPcric_1!M1247)</f>
        <v>CRIC-扬州-市场监测.商品房市场.城市总量.xlsx</v>
      </c>
    </row>
    <row r="1266" spans="1:9">
      <c r="A1266" t="str">
        <f>IF(VIPcric_1!A1248="","",VIPcric_1!A1248)</f>
        <v>2024年</v>
      </c>
      <c r="B1266">
        <f>IF(VIPcric_1!B1248="","",VIPcric_1!B1248)</f>
        <v>132109</v>
      </c>
      <c r="C1266">
        <f>IF(VIPcric_1!C1248="","",VIPcric_1!C1248)</f>
        <v>1006</v>
      </c>
      <c r="D1266" t="str">
        <f>IF(VIPcric_1!D1248="","",VIPcric_1!D1248)</f>
        <v/>
      </c>
      <c r="E1266" t="str">
        <f>IF(VIPcric_1!E1248="","",VIPcric_1!E1248)</f>
        <v/>
      </c>
      <c r="F1266" t="str">
        <f>IF(VIPcric_1!F1248="","",VIPcric_1!F1248)</f>
        <v/>
      </c>
      <c r="G1266" t="str">
        <f>IF(VIPcric_1!G1248="","",VIPcric_1!G1248)</f>
        <v/>
      </c>
      <c r="H1266" t="str">
        <f>IF(VIPcric_1!H1248="","",VIPcric_1!H1248)</f>
        <v/>
      </c>
      <c r="I1266" t="str">
        <f>IF(VIPcric_1!M1248="","",VIPcric_1!M1248)</f>
        <v>CRIC-扬州-市场监测.商品房市场.城市总量.xlsx</v>
      </c>
    </row>
    <row r="1267" spans="1:9">
      <c r="A1267" t="str">
        <f>IF(VIPcric_1!A1249="","",VIPcric_1!A1249)</f>
        <v>2023年</v>
      </c>
      <c r="B1267">
        <f>IF(VIPcric_1!B1249="","",VIPcric_1!B1249)</f>
        <v>1231600</v>
      </c>
      <c r="C1267">
        <f>IF(VIPcric_1!C1249="","",VIPcric_1!C1249)</f>
        <v>9720</v>
      </c>
      <c r="D1267" t="str">
        <f>IF(VIPcric_1!D1249="","",VIPcric_1!D1249)</f>
        <v/>
      </c>
      <c r="E1267" t="str">
        <f>IF(VIPcric_1!E1249="","",VIPcric_1!E1249)</f>
        <v/>
      </c>
      <c r="F1267" t="str">
        <f>IF(VIPcric_1!F1249="","",VIPcric_1!F1249)</f>
        <v/>
      </c>
      <c r="G1267" t="str">
        <f>IF(VIPcric_1!G1249="","",VIPcric_1!G1249)</f>
        <v/>
      </c>
      <c r="H1267" t="str">
        <f>IF(VIPcric_1!H1249="","",VIPcric_1!H1249)</f>
        <v/>
      </c>
      <c r="I1267" t="str">
        <f>IF(VIPcric_1!M1249="","",VIPcric_1!M1249)</f>
        <v>CRIC-扬州-市场监测.商品房市场.城市总量.xlsx</v>
      </c>
    </row>
    <row r="1268" spans="1:9">
      <c r="A1268" t="str">
        <f>IF(VIPcric_1!A1250="","",VIPcric_1!A1250)</f>
        <v>2022年</v>
      </c>
      <c r="B1268">
        <f>IF(VIPcric_1!B1250="","",VIPcric_1!B1250)</f>
        <v>1463731</v>
      </c>
      <c r="C1268">
        <f>IF(VIPcric_1!C1250="","",VIPcric_1!C1250)</f>
        <v>11889</v>
      </c>
      <c r="D1268" t="str">
        <f>IF(VIPcric_1!D1250="","",VIPcric_1!D1250)</f>
        <v/>
      </c>
      <c r="E1268" t="str">
        <f>IF(VIPcric_1!E1250="","",VIPcric_1!E1250)</f>
        <v/>
      </c>
      <c r="F1268" t="str">
        <f>IF(VIPcric_1!F1250="","",VIPcric_1!F1250)</f>
        <v/>
      </c>
      <c r="G1268" t="str">
        <f>IF(VIPcric_1!G1250="","",VIPcric_1!G1250)</f>
        <v/>
      </c>
      <c r="H1268" t="str">
        <f>IF(VIPcric_1!H1250="","",VIPcric_1!H1250)</f>
        <v/>
      </c>
      <c r="I1268" t="str">
        <f>IF(VIPcric_1!M1250="","",VIPcric_1!M1250)</f>
        <v>CRIC-扬州-市场监测.商品房市场.城市总量.xlsx</v>
      </c>
    </row>
    <row r="1269" spans="1:9">
      <c r="A1269" t="str">
        <f>IF(VIPcric_1!A1251="","",VIPcric_1!A1251)</f>
        <v>2021年</v>
      </c>
      <c r="B1269">
        <f>IF(VIPcric_1!B1251="","",VIPcric_1!B1251)</f>
        <v>2333740</v>
      </c>
      <c r="C1269">
        <f>IF(VIPcric_1!C1251="","",VIPcric_1!C1251)</f>
        <v>19411</v>
      </c>
      <c r="D1269" t="str">
        <f>IF(VIPcric_1!D1251="","",VIPcric_1!D1251)</f>
        <v/>
      </c>
      <c r="E1269" t="str">
        <f>IF(VIPcric_1!E1251="","",VIPcric_1!E1251)</f>
        <v/>
      </c>
      <c r="F1269" t="str">
        <f>IF(VIPcric_1!F1251="","",VIPcric_1!F1251)</f>
        <v/>
      </c>
      <c r="G1269" t="str">
        <f>IF(VIPcric_1!G1251="","",VIPcric_1!G1251)</f>
        <v/>
      </c>
      <c r="H1269" t="str">
        <f>IF(VIPcric_1!H1251="","",VIPcric_1!H1251)</f>
        <v/>
      </c>
      <c r="I1269" t="str">
        <f>IF(VIPcric_1!M1251="","",VIPcric_1!M1251)</f>
        <v>CRIC-扬州-市场监测.商品房市场.城市总量.xlsx</v>
      </c>
    </row>
    <row r="1270" spans="1:9">
      <c r="A1270" t="str">
        <f>IF(VIPcric_1!A1252="","",VIPcric_1!A1252)</f>
        <v>2020年</v>
      </c>
      <c r="B1270">
        <f>IF(VIPcric_1!B1252="","",VIPcric_1!B1252)</f>
        <v>1633287</v>
      </c>
      <c r="C1270">
        <f>IF(VIPcric_1!C1252="","",VIPcric_1!C1252)</f>
        <v>13503</v>
      </c>
      <c r="D1270" t="str">
        <f>IF(VIPcric_1!D1252="","",VIPcric_1!D1252)</f>
        <v/>
      </c>
      <c r="E1270" t="str">
        <f>IF(VIPcric_1!E1252="","",VIPcric_1!E1252)</f>
        <v/>
      </c>
      <c r="F1270" t="str">
        <f>IF(VIPcric_1!F1252="","",VIPcric_1!F1252)</f>
        <v/>
      </c>
      <c r="G1270" t="str">
        <f>IF(VIPcric_1!G1252="","",VIPcric_1!G1252)</f>
        <v/>
      </c>
      <c r="H1270" t="str">
        <f>IF(VIPcric_1!H1252="","",VIPcric_1!H1252)</f>
        <v/>
      </c>
      <c r="I1270" t="str">
        <f>IF(VIPcric_1!M1252="","",VIPcric_1!M1252)</f>
        <v>CRIC-扬州-市场监测.商品房市场.城市总量.xlsx</v>
      </c>
    </row>
    <row r="1271" spans="1:9">
      <c r="A1271" t="str">
        <f>IF(VIPcric_1!A1253="","",VIPcric_1!A1253)</f>
        <v>2019年</v>
      </c>
      <c r="B1271">
        <f>IF(VIPcric_1!B1253="","",VIPcric_1!B1253)</f>
        <v>2310805</v>
      </c>
      <c r="C1271">
        <f>IF(VIPcric_1!C1253="","",VIPcric_1!C1253)</f>
        <v>18337</v>
      </c>
      <c r="D1271" t="str">
        <f>IF(VIPcric_1!D1253="","",VIPcric_1!D1253)</f>
        <v/>
      </c>
      <c r="E1271" t="str">
        <f>IF(VIPcric_1!E1253="","",VIPcric_1!E1253)</f>
        <v/>
      </c>
      <c r="F1271" t="str">
        <f>IF(VIPcric_1!F1253="","",VIPcric_1!F1253)</f>
        <v/>
      </c>
      <c r="G1271" t="str">
        <f>IF(VIPcric_1!G1253="","",VIPcric_1!G1253)</f>
        <v/>
      </c>
      <c r="H1271" t="str">
        <f>IF(VIPcric_1!H1253="","",VIPcric_1!H1253)</f>
        <v/>
      </c>
      <c r="I1271" t="str">
        <f>IF(VIPcric_1!M1253="","",VIPcric_1!M1253)</f>
        <v>CRIC-扬州-市场监测.商品房市场.城市总量.xlsx</v>
      </c>
    </row>
    <row r="1272" spans="1:9">
      <c r="A1272" t="str">
        <f>IF(VIPcric_1!A1254="","",VIPcric_1!A1254)</f>
        <v>汇总</v>
      </c>
      <c r="B1272">
        <f>IF(VIPcric_1!B1254="","",VIPcric_1!B1254)</f>
        <v>9105271</v>
      </c>
      <c r="C1272">
        <f>IF(VIPcric_1!C1254="","",VIPcric_1!C1254)</f>
        <v>73866</v>
      </c>
      <c r="D1272" t="str">
        <f>IF(VIPcric_1!D1254="","",VIPcric_1!D1254)</f>
        <v/>
      </c>
      <c r="E1272" t="str">
        <f>IF(VIPcric_1!E1254="","",VIPcric_1!E1254)</f>
        <v/>
      </c>
      <c r="F1272" t="str">
        <f>IF(VIPcric_1!F1254="","",VIPcric_1!F1254)</f>
        <v/>
      </c>
      <c r="G1272" t="str">
        <f>IF(VIPcric_1!G1254="","",VIPcric_1!G1254)</f>
        <v/>
      </c>
      <c r="H1272" t="str">
        <f>IF(VIPcric_1!H1254="","",VIPcric_1!H1254)</f>
        <v/>
      </c>
      <c r="I1272" t="str">
        <f>IF(VIPcric_1!M1254="","",VIPcric_1!M1254)</f>
        <v>CRIC-扬州-市场监测.商品房市场.城市总量.xlsx</v>
      </c>
    </row>
    <row r="1273" spans="1:9">
      <c r="A1273" t="str">
        <f>IF(VIPcric_1!A1255="","",VIPcric_1!A1255)</f>
        <v/>
      </c>
      <c r="B1273" t="str">
        <f>IF(VIPcric_1!B1255="","",VIPcric_1!B1255)</f>
        <v/>
      </c>
      <c r="C1273" t="str">
        <f>IF(VIPcric_1!C1255="","",VIPcric_1!C1255)</f>
        <v/>
      </c>
      <c r="D1273" t="str">
        <f>IF(VIPcric_1!D1255="","",VIPcric_1!D1255)</f>
        <v/>
      </c>
      <c r="E1273" t="str">
        <f>IF(VIPcric_1!E1255="","",VIPcric_1!E1255)</f>
        <v/>
      </c>
      <c r="F1273" t="str">
        <f>IF(VIPcric_1!F1255="","",VIPcric_1!F1255)</f>
        <v/>
      </c>
      <c r="G1273" t="str">
        <f>IF(VIPcric_1!G1255="","",VIPcric_1!G1255)</f>
        <v/>
      </c>
      <c r="H1273" t="str">
        <f>IF(VIPcric_1!H1255="","",VIPcric_1!H1255)</f>
        <v/>
      </c>
      <c r="I1273" t="str">
        <f>IF(VIPcric_1!M1255="","",VIPcric_1!M1255)</f>
        <v/>
      </c>
    </row>
    <row r="1274" spans="1:9">
      <c r="A1274" t="str">
        <f>IF(VIPcric_1!A1256="","",VIPcric_1!A1256)</f>
        <v/>
      </c>
      <c r="B1274" t="str">
        <f>IF(VIPcric_1!B1256="","",VIPcric_1!B1256)</f>
        <v/>
      </c>
      <c r="C1274" t="str">
        <f>IF(VIPcric_1!C1256="","",VIPcric_1!C1256)</f>
        <v/>
      </c>
      <c r="D1274" t="str">
        <f>IF(VIPcric_1!D1256="","",VIPcric_1!D1256)</f>
        <v/>
      </c>
      <c r="E1274" t="str">
        <f>IF(VIPcric_1!E1256="","",VIPcric_1!E1256)</f>
        <v/>
      </c>
      <c r="F1274" t="str">
        <f>IF(VIPcric_1!F1256="","",VIPcric_1!F1256)</f>
        <v/>
      </c>
      <c r="G1274" t="str">
        <f>IF(VIPcric_1!G1256="","",VIPcric_1!G1256)</f>
        <v/>
      </c>
      <c r="H1274" t="str">
        <f>IF(VIPcric_1!H1256="","",VIPcric_1!H1256)</f>
        <v/>
      </c>
      <c r="I1274" t="str">
        <f>IF(VIPcric_1!M1256="","",VIPcric_1!M1256)</f>
        <v>CRIC-抚州-市场监测.商品房市场.项目累计.供求.xlsx</v>
      </c>
    </row>
    <row r="1275" spans="1:9">
      <c r="A1275" t="str">
        <f>IF(VIPcric_1!A1257="","",VIPcric_1!A1257)</f>
        <v>时间(年)</v>
      </c>
      <c r="B1275" t="str">
        <f>IF(VIPcric_1!B1257="","",VIPcric_1!B1257)</f>
        <v>供应面积(㎡)</v>
      </c>
      <c r="C1275" t="str">
        <f>IF(VIPcric_1!C1257="","",VIPcric_1!C1257)</f>
        <v>供应套数(套)</v>
      </c>
      <c r="D1275" t="str">
        <f>IF(VIPcric_1!D1257="","",VIPcric_1!D1257)</f>
        <v>成交面积(㎡)</v>
      </c>
      <c r="E1275" t="str">
        <f>IF(VIPcric_1!E1257="","",VIPcric_1!E1257)</f>
        <v>成交套数(套)</v>
      </c>
      <c r="F1275" t="str">
        <f>IF(VIPcric_1!F1257="","",VIPcric_1!F1257)</f>
        <v>成交均价(元/㎡)</v>
      </c>
      <c r="G1275" t="str">
        <f>IF(VIPcric_1!G1257="","",VIPcric_1!G1257)</f>
        <v>成交金额(元)</v>
      </c>
      <c r="H1275" t="str">
        <f>IF(VIPcric_1!H1257="","",VIPcric_1!H1257)</f>
        <v>供求比</v>
      </c>
      <c r="I1275" t="str">
        <f>IF(VIPcric_1!M1257="","",VIPcric_1!M1257)</f>
        <v>CRIC-抚州-市场监测.商品房市场.项目累计.供求.xlsx</v>
      </c>
    </row>
    <row r="1276" spans="1:9">
      <c r="A1276" t="str">
        <f>IF(VIPcric_1!A1258="","",VIPcric_1!A1258)</f>
        <v>2021年</v>
      </c>
      <c r="B1276">
        <f>IF(VIPcric_1!B1258="","",VIPcric_1!B1258)</f>
        <v>0</v>
      </c>
      <c r="C1276">
        <f>IF(VIPcric_1!C1258="","",VIPcric_1!C1258)</f>
        <v>0</v>
      </c>
      <c r="D1276">
        <f>IF(VIPcric_1!D1258="","",VIPcric_1!D1258)</f>
        <v>5147</v>
      </c>
      <c r="E1276">
        <f>IF(VIPcric_1!E1258="","",VIPcric_1!E1258)</f>
        <v>47</v>
      </c>
      <c r="F1276">
        <f>IF(VIPcric_1!F1258="","",VIPcric_1!F1258)</f>
        <v>8111</v>
      </c>
      <c r="G1276">
        <f>IF(VIPcric_1!G1258="","",VIPcric_1!G1258)</f>
        <v>41747157</v>
      </c>
      <c r="H1276">
        <f>IF(VIPcric_1!H1258="","",VIPcric_1!H1258)</f>
        <v>0</v>
      </c>
      <c r="I1276" t="str">
        <f>IF(VIPcric_1!M1258="","",VIPcric_1!M1258)</f>
        <v>CRIC-抚州-市场监测.商品房市场.项目累计.供求.xlsx</v>
      </c>
    </row>
    <row r="1277" spans="1:9">
      <c r="A1277" t="str">
        <f>IF(VIPcric_1!A1259="","",VIPcric_1!A1259)</f>
        <v>2020年</v>
      </c>
      <c r="B1277">
        <f>IF(VIPcric_1!B1259="","",VIPcric_1!B1259)</f>
        <v>489603</v>
      </c>
      <c r="C1277">
        <f>IF(VIPcric_1!C1259="","",VIPcric_1!C1259)</f>
        <v>4349</v>
      </c>
      <c r="D1277">
        <f>IF(VIPcric_1!D1259="","",VIPcric_1!D1259)</f>
        <v>346954</v>
      </c>
      <c r="E1277">
        <f>IF(VIPcric_1!E1259="","",VIPcric_1!E1259)</f>
        <v>3131</v>
      </c>
      <c r="F1277">
        <f>IF(VIPcric_1!F1259="","",VIPcric_1!F1259)</f>
        <v>8238</v>
      </c>
      <c r="G1277">
        <f>IF(VIPcric_1!G1259="","",VIPcric_1!G1259)</f>
        <v>2858125234</v>
      </c>
      <c r="H1277">
        <f>IF(VIPcric_1!H1259="","",VIPcric_1!H1259)</f>
        <v>1.41</v>
      </c>
      <c r="I1277" t="str">
        <f>IF(VIPcric_1!M1259="","",VIPcric_1!M1259)</f>
        <v>CRIC-抚州-市场监测.商品房市场.项目累计.供求.xlsx</v>
      </c>
    </row>
    <row r="1278" spans="1:9">
      <c r="A1278" t="str">
        <f>IF(VIPcric_1!A1260="","",VIPcric_1!A1260)</f>
        <v>2019年</v>
      </c>
      <c r="B1278">
        <f>IF(VIPcric_1!B1260="","",VIPcric_1!B1260)</f>
        <v>674593</v>
      </c>
      <c r="C1278">
        <f>IF(VIPcric_1!C1260="","",VIPcric_1!C1260)</f>
        <v>5995</v>
      </c>
      <c r="D1278">
        <f>IF(VIPcric_1!D1260="","",VIPcric_1!D1260)</f>
        <v>41585</v>
      </c>
      <c r="E1278">
        <f>IF(VIPcric_1!E1260="","",VIPcric_1!E1260)</f>
        <v>374</v>
      </c>
      <c r="F1278">
        <f>IF(VIPcric_1!F1260="","",VIPcric_1!F1260)</f>
        <v>7691</v>
      </c>
      <c r="G1278">
        <f>IF(VIPcric_1!G1260="","",VIPcric_1!G1260)</f>
        <v>319810226</v>
      </c>
      <c r="H1278">
        <f>IF(VIPcric_1!H1260="","",VIPcric_1!H1260)</f>
        <v>16.22</v>
      </c>
      <c r="I1278" t="str">
        <f>IF(VIPcric_1!M1260="","",VIPcric_1!M1260)</f>
        <v>CRIC-抚州-市场监测.商品房市场.项目累计.供求.xlsx</v>
      </c>
    </row>
    <row r="1279" spans="1:9">
      <c r="A1279" t="str">
        <f>IF(VIPcric_1!A1261="","",VIPcric_1!A1261)</f>
        <v>2018年</v>
      </c>
      <c r="B1279">
        <f>IF(VIPcric_1!B1261="","",VIPcric_1!B1261)</f>
        <v>901265</v>
      </c>
      <c r="C1279">
        <f>IF(VIPcric_1!C1261="","",VIPcric_1!C1261)</f>
        <v>8362</v>
      </c>
      <c r="D1279">
        <f>IF(VIPcric_1!D1261="","",VIPcric_1!D1261)</f>
        <v>0</v>
      </c>
      <c r="E1279">
        <f>IF(VIPcric_1!E1261="","",VIPcric_1!E1261)</f>
        <v>0</v>
      </c>
      <c r="F1279">
        <f>IF(VIPcric_1!F1261="","",VIPcric_1!F1261)</f>
        <v>0</v>
      </c>
      <c r="G1279">
        <f>IF(VIPcric_1!G1261="","",VIPcric_1!G1261)</f>
        <v>0</v>
      </c>
      <c r="H1279">
        <f>IF(VIPcric_1!H1261="","",VIPcric_1!H1261)</f>
        <v>0</v>
      </c>
      <c r="I1279" t="str">
        <f>IF(VIPcric_1!M1261="","",VIPcric_1!M1261)</f>
        <v>CRIC-抚州-市场监测.商品房市场.项目累计.供求.xlsx</v>
      </c>
    </row>
    <row r="1280" spans="1:9">
      <c r="A1280" t="str">
        <f>IF(VIPcric_1!A1262="","",VIPcric_1!A1262)</f>
        <v>2017年</v>
      </c>
      <c r="B1280">
        <f>IF(VIPcric_1!B1262="","",VIPcric_1!B1262)</f>
        <v>745776</v>
      </c>
      <c r="C1280">
        <f>IF(VIPcric_1!C1262="","",VIPcric_1!C1262)</f>
        <v>6988</v>
      </c>
      <c r="D1280">
        <f>IF(VIPcric_1!D1262="","",VIPcric_1!D1262)</f>
        <v>0</v>
      </c>
      <c r="E1280">
        <f>IF(VIPcric_1!E1262="","",VIPcric_1!E1262)</f>
        <v>0</v>
      </c>
      <c r="F1280">
        <f>IF(VIPcric_1!F1262="","",VIPcric_1!F1262)</f>
        <v>0</v>
      </c>
      <c r="G1280">
        <f>IF(VIPcric_1!G1262="","",VIPcric_1!G1262)</f>
        <v>0</v>
      </c>
      <c r="H1280">
        <f>IF(VIPcric_1!H1262="","",VIPcric_1!H1262)</f>
        <v>0</v>
      </c>
      <c r="I1280" t="str">
        <f>IF(VIPcric_1!M1262="","",VIPcric_1!M1262)</f>
        <v>CRIC-抚州-市场监测.商品房市场.项目累计.供求.xlsx</v>
      </c>
    </row>
    <row r="1281" spans="1:9">
      <c r="A1281" t="str">
        <f>IF(VIPcric_1!A1263="","",VIPcric_1!A1263)</f>
        <v>2016年</v>
      </c>
      <c r="B1281">
        <f>IF(VIPcric_1!B1263="","",VIPcric_1!B1263)</f>
        <v>1621905</v>
      </c>
      <c r="C1281">
        <f>IF(VIPcric_1!C1263="","",VIPcric_1!C1263)</f>
        <v>14486</v>
      </c>
      <c r="D1281">
        <f>IF(VIPcric_1!D1263="","",VIPcric_1!D1263)</f>
        <v>0</v>
      </c>
      <c r="E1281">
        <f>IF(VIPcric_1!E1263="","",VIPcric_1!E1263)</f>
        <v>0</v>
      </c>
      <c r="F1281">
        <f>IF(VIPcric_1!F1263="","",VIPcric_1!F1263)</f>
        <v>0</v>
      </c>
      <c r="G1281">
        <f>IF(VIPcric_1!G1263="","",VIPcric_1!G1263)</f>
        <v>0</v>
      </c>
      <c r="H1281">
        <f>IF(VIPcric_1!H1263="","",VIPcric_1!H1263)</f>
        <v>0</v>
      </c>
      <c r="I1281" t="str">
        <f>IF(VIPcric_1!M1263="","",VIPcric_1!M1263)</f>
        <v>CRIC-抚州-市场监测.商品房市场.项目累计.供求.xlsx</v>
      </c>
    </row>
    <row r="1282" spans="1:9">
      <c r="A1282" t="str">
        <f>IF(VIPcric_1!A1264="","",VIPcric_1!A1264)</f>
        <v>汇总</v>
      </c>
      <c r="B1282">
        <f>IF(VIPcric_1!B1264="","",VIPcric_1!B1264)</f>
        <v>4433142</v>
      </c>
      <c r="C1282">
        <f>IF(VIPcric_1!C1264="","",VIPcric_1!C1264)</f>
        <v>40180</v>
      </c>
      <c r="D1282">
        <f>IF(VIPcric_1!D1264="","",VIPcric_1!D1264)</f>
        <v>393685</v>
      </c>
      <c r="E1282">
        <f>IF(VIPcric_1!E1264="","",VIPcric_1!E1264)</f>
        <v>3552</v>
      </c>
      <c r="F1282">
        <f>IF(VIPcric_1!F1264="","",VIPcric_1!F1264)</f>
        <v>8178</v>
      </c>
      <c r="G1282">
        <f>IF(VIPcric_1!G1264="","",VIPcric_1!G1264)</f>
        <v>3219682617</v>
      </c>
      <c r="H1282">
        <f>IF(VIPcric_1!H1264="","",VIPcric_1!H1264)</f>
        <v>11.26</v>
      </c>
      <c r="I1282" t="str">
        <f>IF(VIPcric_1!M1264="","",VIPcric_1!M1264)</f>
        <v>CRIC-抚州-市场监测.商品房市场.项目累计.供求.xlsx</v>
      </c>
    </row>
    <row r="1283" spans="1:9">
      <c r="A1283" t="str">
        <f>IF(VIPcric_1!A1265="","",VIPcric_1!A1265)</f>
        <v/>
      </c>
      <c r="B1283" t="str">
        <f>IF(VIPcric_1!B1265="","",VIPcric_1!B1265)</f>
        <v/>
      </c>
      <c r="C1283" t="str">
        <f>IF(VIPcric_1!C1265="","",VIPcric_1!C1265)</f>
        <v/>
      </c>
      <c r="D1283" t="str">
        <f>IF(VIPcric_1!D1265="","",VIPcric_1!D1265)</f>
        <v/>
      </c>
      <c r="E1283" t="str">
        <f>IF(VIPcric_1!E1265="","",VIPcric_1!E1265)</f>
        <v/>
      </c>
      <c r="F1283" t="str">
        <f>IF(VIPcric_1!F1265="","",VIPcric_1!F1265)</f>
        <v/>
      </c>
      <c r="G1283" t="str">
        <f>IF(VIPcric_1!G1265="","",VIPcric_1!G1265)</f>
        <v/>
      </c>
      <c r="H1283" t="str">
        <f>IF(VIPcric_1!H1265="","",VIPcric_1!H1265)</f>
        <v/>
      </c>
      <c r="I1283" t="str">
        <f>IF(VIPcric_1!M1265="","",VIPcric_1!M1265)</f>
        <v/>
      </c>
    </row>
    <row r="1284" spans="1:9">
      <c r="A1284" t="str">
        <f>IF(VIPcric_1!A1266="","",VIPcric_1!A1266)</f>
        <v/>
      </c>
      <c r="B1284" t="str">
        <f>IF(VIPcric_1!B1266="","",VIPcric_1!B1266)</f>
        <v/>
      </c>
      <c r="C1284" t="str">
        <f>IF(VIPcric_1!C1266="","",VIPcric_1!C1266)</f>
        <v/>
      </c>
      <c r="D1284" t="str">
        <f>IF(VIPcric_1!D1266="","",VIPcric_1!D1266)</f>
        <v/>
      </c>
      <c r="E1284" t="str">
        <f>IF(VIPcric_1!E1266="","",VIPcric_1!E1266)</f>
        <v/>
      </c>
      <c r="F1284" t="str">
        <f>IF(VIPcric_1!F1266="","",VIPcric_1!F1266)</f>
        <v/>
      </c>
      <c r="G1284" t="str">
        <f>IF(VIPcric_1!G1266="","",VIPcric_1!G1266)</f>
        <v/>
      </c>
      <c r="H1284" t="str">
        <f>IF(VIPcric_1!H1266="","",VIPcric_1!H1266)</f>
        <v/>
      </c>
      <c r="I1284" t="str">
        <f>IF(VIPcric_1!M1266="","",VIPcric_1!M1266)</f>
        <v>CRIC-抚州-市场监测.商品房市场.项目累计.库存.xlsx</v>
      </c>
    </row>
    <row r="1285" spans="1:9">
      <c r="A1285" t="str">
        <f>IF(VIPcric_1!A1267="","",VIPcric_1!A1267)</f>
        <v>时间(年)</v>
      </c>
      <c r="B1285" t="str">
        <f>IF(VIPcric_1!B1267="","",VIPcric_1!B1267)</f>
        <v>库存面积(㎡)</v>
      </c>
      <c r="C1285" t="str">
        <f>IF(VIPcric_1!C1267="","",VIPcric_1!C1267)</f>
        <v>库存套数(套)</v>
      </c>
      <c r="D1285" t="str">
        <f>IF(VIPcric_1!D1267="","",VIPcric_1!D1267)</f>
        <v>去化周期12'(月)</v>
      </c>
      <c r="E1285" t="str">
        <f>IF(VIPcric_1!E1267="","",VIPcric_1!E1267)</f>
        <v/>
      </c>
      <c r="F1285" t="str">
        <f>IF(VIPcric_1!F1267="","",VIPcric_1!F1267)</f>
        <v/>
      </c>
      <c r="G1285" t="str">
        <f>IF(VIPcric_1!G1267="","",VIPcric_1!G1267)</f>
        <v/>
      </c>
      <c r="H1285" t="str">
        <f>IF(VIPcric_1!H1267="","",VIPcric_1!H1267)</f>
        <v/>
      </c>
      <c r="I1285" t="str">
        <f>IF(VIPcric_1!M1267="","",VIPcric_1!M1267)</f>
        <v>CRIC-抚州-市场监测.商品房市场.项目累计.库存.xlsx</v>
      </c>
    </row>
    <row r="1286" spans="1:9">
      <c r="A1286" t="str">
        <f>IF(VIPcric_1!A1268="","",VIPcric_1!A1268)</f>
        <v>2020年</v>
      </c>
      <c r="B1286">
        <f>IF(VIPcric_1!B1268="","",VIPcric_1!B1268)</f>
        <v>228267</v>
      </c>
      <c r="C1286">
        <f>IF(VIPcric_1!C1268="","",VIPcric_1!C1268)</f>
        <v>1983</v>
      </c>
      <c r="D1286">
        <f>IF(VIPcric_1!D1268="","",VIPcric_1!D1268)</f>
        <v>7.9</v>
      </c>
      <c r="E1286" t="str">
        <f>IF(VIPcric_1!E1268="","",VIPcric_1!E1268)</f>
        <v/>
      </c>
      <c r="F1286" t="str">
        <f>IF(VIPcric_1!F1268="","",VIPcric_1!F1268)</f>
        <v/>
      </c>
      <c r="G1286" t="str">
        <f>IF(VIPcric_1!G1268="","",VIPcric_1!G1268)</f>
        <v/>
      </c>
      <c r="H1286" t="str">
        <f>IF(VIPcric_1!H1268="","",VIPcric_1!H1268)</f>
        <v/>
      </c>
      <c r="I1286" t="str">
        <f>IF(VIPcric_1!M1268="","",VIPcric_1!M1268)</f>
        <v>CRIC-抚州-市场监测.商品房市场.项目累计.库存.xlsx</v>
      </c>
    </row>
    <row r="1287" spans="1:9">
      <c r="A1287" t="str">
        <f>IF(VIPcric_1!A1269="","",VIPcric_1!A1269)</f>
        <v>2019年</v>
      </c>
      <c r="B1287">
        <f>IF(VIPcric_1!B1269="","",VIPcric_1!B1269)</f>
        <v>195843</v>
      </c>
      <c r="C1287">
        <f>IF(VIPcric_1!C1269="","",VIPcric_1!C1269)</f>
        <v>1809</v>
      </c>
      <c r="D1287">
        <f>IF(VIPcric_1!D1269="","",VIPcric_1!D1269)</f>
        <v>56.5</v>
      </c>
      <c r="E1287" t="str">
        <f>IF(VIPcric_1!E1269="","",VIPcric_1!E1269)</f>
        <v/>
      </c>
      <c r="F1287" t="str">
        <f>IF(VIPcric_1!F1269="","",VIPcric_1!F1269)</f>
        <v/>
      </c>
      <c r="G1287" t="str">
        <f>IF(VIPcric_1!G1269="","",VIPcric_1!G1269)</f>
        <v/>
      </c>
      <c r="H1287" t="str">
        <f>IF(VIPcric_1!H1269="","",VIPcric_1!H1269)</f>
        <v/>
      </c>
      <c r="I1287" t="str">
        <f>IF(VIPcric_1!M1269="","",VIPcric_1!M1269)</f>
        <v>CRIC-抚州-市场监测.商品房市场.项目累计.库存.xlsx</v>
      </c>
    </row>
    <row r="1288" spans="1:9">
      <c r="A1288" t="str">
        <f>IF(VIPcric_1!A1270="","",VIPcric_1!A1270)</f>
        <v/>
      </c>
      <c r="B1288" t="str">
        <f>IF(VIPcric_1!B1270="","",VIPcric_1!B1270)</f>
        <v/>
      </c>
      <c r="C1288" t="str">
        <f>IF(VIPcric_1!C1270="","",VIPcric_1!C1270)</f>
        <v/>
      </c>
      <c r="D1288" t="str">
        <f>IF(VIPcric_1!D1270="","",VIPcric_1!D1270)</f>
        <v/>
      </c>
      <c r="E1288" t="str">
        <f>IF(VIPcric_1!E1270="","",VIPcric_1!E1270)</f>
        <v/>
      </c>
      <c r="F1288" t="str">
        <f>IF(VIPcric_1!F1270="","",VIPcric_1!F1270)</f>
        <v/>
      </c>
      <c r="G1288" t="str">
        <f>IF(VIPcric_1!G1270="","",VIPcric_1!G1270)</f>
        <v/>
      </c>
      <c r="H1288" t="str">
        <f>IF(VIPcric_1!H1270="","",VIPcric_1!H1270)</f>
        <v/>
      </c>
      <c r="I1288" t="str">
        <f>IF(VIPcric_1!M1270="","",VIPcric_1!M1270)</f>
        <v/>
      </c>
    </row>
    <row r="1289" spans="1:9">
      <c r="A1289" t="str">
        <f>IF(VIPcric_1!A1271="","",VIPcric_1!A1271)</f>
        <v/>
      </c>
      <c r="B1289" t="str">
        <f>IF(VIPcric_1!B1271="","",VIPcric_1!B1271)</f>
        <v/>
      </c>
      <c r="C1289" t="str">
        <f>IF(VIPcric_1!C1271="","",VIPcric_1!C1271)</f>
        <v/>
      </c>
      <c r="D1289" t="str">
        <f>IF(VIPcric_1!D1271="","",VIPcric_1!D1271)</f>
        <v/>
      </c>
      <c r="E1289" t="str">
        <f>IF(VIPcric_1!E1271="","",VIPcric_1!E1271)</f>
        <v/>
      </c>
      <c r="F1289" t="str">
        <f>IF(VIPcric_1!F1271="","",VIPcric_1!F1271)</f>
        <v/>
      </c>
      <c r="G1289" t="str">
        <f>IF(VIPcric_1!G1271="","",VIPcric_1!G1271)</f>
        <v/>
      </c>
      <c r="H1289" t="str">
        <f>IF(VIPcric_1!H1271="","",VIPcric_1!H1271)</f>
        <v/>
      </c>
      <c r="I1289" t="str">
        <f>IF(VIPcric_1!M1271="","",VIPcric_1!M1271)</f>
        <v>CRIC-拉萨-市场监测.商品房市场.项目累计.供求.xlsx</v>
      </c>
    </row>
    <row r="1290" spans="1:9">
      <c r="A1290" t="str">
        <f>IF(VIPcric_1!A1272="","",VIPcric_1!A1272)</f>
        <v>时间(年)</v>
      </c>
      <c r="B1290" t="str">
        <f>IF(VIPcric_1!B1272="","",VIPcric_1!B1272)</f>
        <v>供应面积(㎡)</v>
      </c>
      <c r="C1290" t="str">
        <f>IF(VIPcric_1!C1272="","",VIPcric_1!C1272)</f>
        <v>供应套数(套)</v>
      </c>
      <c r="D1290" t="str">
        <f>IF(VIPcric_1!D1272="","",VIPcric_1!D1272)</f>
        <v>成交面积(㎡)</v>
      </c>
      <c r="E1290" t="str">
        <f>IF(VIPcric_1!E1272="","",VIPcric_1!E1272)</f>
        <v>成交套数(套)</v>
      </c>
      <c r="F1290" t="str">
        <f>IF(VIPcric_1!F1272="","",VIPcric_1!F1272)</f>
        <v>成交均价(元/㎡)</v>
      </c>
      <c r="G1290" t="str">
        <f>IF(VIPcric_1!G1272="","",VIPcric_1!G1272)</f>
        <v>成交金额(元)</v>
      </c>
      <c r="H1290" t="str">
        <f>IF(VIPcric_1!H1272="","",VIPcric_1!H1272)</f>
        <v>供求比</v>
      </c>
      <c r="I1290" t="str">
        <f>IF(VIPcric_1!M1272="","",VIPcric_1!M1272)</f>
        <v>CRIC-拉萨-市场监测.商品房市场.项目累计.供求.xlsx</v>
      </c>
    </row>
    <row r="1291" spans="1:9">
      <c r="A1291" t="str">
        <f>IF(VIPcric_1!A1273="","",VIPcric_1!A1273)</f>
        <v>2023年</v>
      </c>
      <c r="B1291">
        <f>IF(VIPcric_1!B1273="","",VIPcric_1!B1273)</f>
        <v>322740</v>
      </c>
      <c r="C1291">
        <f>IF(VIPcric_1!C1273="","",VIPcric_1!C1273)</f>
        <v>2710</v>
      </c>
      <c r="D1291">
        <f>IF(VIPcric_1!D1273="","",VIPcric_1!D1273)</f>
        <v>399578</v>
      </c>
      <c r="E1291">
        <f>IF(VIPcric_1!E1273="","",VIPcric_1!E1273)</f>
        <v>3224</v>
      </c>
      <c r="F1291">
        <f>IF(VIPcric_1!F1273="","",VIPcric_1!F1273)</f>
        <v>7137</v>
      </c>
      <c r="G1291">
        <f>IF(VIPcric_1!G1273="","",VIPcric_1!G1273)</f>
        <v>2851799804</v>
      </c>
      <c r="H1291">
        <f>IF(VIPcric_1!H1273="","",VIPcric_1!H1273)</f>
        <v>0.81</v>
      </c>
      <c r="I1291" t="str">
        <f>IF(VIPcric_1!M1273="","",VIPcric_1!M1273)</f>
        <v>CRIC-拉萨-市场监测.商品房市场.项目累计.供求.xlsx</v>
      </c>
    </row>
    <row r="1292" spans="1:9">
      <c r="A1292" t="str">
        <f>IF(VIPcric_1!A1274="","",VIPcric_1!A1274)</f>
        <v>2022年</v>
      </c>
      <c r="B1292">
        <f>IF(VIPcric_1!B1274="","",VIPcric_1!B1274)</f>
        <v>215515</v>
      </c>
      <c r="C1292">
        <f>IF(VIPcric_1!C1274="","",VIPcric_1!C1274)</f>
        <v>1814</v>
      </c>
      <c r="D1292">
        <f>IF(VIPcric_1!D1274="","",VIPcric_1!D1274)</f>
        <v>610923</v>
      </c>
      <c r="E1292">
        <f>IF(VIPcric_1!E1274="","",VIPcric_1!E1274)</f>
        <v>4883</v>
      </c>
      <c r="F1292">
        <f>IF(VIPcric_1!F1274="","",VIPcric_1!F1274)</f>
        <v>8443</v>
      </c>
      <c r="G1292">
        <f>IF(VIPcric_1!G1274="","",VIPcric_1!G1274)</f>
        <v>5157831505</v>
      </c>
      <c r="H1292">
        <f>IF(VIPcric_1!H1274="","",VIPcric_1!H1274)</f>
        <v>0.35</v>
      </c>
      <c r="I1292" t="str">
        <f>IF(VIPcric_1!M1274="","",VIPcric_1!M1274)</f>
        <v>CRIC-拉萨-市场监测.商品房市场.项目累计.供求.xlsx</v>
      </c>
    </row>
    <row r="1293" spans="1:9">
      <c r="A1293" t="str">
        <f>IF(VIPcric_1!A1275="","",VIPcric_1!A1275)</f>
        <v>2021年</v>
      </c>
      <c r="B1293">
        <f>IF(VIPcric_1!B1275="","",VIPcric_1!B1275)</f>
        <v>2775192</v>
      </c>
      <c r="C1293">
        <f>IF(VIPcric_1!C1275="","",VIPcric_1!C1275)</f>
        <v>24474</v>
      </c>
      <c r="D1293">
        <f>IF(VIPcric_1!D1275="","",VIPcric_1!D1275)</f>
        <v>1832921</v>
      </c>
      <c r="E1293">
        <f>IF(VIPcric_1!E1275="","",VIPcric_1!E1275)</f>
        <v>14260</v>
      </c>
      <c r="F1293">
        <f>IF(VIPcric_1!F1275="","",VIPcric_1!F1275)</f>
        <v>9305</v>
      </c>
      <c r="G1293">
        <f>IF(VIPcric_1!G1275="","",VIPcric_1!G1275)</f>
        <v>17055284064</v>
      </c>
      <c r="H1293">
        <f>IF(VIPcric_1!H1275="","",VIPcric_1!H1275)</f>
        <v>1.51</v>
      </c>
      <c r="I1293" t="str">
        <f>IF(VIPcric_1!M1275="","",VIPcric_1!M1275)</f>
        <v>CRIC-拉萨-市场监测.商品房市场.项目累计.供求.xlsx</v>
      </c>
    </row>
    <row r="1294" spans="1:9">
      <c r="A1294" t="str">
        <f>IF(VIPcric_1!A1276="","",VIPcric_1!A1276)</f>
        <v>2020年</v>
      </c>
      <c r="B1294">
        <f>IF(VIPcric_1!B1276="","",VIPcric_1!B1276)</f>
        <v>1095566</v>
      </c>
      <c r="C1294">
        <f>IF(VIPcric_1!C1276="","",VIPcric_1!C1276)</f>
        <v>8725</v>
      </c>
      <c r="D1294">
        <f>IF(VIPcric_1!D1276="","",VIPcric_1!D1276)</f>
        <v>1143905</v>
      </c>
      <c r="E1294">
        <f>IF(VIPcric_1!E1276="","",VIPcric_1!E1276)</f>
        <v>9065</v>
      </c>
      <c r="F1294">
        <f>IF(VIPcric_1!F1276="","",VIPcric_1!F1276)</f>
        <v>8983</v>
      </c>
      <c r="G1294">
        <f>IF(VIPcric_1!G1276="","",VIPcric_1!G1276)</f>
        <v>10275758500</v>
      </c>
      <c r="H1294">
        <f>IF(VIPcric_1!H1276="","",VIPcric_1!H1276)</f>
        <v>0.96</v>
      </c>
      <c r="I1294" t="str">
        <f>IF(VIPcric_1!M1276="","",VIPcric_1!M1276)</f>
        <v>CRIC-拉萨-市场监测.商品房市场.项目累计.供求.xlsx</v>
      </c>
    </row>
    <row r="1295" spans="1:9">
      <c r="A1295" t="str">
        <f>IF(VIPcric_1!A1277="","",VIPcric_1!A1277)</f>
        <v>2019年</v>
      </c>
      <c r="B1295">
        <f>IF(VIPcric_1!B1277="","",VIPcric_1!B1277)</f>
        <v>2095404</v>
      </c>
      <c r="C1295">
        <f>IF(VIPcric_1!C1277="","",VIPcric_1!C1277)</f>
        <v>15948</v>
      </c>
      <c r="D1295">
        <f>IF(VIPcric_1!D1277="","",VIPcric_1!D1277)</f>
        <v>645124</v>
      </c>
      <c r="E1295">
        <f>IF(VIPcric_1!E1277="","",VIPcric_1!E1277)</f>
        <v>5253</v>
      </c>
      <c r="F1295">
        <f>IF(VIPcric_1!F1277="","",VIPcric_1!F1277)</f>
        <v>7068</v>
      </c>
      <c r="G1295">
        <f>IF(VIPcric_1!G1277="","",VIPcric_1!G1277)</f>
        <v>4559994267</v>
      </c>
      <c r="H1295">
        <f>IF(VIPcric_1!H1277="","",VIPcric_1!H1277)</f>
        <v>3.25</v>
      </c>
      <c r="I1295" t="str">
        <f>IF(VIPcric_1!M1277="","",VIPcric_1!M1277)</f>
        <v>CRIC-拉萨-市场监测.商品房市场.项目累计.供求.xlsx</v>
      </c>
    </row>
    <row r="1296" spans="1:9">
      <c r="A1296" t="str">
        <f>IF(VIPcric_1!A1278="","",VIPcric_1!A1278)</f>
        <v>2018年</v>
      </c>
      <c r="B1296">
        <f>IF(VIPcric_1!B1278="","",VIPcric_1!B1278)</f>
        <v>1250018</v>
      </c>
      <c r="C1296">
        <f>IF(VIPcric_1!C1278="","",VIPcric_1!C1278)</f>
        <v>11281</v>
      </c>
      <c r="D1296">
        <f>IF(VIPcric_1!D1278="","",VIPcric_1!D1278)</f>
        <v>0</v>
      </c>
      <c r="E1296">
        <f>IF(VIPcric_1!E1278="","",VIPcric_1!E1278)</f>
        <v>0</v>
      </c>
      <c r="F1296">
        <f>IF(VIPcric_1!F1278="","",VIPcric_1!F1278)</f>
        <v>0</v>
      </c>
      <c r="G1296">
        <f>IF(VIPcric_1!G1278="","",VIPcric_1!G1278)</f>
        <v>0</v>
      </c>
      <c r="H1296">
        <f>IF(VIPcric_1!H1278="","",VIPcric_1!H1278)</f>
        <v>0</v>
      </c>
      <c r="I1296" t="str">
        <f>IF(VIPcric_1!M1278="","",VIPcric_1!M1278)</f>
        <v>CRIC-拉萨-市场监测.商品房市场.项目累计.供求.xlsx</v>
      </c>
    </row>
    <row r="1297" spans="1:9">
      <c r="A1297" t="str">
        <f>IF(VIPcric_1!A1279="","",VIPcric_1!A1279)</f>
        <v>汇总</v>
      </c>
      <c r="B1297">
        <f>IF(VIPcric_1!B1279="","",VIPcric_1!B1279)</f>
        <v>7754435</v>
      </c>
      <c r="C1297">
        <f>IF(VIPcric_1!C1279="","",VIPcric_1!C1279)</f>
        <v>64952</v>
      </c>
      <c r="D1297">
        <f>IF(VIPcric_1!D1279="","",VIPcric_1!D1279)</f>
        <v>4632450</v>
      </c>
      <c r="E1297">
        <f>IF(VIPcric_1!E1279="","",VIPcric_1!E1279)</f>
        <v>36685</v>
      </c>
      <c r="F1297">
        <f>IF(VIPcric_1!F1279="","",VIPcric_1!F1279)</f>
        <v>8613</v>
      </c>
      <c r="G1297">
        <f>IF(VIPcric_1!G1279="","",VIPcric_1!G1279)</f>
        <v>39900668139</v>
      </c>
      <c r="H1297">
        <f>IF(VIPcric_1!H1279="","",VIPcric_1!H1279)</f>
        <v>1.67</v>
      </c>
      <c r="I1297" t="str">
        <f>IF(VIPcric_1!M1279="","",VIPcric_1!M1279)</f>
        <v>CRIC-拉萨-市场监测.商品房市场.项目累计.供求.xlsx</v>
      </c>
    </row>
    <row r="1298" spans="1:9">
      <c r="A1298" t="str">
        <f>IF(VIPcric_1!A1280="","",VIPcric_1!A1280)</f>
        <v/>
      </c>
      <c r="B1298" t="str">
        <f>IF(VIPcric_1!B1280="","",VIPcric_1!B1280)</f>
        <v/>
      </c>
      <c r="C1298" t="str">
        <f>IF(VIPcric_1!C1280="","",VIPcric_1!C1280)</f>
        <v/>
      </c>
      <c r="D1298" t="str">
        <f>IF(VIPcric_1!D1280="","",VIPcric_1!D1280)</f>
        <v/>
      </c>
      <c r="E1298" t="str">
        <f>IF(VIPcric_1!E1280="","",VIPcric_1!E1280)</f>
        <v/>
      </c>
      <c r="F1298" t="str">
        <f>IF(VIPcric_1!F1280="","",VIPcric_1!F1280)</f>
        <v/>
      </c>
      <c r="G1298" t="str">
        <f>IF(VIPcric_1!G1280="","",VIPcric_1!G1280)</f>
        <v/>
      </c>
      <c r="H1298" t="str">
        <f>IF(VIPcric_1!H1280="","",VIPcric_1!H1280)</f>
        <v/>
      </c>
      <c r="I1298" t="str">
        <f>IF(VIPcric_1!M1280="","",VIPcric_1!M1280)</f>
        <v/>
      </c>
    </row>
    <row r="1299" spans="1:9">
      <c r="A1299" t="str">
        <f>IF(VIPcric_1!A1281="","",VIPcric_1!A1281)</f>
        <v/>
      </c>
      <c r="B1299" t="str">
        <f>IF(VIPcric_1!B1281="","",VIPcric_1!B1281)</f>
        <v/>
      </c>
      <c r="C1299" t="str">
        <f>IF(VIPcric_1!C1281="","",VIPcric_1!C1281)</f>
        <v/>
      </c>
      <c r="D1299" t="str">
        <f>IF(VIPcric_1!D1281="","",VIPcric_1!D1281)</f>
        <v/>
      </c>
      <c r="E1299" t="str">
        <f>IF(VIPcric_1!E1281="","",VIPcric_1!E1281)</f>
        <v/>
      </c>
      <c r="F1299" t="str">
        <f>IF(VIPcric_1!F1281="","",VIPcric_1!F1281)</f>
        <v/>
      </c>
      <c r="G1299" t="str">
        <f>IF(VIPcric_1!G1281="","",VIPcric_1!G1281)</f>
        <v/>
      </c>
      <c r="H1299" t="str">
        <f>IF(VIPcric_1!H1281="","",VIPcric_1!H1281)</f>
        <v/>
      </c>
      <c r="I1299" t="str">
        <f>IF(VIPcric_1!M1281="","",VIPcric_1!M1281)</f>
        <v>CRIC-拉萨-市场监测.商品房市场.项目累计.库存.xlsx</v>
      </c>
    </row>
    <row r="1300" spans="1:9">
      <c r="A1300" t="str">
        <f>IF(VIPcric_1!A1282="","",VIPcric_1!A1282)</f>
        <v>时间(年)</v>
      </c>
      <c r="B1300" t="str">
        <f>IF(VIPcric_1!B1282="","",VIPcric_1!B1282)</f>
        <v>库存面积(㎡)</v>
      </c>
      <c r="C1300" t="str">
        <f>IF(VIPcric_1!C1282="","",VIPcric_1!C1282)</f>
        <v>库存套数(套)</v>
      </c>
      <c r="D1300" t="str">
        <f>IF(VIPcric_1!D1282="","",VIPcric_1!D1282)</f>
        <v>去化周期12'(月)</v>
      </c>
      <c r="E1300" t="str">
        <f>IF(VIPcric_1!E1282="","",VIPcric_1!E1282)</f>
        <v>去化周期24'(月)</v>
      </c>
      <c r="F1300" t="str">
        <f>IF(VIPcric_1!F1282="","",VIPcric_1!F1282)</f>
        <v/>
      </c>
      <c r="G1300" t="str">
        <f>IF(VIPcric_1!G1282="","",VIPcric_1!G1282)</f>
        <v/>
      </c>
      <c r="H1300" t="str">
        <f>IF(VIPcric_1!H1282="","",VIPcric_1!H1282)</f>
        <v/>
      </c>
      <c r="I1300" t="str">
        <f>IF(VIPcric_1!M1282="","",VIPcric_1!M1282)</f>
        <v>CRIC-拉萨-市场监测.商品房市场.项目累计.库存.xlsx</v>
      </c>
    </row>
    <row r="1301" spans="1:9">
      <c r="A1301" t="str">
        <f>IF(VIPcric_1!A1283="","",VIPcric_1!A1283)</f>
        <v>2023年</v>
      </c>
      <c r="B1301">
        <f>IF(VIPcric_1!B1283="","",VIPcric_1!B1283)</f>
        <v>2093545</v>
      </c>
      <c r="C1301">
        <f>IF(VIPcric_1!C1283="","",VIPcric_1!C1283)</f>
        <v>19587</v>
      </c>
      <c r="D1301">
        <f>IF(VIPcric_1!D1283="","",VIPcric_1!D1283)</f>
        <v>32.299999999999997</v>
      </c>
      <c r="E1301">
        <f>IF(VIPcric_1!E1283="","",VIPcric_1!E1283)</f>
        <v>20.8</v>
      </c>
      <c r="F1301" t="str">
        <f>IF(VIPcric_1!F1283="","",VIPcric_1!F1283)</f>
        <v/>
      </c>
      <c r="G1301" t="str">
        <f>IF(VIPcric_1!G1283="","",VIPcric_1!G1283)</f>
        <v/>
      </c>
      <c r="H1301" t="str">
        <f>IF(VIPcric_1!H1283="","",VIPcric_1!H1283)</f>
        <v/>
      </c>
      <c r="I1301" t="str">
        <f>IF(VIPcric_1!M1283="","",VIPcric_1!M1283)</f>
        <v>CRIC-拉萨-市场监测.商品房市场.项目累计.库存.xlsx</v>
      </c>
    </row>
    <row r="1302" spans="1:9">
      <c r="A1302" t="str">
        <f>IF(VIPcric_1!A1284="","",VIPcric_1!A1284)</f>
        <v>2022年</v>
      </c>
      <c r="B1302">
        <f>IF(VIPcric_1!B1284="","",VIPcric_1!B1284)</f>
        <v>2114150</v>
      </c>
      <c r="C1302">
        <f>IF(VIPcric_1!C1284="","",VIPcric_1!C1284)</f>
        <v>19636</v>
      </c>
      <c r="D1302">
        <f>IF(VIPcric_1!D1284="","",VIPcric_1!D1284)</f>
        <v>41.5</v>
      </c>
      <c r="E1302">
        <f>IF(VIPcric_1!E1284="","",VIPcric_1!E1284)</f>
        <v>20.8</v>
      </c>
      <c r="F1302" t="str">
        <f>IF(VIPcric_1!F1284="","",VIPcric_1!F1284)</f>
        <v/>
      </c>
      <c r="G1302" t="str">
        <f>IF(VIPcric_1!G1284="","",VIPcric_1!G1284)</f>
        <v/>
      </c>
      <c r="H1302" t="str">
        <f>IF(VIPcric_1!H1284="","",VIPcric_1!H1284)</f>
        <v/>
      </c>
      <c r="I1302" t="str">
        <f>IF(VIPcric_1!M1284="","",VIPcric_1!M1284)</f>
        <v>CRIC-拉萨-市场监测.商品房市场.项目累计.库存.xlsx</v>
      </c>
    </row>
    <row r="1303" spans="1:9">
      <c r="A1303" t="str">
        <f>IF(VIPcric_1!A1285="","",VIPcric_1!A1285)</f>
        <v>2021年</v>
      </c>
      <c r="B1303">
        <f>IF(VIPcric_1!B1285="","",VIPcric_1!B1285)</f>
        <v>2467434</v>
      </c>
      <c r="C1303">
        <f>IF(VIPcric_1!C1285="","",VIPcric_1!C1285)</f>
        <v>22327</v>
      </c>
      <c r="D1303">
        <f>IF(VIPcric_1!D1285="","",VIPcric_1!D1285)</f>
        <v>16.2</v>
      </c>
      <c r="E1303">
        <f>IF(VIPcric_1!E1285="","",VIPcric_1!E1285)</f>
        <v>19.899999999999999</v>
      </c>
      <c r="F1303" t="str">
        <f>IF(VIPcric_1!F1285="","",VIPcric_1!F1285)</f>
        <v/>
      </c>
      <c r="G1303" t="str">
        <f>IF(VIPcric_1!G1285="","",VIPcric_1!G1285)</f>
        <v/>
      </c>
      <c r="H1303" t="str">
        <f>IF(VIPcric_1!H1285="","",VIPcric_1!H1285)</f>
        <v/>
      </c>
      <c r="I1303" t="str">
        <f>IF(VIPcric_1!M1285="","",VIPcric_1!M1285)</f>
        <v>CRIC-拉萨-市场监测.商品房市场.项目累计.库存.xlsx</v>
      </c>
    </row>
    <row r="1304" spans="1:9">
      <c r="A1304" t="str">
        <f>IF(VIPcric_1!A1286="","",VIPcric_1!A1286)</f>
        <v>2020年</v>
      </c>
      <c r="B1304">
        <f>IF(VIPcric_1!B1286="","",VIPcric_1!B1286)</f>
        <v>1430483</v>
      </c>
      <c r="C1304">
        <f>IF(VIPcric_1!C1286="","",VIPcric_1!C1286)</f>
        <v>11383</v>
      </c>
      <c r="D1304">
        <f>IF(VIPcric_1!D1286="","",VIPcric_1!D1286)</f>
        <v>15</v>
      </c>
      <c r="E1304">
        <f>IF(VIPcric_1!E1286="","",VIPcric_1!E1286)</f>
        <v>19.2</v>
      </c>
      <c r="F1304" t="str">
        <f>IF(VIPcric_1!F1286="","",VIPcric_1!F1286)</f>
        <v/>
      </c>
      <c r="G1304" t="str">
        <f>IF(VIPcric_1!G1286="","",VIPcric_1!G1286)</f>
        <v/>
      </c>
      <c r="H1304" t="str">
        <f>IF(VIPcric_1!H1286="","",VIPcric_1!H1286)</f>
        <v/>
      </c>
      <c r="I1304" t="str">
        <f>IF(VIPcric_1!M1286="","",VIPcric_1!M1286)</f>
        <v>CRIC-拉萨-市场监测.商品房市场.项目累计.库存.xlsx</v>
      </c>
    </row>
    <row r="1305" spans="1:9">
      <c r="A1305" t="str">
        <f>IF(VIPcric_1!A1287="","",VIPcric_1!A1287)</f>
        <v>2019年</v>
      </c>
      <c r="B1305">
        <f>IF(VIPcric_1!B1287="","",VIPcric_1!B1287)</f>
        <v>1614799</v>
      </c>
      <c r="C1305">
        <f>IF(VIPcric_1!C1287="","",VIPcric_1!C1287)</f>
        <v>12396</v>
      </c>
      <c r="D1305">
        <f>IF(VIPcric_1!D1287="","",VIPcric_1!D1287)</f>
        <v>30</v>
      </c>
      <c r="E1305">
        <f>IF(VIPcric_1!E1287="","",VIPcric_1!E1287)</f>
        <v>60.1</v>
      </c>
      <c r="F1305" t="str">
        <f>IF(VIPcric_1!F1287="","",VIPcric_1!F1287)</f>
        <v/>
      </c>
      <c r="G1305" t="str">
        <f>IF(VIPcric_1!G1287="","",VIPcric_1!G1287)</f>
        <v/>
      </c>
      <c r="H1305" t="str">
        <f>IF(VIPcric_1!H1287="","",VIPcric_1!H1287)</f>
        <v/>
      </c>
      <c r="I1305" t="str">
        <f>IF(VIPcric_1!M1287="","",VIPcric_1!M1287)</f>
        <v>CRIC-拉萨-市场监测.商品房市场.项目累计.库存.xlsx</v>
      </c>
    </row>
    <row r="1306" spans="1:9">
      <c r="A1306" t="str">
        <f>IF(VIPcric_1!A1288="","",VIPcric_1!A1288)</f>
        <v/>
      </c>
      <c r="B1306" t="str">
        <f>IF(VIPcric_1!B1288="","",VIPcric_1!B1288)</f>
        <v/>
      </c>
      <c r="C1306" t="str">
        <f>IF(VIPcric_1!C1288="","",VIPcric_1!C1288)</f>
        <v/>
      </c>
      <c r="D1306" t="str">
        <f>IF(VIPcric_1!D1288="","",VIPcric_1!D1288)</f>
        <v/>
      </c>
      <c r="E1306" t="str">
        <f>IF(VIPcric_1!E1288="","",VIPcric_1!E1288)</f>
        <v/>
      </c>
      <c r="F1306" t="str">
        <f>IF(VIPcric_1!F1288="","",VIPcric_1!F1288)</f>
        <v/>
      </c>
      <c r="G1306" t="str">
        <f>IF(VIPcric_1!G1288="","",VIPcric_1!G1288)</f>
        <v/>
      </c>
      <c r="H1306" t="str">
        <f>IF(VIPcric_1!H1288="","",VIPcric_1!H1288)</f>
        <v/>
      </c>
      <c r="I1306" t="str">
        <f>IF(VIPcric_1!M1288="","",VIPcric_1!M1288)</f>
        <v/>
      </c>
    </row>
    <row r="1307" spans="1:9">
      <c r="A1307" t="str">
        <f>IF(VIPcric_1!A1289="","",VIPcric_1!A1289)</f>
        <v/>
      </c>
      <c r="B1307" t="str">
        <f>IF(VIPcric_1!B1289="","",VIPcric_1!B1289)</f>
        <v/>
      </c>
      <c r="C1307" t="str">
        <f>IF(VIPcric_1!C1289="","",VIPcric_1!C1289)</f>
        <v/>
      </c>
      <c r="D1307" t="str">
        <f>IF(VIPcric_1!D1289="","",VIPcric_1!D1289)</f>
        <v/>
      </c>
      <c r="E1307" t="str">
        <f>IF(VIPcric_1!E1289="","",VIPcric_1!E1289)</f>
        <v/>
      </c>
      <c r="F1307" t="str">
        <f>IF(VIPcric_1!F1289="","",VIPcric_1!F1289)</f>
        <v/>
      </c>
      <c r="G1307" t="str">
        <f>IF(VIPcric_1!G1289="","",VIPcric_1!G1289)</f>
        <v/>
      </c>
      <c r="H1307" t="str">
        <f>IF(VIPcric_1!H1289="","",VIPcric_1!H1289)</f>
        <v/>
      </c>
      <c r="I1307" t="str">
        <f>IF(VIPcric_1!M1289="","",VIPcric_1!M1289)</f>
        <v>CRIC-文昌-市场监测.商品房市场.项目累计.供求.xlsx</v>
      </c>
    </row>
    <row r="1308" spans="1:9">
      <c r="A1308" t="str">
        <f>IF(VIPcric_1!A1290="","",VIPcric_1!A1290)</f>
        <v>时间(年)</v>
      </c>
      <c r="B1308" t="str">
        <f>IF(VIPcric_1!B1290="","",VIPcric_1!B1290)</f>
        <v>供应面积(㎡)</v>
      </c>
      <c r="C1308" t="str">
        <f>IF(VIPcric_1!C1290="","",VIPcric_1!C1290)</f>
        <v>供应套数(套)</v>
      </c>
      <c r="D1308" t="str">
        <f>IF(VIPcric_1!D1290="","",VIPcric_1!D1290)</f>
        <v>成交面积(㎡)</v>
      </c>
      <c r="E1308" t="str">
        <f>IF(VIPcric_1!E1290="","",VIPcric_1!E1290)</f>
        <v>成交套数(套)</v>
      </c>
      <c r="F1308" t="str">
        <f>IF(VIPcric_1!F1290="","",VIPcric_1!F1290)</f>
        <v>成交均价(元/㎡)</v>
      </c>
      <c r="G1308" t="str">
        <f>IF(VIPcric_1!G1290="","",VIPcric_1!G1290)</f>
        <v>成交金额(元)</v>
      </c>
      <c r="H1308" t="str">
        <f>IF(VIPcric_1!H1290="","",VIPcric_1!H1290)</f>
        <v>供求比</v>
      </c>
      <c r="I1308" t="str">
        <f>IF(VIPcric_1!M1290="","",VIPcric_1!M1290)</f>
        <v>CRIC-文昌-市场监测.商品房市场.项目累计.供求.xlsx</v>
      </c>
    </row>
    <row r="1309" spans="1:9">
      <c r="A1309" t="str">
        <f>IF(VIPcric_1!A1291="","",VIPcric_1!A1291)</f>
        <v>2024年</v>
      </c>
      <c r="B1309">
        <f>IF(VIPcric_1!B1291="","",VIPcric_1!B1291)</f>
        <v>44803</v>
      </c>
      <c r="C1309">
        <f>IF(VIPcric_1!C1291="","",VIPcric_1!C1291)</f>
        <v>616</v>
      </c>
      <c r="D1309">
        <f>IF(VIPcric_1!D1291="","",VIPcric_1!D1291)</f>
        <v>7547</v>
      </c>
      <c r="E1309">
        <f>IF(VIPcric_1!E1291="","",VIPcric_1!E1291)</f>
        <v>90</v>
      </c>
      <c r="F1309">
        <f>IF(VIPcric_1!F1291="","",VIPcric_1!F1291)</f>
        <v>13285</v>
      </c>
      <c r="G1309">
        <f>IF(VIPcric_1!G1291="","",VIPcric_1!G1291)</f>
        <v>100265465</v>
      </c>
      <c r="H1309">
        <f>IF(VIPcric_1!H1291="","",VIPcric_1!H1291)</f>
        <v>5.94</v>
      </c>
      <c r="I1309" t="str">
        <f>IF(VIPcric_1!M1291="","",VIPcric_1!M1291)</f>
        <v>CRIC-文昌-市场监测.商品房市场.项目累计.供求.xlsx</v>
      </c>
    </row>
    <row r="1310" spans="1:9">
      <c r="A1310" t="str">
        <f>IF(VIPcric_1!A1292="","",VIPcric_1!A1292)</f>
        <v>2023年</v>
      </c>
      <c r="B1310">
        <f>IF(VIPcric_1!B1292="","",VIPcric_1!B1292)</f>
        <v>32657</v>
      </c>
      <c r="C1310">
        <f>IF(VIPcric_1!C1292="","",VIPcric_1!C1292)</f>
        <v>290</v>
      </c>
      <c r="D1310">
        <f>IF(VIPcric_1!D1292="","",VIPcric_1!D1292)</f>
        <v>130297</v>
      </c>
      <c r="E1310">
        <f>IF(VIPcric_1!E1292="","",VIPcric_1!E1292)</f>
        <v>1430</v>
      </c>
      <c r="F1310">
        <f>IF(VIPcric_1!F1292="","",VIPcric_1!F1292)</f>
        <v>12355</v>
      </c>
      <c r="G1310">
        <f>IF(VIPcric_1!G1292="","",VIPcric_1!G1292)</f>
        <v>1609818878</v>
      </c>
      <c r="H1310">
        <f>IF(VIPcric_1!H1292="","",VIPcric_1!H1292)</f>
        <v>0.25</v>
      </c>
      <c r="I1310" t="str">
        <f>IF(VIPcric_1!M1292="","",VIPcric_1!M1292)</f>
        <v>CRIC-文昌-市场监测.商品房市场.项目累计.供求.xlsx</v>
      </c>
    </row>
    <row r="1311" spans="1:9">
      <c r="A1311" t="str">
        <f>IF(VIPcric_1!A1293="","",VIPcric_1!A1293)</f>
        <v>2022年</v>
      </c>
      <c r="B1311">
        <f>IF(VIPcric_1!B1293="","",VIPcric_1!B1293)</f>
        <v>93509</v>
      </c>
      <c r="C1311">
        <f>IF(VIPcric_1!C1293="","",VIPcric_1!C1293)</f>
        <v>928</v>
      </c>
      <c r="D1311">
        <f>IF(VIPcric_1!D1293="","",VIPcric_1!D1293)</f>
        <v>85919</v>
      </c>
      <c r="E1311">
        <f>IF(VIPcric_1!E1293="","",VIPcric_1!E1293)</f>
        <v>994</v>
      </c>
      <c r="F1311">
        <f>IF(VIPcric_1!F1293="","",VIPcric_1!F1293)</f>
        <v>12614</v>
      </c>
      <c r="G1311">
        <f>IF(VIPcric_1!G1293="","",VIPcric_1!G1293)</f>
        <v>1083752416</v>
      </c>
      <c r="H1311">
        <f>IF(VIPcric_1!H1293="","",VIPcric_1!H1293)</f>
        <v>1.0900000000000001</v>
      </c>
      <c r="I1311" t="str">
        <f>IF(VIPcric_1!M1293="","",VIPcric_1!M1293)</f>
        <v>CRIC-文昌-市场监测.商品房市场.项目累计.供求.xlsx</v>
      </c>
    </row>
    <row r="1312" spans="1:9">
      <c r="A1312" t="str">
        <f>IF(VIPcric_1!A1294="","",VIPcric_1!A1294)</f>
        <v>2021年</v>
      </c>
      <c r="B1312">
        <f>IF(VIPcric_1!B1294="","",VIPcric_1!B1294)</f>
        <v>0</v>
      </c>
      <c r="C1312">
        <f>IF(VIPcric_1!C1294="","",VIPcric_1!C1294)</f>
        <v>0</v>
      </c>
      <c r="D1312">
        <f>IF(VIPcric_1!D1294="","",VIPcric_1!D1294)</f>
        <v>10062</v>
      </c>
      <c r="E1312">
        <f>IF(VIPcric_1!E1294="","",VIPcric_1!E1294)</f>
        <v>125</v>
      </c>
      <c r="F1312">
        <f>IF(VIPcric_1!F1294="","",VIPcric_1!F1294)</f>
        <v>11464</v>
      </c>
      <c r="G1312">
        <f>IF(VIPcric_1!G1294="","",VIPcric_1!G1294)</f>
        <v>115356276</v>
      </c>
      <c r="H1312">
        <f>IF(VIPcric_1!H1294="","",VIPcric_1!H1294)</f>
        <v>0</v>
      </c>
      <c r="I1312" t="str">
        <f>IF(VIPcric_1!M1294="","",VIPcric_1!M1294)</f>
        <v>CRIC-文昌-市场监测.商品房市场.项目累计.供求.xlsx</v>
      </c>
    </row>
    <row r="1313" spans="1:9">
      <c r="A1313" t="str">
        <f>IF(VIPcric_1!A1295="","",VIPcric_1!A1295)</f>
        <v>2020年</v>
      </c>
      <c r="B1313">
        <f>IF(VIPcric_1!B1295="","",VIPcric_1!B1295)</f>
        <v>0</v>
      </c>
      <c r="C1313">
        <f>IF(VIPcric_1!C1295="","",VIPcric_1!C1295)</f>
        <v>0</v>
      </c>
      <c r="D1313">
        <f>IF(VIPcric_1!D1295="","",VIPcric_1!D1295)</f>
        <v>0</v>
      </c>
      <c r="E1313">
        <f>IF(VIPcric_1!E1295="","",VIPcric_1!E1295)</f>
        <v>0</v>
      </c>
      <c r="F1313">
        <f>IF(VIPcric_1!F1295="","",VIPcric_1!F1295)</f>
        <v>0</v>
      </c>
      <c r="G1313">
        <f>IF(VIPcric_1!G1295="","",VIPcric_1!G1295)</f>
        <v>0</v>
      </c>
      <c r="H1313">
        <f>IF(VIPcric_1!H1295="","",VIPcric_1!H1295)</f>
        <v>0</v>
      </c>
      <c r="I1313" t="str">
        <f>IF(VIPcric_1!M1295="","",VIPcric_1!M1295)</f>
        <v>CRIC-文昌-市场监测.商品房市场.项目累计.供求.xlsx</v>
      </c>
    </row>
    <row r="1314" spans="1:9">
      <c r="A1314" t="str">
        <f>IF(VIPcric_1!A1296="","",VIPcric_1!A1296)</f>
        <v>2019年</v>
      </c>
      <c r="B1314">
        <f>IF(VIPcric_1!B1296="","",VIPcric_1!B1296)</f>
        <v>0</v>
      </c>
      <c r="C1314">
        <f>IF(VIPcric_1!C1296="","",VIPcric_1!C1296)</f>
        <v>0</v>
      </c>
      <c r="D1314">
        <f>IF(VIPcric_1!D1296="","",VIPcric_1!D1296)</f>
        <v>0</v>
      </c>
      <c r="E1314">
        <f>IF(VIPcric_1!E1296="","",VIPcric_1!E1296)</f>
        <v>0</v>
      </c>
      <c r="F1314">
        <f>IF(VIPcric_1!F1296="","",VIPcric_1!F1296)</f>
        <v>0</v>
      </c>
      <c r="G1314">
        <f>IF(VIPcric_1!G1296="","",VIPcric_1!G1296)</f>
        <v>0</v>
      </c>
      <c r="H1314">
        <f>IF(VIPcric_1!H1296="","",VIPcric_1!H1296)</f>
        <v>0</v>
      </c>
      <c r="I1314" t="str">
        <f>IF(VIPcric_1!M1296="","",VIPcric_1!M1296)</f>
        <v>CRIC-文昌-市场监测.商品房市场.项目累计.供求.xlsx</v>
      </c>
    </row>
    <row r="1315" spans="1:9">
      <c r="A1315" t="str">
        <f>IF(VIPcric_1!A1297="","",VIPcric_1!A1297)</f>
        <v>汇总</v>
      </c>
      <c r="B1315">
        <f>IF(VIPcric_1!B1297="","",VIPcric_1!B1297)</f>
        <v>170968</v>
      </c>
      <c r="C1315">
        <f>IF(VIPcric_1!C1297="","",VIPcric_1!C1297)</f>
        <v>1834</v>
      </c>
      <c r="D1315">
        <f>IF(VIPcric_1!D1297="","",VIPcric_1!D1297)</f>
        <v>233826</v>
      </c>
      <c r="E1315">
        <f>IF(VIPcric_1!E1297="","",VIPcric_1!E1297)</f>
        <v>2639</v>
      </c>
      <c r="F1315">
        <f>IF(VIPcric_1!F1297="","",VIPcric_1!F1297)</f>
        <v>12442</v>
      </c>
      <c r="G1315">
        <f>IF(VIPcric_1!G1297="","",VIPcric_1!G1297)</f>
        <v>2909193034</v>
      </c>
      <c r="H1315">
        <f>IF(VIPcric_1!H1297="","",VIPcric_1!H1297)</f>
        <v>0.73</v>
      </c>
      <c r="I1315" t="str">
        <f>IF(VIPcric_1!M1297="","",VIPcric_1!M1297)</f>
        <v>CRIC-文昌-市场监测.商品房市场.项目累计.供求.xlsx</v>
      </c>
    </row>
    <row r="1316" spans="1:9">
      <c r="A1316" t="str">
        <f>IF(VIPcric_1!A1298="","",VIPcric_1!A1298)</f>
        <v/>
      </c>
      <c r="B1316" t="str">
        <f>IF(VIPcric_1!B1298="","",VIPcric_1!B1298)</f>
        <v/>
      </c>
      <c r="C1316" t="str">
        <f>IF(VIPcric_1!C1298="","",VIPcric_1!C1298)</f>
        <v/>
      </c>
      <c r="D1316" t="str">
        <f>IF(VIPcric_1!D1298="","",VIPcric_1!D1298)</f>
        <v/>
      </c>
      <c r="E1316" t="str">
        <f>IF(VIPcric_1!E1298="","",VIPcric_1!E1298)</f>
        <v/>
      </c>
      <c r="F1316" t="str">
        <f>IF(VIPcric_1!F1298="","",VIPcric_1!F1298)</f>
        <v/>
      </c>
      <c r="G1316" t="str">
        <f>IF(VIPcric_1!G1298="","",VIPcric_1!G1298)</f>
        <v/>
      </c>
      <c r="H1316" t="str">
        <f>IF(VIPcric_1!H1298="","",VIPcric_1!H1298)</f>
        <v/>
      </c>
      <c r="I1316" t="str">
        <f>IF(VIPcric_1!M1298="","",VIPcric_1!M1298)</f>
        <v/>
      </c>
    </row>
    <row r="1317" spans="1:9">
      <c r="A1317" t="str">
        <f>IF(VIPcric_1!A1299="","",VIPcric_1!A1299)</f>
        <v/>
      </c>
      <c r="B1317" t="str">
        <f>IF(VIPcric_1!B1299="","",VIPcric_1!B1299)</f>
        <v/>
      </c>
      <c r="C1317" t="str">
        <f>IF(VIPcric_1!C1299="","",VIPcric_1!C1299)</f>
        <v/>
      </c>
      <c r="D1317" t="str">
        <f>IF(VIPcric_1!D1299="","",VIPcric_1!D1299)</f>
        <v/>
      </c>
      <c r="E1317" t="str">
        <f>IF(VIPcric_1!E1299="","",VIPcric_1!E1299)</f>
        <v/>
      </c>
      <c r="F1317" t="str">
        <f>IF(VIPcric_1!F1299="","",VIPcric_1!F1299)</f>
        <v/>
      </c>
      <c r="G1317" t="str">
        <f>IF(VIPcric_1!G1299="","",VIPcric_1!G1299)</f>
        <v/>
      </c>
      <c r="H1317" t="str">
        <f>IF(VIPcric_1!H1299="","",VIPcric_1!H1299)</f>
        <v/>
      </c>
      <c r="I1317" t="str">
        <f>IF(VIPcric_1!M1299="","",VIPcric_1!M1299)</f>
        <v>CRIC-文昌-市场监测.商品房市场.项目累计.库存.xlsx</v>
      </c>
    </row>
    <row r="1318" spans="1:9">
      <c r="A1318" t="str">
        <f>IF(VIPcric_1!A1300="","",VIPcric_1!A1300)</f>
        <v>时间(年)</v>
      </c>
      <c r="B1318" t="str">
        <f>IF(VIPcric_1!B1300="","",VIPcric_1!B1300)</f>
        <v>库存面积(㎡)</v>
      </c>
      <c r="C1318" t="str">
        <f>IF(VIPcric_1!C1300="","",VIPcric_1!C1300)</f>
        <v>库存套数(套)</v>
      </c>
      <c r="D1318" t="str">
        <f>IF(VIPcric_1!D1300="","",VIPcric_1!D1300)</f>
        <v>去化周期12'(月)</v>
      </c>
      <c r="E1318" t="str">
        <f>IF(VIPcric_1!E1300="","",VIPcric_1!E1300)</f>
        <v>去化周期24'(月)</v>
      </c>
      <c r="F1318" t="str">
        <f>IF(VIPcric_1!F1300="","",VIPcric_1!F1300)</f>
        <v/>
      </c>
      <c r="G1318" t="str">
        <f>IF(VIPcric_1!G1300="","",VIPcric_1!G1300)</f>
        <v/>
      </c>
      <c r="H1318" t="str">
        <f>IF(VIPcric_1!H1300="","",VIPcric_1!H1300)</f>
        <v/>
      </c>
      <c r="I1318" t="str">
        <f>IF(VIPcric_1!M1300="","",VIPcric_1!M1300)</f>
        <v>CRIC-文昌-市场监测.商品房市场.项目累计.库存.xlsx</v>
      </c>
    </row>
    <row r="1319" spans="1:9">
      <c r="A1319" t="str">
        <f>IF(VIPcric_1!A1301="","",VIPcric_1!A1301)</f>
        <v>2024年</v>
      </c>
      <c r="B1319">
        <f>IF(VIPcric_1!B1301="","",VIPcric_1!B1301)</f>
        <v>1215681</v>
      </c>
      <c r="C1319">
        <f>IF(VIPcric_1!C1301="","",VIPcric_1!C1301)</f>
        <v>14121</v>
      </c>
      <c r="D1319">
        <f>IF(VIPcric_1!D1301="","",VIPcric_1!D1301)</f>
        <v>111.5</v>
      </c>
      <c r="E1319">
        <f>IF(VIPcric_1!E1301="","",VIPcric_1!E1301)</f>
        <v>134.30000000000001</v>
      </c>
      <c r="F1319" t="str">
        <f>IF(VIPcric_1!F1301="","",VIPcric_1!F1301)</f>
        <v/>
      </c>
      <c r="G1319" t="str">
        <f>IF(VIPcric_1!G1301="","",VIPcric_1!G1301)</f>
        <v/>
      </c>
      <c r="H1319" t="str">
        <f>IF(VIPcric_1!H1301="","",VIPcric_1!H1301)</f>
        <v/>
      </c>
      <c r="I1319" t="str">
        <f>IF(VIPcric_1!M1301="","",VIPcric_1!M1301)</f>
        <v>CRIC-文昌-市场监测.商品房市场.项目累计.库存.xlsx</v>
      </c>
    </row>
    <row r="1320" spans="1:9">
      <c r="A1320" t="str">
        <f>IF(VIPcric_1!A1302="","",VIPcric_1!A1302)</f>
        <v>2023年</v>
      </c>
      <c r="B1320">
        <f>IF(VIPcric_1!B1302="","",VIPcric_1!B1302)</f>
        <v>1207037</v>
      </c>
      <c r="C1320">
        <f>IF(VIPcric_1!C1302="","",VIPcric_1!C1302)</f>
        <v>13980</v>
      </c>
      <c r="D1320">
        <f>IF(VIPcric_1!D1302="","",VIPcric_1!D1302)</f>
        <v>111.2</v>
      </c>
      <c r="E1320">
        <f>IF(VIPcric_1!E1302="","",VIPcric_1!E1302)</f>
        <v>134</v>
      </c>
      <c r="F1320" t="str">
        <f>IF(VIPcric_1!F1302="","",VIPcric_1!F1302)</f>
        <v/>
      </c>
      <c r="G1320" t="str">
        <f>IF(VIPcric_1!G1302="","",VIPcric_1!G1302)</f>
        <v/>
      </c>
      <c r="H1320" t="str">
        <f>IF(VIPcric_1!H1302="","",VIPcric_1!H1302)</f>
        <v/>
      </c>
      <c r="I1320" t="str">
        <f>IF(VIPcric_1!M1302="","",VIPcric_1!M1302)</f>
        <v>CRIC-文昌-市场监测.商品房市场.项目累计.库存.xlsx</v>
      </c>
    </row>
    <row r="1321" spans="1:9">
      <c r="A1321" t="str">
        <f>IF(VIPcric_1!A1303="","",VIPcric_1!A1303)</f>
        <v>2022年</v>
      </c>
      <c r="B1321">
        <f>IF(VIPcric_1!B1303="","",VIPcric_1!B1303)</f>
        <v>1337515</v>
      </c>
      <c r="C1321">
        <f>IF(VIPcric_1!C1303="","",VIPcric_1!C1303)</f>
        <v>15653</v>
      </c>
      <c r="D1321">
        <f>IF(VIPcric_1!D1303="","",VIPcric_1!D1303)</f>
        <v>186.8</v>
      </c>
      <c r="E1321">
        <f>IF(VIPcric_1!E1303="","",VIPcric_1!E1303)</f>
        <v>334.4</v>
      </c>
      <c r="F1321" t="str">
        <f>IF(VIPcric_1!F1303="","",VIPcric_1!F1303)</f>
        <v/>
      </c>
      <c r="G1321" t="str">
        <f>IF(VIPcric_1!G1303="","",VIPcric_1!G1303)</f>
        <v/>
      </c>
      <c r="H1321" t="str">
        <f>IF(VIPcric_1!H1303="","",VIPcric_1!H1303)</f>
        <v/>
      </c>
      <c r="I1321" t="str">
        <f>IF(VIPcric_1!M1303="","",VIPcric_1!M1303)</f>
        <v>CRIC-文昌-市场监测.商品房市场.项目累计.库存.xlsx</v>
      </c>
    </row>
    <row r="1322" spans="1:9">
      <c r="A1322" t="str">
        <f>IF(VIPcric_1!A1304="","",VIPcric_1!A1304)</f>
        <v>2021年</v>
      </c>
      <c r="B1322">
        <f>IF(VIPcric_1!B1304="","",VIPcric_1!B1304)</f>
        <v>1371767</v>
      </c>
      <c r="C1322">
        <f>IF(VIPcric_1!C1304="","",VIPcric_1!C1304)</f>
        <v>16323</v>
      </c>
      <c r="D1322">
        <f>IF(VIPcric_1!D1304="","",VIPcric_1!D1304)</f>
        <v>1635.9</v>
      </c>
      <c r="E1322">
        <f>IF(VIPcric_1!E1304="","",VIPcric_1!E1304)</f>
        <v>3271.8</v>
      </c>
      <c r="F1322" t="str">
        <f>IF(VIPcric_1!F1304="","",VIPcric_1!F1304)</f>
        <v/>
      </c>
      <c r="G1322" t="str">
        <f>IF(VIPcric_1!G1304="","",VIPcric_1!G1304)</f>
        <v/>
      </c>
      <c r="H1322" t="str">
        <f>IF(VIPcric_1!H1304="","",VIPcric_1!H1304)</f>
        <v/>
      </c>
      <c r="I1322" t="str">
        <f>IF(VIPcric_1!M1304="","",VIPcric_1!M1304)</f>
        <v>CRIC-文昌-市场监测.商品房市场.项目累计.库存.xlsx</v>
      </c>
    </row>
    <row r="1323" spans="1:9">
      <c r="A1323" t="str">
        <f>IF(VIPcric_1!A1305="","",VIPcric_1!A1305)</f>
        <v/>
      </c>
      <c r="B1323" t="str">
        <f>IF(VIPcric_1!B1305="","",VIPcric_1!B1305)</f>
        <v/>
      </c>
      <c r="C1323" t="str">
        <f>IF(VIPcric_1!C1305="","",VIPcric_1!C1305)</f>
        <v/>
      </c>
      <c r="D1323" t="str">
        <f>IF(VIPcric_1!D1305="","",VIPcric_1!D1305)</f>
        <v/>
      </c>
      <c r="E1323" t="str">
        <f>IF(VIPcric_1!E1305="","",VIPcric_1!E1305)</f>
        <v/>
      </c>
      <c r="F1323" t="str">
        <f>IF(VIPcric_1!F1305="","",VIPcric_1!F1305)</f>
        <v/>
      </c>
      <c r="G1323" t="str">
        <f>IF(VIPcric_1!G1305="","",VIPcric_1!G1305)</f>
        <v/>
      </c>
      <c r="H1323" t="str">
        <f>IF(VIPcric_1!H1305="","",VIPcric_1!H1305)</f>
        <v/>
      </c>
      <c r="I1323" t="str">
        <f>IF(VIPcric_1!M1305="","",VIPcric_1!M1305)</f>
        <v/>
      </c>
    </row>
    <row r="1324" spans="1:9">
      <c r="A1324" t="str">
        <f>IF(VIPcric_1!A1306="","",VIPcric_1!A1306)</f>
        <v/>
      </c>
      <c r="B1324" t="str">
        <f>IF(VIPcric_1!B1306="","",VIPcric_1!B1306)</f>
        <v/>
      </c>
      <c r="C1324" t="str">
        <f>IF(VIPcric_1!C1306="","",VIPcric_1!C1306)</f>
        <v/>
      </c>
      <c r="D1324" t="str">
        <f>IF(VIPcric_1!D1306="","",VIPcric_1!D1306)</f>
        <v/>
      </c>
      <c r="E1324" t="str">
        <f>IF(VIPcric_1!E1306="","",VIPcric_1!E1306)</f>
        <v/>
      </c>
      <c r="F1324" t="str">
        <f>IF(VIPcric_1!F1306="","",VIPcric_1!F1306)</f>
        <v/>
      </c>
      <c r="G1324" t="str">
        <f>IF(VIPcric_1!G1306="","",VIPcric_1!G1306)</f>
        <v/>
      </c>
      <c r="H1324" t="str">
        <f>IF(VIPcric_1!H1306="","",VIPcric_1!H1306)</f>
        <v/>
      </c>
      <c r="I1324" t="str">
        <f>IF(VIPcric_1!M1306="","",VIPcric_1!M1306)</f>
        <v>CRIC-无锡-市场监测.商品房市场.项目累计.供求.xlsx</v>
      </c>
    </row>
    <row r="1325" spans="1:9">
      <c r="A1325" t="str">
        <f>IF(VIPcric_1!A1307="","",VIPcric_1!A1307)</f>
        <v>时间(年)</v>
      </c>
      <c r="B1325" t="str">
        <f>IF(VIPcric_1!B1307="","",VIPcric_1!B1307)</f>
        <v>供应面积(㎡)</v>
      </c>
      <c r="C1325" t="str">
        <f>IF(VIPcric_1!C1307="","",VIPcric_1!C1307)</f>
        <v>供应套数(套)</v>
      </c>
      <c r="D1325" t="str">
        <f>IF(VIPcric_1!D1307="","",VIPcric_1!D1307)</f>
        <v>成交面积(㎡)</v>
      </c>
      <c r="E1325" t="str">
        <f>IF(VIPcric_1!E1307="","",VIPcric_1!E1307)</f>
        <v>成交套数(套)</v>
      </c>
      <c r="F1325" t="str">
        <f>IF(VIPcric_1!F1307="","",VIPcric_1!F1307)</f>
        <v>成交均价(元/㎡)</v>
      </c>
      <c r="G1325" t="str">
        <f>IF(VIPcric_1!G1307="","",VIPcric_1!G1307)</f>
        <v>成交金额(元)</v>
      </c>
      <c r="H1325" t="str">
        <f>IF(VIPcric_1!H1307="","",VIPcric_1!H1307)</f>
        <v>供求比</v>
      </c>
      <c r="I1325" t="str">
        <f>IF(VIPcric_1!M1307="","",VIPcric_1!M1307)</f>
        <v>CRIC-无锡-市场监测.商品房市场.项目累计.供求.xlsx</v>
      </c>
    </row>
    <row r="1326" spans="1:9">
      <c r="A1326" t="str">
        <f>IF(VIPcric_1!A1308="","",VIPcric_1!A1308)</f>
        <v>2024年</v>
      </c>
      <c r="B1326">
        <f>IF(VIPcric_1!B1308="","",VIPcric_1!B1308)</f>
        <v>161317</v>
      </c>
      <c r="C1326">
        <f>IF(VIPcric_1!C1308="","",VIPcric_1!C1308)</f>
        <v>1205</v>
      </c>
      <c r="D1326">
        <f>IF(VIPcric_1!D1308="","",VIPcric_1!D1308)</f>
        <v>159915</v>
      </c>
      <c r="E1326">
        <f>IF(VIPcric_1!E1308="","",VIPcric_1!E1308)</f>
        <v>1278</v>
      </c>
      <c r="F1326">
        <f>IF(VIPcric_1!F1308="","",VIPcric_1!F1308)</f>
        <v>23614</v>
      </c>
      <c r="G1326">
        <f>IF(VIPcric_1!G1308="","",VIPcric_1!G1308)</f>
        <v>3776307389</v>
      </c>
      <c r="H1326">
        <f>IF(VIPcric_1!H1308="","",VIPcric_1!H1308)</f>
        <v>1.01</v>
      </c>
      <c r="I1326" t="str">
        <f>IF(VIPcric_1!M1308="","",VIPcric_1!M1308)</f>
        <v>CRIC-无锡-市场监测.商品房市场.项目累计.供求.xlsx</v>
      </c>
    </row>
    <row r="1327" spans="1:9">
      <c r="A1327" t="str">
        <f>IF(VIPcric_1!A1309="","",VIPcric_1!A1309)</f>
        <v>2023年</v>
      </c>
      <c r="B1327">
        <f>IF(VIPcric_1!B1309="","",VIPcric_1!B1309)</f>
        <v>1926383</v>
      </c>
      <c r="C1327">
        <f>IF(VIPcric_1!C1309="","",VIPcric_1!C1309)</f>
        <v>15750</v>
      </c>
      <c r="D1327">
        <f>IF(VIPcric_1!D1309="","",VIPcric_1!D1309)</f>
        <v>2324822</v>
      </c>
      <c r="E1327">
        <f>IF(VIPcric_1!E1309="","",VIPcric_1!E1309)</f>
        <v>19603</v>
      </c>
      <c r="F1327">
        <f>IF(VIPcric_1!F1309="","",VIPcric_1!F1309)</f>
        <v>22520</v>
      </c>
      <c r="G1327">
        <f>IF(VIPcric_1!G1309="","",VIPcric_1!G1309)</f>
        <v>52354064672</v>
      </c>
      <c r="H1327">
        <f>IF(VIPcric_1!H1309="","",VIPcric_1!H1309)</f>
        <v>0.83</v>
      </c>
      <c r="I1327" t="str">
        <f>IF(VIPcric_1!M1309="","",VIPcric_1!M1309)</f>
        <v>CRIC-无锡-市场监测.商品房市场.项目累计.供求.xlsx</v>
      </c>
    </row>
    <row r="1328" spans="1:9">
      <c r="A1328" t="str">
        <f>IF(VIPcric_1!A1310="","",VIPcric_1!A1310)</f>
        <v>2022年</v>
      </c>
      <c r="B1328">
        <f>IF(VIPcric_1!B1310="","",VIPcric_1!B1310)</f>
        <v>2784878</v>
      </c>
      <c r="C1328">
        <f>IF(VIPcric_1!C1310="","",VIPcric_1!C1310)</f>
        <v>23305</v>
      </c>
      <c r="D1328">
        <f>IF(VIPcric_1!D1310="","",VIPcric_1!D1310)</f>
        <v>2673397</v>
      </c>
      <c r="E1328">
        <f>IF(VIPcric_1!E1310="","",VIPcric_1!E1310)</f>
        <v>22362</v>
      </c>
      <c r="F1328">
        <f>IF(VIPcric_1!F1310="","",VIPcric_1!F1310)</f>
        <v>22719</v>
      </c>
      <c r="G1328">
        <f>IF(VIPcric_1!G1310="","",VIPcric_1!G1310)</f>
        <v>60737152882</v>
      </c>
      <c r="H1328">
        <f>IF(VIPcric_1!H1310="","",VIPcric_1!H1310)</f>
        <v>1.04</v>
      </c>
      <c r="I1328" t="str">
        <f>IF(VIPcric_1!M1310="","",VIPcric_1!M1310)</f>
        <v>CRIC-无锡-市场监测.商品房市场.项目累计.供求.xlsx</v>
      </c>
    </row>
    <row r="1329" spans="1:9">
      <c r="A1329" t="str">
        <f>IF(VIPcric_1!A1311="","",VIPcric_1!A1311)</f>
        <v>2021年</v>
      </c>
      <c r="B1329">
        <f>IF(VIPcric_1!B1311="","",VIPcric_1!B1311)</f>
        <v>6070253</v>
      </c>
      <c r="C1329">
        <f>IF(VIPcric_1!C1311="","",VIPcric_1!C1311)</f>
        <v>53231</v>
      </c>
      <c r="D1329">
        <f>IF(VIPcric_1!D1311="","",VIPcric_1!D1311)</f>
        <v>5783119</v>
      </c>
      <c r="E1329">
        <f>IF(VIPcric_1!E1311="","",VIPcric_1!E1311)</f>
        <v>50997</v>
      </c>
      <c r="F1329">
        <f>IF(VIPcric_1!F1311="","",VIPcric_1!F1311)</f>
        <v>21252</v>
      </c>
      <c r="G1329">
        <f>IF(VIPcric_1!G1311="","",VIPcric_1!G1311)</f>
        <v>122904923100</v>
      </c>
      <c r="H1329">
        <f>IF(VIPcric_1!H1311="","",VIPcric_1!H1311)</f>
        <v>1.05</v>
      </c>
      <c r="I1329" t="str">
        <f>IF(VIPcric_1!M1311="","",VIPcric_1!M1311)</f>
        <v>CRIC-无锡-市场监测.商品房市场.项目累计.供求.xlsx</v>
      </c>
    </row>
    <row r="1330" spans="1:9">
      <c r="A1330" t="str">
        <f>IF(VIPcric_1!A1312="","",VIPcric_1!A1312)</f>
        <v>2020年</v>
      </c>
      <c r="B1330">
        <f>IF(VIPcric_1!B1312="","",VIPcric_1!B1312)</f>
        <v>5143246</v>
      </c>
      <c r="C1330">
        <f>IF(VIPcric_1!C1312="","",VIPcric_1!C1312)</f>
        <v>44784</v>
      </c>
      <c r="D1330">
        <f>IF(VIPcric_1!D1312="","",VIPcric_1!D1312)</f>
        <v>5311038</v>
      </c>
      <c r="E1330">
        <f>IF(VIPcric_1!E1312="","",VIPcric_1!E1312)</f>
        <v>45591</v>
      </c>
      <c r="F1330">
        <f>IF(VIPcric_1!F1312="","",VIPcric_1!F1312)</f>
        <v>19584</v>
      </c>
      <c r="G1330">
        <f>IF(VIPcric_1!G1312="","",VIPcric_1!G1312)</f>
        <v>104012467430</v>
      </c>
      <c r="H1330">
        <f>IF(VIPcric_1!H1312="","",VIPcric_1!H1312)</f>
        <v>0.97</v>
      </c>
      <c r="I1330" t="str">
        <f>IF(VIPcric_1!M1312="","",VIPcric_1!M1312)</f>
        <v>CRIC-无锡-市场监测.商品房市场.项目累计.供求.xlsx</v>
      </c>
    </row>
    <row r="1331" spans="1:9">
      <c r="A1331" t="str">
        <f>IF(VIPcric_1!A1313="","",VIPcric_1!A1313)</f>
        <v>2019年</v>
      </c>
      <c r="B1331">
        <f>IF(VIPcric_1!B1313="","",VIPcric_1!B1313)</f>
        <v>6253409</v>
      </c>
      <c r="C1331">
        <f>IF(VIPcric_1!C1313="","",VIPcric_1!C1313)</f>
        <v>53513</v>
      </c>
      <c r="D1331">
        <f>IF(VIPcric_1!D1313="","",VIPcric_1!D1313)</f>
        <v>6207774</v>
      </c>
      <c r="E1331">
        <f>IF(VIPcric_1!E1313="","",VIPcric_1!E1313)</f>
        <v>52912</v>
      </c>
      <c r="F1331">
        <f>IF(VIPcric_1!F1313="","",VIPcric_1!F1313)</f>
        <v>17468</v>
      </c>
      <c r="G1331">
        <f>IF(VIPcric_1!G1313="","",VIPcric_1!G1313)</f>
        <v>108439617198</v>
      </c>
      <c r="H1331">
        <f>IF(VIPcric_1!H1313="","",VIPcric_1!H1313)</f>
        <v>1.01</v>
      </c>
      <c r="I1331" t="str">
        <f>IF(VIPcric_1!M1313="","",VIPcric_1!M1313)</f>
        <v>CRIC-无锡-市场监测.商品房市场.项目累计.供求.xlsx</v>
      </c>
    </row>
    <row r="1332" spans="1:9">
      <c r="A1332" t="str">
        <f>IF(VIPcric_1!A1314="","",VIPcric_1!A1314)</f>
        <v>汇总</v>
      </c>
      <c r="B1332">
        <f>IF(VIPcric_1!B1314="","",VIPcric_1!B1314)</f>
        <v>22339487</v>
      </c>
      <c r="C1332">
        <f>IF(VIPcric_1!C1314="","",VIPcric_1!C1314)</f>
        <v>191788</v>
      </c>
      <c r="D1332">
        <f>IF(VIPcric_1!D1314="","",VIPcric_1!D1314)</f>
        <v>22460064</v>
      </c>
      <c r="E1332">
        <f>IF(VIPcric_1!E1314="","",VIPcric_1!E1314)</f>
        <v>192743</v>
      </c>
      <c r="F1332">
        <f>IF(VIPcric_1!F1314="","",VIPcric_1!F1314)</f>
        <v>20135</v>
      </c>
      <c r="G1332">
        <f>IF(VIPcric_1!G1314="","",VIPcric_1!G1314)</f>
        <v>452224532670</v>
      </c>
      <c r="H1332">
        <f>IF(VIPcric_1!H1314="","",VIPcric_1!H1314)</f>
        <v>0.99</v>
      </c>
      <c r="I1332" t="str">
        <f>IF(VIPcric_1!M1314="","",VIPcric_1!M1314)</f>
        <v>CRIC-无锡-市场监测.商品房市场.项目累计.供求.xlsx</v>
      </c>
    </row>
    <row r="1333" spans="1:9">
      <c r="A1333" t="str">
        <f>IF(VIPcric_1!A1315="","",VIPcric_1!A1315)</f>
        <v/>
      </c>
      <c r="B1333" t="str">
        <f>IF(VIPcric_1!B1315="","",VIPcric_1!B1315)</f>
        <v/>
      </c>
      <c r="C1333" t="str">
        <f>IF(VIPcric_1!C1315="","",VIPcric_1!C1315)</f>
        <v/>
      </c>
      <c r="D1333" t="str">
        <f>IF(VIPcric_1!D1315="","",VIPcric_1!D1315)</f>
        <v/>
      </c>
      <c r="E1333" t="str">
        <f>IF(VIPcric_1!E1315="","",VIPcric_1!E1315)</f>
        <v/>
      </c>
      <c r="F1333" t="str">
        <f>IF(VIPcric_1!F1315="","",VIPcric_1!F1315)</f>
        <v/>
      </c>
      <c r="G1333" t="str">
        <f>IF(VIPcric_1!G1315="","",VIPcric_1!G1315)</f>
        <v/>
      </c>
      <c r="H1333" t="str">
        <f>IF(VIPcric_1!H1315="","",VIPcric_1!H1315)</f>
        <v/>
      </c>
      <c r="I1333" t="str">
        <f>IF(VIPcric_1!M1315="","",VIPcric_1!M1315)</f>
        <v/>
      </c>
    </row>
    <row r="1334" spans="1:9">
      <c r="A1334" t="str">
        <f>IF(VIPcric_1!A1316="","",VIPcric_1!A1316)</f>
        <v/>
      </c>
      <c r="B1334" t="str">
        <f>IF(VIPcric_1!B1316="","",VIPcric_1!B1316)</f>
        <v/>
      </c>
      <c r="C1334" t="str">
        <f>IF(VIPcric_1!C1316="","",VIPcric_1!C1316)</f>
        <v/>
      </c>
      <c r="D1334" t="str">
        <f>IF(VIPcric_1!D1316="","",VIPcric_1!D1316)</f>
        <v/>
      </c>
      <c r="E1334" t="str">
        <f>IF(VIPcric_1!E1316="","",VIPcric_1!E1316)</f>
        <v/>
      </c>
      <c r="F1334" t="str">
        <f>IF(VIPcric_1!F1316="","",VIPcric_1!F1316)</f>
        <v/>
      </c>
      <c r="G1334" t="str">
        <f>IF(VIPcric_1!G1316="","",VIPcric_1!G1316)</f>
        <v/>
      </c>
      <c r="H1334" t="str">
        <f>IF(VIPcric_1!H1316="","",VIPcric_1!H1316)</f>
        <v/>
      </c>
      <c r="I1334" t="str">
        <f>IF(VIPcric_1!M1316="","",VIPcric_1!M1316)</f>
        <v>CRIC-无锡-市场监测.商品房市场.项目累计.库存.xlsx</v>
      </c>
    </row>
    <row r="1335" spans="1:9">
      <c r="A1335" t="str">
        <f>IF(VIPcric_1!A1317="","",VIPcric_1!A1317)</f>
        <v>时间(年)</v>
      </c>
      <c r="B1335" t="str">
        <f>IF(VIPcric_1!B1317="","",VIPcric_1!B1317)</f>
        <v>库存面积(㎡)</v>
      </c>
      <c r="C1335" t="str">
        <f>IF(VIPcric_1!C1317="","",VIPcric_1!C1317)</f>
        <v>库存套数(套)</v>
      </c>
      <c r="D1335" t="str">
        <f>IF(VIPcric_1!D1317="","",VIPcric_1!D1317)</f>
        <v>去化周期12'(月)</v>
      </c>
      <c r="E1335" t="str">
        <f>IF(VIPcric_1!E1317="","",VIPcric_1!E1317)</f>
        <v/>
      </c>
      <c r="F1335" t="str">
        <f>IF(VIPcric_1!F1317="","",VIPcric_1!F1317)</f>
        <v/>
      </c>
      <c r="G1335" t="str">
        <f>IF(VIPcric_1!G1317="","",VIPcric_1!G1317)</f>
        <v/>
      </c>
      <c r="H1335" t="str">
        <f>IF(VIPcric_1!H1317="","",VIPcric_1!H1317)</f>
        <v/>
      </c>
      <c r="I1335" t="str">
        <f>IF(VIPcric_1!M1317="","",VIPcric_1!M1317)</f>
        <v>CRIC-无锡-市场监测.商品房市场.项目累计.库存.xlsx</v>
      </c>
    </row>
    <row r="1336" spans="1:9">
      <c r="A1336" t="str">
        <f>IF(VIPcric_1!A1318="","",VIPcric_1!A1318)</f>
        <v>2024年</v>
      </c>
      <c r="B1336">
        <f>IF(VIPcric_1!B1318="","",VIPcric_1!B1318)</f>
        <v>4334871</v>
      </c>
      <c r="C1336">
        <f>IF(VIPcric_1!C1318="","",VIPcric_1!C1318)</f>
        <v>34789</v>
      </c>
      <c r="D1336">
        <f>IF(VIPcric_1!D1318="","",VIPcric_1!D1318)</f>
        <v>22</v>
      </c>
      <c r="E1336" t="str">
        <f>IF(VIPcric_1!E1318="","",VIPcric_1!E1318)</f>
        <v/>
      </c>
      <c r="F1336" t="str">
        <f>IF(VIPcric_1!F1318="","",VIPcric_1!F1318)</f>
        <v/>
      </c>
      <c r="G1336" t="str">
        <f>IF(VIPcric_1!G1318="","",VIPcric_1!G1318)</f>
        <v/>
      </c>
      <c r="H1336" t="str">
        <f>IF(VIPcric_1!H1318="","",VIPcric_1!H1318)</f>
        <v/>
      </c>
      <c r="I1336" t="str">
        <f>IF(VIPcric_1!M1318="","",VIPcric_1!M1318)</f>
        <v>CRIC-无锡-市场监测.商品房市场.项目累计.库存.xlsx</v>
      </c>
    </row>
    <row r="1337" spans="1:9">
      <c r="A1337" t="str">
        <f>IF(VIPcric_1!A1319="","",VIPcric_1!A1319)</f>
        <v>2023年</v>
      </c>
      <c r="B1337">
        <f>IF(VIPcric_1!B1319="","",VIPcric_1!B1319)</f>
        <v>4364750</v>
      </c>
      <c r="C1337">
        <f>IF(VIPcric_1!C1319="","",VIPcric_1!C1319)</f>
        <v>35072</v>
      </c>
      <c r="D1337">
        <f>IF(VIPcric_1!D1319="","",VIPcric_1!D1319)</f>
        <v>22.5</v>
      </c>
      <c r="E1337" t="str">
        <f>IF(VIPcric_1!E1319="","",VIPcric_1!E1319)</f>
        <v/>
      </c>
      <c r="F1337" t="str">
        <f>IF(VIPcric_1!F1319="","",VIPcric_1!F1319)</f>
        <v/>
      </c>
      <c r="G1337" t="str">
        <f>IF(VIPcric_1!G1319="","",VIPcric_1!G1319)</f>
        <v/>
      </c>
      <c r="H1337" t="str">
        <f>IF(VIPcric_1!H1319="","",VIPcric_1!H1319)</f>
        <v/>
      </c>
      <c r="I1337" t="str">
        <f>IF(VIPcric_1!M1319="","",VIPcric_1!M1319)</f>
        <v>CRIC-无锡-市场监测.商品房市场.项目累计.库存.xlsx</v>
      </c>
    </row>
    <row r="1338" spans="1:9">
      <c r="A1338" t="str">
        <f>IF(VIPcric_1!A1320="","",VIPcric_1!A1320)</f>
        <v>2022年</v>
      </c>
      <c r="B1338">
        <f>IF(VIPcric_1!B1320="","",VIPcric_1!B1320)</f>
        <v>4782836</v>
      </c>
      <c r="C1338">
        <f>IF(VIPcric_1!C1320="","",VIPcric_1!C1320)</f>
        <v>38876</v>
      </c>
      <c r="D1338">
        <f>IF(VIPcric_1!D1320="","",VIPcric_1!D1320)</f>
        <v>21.5</v>
      </c>
      <c r="E1338" t="str">
        <f>IF(VIPcric_1!E1320="","",VIPcric_1!E1320)</f>
        <v/>
      </c>
      <c r="F1338" t="str">
        <f>IF(VIPcric_1!F1320="","",VIPcric_1!F1320)</f>
        <v/>
      </c>
      <c r="G1338" t="str">
        <f>IF(VIPcric_1!G1320="","",VIPcric_1!G1320)</f>
        <v/>
      </c>
      <c r="H1338" t="str">
        <f>IF(VIPcric_1!H1320="","",VIPcric_1!H1320)</f>
        <v/>
      </c>
      <c r="I1338" t="str">
        <f>IF(VIPcric_1!M1320="","",VIPcric_1!M1320)</f>
        <v>CRIC-无锡-市场监测.商品房市场.项目累计.库存.xlsx</v>
      </c>
    </row>
    <row r="1339" spans="1:9">
      <c r="A1339" t="str">
        <f>IF(VIPcric_1!A1321="","",VIPcric_1!A1321)</f>
        <v>2021年</v>
      </c>
      <c r="B1339">
        <f>IF(VIPcric_1!B1321="","",VIPcric_1!B1321)</f>
        <v>4460986</v>
      </c>
      <c r="C1339">
        <f>IF(VIPcric_1!C1321="","",VIPcric_1!C1321)</f>
        <v>36542</v>
      </c>
      <c r="D1339">
        <f>IF(VIPcric_1!D1321="","",VIPcric_1!D1321)</f>
        <v>9.3000000000000007</v>
      </c>
      <c r="E1339" t="str">
        <f>IF(VIPcric_1!E1321="","",VIPcric_1!E1321)</f>
        <v/>
      </c>
      <c r="F1339" t="str">
        <f>IF(VIPcric_1!F1321="","",VIPcric_1!F1321)</f>
        <v/>
      </c>
      <c r="G1339" t="str">
        <f>IF(VIPcric_1!G1321="","",VIPcric_1!G1321)</f>
        <v/>
      </c>
      <c r="H1339" t="str">
        <f>IF(VIPcric_1!H1321="","",VIPcric_1!H1321)</f>
        <v/>
      </c>
      <c r="I1339" t="str">
        <f>IF(VIPcric_1!M1321="","",VIPcric_1!M1321)</f>
        <v>CRIC-无锡-市场监测.商品房市场.项目累计.库存.xlsx</v>
      </c>
    </row>
    <row r="1340" spans="1:9">
      <c r="A1340" t="str">
        <f>IF(VIPcric_1!A1322="","",VIPcric_1!A1322)</f>
        <v>2020年</v>
      </c>
      <c r="B1340">
        <f>IF(VIPcric_1!B1322="","",VIPcric_1!B1322)</f>
        <v>4280241</v>
      </c>
      <c r="C1340">
        <f>IF(VIPcric_1!C1322="","",VIPcric_1!C1322)</f>
        <v>35039</v>
      </c>
      <c r="D1340">
        <f>IF(VIPcric_1!D1322="","",VIPcric_1!D1322)</f>
        <v>9.6999999999999993</v>
      </c>
      <c r="E1340" t="str">
        <f>IF(VIPcric_1!E1322="","",VIPcric_1!E1322)</f>
        <v/>
      </c>
      <c r="F1340" t="str">
        <f>IF(VIPcric_1!F1322="","",VIPcric_1!F1322)</f>
        <v/>
      </c>
      <c r="G1340" t="str">
        <f>IF(VIPcric_1!G1322="","",VIPcric_1!G1322)</f>
        <v/>
      </c>
      <c r="H1340" t="str">
        <f>IF(VIPcric_1!H1322="","",VIPcric_1!H1322)</f>
        <v/>
      </c>
      <c r="I1340" t="str">
        <f>IF(VIPcric_1!M1322="","",VIPcric_1!M1322)</f>
        <v>CRIC-无锡-市场监测.商品房市场.项目累计.库存.xlsx</v>
      </c>
    </row>
    <row r="1341" spans="1:9">
      <c r="A1341" t="str">
        <f>IF(VIPcric_1!A1323="","",VIPcric_1!A1323)</f>
        <v>2019年</v>
      </c>
      <c r="B1341">
        <f>IF(VIPcric_1!B1323="","",VIPcric_1!B1323)</f>
        <v>4662000</v>
      </c>
      <c r="C1341">
        <f>IF(VIPcric_1!C1323="","",VIPcric_1!C1323)</f>
        <v>37198</v>
      </c>
      <c r="D1341">
        <f>IF(VIPcric_1!D1323="","",VIPcric_1!D1323)</f>
        <v>9</v>
      </c>
      <c r="E1341" t="str">
        <f>IF(VIPcric_1!E1323="","",VIPcric_1!E1323)</f>
        <v/>
      </c>
      <c r="F1341" t="str">
        <f>IF(VIPcric_1!F1323="","",VIPcric_1!F1323)</f>
        <v/>
      </c>
      <c r="G1341" t="str">
        <f>IF(VIPcric_1!G1323="","",VIPcric_1!G1323)</f>
        <v/>
      </c>
      <c r="H1341" t="str">
        <f>IF(VIPcric_1!H1323="","",VIPcric_1!H1323)</f>
        <v/>
      </c>
      <c r="I1341" t="str">
        <f>IF(VIPcric_1!M1323="","",VIPcric_1!M1323)</f>
        <v>CRIC-无锡-市场监测.商品房市场.项目累计.库存.xlsx</v>
      </c>
    </row>
    <row r="1342" spans="1:9">
      <c r="A1342" t="str">
        <f>IF(VIPcric_1!A1324="","",VIPcric_1!A1324)</f>
        <v/>
      </c>
      <c r="B1342" t="str">
        <f>IF(VIPcric_1!B1324="","",VIPcric_1!B1324)</f>
        <v/>
      </c>
      <c r="C1342" t="str">
        <f>IF(VIPcric_1!C1324="","",VIPcric_1!C1324)</f>
        <v/>
      </c>
      <c r="D1342" t="str">
        <f>IF(VIPcric_1!D1324="","",VIPcric_1!D1324)</f>
        <v/>
      </c>
      <c r="E1342" t="str">
        <f>IF(VIPcric_1!E1324="","",VIPcric_1!E1324)</f>
        <v/>
      </c>
      <c r="F1342" t="str">
        <f>IF(VIPcric_1!F1324="","",VIPcric_1!F1324)</f>
        <v/>
      </c>
      <c r="G1342" t="str">
        <f>IF(VIPcric_1!G1324="","",VIPcric_1!G1324)</f>
        <v/>
      </c>
      <c r="H1342" t="str">
        <f>IF(VIPcric_1!H1324="","",VIPcric_1!H1324)</f>
        <v/>
      </c>
      <c r="I1342" t="str">
        <f>IF(VIPcric_1!M1324="","",VIPcric_1!M1324)</f>
        <v/>
      </c>
    </row>
    <row r="1343" spans="1:9">
      <c r="A1343" t="str">
        <f>IF(VIPcric_1!A1325="","",VIPcric_1!A1325)</f>
        <v/>
      </c>
      <c r="B1343" t="str">
        <f>IF(VIPcric_1!B1325="","",VIPcric_1!B1325)</f>
        <v/>
      </c>
      <c r="C1343" t="str">
        <f>IF(VIPcric_1!C1325="","",VIPcric_1!C1325)</f>
        <v/>
      </c>
      <c r="D1343" t="str">
        <f>IF(VIPcric_1!D1325="","",VIPcric_1!D1325)</f>
        <v/>
      </c>
      <c r="E1343" t="str">
        <f>IF(VIPcric_1!E1325="","",VIPcric_1!E1325)</f>
        <v/>
      </c>
      <c r="F1343" t="str">
        <f>IF(VIPcric_1!F1325="","",VIPcric_1!F1325)</f>
        <v/>
      </c>
      <c r="G1343" t="str">
        <f>IF(VIPcric_1!G1325="","",VIPcric_1!G1325)</f>
        <v/>
      </c>
      <c r="H1343" t="str">
        <f>IF(VIPcric_1!H1325="","",VIPcric_1!H1325)</f>
        <v/>
      </c>
      <c r="I1343" t="str">
        <f>IF(VIPcric_1!M1325="","",VIPcric_1!M1325)</f>
        <v>CRIC-日照-市场监测.商品房市场.项目累计.供求.xlsx</v>
      </c>
    </row>
    <row r="1344" spans="1:9">
      <c r="A1344" t="str">
        <f>IF(VIPcric_1!A1326="","",VIPcric_1!A1326)</f>
        <v>时间(年)</v>
      </c>
      <c r="B1344" t="str">
        <f>IF(VIPcric_1!B1326="","",VIPcric_1!B1326)</f>
        <v>供应面积(㎡)</v>
      </c>
      <c r="C1344" t="str">
        <f>IF(VIPcric_1!C1326="","",VIPcric_1!C1326)</f>
        <v>供应套数(套)</v>
      </c>
      <c r="D1344" t="str">
        <f>IF(VIPcric_1!D1326="","",VIPcric_1!D1326)</f>
        <v>成交面积(㎡)</v>
      </c>
      <c r="E1344" t="str">
        <f>IF(VIPcric_1!E1326="","",VIPcric_1!E1326)</f>
        <v>成交套数(套)</v>
      </c>
      <c r="F1344" t="str">
        <f>IF(VIPcric_1!F1326="","",VIPcric_1!F1326)</f>
        <v>成交均价(元/㎡)</v>
      </c>
      <c r="G1344" t="str">
        <f>IF(VIPcric_1!G1326="","",VIPcric_1!G1326)</f>
        <v>成交金额(元)</v>
      </c>
      <c r="H1344" t="str">
        <f>IF(VIPcric_1!H1326="","",VIPcric_1!H1326)</f>
        <v>供求比</v>
      </c>
      <c r="I1344" t="str">
        <f>IF(VIPcric_1!M1326="","",VIPcric_1!M1326)</f>
        <v>CRIC-日照-市场监测.商品房市场.项目累计.供求.xlsx</v>
      </c>
    </row>
    <row r="1345" spans="1:9">
      <c r="A1345" t="str">
        <f>IF(VIPcric_1!A1327="","",VIPcric_1!A1327)</f>
        <v>2023年</v>
      </c>
      <c r="B1345">
        <f>IF(VIPcric_1!B1327="","",VIPcric_1!B1327)</f>
        <v>503095</v>
      </c>
      <c r="C1345">
        <f>IF(VIPcric_1!C1327="","",VIPcric_1!C1327)</f>
        <v>3965</v>
      </c>
      <c r="D1345">
        <f>IF(VIPcric_1!D1327="","",VIPcric_1!D1327)</f>
        <v>458915</v>
      </c>
      <c r="E1345">
        <f>IF(VIPcric_1!E1327="","",VIPcric_1!E1327)</f>
        <v>3736</v>
      </c>
      <c r="F1345">
        <f>IF(VIPcric_1!F1327="","",VIPcric_1!F1327)</f>
        <v>9769</v>
      </c>
      <c r="G1345">
        <f>IF(VIPcric_1!G1327="","",VIPcric_1!G1327)</f>
        <v>4483141810</v>
      </c>
      <c r="H1345">
        <f>IF(VIPcric_1!H1327="","",VIPcric_1!H1327)</f>
        <v>1.1000000000000001</v>
      </c>
      <c r="I1345" t="str">
        <f>IF(VIPcric_1!M1327="","",VIPcric_1!M1327)</f>
        <v>CRIC-日照-市场监测.商品房市场.项目累计.供求.xlsx</v>
      </c>
    </row>
    <row r="1346" spans="1:9">
      <c r="A1346" t="str">
        <f>IF(VIPcric_1!A1328="","",VIPcric_1!A1328)</f>
        <v>2022年</v>
      </c>
      <c r="B1346">
        <f>IF(VIPcric_1!B1328="","",VIPcric_1!B1328)</f>
        <v>1252989</v>
      </c>
      <c r="C1346">
        <f>IF(VIPcric_1!C1328="","",VIPcric_1!C1328)</f>
        <v>10395</v>
      </c>
      <c r="D1346">
        <f>IF(VIPcric_1!D1328="","",VIPcric_1!D1328)</f>
        <v>926923</v>
      </c>
      <c r="E1346">
        <f>IF(VIPcric_1!E1328="","",VIPcric_1!E1328)</f>
        <v>7427</v>
      </c>
      <c r="F1346">
        <f>IF(VIPcric_1!F1328="","",VIPcric_1!F1328)</f>
        <v>9529</v>
      </c>
      <c r="G1346">
        <f>IF(VIPcric_1!G1328="","",VIPcric_1!G1328)</f>
        <v>8832184439</v>
      </c>
      <c r="H1346">
        <f>IF(VIPcric_1!H1328="","",VIPcric_1!H1328)</f>
        <v>1.35</v>
      </c>
      <c r="I1346" t="str">
        <f>IF(VIPcric_1!M1328="","",VIPcric_1!M1328)</f>
        <v>CRIC-日照-市场监测.商品房市场.项目累计.供求.xlsx</v>
      </c>
    </row>
    <row r="1347" spans="1:9">
      <c r="A1347" t="str">
        <f>IF(VIPcric_1!A1329="","",VIPcric_1!A1329)</f>
        <v>2021年</v>
      </c>
      <c r="B1347">
        <f>IF(VIPcric_1!B1329="","",VIPcric_1!B1329)</f>
        <v>2341800</v>
      </c>
      <c r="C1347">
        <f>IF(VIPcric_1!C1329="","",VIPcric_1!C1329)</f>
        <v>19068</v>
      </c>
      <c r="D1347">
        <f>IF(VIPcric_1!D1329="","",VIPcric_1!D1329)</f>
        <v>1843411</v>
      </c>
      <c r="E1347">
        <f>IF(VIPcric_1!E1329="","",VIPcric_1!E1329)</f>
        <v>15092</v>
      </c>
      <c r="F1347">
        <f>IF(VIPcric_1!F1329="","",VIPcric_1!F1329)</f>
        <v>10103</v>
      </c>
      <c r="G1347">
        <f>IF(VIPcric_1!G1329="","",VIPcric_1!G1329)</f>
        <v>18624097413</v>
      </c>
      <c r="H1347">
        <f>IF(VIPcric_1!H1329="","",VIPcric_1!H1329)</f>
        <v>1.27</v>
      </c>
      <c r="I1347" t="str">
        <f>IF(VIPcric_1!M1329="","",VIPcric_1!M1329)</f>
        <v>CRIC-日照-市场监测.商品房市场.项目累计.供求.xlsx</v>
      </c>
    </row>
    <row r="1348" spans="1:9">
      <c r="A1348" t="str">
        <f>IF(VIPcric_1!A1330="","",VIPcric_1!A1330)</f>
        <v>2020年</v>
      </c>
      <c r="B1348">
        <f>IF(VIPcric_1!B1330="","",VIPcric_1!B1330)</f>
        <v>2601077</v>
      </c>
      <c r="C1348">
        <f>IF(VIPcric_1!C1330="","",VIPcric_1!C1330)</f>
        <v>20307</v>
      </c>
      <c r="D1348">
        <f>IF(VIPcric_1!D1330="","",VIPcric_1!D1330)</f>
        <v>1009903</v>
      </c>
      <c r="E1348">
        <f>IF(VIPcric_1!E1330="","",VIPcric_1!E1330)</f>
        <v>8266</v>
      </c>
      <c r="F1348">
        <f>IF(VIPcric_1!F1330="","",VIPcric_1!F1330)</f>
        <v>9070</v>
      </c>
      <c r="G1348">
        <f>IF(VIPcric_1!G1330="","",VIPcric_1!G1330)</f>
        <v>9160234995</v>
      </c>
      <c r="H1348">
        <f>IF(VIPcric_1!H1330="","",VIPcric_1!H1330)</f>
        <v>2.58</v>
      </c>
      <c r="I1348" t="str">
        <f>IF(VIPcric_1!M1330="","",VIPcric_1!M1330)</f>
        <v>CRIC-日照-市场监测.商品房市场.项目累计.供求.xlsx</v>
      </c>
    </row>
    <row r="1349" spans="1:9">
      <c r="A1349" t="str">
        <f>IF(VIPcric_1!A1331="","",VIPcric_1!A1331)</f>
        <v>2019年</v>
      </c>
      <c r="B1349">
        <f>IF(VIPcric_1!B1331="","",VIPcric_1!B1331)</f>
        <v>2259980</v>
      </c>
      <c r="C1349">
        <f>IF(VIPcric_1!C1331="","",VIPcric_1!C1331)</f>
        <v>18530</v>
      </c>
      <c r="D1349">
        <f>IF(VIPcric_1!D1331="","",VIPcric_1!D1331)</f>
        <v>1181556</v>
      </c>
      <c r="E1349">
        <f>IF(VIPcric_1!E1331="","",VIPcric_1!E1331)</f>
        <v>10170</v>
      </c>
      <c r="F1349">
        <f>IF(VIPcric_1!F1331="","",VIPcric_1!F1331)</f>
        <v>9182</v>
      </c>
      <c r="G1349">
        <f>IF(VIPcric_1!G1331="","",VIPcric_1!G1331)</f>
        <v>10848926009</v>
      </c>
      <c r="H1349">
        <f>IF(VIPcric_1!H1331="","",VIPcric_1!H1331)</f>
        <v>1.91</v>
      </c>
      <c r="I1349" t="str">
        <f>IF(VIPcric_1!M1331="","",VIPcric_1!M1331)</f>
        <v>CRIC-日照-市场监测.商品房市场.项目累计.供求.xlsx</v>
      </c>
    </row>
    <row r="1350" spans="1:9">
      <c r="A1350" t="str">
        <f>IF(VIPcric_1!A1332="","",VIPcric_1!A1332)</f>
        <v>2018年</v>
      </c>
      <c r="B1350">
        <f>IF(VIPcric_1!B1332="","",VIPcric_1!B1332)</f>
        <v>4092</v>
      </c>
      <c r="C1350">
        <f>IF(VIPcric_1!C1332="","",VIPcric_1!C1332)</f>
        <v>36</v>
      </c>
      <c r="D1350">
        <f>IF(VIPcric_1!D1332="","",VIPcric_1!D1332)</f>
        <v>0</v>
      </c>
      <c r="E1350">
        <f>IF(VIPcric_1!E1332="","",VIPcric_1!E1332)</f>
        <v>0</v>
      </c>
      <c r="F1350">
        <f>IF(VIPcric_1!F1332="","",VIPcric_1!F1332)</f>
        <v>0</v>
      </c>
      <c r="G1350">
        <f>IF(VIPcric_1!G1332="","",VIPcric_1!G1332)</f>
        <v>0</v>
      </c>
      <c r="H1350">
        <f>IF(VIPcric_1!H1332="","",VIPcric_1!H1332)</f>
        <v>0</v>
      </c>
      <c r="I1350" t="str">
        <f>IF(VIPcric_1!M1332="","",VIPcric_1!M1332)</f>
        <v>CRIC-日照-市场监测.商品房市场.项目累计.供求.xlsx</v>
      </c>
    </row>
    <row r="1351" spans="1:9">
      <c r="A1351" t="str">
        <f>IF(VIPcric_1!A1333="","",VIPcric_1!A1333)</f>
        <v>汇总</v>
      </c>
      <c r="B1351">
        <f>IF(VIPcric_1!B1333="","",VIPcric_1!B1333)</f>
        <v>8963034</v>
      </c>
      <c r="C1351">
        <f>IF(VIPcric_1!C1333="","",VIPcric_1!C1333)</f>
        <v>72301</v>
      </c>
      <c r="D1351">
        <f>IF(VIPcric_1!D1333="","",VIPcric_1!D1333)</f>
        <v>5420708</v>
      </c>
      <c r="E1351">
        <f>IF(VIPcric_1!E1333="","",VIPcric_1!E1333)</f>
        <v>44691</v>
      </c>
      <c r="F1351">
        <f>IF(VIPcric_1!F1333="","",VIPcric_1!F1333)</f>
        <v>9583</v>
      </c>
      <c r="G1351">
        <f>IF(VIPcric_1!G1333="","",VIPcric_1!G1333)</f>
        <v>51948584665</v>
      </c>
      <c r="H1351">
        <f>IF(VIPcric_1!H1333="","",VIPcric_1!H1333)</f>
        <v>1.65</v>
      </c>
      <c r="I1351" t="str">
        <f>IF(VIPcric_1!M1333="","",VIPcric_1!M1333)</f>
        <v>CRIC-日照-市场监测.商品房市场.项目累计.供求.xlsx</v>
      </c>
    </row>
    <row r="1352" spans="1:9">
      <c r="A1352" t="str">
        <f>IF(VIPcric_1!A1334="","",VIPcric_1!A1334)</f>
        <v/>
      </c>
      <c r="B1352" t="str">
        <f>IF(VIPcric_1!B1334="","",VIPcric_1!B1334)</f>
        <v/>
      </c>
      <c r="C1352" t="str">
        <f>IF(VIPcric_1!C1334="","",VIPcric_1!C1334)</f>
        <v/>
      </c>
      <c r="D1352" t="str">
        <f>IF(VIPcric_1!D1334="","",VIPcric_1!D1334)</f>
        <v/>
      </c>
      <c r="E1352" t="str">
        <f>IF(VIPcric_1!E1334="","",VIPcric_1!E1334)</f>
        <v/>
      </c>
      <c r="F1352" t="str">
        <f>IF(VIPcric_1!F1334="","",VIPcric_1!F1334)</f>
        <v/>
      </c>
      <c r="G1352" t="str">
        <f>IF(VIPcric_1!G1334="","",VIPcric_1!G1334)</f>
        <v/>
      </c>
      <c r="H1352" t="str">
        <f>IF(VIPcric_1!H1334="","",VIPcric_1!H1334)</f>
        <v/>
      </c>
      <c r="I1352" t="str">
        <f>IF(VIPcric_1!M1334="","",VIPcric_1!M1334)</f>
        <v/>
      </c>
    </row>
    <row r="1353" spans="1:9">
      <c r="A1353" t="str">
        <f>IF(VIPcric_1!A1335="","",VIPcric_1!A1335)</f>
        <v/>
      </c>
      <c r="B1353" t="str">
        <f>IF(VIPcric_1!B1335="","",VIPcric_1!B1335)</f>
        <v/>
      </c>
      <c r="C1353" t="str">
        <f>IF(VIPcric_1!C1335="","",VIPcric_1!C1335)</f>
        <v/>
      </c>
      <c r="D1353" t="str">
        <f>IF(VIPcric_1!D1335="","",VIPcric_1!D1335)</f>
        <v/>
      </c>
      <c r="E1353" t="str">
        <f>IF(VIPcric_1!E1335="","",VIPcric_1!E1335)</f>
        <v/>
      </c>
      <c r="F1353" t="str">
        <f>IF(VIPcric_1!F1335="","",VIPcric_1!F1335)</f>
        <v/>
      </c>
      <c r="G1353" t="str">
        <f>IF(VIPcric_1!G1335="","",VIPcric_1!G1335)</f>
        <v/>
      </c>
      <c r="H1353" t="str">
        <f>IF(VIPcric_1!H1335="","",VIPcric_1!H1335)</f>
        <v/>
      </c>
      <c r="I1353" t="str">
        <f>IF(VIPcric_1!M1335="","",VIPcric_1!M1335)</f>
        <v>CRIC-日照-市场监测.商品房市场.项目累计.库存.xlsx</v>
      </c>
    </row>
    <row r="1354" spans="1:9">
      <c r="A1354" t="str">
        <f>IF(VIPcric_1!A1336="","",VIPcric_1!A1336)</f>
        <v>时间(年)</v>
      </c>
      <c r="B1354" t="str">
        <f>IF(VIPcric_1!B1336="","",VIPcric_1!B1336)</f>
        <v>库存面积(㎡)</v>
      </c>
      <c r="C1354" t="str">
        <f>IF(VIPcric_1!C1336="","",VIPcric_1!C1336)</f>
        <v>库存套数(套)</v>
      </c>
      <c r="D1354" t="str">
        <f>IF(VIPcric_1!D1336="","",VIPcric_1!D1336)</f>
        <v>去化周期12'(月)</v>
      </c>
      <c r="E1354" t="str">
        <f>IF(VIPcric_1!E1336="","",VIPcric_1!E1336)</f>
        <v/>
      </c>
      <c r="F1354" t="str">
        <f>IF(VIPcric_1!F1336="","",VIPcric_1!F1336)</f>
        <v/>
      </c>
      <c r="G1354" t="str">
        <f>IF(VIPcric_1!G1336="","",VIPcric_1!G1336)</f>
        <v/>
      </c>
      <c r="H1354" t="str">
        <f>IF(VIPcric_1!H1336="","",VIPcric_1!H1336)</f>
        <v/>
      </c>
      <c r="I1354" t="str">
        <f>IF(VIPcric_1!M1336="","",VIPcric_1!M1336)</f>
        <v>CRIC-日照-市场监测.商品房市场.项目累计.库存.xlsx</v>
      </c>
    </row>
    <row r="1355" spans="1:9">
      <c r="A1355" t="str">
        <f>IF(VIPcric_1!A1337="","",VIPcric_1!A1337)</f>
        <v>2023年</v>
      </c>
      <c r="B1355">
        <f>IF(VIPcric_1!B1337="","",VIPcric_1!B1337)</f>
        <v>4899370</v>
      </c>
      <c r="C1355">
        <f>IF(VIPcric_1!C1337="","",VIPcric_1!C1337)</f>
        <v>40658</v>
      </c>
      <c r="D1355">
        <f>IF(VIPcric_1!D1337="","",VIPcric_1!D1337)</f>
        <v>76</v>
      </c>
      <c r="E1355" t="str">
        <f>IF(VIPcric_1!E1337="","",VIPcric_1!E1337)</f>
        <v/>
      </c>
      <c r="F1355" t="str">
        <f>IF(VIPcric_1!F1337="","",VIPcric_1!F1337)</f>
        <v/>
      </c>
      <c r="G1355" t="str">
        <f>IF(VIPcric_1!G1337="","",VIPcric_1!G1337)</f>
        <v/>
      </c>
      <c r="H1355" t="str">
        <f>IF(VIPcric_1!H1337="","",VIPcric_1!H1337)</f>
        <v/>
      </c>
      <c r="I1355" t="str">
        <f>IF(VIPcric_1!M1337="","",VIPcric_1!M1337)</f>
        <v>CRIC-日照-市场监测.商品房市场.项目累计.库存.xlsx</v>
      </c>
    </row>
    <row r="1356" spans="1:9">
      <c r="A1356" t="str">
        <f>IF(VIPcric_1!A1338="","",VIPcric_1!A1338)</f>
        <v>2022年</v>
      </c>
      <c r="B1356">
        <f>IF(VIPcric_1!B1338="","",VIPcric_1!B1338)</f>
        <v>4646237</v>
      </c>
      <c r="C1356">
        <f>IF(VIPcric_1!C1338="","",VIPcric_1!C1338)</f>
        <v>38579</v>
      </c>
      <c r="D1356">
        <f>IF(VIPcric_1!D1338="","",VIPcric_1!D1338)</f>
        <v>60.2</v>
      </c>
      <c r="E1356" t="str">
        <f>IF(VIPcric_1!E1338="","",VIPcric_1!E1338)</f>
        <v/>
      </c>
      <c r="F1356" t="str">
        <f>IF(VIPcric_1!F1338="","",VIPcric_1!F1338)</f>
        <v/>
      </c>
      <c r="G1356" t="str">
        <f>IF(VIPcric_1!G1338="","",VIPcric_1!G1338)</f>
        <v/>
      </c>
      <c r="H1356" t="str">
        <f>IF(VIPcric_1!H1338="","",VIPcric_1!H1338)</f>
        <v/>
      </c>
      <c r="I1356" t="str">
        <f>IF(VIPcric_1!M1338="","",VIPcric_1!M1338)</f>
        <v>CRIC-日照-市场监测.商品房市场.项目累计.库存.xlsx</v>
      </c>
    </row>
    <row r="1357" spans="1:9">
      <c r="A1357" t="str">
        <f>IF(VIPcric_1!A1339="","",VIPcric_1!A1339)</f>
        <v>2021年</v>
      </c>
      <c r="B1357">
        <f>IF(VIPcric_1!B1339="","",VIPcric_1!B1339)</f>
        <v>4219475</v>
      </c>
      <c r="C1357">
        <f>IF(VIPcric_1!C1339="","",VIPcric_1!C1339)</f>
        <v>34473</v>
      </c>
      <c r="D1357">
        <f>IF(VIPcric_1!D1339="","",VIPcric_1!D1339)</f>
        <v>27.5</v>
      </c>
      <c r="E1357" t="str">
        <f>IF(VIPcric_1!E1339="","",VIPcric_1!E1339)</f>
        <v/>
      </c>
      <c r="F1357" t="str">
        <f>IF(VIPcric_1!F1339="","",VIPcric_1!F1339)</f>
        <v/>
      </c>
      <c r="G1357" t="str">
        <f>IF(VIPcric_1!G1339="","",VIPcric_1!G1339)</f>
        <v/>
      </c>
      <c r="H1357" t="str">
        <f>IF(VIPcric_1!H1339="","",VIPcric_1!H1339)</f>
        <v/>
      </c>
      <c r="I1357" t="str">
        <f>IF(VIPcric_1!M1339="","",VIPcric_1!M1339)</f>
        <v>CRIC-日照-市场监测.商品房市场.项目累计.库存.xlsx</v>
      </c>
    </row>
    <row r="1358" spans="1:9">
      <c r="A1358" t="str">
        <f>IF(VIPcric_1!A1340="","",VIPcric_1!A1340)</f>
        <v>2020年</v>
      </c>
      <c r="B1358">
        <f>IF(VIPcric_1!B1340="","",VIPcric_1!B1340)</f>
        <v>3832043</v>
      </c>
      <c r="C1358">
        <f>IF(VIPcric_1!C1340="","",VIPcric_1!C1340)</f>
        <v>30859</v>
      </c>
      <c r="D1358">
        <f>IF(VIPcric_1!D1340="","",VIPcric_1!D1340)</f>
        <v>45.5</v>
      </c>
      <c r="E1358" t="str">
        <f>IF(VIPcric_1!E1340="","",VIPcric_1!E1340)</f>
        <v/>
      </c>
      <c r="F1358" t="str">
        <f>IF(VIPcric_1!F1340="","",VIPcric_1!F1340)</f>
        <v/>
      </c>
      <c r="G1358" t="str">
        <f>IF(VIPcric_1!G1340="","",VIPcric_1!G1340)</f>
        <v/>
      </c>
      <c r="H1358" t="str">
        <f>IF(VIPcric_1!H1340="","",VIPcric_1!H1340)</f>
        <v/>
      </c>
      <c r="I1358" t="str">
        <f>IF(VIPcric_1!M1340="","",VIPcric_1!M1340)</f>
        <v>CRIC-日照-市场监测.商品房市场.项目累计.库存.xlsx</v>
      </c>
    </row>
    <row r="1359" spans="1:9">
      <c r="A1359" t="str">
        <f>IF(VIPcric_1!A1341="","",VIPcric_1!A1341)</f>
        <v>2019年</v>
      </c>
      <c r="B1359">
        <f>IF(VIPcric_1!B1341="","",VIPcric_1!B1341)</f>
        <v>2368228</v>
      </c>
      <c r="C1359">
        <f>IF(VIPcric_1!C1341="","",VIPcric_1!C1341)</f>
        <v>19831</v>
      </c>
      <c r="D1359">
        <f>IF(VIPcric_1!D1341="","",VIPcric_1!D1341)</f>
        <v>24.1</v>
      </c>
      <c r="E1359" t="str">
        <f>IF(VIPcric_1!E1341="","",VIPcric_1!E1341)</f>
        <v/>
      </c>
      <c r="F1359" t="str">
        <f>IF(VIPcric_1!F1341="","",VIPcric_1!F1341)</f>
        <v/>
      </c>
      <c r="G1359" t="str">
        <f>IF(VIPcric_1!G1341="","",VIPcric_1!G1341)</f>
        <v/>
      </c>
      <c r="H1359" t="str">
        <f>IF(VIPcric_1!H1341="","",VIPcric_1!H1341)</f>
        <v/>
      </c>
      <c r="I1359" t="str">
        <f>IF(VIPcric_1!M1341="","",VIPcric_1!M1341)</f>
        <v>CRIC-日照-市场监测.商品房市场.项目累计.库存.xlsx</v>
      </c>
    </row>
    <row r="1360" spans="1:9">
      <c r="A1360" t="str">
        <f>IF(VIPcric_1!A1342="","",VIPcric_1!A1342)</f>
        <v/>
      </c>
      <c r="B1360" t="str">
        <f>IF(VIPcric_1!B1342="","",VIPcric_1!B1342)</f>
        <v/>
      </c>
      <c r="C1360" t="str">
        <f>IF(VIPcric_1!C1342="","",VIPcric_1!C1342)</f>
        <v/>
      </c>
      <c r="D1360" t="str">
        <f>IF(VIPcric_1!D1342="","",VIPcric_1!D1342)</f>
        <v/>
      </c>
      <c r="E1360" t="str">
        <f>IF(VIPcric_1!E1342="","",VIPcric_1!E1342)</f>
        <v/>
      </c>
      <c r="F1360" t="str">
        <f>IF(VIPcric_1!F1342="","",VIPcric_1!F1342)</f>
        <v/>
      </c>
      <c r="G1360" t="str">
        <f>IF(VIPcric_1!G1342="","",VIPcric_1!G1342)</f>
        <v/>
      </c>
      <c r="H1360" t="str">
        <f>IF(VIPcric_1!H1342="","",VIPcric_1!H1342)</f>
        <v/>
      </c>
      <c r="I1360" t="str">
        <f>IF(VIPcric_1!M1342="","",VIPcric_1!M1342)</f>
        <v/>
      </c>
    </row>
    <row r="1361" spans="1:9">
      <c r="A1361" t="str">
        <f>IF(VIPcric_1!A1343="","",VIPcric_1!A1343)</f>
        <v/>
      </c>
      <c r="B1361" t="str">
        <f>IF(VIPcric_1!B1343="","",VIPcric_1!B1343)</f>
        <v/>
      </c>
      <c r="C1361" t="str">
        <f>IF(VIPcric_1!C1343="","",VIPcric_1!C1343)</f>
        <v/>
      </c>
      <c r="D1361" t="str">
        <f>IF(VIPcric_1!D1343="","",VIPcric_1!D1343)</f>
        <v/>
      </c>
      <c r="E1361" t="str">
        <f>IF(VIPcric_1!E1343="","",VIPcric_1!E1343)</f>
        <v/>
      </c>
      <c r="F1361" t="str">
        <f>IF(VIPcric_1!F1343="","",VIPcric_1!F1343)</f>
        <v/>
      </c>
      <c r="G1361" t="str">
        <f>IF(VIPcric_1!G1343="","",VIPcric_1!G1343)</f>
        <v/>
      </c>
      <c r="H1361" t="str">
        <f>IF(VIPcric_1!H1343="","",VIPcric_1!H1343)</f>
        <v/>
      </c>
      <c r="I1361" t="str">
        <f>IF(VIPcric_1!M1343="","",VIPcric_1!M1343)</f>
        <v>CRIC-昆山-市场监测.商品房市场.项目累计.供求.xlsx</v>
      </c>
    </row>
    <row r="1362" spans="1:9">
      <c r="A1362" t="str">
        <f>IF(VIPcric_1!A1344="","",VIPcric_1!A1344)</f>
        <v>时间(年)</v>
      </c>
      <c r="B1362" t="str">
        <f>IF(VIPcric_1!B1344="","",VIPcric_1!B1344)</f>
        <v>供应面积(㎡)</v>
      </c>
      <c r="C1362" t="str">
        <f>IF(VIPcric_1!C1344="","",VIPcric_1!C1344)</f>
        <v>供应套数(套)</v>
      </c>
      <c r="D1362" t="str">
        <f>IF(VIPcric_1!D1344="","",VIPcric_1!D1344)</f>
        <v>成交面积(㎡)</v>
      </c>
      <c r="E1362" t="str">
        <f>IF(VIPcric_1!E1344="","",VIPcric_1!E1344)</f>
        <v>成交套数(套)</v>
      </c>
      <c r="F1362" t="str">
        <f>IF(VIPcric_1!F1344="","",VIPcric_1!F1344)</f>
        <v>成交均价(元/㎡)</v>
      </c>
      <c r="G1362" t="str">
        <f>IF(VIPcric_1!G1344="","",VIPcric_1!G1344)</f>
        <v>成交金额(元)</v>
      </c>
      <c r="H1362" t="str">
        <f>IF(VIPcric_1!H1344="","",VIPcric_1!H1344)</f>
        <v>供求比</v>
      </c>
      <c r="I1362" t="str">
        <f>IF(VIPcric_1!M1344="","",VIPcric_1!M1344)</f>
        <v>CRIC-昆山-市场监测.商品房市场.项目累计.供求.xlsx</v>
      </c>
    </row>
    <row r="1363" spans="1:9">
      <c r="A1363" t="str">
        <f>IF(VIPcric_1!A1345="","",VIPcric_1!A1345)</f>
        <v>2024年</v>
      </c>
      <c r="B1363">
        <f>IF(VIPcric_1!B1345="","",VIPcric_1!B1345)</f>
        <v>18554</v>
      </c>
      <c r="C1363">
        <f>IF(VIPcric_1!C1345="","",VIPcric_1!C1345)</f>
        <v>130</v>
      </c>
      <c r="D1363">
        <f>IF(VIPcric_1!D1345="","",VIPcric_1!D1345)</f>
        <v>68343</v>
      </c>
      <c r="E1363">
        <f>IF(VIPcric_1!E1345="","",VIPcric_1!E1345)</f>
        <v>536</v>
      </c>
      <c r="F1363">
        <f>IF(VIPcric_1!F1345="","",VIPcric_1!F1345)</f>
        <v>21876</v>
      </c>
      <c r="G1363">
        <f>IF(VIPcric_1!G1345="","",VIPcric_1!G1345)</f>
        <v>1495028279</v>
      </c>
      <c r="H1363">
        <f>IF(VIPcric_1!H1345="","",VIPcric_1!H1345)</f>
        <v>0.27</v>
      </c>
      <c r="I1363" t="str">
        <f>IF(VIPcric_1!M1345="","",VIPcric_1!M1345)</f>
        <v>CRIC-昆山-市场监测.商品房市场.项目累计.供求.xlsx</v>
      </c>
    </row>
    <row r="1364" spans="1:9">
      <c r="A1364" t="str">
        <f>IF(VIPcric_1!A1346="","",VIPcric_1!A1346)</f>
        <v>2023年</v>
      </c>
      <c r="B1364">
        <f>IF(VIPcric_1!B1346="","",VIPcric_1!B1346)</f>
        <v>1524746</v>
      </c>
      <c r="C1364">
        <f>IF(VIPcric_1!C1346="","",VIPcric_1!C1346)</f>
        <v>10480</v>
      </c>
      <c r="D1364">
        <f>IF(VIPcric_1!D1346="","",VIPcric_1!D1346)</f>
        <v>1506932</v>
      </c>
      <c r="E1364">
        <f>IF(VIPcric_1!E1346="","",VIPcric_1!E1346)</f>
        <v>12228</v>
      </c>
      <c r="F1364">
        <f>IF(VIPcric_1!F1346="","",VIPcric_1!F1346)</f>
        <v>23023</v>
      </c>
      <c r="G1364">
        <f>IF(VIPcric_1!G1346="","",VIPcric_1!G1346)</f>
        <v>34693561190</v>
      </c>
      <c r="H1364">
        <f>IF(VIPcric_1!H1346="","",VIPcric_1!H1346)</f>
        <v>1.01</v>
      </c>
      <c r="I1364" t="str">
        <f>IF(VIPcric_1!M1346="","",VIPcric_1!M1346)</f>
        <v>CRIC-昆山-市场监测.商品房市场.项目累计.供求.xlsx</v>
      </c>
    </row>
    <row r="1365" spans="1:9">
      <c r="A1365" t="str">
        <f>IF(VIPcric_1!A1347="","",VIPcric_1!A1347)</f>
        <v>2022年</v>
      </c>
      <c r="B1365">
        <f>IF(VIPcric_1!B1347="","",VIPcric_1!B1347)</f>
        <v>2355401</v>
      </c>
      <c r="C1365">
        <f>IF(VIPcric_1!C1347="","",VIPcric_1!C1347)</f>
        <v>19696</v>
      </c>
      <c r="D1365">
        <f>IF(VIPcric_1!D1347="","",VIPcric_1!D1347)</f>
        <v>2750497</v>
      </c>
      <c r="E1365">
        <f>IF(VIPcric_1!E1347="","",VIPcric_1!E1347)</f>
        <v>24096</v>
      </c>
      <c r="F1365">
        <f>IF(VIPcric_1!F1347="","",VIPcric_1!F1347)</f>
        <v>21274</v>
      </c>
      <c r="G1365">
        <f>IF(VIPcric_1!G1347="","",VIPcric_1!G1347)</f>
        <v>58514847678</v>
      </c>
      <c r="H1365">
        <f>IF(VIPcric_1!H1347="","",VIPcric_1!H1347)</f>
        <v>0.86</v>
      </c>
      <c r="I1365" t="str">
        <f>IF(VIPcric_1!M1347="","",VIPcric_1!M1347)</f>
        <v>CRIC-昆山-市场监测.商品房市场.项目累计.供求.xlsx</v>
      </c>
    </row>
    <row r="1366" spans="1:9">
      <c r="A1366" t="str">
        <f>IF(VIPcric_1!A1348="","",VIPcric_1!A1348)</f>
        <v>2021年</v>
      </c>
      <c r="B1366">
        <f>IF(VIPcric_1!B1348="","",VIPcric_1!B1348)</f>
        <v>2858643</v>
      </c>
      <c r="C1366">
        <f>IF(VIPcric_1!C1348="","",VIPcric_1!C1348)</f>
        <v>26171</v>
      </c>
      <c r="D1366">
        <f>IF(VIPcric_1!D1348="","",VIPcric_1!D1348)</f>
        <v>2970502</v>
      </c>
      <c r="E1366">
        <f>IF(VIPcric_1!E1348="","",VIPcric_1!E1348)</f>
        <v>28128</v>
      </c>
      <c r="F1366">
        <f>IF(VIPcric_1!F1348="","",VIPcric_1!F1348)</f>
        <v>19536</v>
      </c>
      <c r="G1366">
        <f>IF(VIPcric_1!G1348="","",VIPcric_1!G1348)</f>
        <v>58031722754</v>
      </c>
      <c r="H1366">
        <f>IF(VIPcric_1!H1348="","",VIPcric_1!H1348)</f>
        <v>0.96</v>
      </c>
      <c r="I1366" t="str">
        <f>IF(VIPcric_1!M1348="","",VIPcric_1!M1348)</f>
        <v>CRIC-昆山-市场监测.商品房市场.项目累计.供求.xlsx</v>
      </c>
    </row>
    <row r="1367" spans="1:9">
      <c r="A1367" t="str">
        <f>IF(VIPcric_1!A1349="","",VIPcric_1!A1349)</f>
        <v>2020年</v>
      </c>
      <c r="B1367">
        <f>IF(VIPcric_1!B1349="","",VIPcric_1!B1349)</f>
        <v>2136721</v>
      </c>
      <c r="C1367">
        <f>IF(VIPcric_1!C1349="","",VIPcric_1!C1349)</f>
        <v>19293</v>
      </c>
      <c r="D1367">
        <f>IF(VIPcric_1!D1349="","",VIPcric_1!D1349)</f>
        <v>1739538</v>
      </c>
      <c r="E1367">
        <f>IF(VIPcric_1!E1349="","",VIPcric_1!E1349)</f>
        <v>16547</v>
      </c>
      <c r="F1367">
        <f>IF(VIPcric_1!F1349="","",VIPcric_1!F1349)</f>
        <v>18342</v>
      </c>
      <c r="G1367">
        <f>IF(VIPcric_1!G1349="","",VIPcric_1!G1349)</f>
        <v>31906981001</v>
      </c>
      <c r="H1367">
        <f>IF(VIPcric_1!H1349="","",VIPcric_1!H1349)</f>
        <v>1.23</v>
      </c>
      <c r="I1367" t="str">
        <f>IF(VIPcric_1!M1349="","",VIPcric_1!M1349)</f>
        <v>CRIC-昆山-市场监测.商品房市场.项目累计.供求.xlsx</v>
      </c>
    </row>
    <row r="1368" spans="1:9">
      <c r="A1368" t="str">
        <f>IF(VIPcric_1!A1350="","",VIPcric_1!A1350)</f>
        <v>2019年</v>
      </c>
      <c r="B1368">
        <f>IF(VIPcric_1!B1350="","",VIPcric_1!B1350)</f>
        <v>2884937</v>
      </c>
      <c r="C1368">
        <f>IF(VIPcric_1!C1350="","",VIPcric_1!C1350)</f>
        <v>27353</v>
      </c>
      <c r="D1368">
        <f>IF(VIPcric_1!D1350="","",VIPcric_1!D1350)</f>
        <v>2882038</v>
      </c>
      <c r="E1368">
        <f>IF(VIPcric_1!E1350="","",VIPcric_1!E1350)</f>
        <v>27449</v>
      </c>
      <c r="F1368">
        <f>IF(VIPcric_1!F1350="","",VIPcric_1!F1350)</f>
        <v>17855</v>
      </c>
      <c r="G1368">
        <f>IF(VIPcric_1!G1350="","",VIPcric_1!G1350)</f>
        <v>51458383054</v>
      </c>
      <c r="H1368">
        <f>IF(VIPcric_1!H1350="","",VIPcric_1!H1350)</f>
        <v>1</v>
      </c>
      <c r="I1368" t="str">
        <f>IF(VIPcric_1!M1350="","",VIPcric_1!M1350)</f>
        <v>CRIC-昆山-市场监测.商品房市场.项目累计.供求.xlsx</v>
      </c>
    </row>
    <row r="1369" spans="1:9">
      <c r="A1369" t="str">
        <f>IF(VIPcric_1!A1351="","",VIPcric_1!A1351)</f>
        <v>汇总</v>
      </c>
      <c r="B1369">
        <f>IF(VIPcric_1!B1351="","",VIPcric_1!B1351)</f>
        <v>11779001</v>
      </c>
      <c r="C1369">
        <f>IF(VIPcric_1!C1351="","",VIPcric_1!C1351)</f>
        <v>103123</v>
      </c>
      <c r="D1369">
        <f>IF(VIPcric_1!D1351="","",VIPcric_1!D1351)</f>
        <v>11917850</v>
      </c>
      <c r="E1369">
        <f>IF(VIPcric_1!E1351="","",VIPcric_1!E1351)</f>
        <v>108984</v>
      </c>
      <c r="F1369">
        <f>IF(VIPcric_1!F1351="","",VIPcric_1!F1351)</f>
        <v>19811</v>
      </c>
      <c r="G1369">
        <f>IF(VIPcric_1!G1351="","",VIPcric_1!G1351)</f>
        <v>236100523956</v>
      </c>
      <c r="H1369">
        <f>IF(VIPcric_1!H1351="","",VIPcric_1!H1351)</f>
        <v>0.99</v>
      </c>
      <c r="I1369" t="str">
        <f>IF(VIPcric_1!M1351="","",VIPcric_1!M1351)</f>
        <v>CRIC-昆山-市场监测.商品房市场.项目累计.供求.xlsx</v>
      </c>
    </row>
    <row r="1370" spans="1:9">
      <c r="A1370" t="str">
        <f>IF(VIPcric_1!A1352="","",VIPcric_1!A1352)</f>
        <v/>
      </c>
      <c r="B1370" t="str">
        <f>IF(VIPcric_1!B1352="","",VIPcric_1!B1352)</f>
        <v/>
      </c>
      <c r="C1370" t="str">
        <f>IF(VIPcric_1!C1352="","",VIPcric_1!C1352)</f>
        <v/>
      </c>
      <c r="D1370" t="str">
        <f>IF(VIPcric_1!D1352="","",VIPcric_1!D1352)</f>
        <v/>
      </c>
      <c r="E1370" t="str">
        <f>IF(VIPcric_1!E1352="","",VIPcric_1!E1352)</f>
        <v/>
      </c>
      <c r="F1370" t="str">
        <f>IF(VIPcric_1!F1352="","",VIPcric_1!F1352)</f>
        <v/>
      </c>
      <c r="G1370" t="str">
        <f>IF(VIPcric_1!G1352="","",VIPcric_1!G1352)</f>
        <v/>
      </c>
      <c r="H1370" t="str">
        <f>IF(VIPcric_1!H1352="","",VIPcric_1!H1352)</f>
        <v/>
      </c>
      <c r="I1370" t="str">
        <f>IF(VIPcric_1!M1352="","",VIPcric_1!M1352)</f>
        <v/>
      </c>
    </row>
    <row r="1371" spans="1:9">
      <c r="A1371" t="str">
        <f>IF(VIPcric_1!A1353="","",VIPcric_1!A1353)</f>
        <v/>
      </c>
      <c r="B1371" t="str">
        <f>IF(VIPcric_1!B1353="","",VIPcric_1!B1353)</f>
        <v/>
      </c>
      <c r="C1371" t="str">
        <f>IF(VIPcric_1!C1353="","",VIPcric_1!C1353)</f>
        <v/>
      </c>
      <c r="D1371" t="str">
        <f>IF(VIPcric_1!D1353="","",VIPcric_1!D1353)</f>
        <v/>
      </c>
      <c r="E1371" t="str">
        <f>IF(VIPcric_1!E1353="","",VIPcric_1!E1353)</f>
        <v/>
      </c>
      <c r="F1371" t="str">
        <f>IF(VIPcric_1!F1353="","",VIPcric_1!F1353)</f>
        <v/>
      </c>
      <c r="G1371" t="str">
        <f>IF(VIPcric_1!G1353="","",VIPcric_1!G1353)</f>
        <v/>
      </c>
      <c r="H1371" t="str">
        <f>IF(VIPcric_1!H1353="","",VIPcric_1!H1353)</f>
        <v/>
      </c>
      <c r="I1371" t="str">
        <f>IF(VIPcric_1!M1353="","",VIPcric_1!M1353)</f>
        <v>CRIC-昆山-市场监测.商品房市场.项目累计.库存.xlsx</v>
      </c>
    </row>
    <row r="1372" spans="1:9">
      <c r="A1372" t="str">
        <f>IF(VIPcric_1!A1354="","",VIPcric_1!A1354)</f>
        <v>时间(年)</v>
      </c>
      <c r="B1372" t="str">
        <f>IF(VIPcric_1!B1354="","",VIPcric_1!B1354)</f>
        <v>库存面积(㎡)</v>
      </c>
      <c r="C1372" t="str">
        <f>IF(VIPcric_1!C1354="","",VIPcric_1!C1354)</f>
        <v>库存套数(套)</v>
      </c>
      <c r="D1372" t="str">
        <f>IF(VIPcric_1!D1354="","",VIPcric_1!D1354)</f>
        <v>去化周期12'(月)</v>
      </c>
      <c r="E1372" t="str">
        <f>IF(VIPcric_1!E1354="","",VIPcric_1!E1354)</f>
        <v/>
      </c>
      <c r="F1372" t="str">
        <f>IF(VIPcric_1!F1354="","",VIPcric_1!F1354)</f>
        <v/>
      </c>
      <c r="G1372" t="str">
        <f>IF(VIPcric_1!G1354="","",VIPcric_1!G1354)</f>
        <v/>
      </c>
      <c r="H1372" t="str">
        <f>IF(VIPcric_1!H1354="","",VIPcric_1!H1354)</f>
        <v/>
      </c>
      <c r="I1372" t="str">
        <f>IF(VIPcric_1!M1354="","",VIPcric_1!M1354)</f>
        <v>CRIC-昆山-市场监测.商品房市场.项目累计.库存.xlsx</v>
      </c>
    </row>
    <row r="1373" spans="1:9">
      <c r="A1373" t="str">
        <f>IF(VIPcric_1!A1355="","",VIPcric_1!A1355)</f>
        <v>2024年</v>
      </c>
      <c r="B1373">
        <f>IF(VIPcric_1!B1355="","",VIPcric_1!B1355)</f>
        <v>2246551</v>
      </c>
      <c r="C1373">
        <f>IF(VIPcric_1!C1355="","",VIPcric_1!C1355)</f>
        <v>18340</v>
      </c>
      <c r="D1373">
        <f>IF(VIPcric_1!D1355="","",VIPcric_1!D1355)</f>
        <v>19.2</v>
      </c>
      <c r="E1373" t="str">
        <f>IF(VIPcric_1!E1355="","",VIPcric_1!E1355)</f>
        <v/>
      </c>
      <c r="F1373" t="str">
        <f>IF(VIPcric_1!F1355="","",VIPcric_1!F1355)</f>
        <v/>
      </c>
      <c r="G1373" t="str">
        <f>IF(VIPcric_1!G1355="","",VIPcric_1!G1355)</f>
        <v/>
      </c>
      <c r="H1373" t="str">
        <f>IF(VIPcric_1!H1355="","",VIPcric_1!H1355)</f>
        <v/>
      </c>
      <c r="I1373" t="str">
        <f>IF(VIPcric_1!M1355="","",VIPcric_1!M1355)</f>
        <v>CRIC-昆山-市场监测.商品房市场.项目累计.库存.xlsx</v>
      </c>
    </row>
    <row r="1374" spans="1:9">
      <c r="A1374" t="str">
        <f>IF(VIPcric_1!A1356="","",VIPcric_1!A1356)</f>
        <v>2023年</v>
      </c>
      <c r="B1374">
        <f>IF(VIPcric_1!B1356="","",VIPcric_1!B1356)</f>
        <v>2284799</v>
      </c>
      <c r="C1374">
        <f>IF(VIPcric_1!C1356="","",VIPcric_1!C1356)</f>
        <v>18649</v>
      </c>
      <c r="D1374">
        <f>IF(VIPcric_1!D1356="","",VIPcric_1!D1356)</f>
        <v>18.2</v>
      </c>
      <c r="E1374" t="str">
        <f>IF(VIPcric_1!E1356="","",VIPcric_1!E1356)</f>
        <v/>
      </c>
      <c r="F1374" t="str">
        <f>IF(VIPcric_1!F1356="","",VIPcric_1!F1356)</f>
        <v/>
      </c>
      <c r="G1374" t="str">
        <f>IF(VIPcric_1!G1356="","",VIPcric_1!G1356)</f>
        <v/>
      </c>
      <c r="H1374" t="str">
        <f>IF(VIPcric_1!H1356="","",VIPcric_1!H1356)</f>
        <v/>
      </c>
      <c r="I1374" t="str">
        <f>IF(VIPcric_1!M1356="","",VIPcric_1!M1356)</f>
        <v>CRIC-昆山-市场监测.商品房市场.项目累计.库存.xlsx</v>
      </c>
    </row>
    <row r="1375" spans="1:9">
      <c r="A1375" t="str">
        <f>IF(VIPcric_1!A1357="","",VIPcric_1!A1357)</f>
        <v>2022年</v>
      </c>
      <c r="B1375">
        <f>IF(VIPcric_1!B1357="","",VIPcric_1!B1357)</f>
        <v>2239272</v>
      </c>
      <c r="C1375">
        <f>IF(VIPcric_1!C1357="","",VIPcric_1!C1357)</f>
        <v>20080</v>
      </c>
      <c r="D1375">
        <f>IF(VIPcric_1!D1357="","",VIPcric_1!D1357)</f>
        <v>9.8000000000000007</v>
      </c>
      <c r="E1375" t="str">
        <f>IF(VIPcric_1!E1357="","",VIPcric_1!E1357)</f>
        <v/>
      </c>
      <c r="F1375" t="str">
        <f>IF(VIPcric_1!F1357="","",VIPcric_1!F1357)</f>
        <v/>
      </c>
      <c r="G1375" t="str">
        <f>IF(VIPcric_1!G1357="","",VIPcric_1!G1357)</f>
        <v/>
      </c>
      <c r="H1375" t="str">
        <f>IF(VIPcric_1!H1357="","",VIPcric_1!H1357)</f>
        <v/>
      </c>
      <c r="I1375" t="str">
        <f>IF(VIPcric_1!M1357="","",VIPcric_1!M1357)</f>
        <v>CRIC-昆山-市场监测.商品房市场.项目累计.库存.xlsx</v>
      </c>
    </row>
    <row r="1376" spans="1:9">
      <c r="A1376" t="str">
        <f>IF(VIPcric_1!A1358="","",VIPcric_1!A1358)</f>
        <v>2021年</v>
      </c>
      <c r="B1376">
        <f>IF(VIPcric_1!B1358="","",VIPcric_1!B1358)</f>
        <v>2610820</v>
      </c>
      <c r="C1376">
        <f>IF(VIPcric_1!C1358="","",VIPcric_1!C1358)</f>
        <v>24281</v>
      </c>
      <c r="D1376">
        <f>IF(VIPcric_1!D1358="","",VIPcric_1!D1358)</f>
        <v>10.5</v>
      </c>
      <c r="E1376" t="str">
        <f>IF(VIPcric_1!E1358="","",VIPcric_1!E1358)</f>
        <v/>
      </c>
      <c r="F1376" t="str">
        <f>IF(VIPcric_1!F1358="","",VIPcric_1!F1358)</f>
        <v/>
      </c>
      <c r="G1376" t="str">
        <f>IF(VIPcric_1!G1358="","",VIPcric_1!G1358)</f>
        <v/>
      </c>
      <c r="H1376" t="str">
        <f>IF(VIPcric_1!H1358="","",VIPcric_1!H1358)</f>
        <v/>
      </c>
      <c r="I1376" t="str">
        <f>IF(VIPcric_1!M1358="","",VIPcric_1!M1358)</f>
        <v>CRIC-昆山-市场监测.商品房市场.项目累计.库存.xlsx</v>
      </c>
    </row>
    <row r="1377" spans="1:9">
      <c r="A1377" t="str">
        <f>IF(VIPcric_1!A1359="","",VIPcric_1!A1359)</f>
        <v>2020年</v>
      </c>
      <c r="B1377">
        <f>IF(VIPcric_1!B1359="","",VIPcric_1!B1359)</f>
        <v>2523910</v>
      </c>
      <c r="C1377">
        <f>IF(VIPcric_1!C1359="","",VIPcric_1!C1359)</f>
        <v>24740</v>
      </c>
      <c r="D1377">
        <f>IF(VIPcric_1!D1359="","",VIPcric_1!D1359)</f>
        <v>17.399999999999999</v>
      </c>
      <c r="E1377" t="str">
        <f>IF(VIPcric_1!E1359="","",VIPcric_1!E1359)</f>
        <v/>
      </c>
      <c r="F1377" t="str">
        <f>IF(VIPcric_1!F1359="","",VIPcric_1!F1359)</f>
        <v/>
      </c>
      <c r="G1377" t="str">
        <f>IF(VIPcric_1!G1359="","",VIPcric_1!G1359)</f>
        <v/>
      </c>
      <c r="H1377" t="str">
        <f>IF(VIPcric_1!H1359="","",VIPcric_1!H1359)</f>
        <v/>
      </c>
      <c r="I1377" t="str">
        <f>IF(VIPcric_1!M1359="","",VIPcric_1!M1359)</f>
        <v>CRIC-昆山-市场监测.商品房市场.项目累计.库存.xlsx</v>
      </c>
    </row>
    <row r="1378" spans="1:9">
      <c r="A1378" t="str">
        <f>IF(VIPcric_1!A1360="","",VIPcric_1!A1360)</f>
        <v>2019年</v>
      </c>
      <c r="B1378">
        <f>IF(VIPcric_1!B1360="","",VIPcric_1!B1360)</f>
        <v>2097888</v>
      </c>
      <c r="C1378">
        <f>IF(VIPcric_1!C1360="","",VIPcric_1!C1360)</f>
        <v>21288</v>
      </c>
      <c r="D1378">
        <f>IF(VIPcric_1!D1360="","",VIPcric_1!D1360)</f>
        <v>8.6999999999999993</v>
      </c>
      <c r="E1378" t="str">
        <f>IF(VIPcric_1!E1360="","",VIPcric_1!E1360)</f>
        <v/>
      </c>
      <c r="F1378" t="str">
        <f>IF(VIPcric_1!F1360="","",VIPcric_1!F1360)</f>
        <v/>
      </c>
      <c r="G1378" t="str">
        <f>IF(VIPcric_1!G1360="","",VIPcric_1!G1360)</f>
        <v/>
      </c>
      <c r="H1378" t="str">
        <f>IF(VIPcric_1!H1360="","",VIPcric_1!H1360)</f>
        <v/>
      </c>
      <c r="I1378" t="str">
        <f>IF(VIPcric_1!M1360="","",VIPcric_1!M1360)</f>
        <v>CRIC-昆山-市场监测.商品房市场.项目累计.库存.xlsx</v>
      </c>
    </row>
    <row r="1379" spans="1:9">
      <c r="A1379" t="str">
        <f>IF(VIPcric_1!A1361="","",VIPcric_1!A1361)</f>
        <v/>
      </c>
      <c r="B1379" t="str">
        <f>IF(VIPcric_1!B1361="","",VIPcric_1!B1361)</f>
        <v/>
      </c>
      <c r="C1379" t="str">
        <f>IF(VIPcric_1!C1361="","",VIPcric_1!C1361)</f>
        <v/>
      </c>
      <c r="D1379" t="str">
        <f>IF(VIPcric_1!D1361="","",VIPcric_1!D1361)</f>
        <v/>
      </c>
      <c r="E1379" t="str">
        <f>IF(VIPcric_1!E1361="","",VIPcric_1!E1361)</f>
        <v/>
      </c>
      <c r="F1379" t="str">
        <f>IF(VIPcric_1!F1361="","",VIPcric_1!F1361)</f>
        <v/>
      </c>
      <c r="G1379" t="str">
        <f>IF(VIPcric_1!G1361="","",VIPcric_1!G1361)</f>
        <v/>
      </c>
      <c r="H1379" t="str">
        <f>IF(VIPcric_1!H1361="","",VIPcric_1!H1361)</f>
        <v/>
      </c>
      <c r="I1379" t="str">
        <f>IF(VIPcric_1!M1361="","",VIPcric_1!M1361)</f>
        <v/>
      </c>
    </row>
    <row r="1380" spans="1:9">
      <c r="A1380" t="str">
        <f>IF(VIPcric_1!A1362="","",VIPcric_1!A1362)</f>
        <v/>
      </c>
      <c r="B1380" t="str">
        <f>IF(VIPcric_1!B1362="","",VIPcric_1!B1362)</f>
        <v/>
      </c>
      <c r="C1380" t="str">
        <f>IF(VIPcric_1!C1362="","",VIPcric_1!C1362)</f>
        <v/>
      </c>
      <c r="D1380" t="str">
        <f>IF(VIPcric_1!D1362="","",VIPcric_1!D1362)</f>
        <v/>
      </c>
      <c r="E1380" t="str">
        <f>IF(VIPcric_1!E1362="","",VIPcric_1!E1362)</f>
        <v/>
      </c>
      <c r="F1380" t="str">
        <f>IF(VIPcric_1!F1362="","",VIPcric_1!F1362)</f>
        <v/>
      </c>
      <c r="G1380" t="str">
        <f>IF(VIPcric_1!G1362="","",VIPcric_1!G1362)</f>
        <v/>
      </c>
      <c r="H1380" t="str">
        <f>IF(VIPcric_1!H1362="","",VIPcric_1!H1362)</f>
        <v/>
      </c>
      <c r="I1380" t="str">
        <f>IF(VIPcric_1!M1362="","",VIPcric_1!M1362)</f>
        <v>CRIC-昆明-市场监测.商品房市场.项目累计.供求 (1).xlsx</v>
      </c>
    </row>
    <row r="1381" spans="1:9">
      <c r="A1381" t="str">
        <f>IF(VIPcric_1!A1363="","",VIPcric_1!A1363)</f>
        <v>时间(年)</v>
      </c>
      <c r="B1381" t="str">
        <f>IF(VIPcric_1!B1363="","",VIPcric_1!B1363)</f>
        <v>供应面积(㎡)</v>
      </c>
      <c r="C1381" t="str">
        <f>IF(VIPcric_1!C1363="","",VIPcric_1!C1363)</f>
        <v>供应套数(套)</v>
      </c>
      <c r="D1381" t="str">
        <f>IF(VIPcric_1!D1363="","",VIPcric_1!D1363)</f>
        <v>成交面积(㎡)</v>
      </c>
      <c r="E1381" t="str">
        <f>IF(VIPcric_1!E1363="","",VIPcric_1!E1363)</f>
        <v>成交套数(套)</v>
      </c>
      <c r="F1381" t="str">
        <f>IF(VIPcric_1!F1363="","",VIPcric_1!F1363)</f>
        <v>成交均价(元/㎡)</v>
      </c>
      <c r="G1381" t="str">
        <f>IF(VIPcric_1!G1363="","",VIPcric_1!G1363)</f>
        <v>成交金额(元)</v>
      </c>
      <c r="H1381" t="str">
        <f>IF(VIPcric_1!H1363="","",VIPcric_1!H1363)</f>
        <v>供求比</v>
      </c>
      <c r="I1381" t="str">
        <f>IF(VIPcric_1!M1363="","",VIPcric_1!M1363)</f>
        <v>CRIC-昆明-市场监测.商品房市场.项目累计.供求 (1).xlsx</v>
      </c>
    </row>
    <row r="1382" spans="1:9">
      <c r="A1382" t="str">
        <f>IF(VIPcric_1!A1364="","",VIPcric_1!A1364)</f>
        <v>2023年</v>
      </c>
      <c r="B1382">
        <f>IF(VIPcric_1!B1364="","",VIPcric_1!B1364)</f>
        <v>2213676</v>
      </c>
      <c r="C1382">
        <f>IF(VIPcric_1!C1364="","",VIPcric_1!C1364)</f>
        <v>19220</v>
      </c>
      <c r="D1382">
        <f>IF(VIPcric_1!D1364="","",VIPcric_1!D1364)</f>
        <v>3520166</v>
      </c>
      <c r="E1382">
        <f>IF(VIPcric_1!E1364="","",VIPcric_1!E1364)</f>
        <v>29028</v>
      </c>
      <c r="F1382">
        <f>IF(VIPcric_1!F1364="","",VIPcric_1!F1364)</f>
        <v>13533</v>
      </c>
      <c r="G1382">
        <f>IF(VIPcric_1!G1364="","",VIPcric_1!G1364)</f>
        <v>47638506423</v>
      </c>
      <c r="H1382">
        <f>IF(VIPcric_1!H1364="","",VIPcric_1!H1364)</f>
        <v>0.63</v>
      </c>
      <c r="I1382" t="str">
        <f>IF(VIPcric_1!M1364="","",VIPcric_1!M1364)</f>
        <v>CRIC-昆明-市场监测.商品房市场.项目累计.供求 (1).xlsx</v>
      </c>
    </row>
    <row r="1383" spans="1:9">
      <c r="A1383" t="str">
        <f>IF(VIPcric_1!A1365="","",VIPcric_1!A1365)</f>
        <v>2022年</v>
      </c>
      <c r="B1383">
        <f>IF(VIPcric_1!B1365="","",VIPcric_1!B1365)</f>
        <v>3209153</v>
      </c>
      <c r="C1383">
        <f>IF(VIPcric_1!C1365="","",VIPcric_1!C1365)</f>
        <v>26701</v>
      </c>
      <c r="D1383">
        <f>IF(VIPcric_1!D1365="","",VIPcric_1!D1365)</f>
        <v>4192290</v>
      </c>
      <c r="E1383">
        <f>IF(VIPcric_1!E1365="","",VIPcric_1!E1365)</f>
        <v>35155</v>
      </c>
      <c r="F1383">
        <f>IF(VIPcric_1!F1365="","",VIPcric_1!F1365)</f>
        <v>13563</v>
      </c>
      <c r="G1383">
        <f>IF(VIPcric_1!G1365="","",VIPcric_1!G1365)</f>
        <v>56861951357</v>
      </c>
      <c r="H1383">
        <f>IF(VIPcric_1!H1365="","",VIPcric_1!H1365)</f>
        <v>0.77</v>
      </c>
      <c r="I1383" t="str">
        <f>IF(VIPcric_1!M1365="","",VIPcric_1!M1365)</f>
        <v>CRIC-昆明-市场监测.商品房市场.项目累计.供求 (1).xlsx</v>
      </c>
    </row>
    <row r="1384" spans="1:9">
      <c r="A1384" t="str">
        <f>IF(VIPcric_1!A1366="","",VIPcric_1!A1366)</f>
        <v>2021年</v>
      </c>
      <c r="B1384">
        <f>IF(VIPcric_1!B1366="","",VIPcric_1!B1366)</f>
        <v>7305065</v>
      </c>
      <c r="C1384">
        <f>IF(VIPcric_1!C1366="","",VIPcric_1!C1366)</f>
        <v>61518</v>
      </c>
      <c r="D1384">
        <f>IF(VIPcric_1!D1366="","",VIPcric_1!D1366)</f>
        <v>6375416</v>
      </c>
      <c r="E1384">
        <f>IF(VIPcric_1!E1366="","",VIPcric_1!E1366)</f>
        <v>53514</v>
      </c>
      <c r="F1384">
        <f>IF(VIPcric_1!F1366="","",VIPcric_1!F1366)</f>
        <v>14697</v>
      </c>
      <c r="G1384">
        <f>IF(VIPcric_1!G1366="","",VIPcric_1!G1366)</f>
        <v>93699534655</v>
      </c>
      <c r="H1384">
        <f>IF(VIPcric_1!H1366="","",VIPcric_1!H1366)</f>
        <v>1.1499999999999999</v>
      </c>
      <c r="I1384" t="str">
        <f>IF(VIPcric_1!M1366="","",VIPcric_1!M1366)</f>
        <v>CRIC-昆明-市场监测.商品房市场.项目累计.供求 (1).xlsx</v>
      </c>
    </row>
    <row r="1385" spans="1:9">
      <c r="A1385" t="str">
        <f>IF(VIPcric_1!A1367="","",VIPcric_1!A1367)</f>
        <v>2020年</v>
      </c>
      <c r="B1385">
        <f>IF(VIPcric_1!B1367="","",VIPcric_1!B1367)</f>
        <v>10519191</v>
      </c>
      <c r="C1385">
        <f>IF(VIPcric_1!C1367="","",VIPcric_1!C1367)</f>
        <v>88908</v>
      </c>
      <c r="D1385">
        <f>IF(VIPcric_1!D1367="","",VIPcric_1!D1367)</f>
        <v>8830881</v>
      </c>
      <c r="E1385">
        <f>IF(VIPcric_1!E1367="","",VIPcric_1!E1367)</f>
        <v>76147</v>
      </c>
      <c r="F1385">
        <f>IF(VIPcric_1!F1367="","",VIPcric_1!F1367)</f>
        <v>14614</v>
      </c>
      <c r="G1385">
        <f>IF(VIPcric_1!G1367="","",VIPcric_1!G1367)</f>
        <v>129053840346</v>
      </c>
      <c r="H1385">
        <f>IF(VIPcric_1!H1367="","",VIPcric_1!H1367)</f>
        <v>1.19</v>
      </c>
      <c r="I1385" t="str">
        <f>IF(VIPcric_1!M1367="","",VIPcric_1!M1367)</f>
        <v>CRIC-昆明-市场监测.商品房市场.项目累计.供求 (1).xlsx</v>
      </c>
    </row>
    <row r="1386" spans="1:9">
      <c r="A1386" t="str">
        <f>IF(VIPcric_1!A1368="","",VIPcric_1!A1368)</f>
        <v>2019年</v>
      </c>
      <c r="B1386">
        <f>IF(VIPcric_1!B1368="","",VIPcric_1!B1368)</f>
        <v>10864909</v>
      </c>
      <c r="C1386">
        <f>IF(VIPcric_1!C1368="","",VIPcric_1!C1368)</f>
        <v>91173</v>
      </c>
      <c r="D1386">
        <f>IF(VIPcric_1!D1368="","",VIPcric_1!D1368)</f>
        <v>10336838</v>
      </c>
      <c r="E1386">
        <f>IF(VIPcric_1!E1368="","",VIPcric_1!E1368)</f>
        <v>86270</v>
      </c>
      <c r="F1386">
        <f>IF(VIPcric_1!F1368="","",VIPcric_1!F1368)</f>
        <v>13671</v>
      </c>
      <c r="G1386">
        <f>IF(VIPcric_1!G1368="","",VIPcric_1!G1368)</f>
        <v>141316971895</v>
      </c>
      <c r="H1386">
        <f>IF(VIPcric_1!H1368="","",VIPcric_1!H1368)</f>
        <v>1.05</v>
      </c>
      <c r="I1386" t="str">
        <f>IF(VIPcric_1!M1368="","",VIPcric_1!M1368)</f>
        <v>CRIC-昆明-市场监测.商品房市场.项目累计.供求 (1).xlsx</v>
      </c>
    </row>
    <row r="1387" spans="1:9">
      <c r="A1387" t="str">
        <f>IF(VIPcric_1!A1369="","",VIPcric_1!A1369)</f>
        <v>汇总</v>
      </c>
      <c r="B1387">
        <f>IF(VIPcric_1!B1369="","",VIPcric_1!B1369)</f>
        <v>34111994</v>
      </c>
      <c r="C1387">
        <f>IF(VIPcric_1!C1369="","",VIPcric_1!C1369)</f>
        <v>287520</v>
      </c>
      <c r="D1387">
        <f>IF(VIPcric_1!D1369="","",VIPcric_1!D1369)</f>
        <v>33255591</v>
      </c>
      <c r="E1387">
        <f>IF(VIPcric_1!E1369="","",VIPcric_1!E1369)</f>
        <v>280114</v>
      </c>
      <c r="F1387">
        <f>IF(VIPcric_1!F1369="","",VIPcric_1!F1369)</f>
        <v>14090</v>
      </c>
      <c r="G1387">
        <f>IF(VIPcric_1!G1369="","",VIPcric_1!G1369)</f>
        <v>468570804676</v>
      </c>
      <c r="H1387">
        <f>IF(VIPcric_1!H1369="","",VIPcric_1!H1369)</f>
        <v>1.03</v>
      </c>
      <c r="I1387" t="str">
        <f>IF(VIPcric_1!M1369="","",VIPcric_1!M1369)</f>
        <v>CRIC-昆明-市场监测.商品房市场.项目累计.供求 (1).xlsx</v>
      </c>
    </row>
    <row r="1388" spans="1:9">
      <c r="A1388" t="str">
        <f>IF(VIPcric_1!A1370="","",VIPcric_1!A1370)</f>
        <v/>
      </c>
      <c r="B1388" t="str">
        <f>IF(VIPcric_1!B1370="","",VIPcric_1!B1370)</f>
        <v/>
      </c>
      <c r="C1388" t="str">
        <f>IF(VIPcric_1!C1370="","",VIPcric_1!C1370)</f>
        <v/>
      </c>
      <c r="D1388" t="str">
        <f>IF(VIPcric_1!D1370="","",VIPcric_1!D1370)</f>
        <v/>
      </c>
      <c r="E1388" t="str">
        <f>IF(VIPcric_1!E1370="","",VIPcric_1!E1370)</f>
        <v/>
      </c>
      <c r="F1388" t="str">
        <f>IF(VIPcric_1!F1370="","",VIPcric_1!F1370)</f>
        <v/>
      </c>
      <c r="G1388" t="str">
        <f>IF(VIPcric_1!G1370="","",VIPcric_1!G1370)</f>
        <v/>
      </c>
      <c r="H1388" t="str">
        <f>IF(VIPcric_1!H1370="","",VIPcric_1!H1370)</f>
        <v/>
      </c>
      <c r="I1388" t="str">
        <f>IF(VIPcric_1!M1370="","",VIPcric_1!M1370)</f>
        <v/>
      </c>
    </row>
    <row r="1389" spans="1:9">
      <c r="A1389" t="str">
        <f>IF(VIPcric_1!A1371="","",VIPcric_1!A1371)</f>
        <v/>
      </c>
      <c r="B1389" t="str">
        <f>IF(VIPcric_1!B1371="","",VIPcric_1!B1371)</f>
        <v/>
      </c>
      <c r="C1389" t="str">
        <f>IF(VIPcric_1!C1371="","",VIPcric_1!C1371)</f>
        <v/>
      </c>
      <c r="D1389" t="str">
        <f>IF(VIPcric_1!D1371="","",VIPcric_1!D1371)</f>
        <v/>
      </c>
      <c r="E1389" t="str">
        <f>IF(VIPcric_1!E1371="","",VIPcric_1!E1371)</f>
        <v/>
      </c>
      <c r="F1389" t="str">
        <f>IF(VIPcric_1!F1371="","",VIPcric_1!F1371)</f>
        <v/>
      </c>
      <c r="G1389" t="str">
        <f>IF(VIPcric_1!G1371="","",VIPcric_1!G1371)</f>
        <v/>
      </c>
      <c r="H1389" t="str">
        <f>IF(VIPcric_1!H1371="","",VIPcric_1!H1371)</f>
        <v/>
      </c>
      <c r="I1389" t="str">
        <f>IF(VIPcric_1!M1371="","",VIPcric_1!M1371)</f>
        <v>CRIC-昆明-市场监测.商品房市场.项目累计.库存.xlsx</v>
      </c>
    </row>
    <row r="1390" spans="1:9">
      <c r="A1390" t="str">
        <f>IF(VIPcric_1!A1372="","",VIPcric_1!A1372)</f>
        <v>时间(年)</v>
      </c>
      <c r="B1390" t="str">
        <f>IF(VIPcric_1!B1372="","",VIPcric_1!B1372)</f>
        <v>库存面积(㎡)</v>
      </c>
      <c r="C1390" t="str">
        <f>IF(VIPcric_1!C1372="","",VIPcric_1!C1372)</f>
        <v>库存套数(套)</v>
      </c>
      <c r="D1390" t="str">
        <f>IF(VIPcric_1!D1372="","",VIPcric_1!D1372)</f>
        <v>去化周期12'(月)</v>
      </c>
      <c r="E1390" t="str">
        <f>IF(VIPcric_1!E1372="","",VIPcric_1!E1372)</f>
        <v/>
      </c>
      <c r="F1390" t="str">
        <f>IF(VIPcric_1!F1372="","",VIPcric_1!F1372)</f>
        <v/>
      </c>
      <c r="G1390" t="str">
        <f>IF(VIPcric_1!G1372="","",VIPcric_1!G1372)</f>
        <v/>
      </c>
      <c r="H1390" t="str">
        <f>IF(VIPcric_1!H1372="","",VIPcric_1!H1372)</f>
        <v/>
      </c>
      <c r="I1390" t="str">
        <f>IF(VIPcric_1!M1372="","",VIPcric_1!M1372)</f>
        <v>CRIC-昆明-市场监测.商品房市场.项目累计.库存.xlsx</v>
      </c>
    </row>
    <row r="1391" spans="1:9">
      <c r="A1391" t="str">
        <f>IF(VIPcric_1!A1373="","",VIPcric_1!A1373)</f>
        <v>2023年</v>
      </c>
      <c r="B1391">
        <f>IF(VIPcric_1!B1373="","",VIPcric_1!B1373)</f>
        <v>5667595</v>
      </c>
      <c r="C1391">
        <f>IF(VIPcric_1!C1373="","",VIPcric_1!C1373)</f>
        <v>45650</v>
      </c>
      <c r="D1391">
        <f>IF(VIPcric_1!D1373="","",VIPcric_1!D1373)</f>
        <v>19.3</v>
      </c>
      <c r="E1391" t="str">
        <f>IF(VIPcric_1!E1373="","",VIPcric_1!E1373)</f>
        <v/>
      </c>
      <c r="F1391" t="str">
        <f>IF(VIPcric_1!F1373="","",VIPcric_1!F1373)</f>
        <v/>
      </c>
      <c r="G1391" t="str">
        <f>IF(VIPcric_1!G1373="","",VIPcric_1!G1373)</f>
        <v/>
      </c>
      <c r="H1391" t="str">
        <f>IF(VIPcric_1!H1373="","",VIPcric_1!H1373)</f>
        <v/>
      </c>
      <c r="I1391" t="str">
        <f>IF(VIPcric_1!M1373="","",VIPcric_1!M1373)</f>
        <v>CRIC-昆明-市场监测.商品房市场.项目累计.库存.xlsx</v>
      </c>
    </row>
    <row r="1392" spans="1:9">
      <c r="A1392" t="str">
        <f>IF(VIPcric_1!A1374="","",VIPcric_1!A1374)</f>
        <v>2022年</v>
      </c>
      <c r="B1392">
        <f>IF(VIPcric_1!B1374="","",VIPcric_1!B1374)</f>
        <v>7236445</v>
      </c>
      <c r="C1392">
        <f>IF(VIPcric_1!C1374="","",VIPcric_1!C1374)</f>
        <v>58036</v>
      </c>
      <c r="D1392">
        <f>IF(VIPcric_1!D1374="","",VIPcric_1!D1374)</f>
        <v>20.7</v>
      </c>
      <c r="E1392" t="str">
        <f>IF(VIPcric_1!E1374="","",VIPcric_1!E1374)</f>
        <v/>
      </c>
      <c r="F1392" t="str">
        <f>IF(VIPcric_1!F1374="","",VIPcric_1!F1374)</f>
        <v/>
      </c>
      <c r="G1392" t="str">
        <f>IF(VIPcric_1!G1374="","",VIPcric_1!G1374)</f>
        <v/>
      </c>
      <c r="H1392" t="str">
        <f>IF(VIPcric_1!H1374="","",VIPcric_1!H1374)</f>
        <v/>
      </c>
      <c r="I1392" t="str">
        <f>IF(VIPcric_1!M1374="","",VIPcric_1!M1374)</f>
        <v>CRIC-昆明-市场监测.商品房市场.项目累计.库存.xlsx</v>
      </c>
    </row>
    <row r="1393" spans="1:9">
      <c r="A1393" t="str">
        <f>IF(VIPcric_1!A1375="","",VIPcric_1!A1375)</f>
        <v>2021年</v>
      </c>
      <c r="B1393">
        <f>IF(VIPcric_1!B1375="","",VIPcric_1!B1375)</f>
        <v>7548939</v>
      </c>
      <c r="C1393">
        <f>IF(VIPcric_1!C1375="","",VIPcric_1!C1375)</f>
        <v>60741</v>
      </c>
      <c r="D1393">
        <f>IF(VIPcric_1!D1375="","",VIPcric_1!D1375)</f>
        <v>14.2</v>
      </c>
      <c r="E1393" t="str">
        <f>IF(VIPcric_1!E1375="","",VIPcric_1!E1375)</f>
        <v/>
      </c>
      <c r="F1393" t="str">
        <f>IF(VIPcric_1!F1375="","",VIPcric_1!F1375)</f>
        <v/>
      </c>
      <c r="G1393" t="str">
        <f>IF(VIPcric_1!G1375="","",VIPcric_1!G1375)</f>
        <v/>
      </c>
      <c r="H1393" t="str">
        <f>IF(VIPcric_1!H1375="","",VIPcric_1!H1375)</f>
        <v/>
      </c>
      <c r="I1393" t="str">
        <f>IF(VIPcric_1!M1375="","",VIPcric_1!M1375)</f>
        <v>CRIC-昆明-市场监测.商品房市场.项目累计.库存.xlsx</v>
      </c>
    </row>
    <row r="1394" spans="1:9">
      <c r="A1394" t="str">
        <f>IF(VIPcric_1!A1376="","",VIPcric_1!A1376)</f>
        <v>2020年</v>
      </c>
      <c r="B1394">
        <f>IF(VIPcric_1!B1376="","",VIPcric_1!B1376)</f>
        <v>6717823</v>
      </c>
      <c r="C1394">
        <f>IF(VIPcric_1!C1376="","",VIPcric_1!C1376)</f>
        <v>53176</v>
      </c>
      <c r="D1394">
        <f>IF(VIPcric_1!D1376="","",VIPcric_1!D1376)</f>
        <v>9.1</v>
      </c>
      <c r="E1394" t="str">
        <f>IF(VIPcric_1!E1376="","",VIPcric_1!E1376)</f>
        <v/>
      </c>
      <c r="F1394" t="str">
        <f>IF(VIPcric_1!F1376="","",VIPcric_1!F1376)</f>
        <v/>
      </c>
      <c r="G1394" t="str">
        <f>IF(VIPcric_1!G1376="","",VIPcric_1!G1376)</f>
        <v/>
      </c>
      <c r="H1394" t="str">
        <f>IF(VIPcric_1!H1376="","",VIPcric_1!H1376)</f>
        <v/>
      </c>
      <c r="I1394" t="str">
        <f>IF(VIPcric_1!M1376="","",VIPcric_1!M1376)</f>
        <v>CRIC-昆明-市场监测.商品房市场.项目累计.库存.xlsx</v>
      </c>
    </row>
    <row r="1395" spans="1:9">
      <c r="A1395" t="str">
        <f>IF(VIPcric_1!A1377="","",VIPcric_1!A1377)</f>
        <v>2019年</v>
      </c>
      <c r="B1395">
        <f>IF(VIPcric_1!B1377="","",VIPcric_1!B1377)</f>
        <v>5674075</v>
      </c>
      <c r="C1395">
        <f>IF(VIPcric_1!C1377="","",VIPcric_1!C1377)</f>
        <v>53512</v>
      </c>
      <c r="D1395">
        <f>IF(VIPcric_1!D1377="","",VIPcric_1!D1377)</f>
        <v>6.6</v>
      </c>
      <c r="E1395" t="str">
        <f>IF(VIPcric_1!E1377="","",VIPcric_1!E1377)</f>
        <v/>
      </c>
      <c r="F1395" t="str">
        <f>IF(VIPcric_1!F1377="","",VIPcric_1!F1377)</f>
        <v/>
      </c>
      <c r="G1395" t="str">
        <f>IF(VIPcric_1!G1377="","",VIPcric_1!G1377)</f>
        <v/>
      </c>
      <c r="H1395" t="str">
        <f>IF(VIPcric_1!H1377="","",VIPcric_1!H1377)</f>
        <v/>
      </c>
      <c r="I1395" t="str">
        <f>IF(VIPcric_1!M1377="","",VIPcric_1!M1377)</f>
        <v>CRIC-昆明-市场监测.商品房市场.项目累计.库存.xlsx</v>
      </c>
    </row>
    <row r="1396" spans="1:9">
      <c r="A1396" t="str">
        <f>IF(VIPcric_1!A1378="","",VIPcric_1!A1378)</f>
        <v/>
      </c>
      <c r="B1396" t="str">
        <f>IF(VIPcric_1!B1378="","",VIPcric_1!B1378)</f>
        <v/>
      </c>
      <c r="C1396" t="str">
        <f>IF(VIPcric_1!C1378="","",VIPcric_1!C1378)</f>
        <v/>
      </c>
      <c r="D1396" t="str">
        <f>IF(VIPcric_1!D1378="","",VIPcric_1!D1378)</f>
        <v/>
      </c>
      <c r="E1396" t="str">
        <f>IF(VIPcric_1!E1378="","",VIPcric_1!E1378)</f>
        <v/>
      </c>
      <c r="F1396" t="str">
        <f>IF(VIPcric_1!F1378="","",VIPcric_1!F1378)</f>
        <v/>
      </c>
      <c r="G1396" t="str">
        <f>IF(VIPcric_1!G1378="","",VIPcric_1!G1378)</f>
        <v/>
      </c>
      <c r="H1396" t="str">
        <f>IF(VIPcric_1!H1378="","",VIPcric_1!H1378)</f>
        <v/>
      </c>
      <c r="I1396" t="str">
        <f>IF(VIPcric_1!M1378="","",VIPcric_1!M1378)</f>
        <v/>
      </c>
    </row>
    <row r="1397" spans="1:9">
      <c r="A1397" t="str">
        <f>IF(VIPcric_1!A1379="","",VIPcric_1!A1379)</f>
        <v/>
      </c>
      <c r="B1397" t="str">
        <f>IF(VIPcric_1!B1379="","",VIPcric_1!B1379)</f>
        <v/>
      </c>
      <c r="C1397" t="str">
        <f>IF(VIPcric_1!C1379="","",VIPcric_1!C1379)</f>
        <v/>
      </c>
      <c r="D1397" t="str">
        <f>IF(VIPcric_1!D1379="","",VIPcric_1!D1379)</f>
        <v/>
      </c>
      <c r="E1397" t="str">
        <f>IF(VIPcric_1!E1379="","",VIPcric_1!E1379)</f>
        <v/>
      </c>
      <c r="F1397" t="str">
        <f>IF(VIPcric_1!F1379="","",VIPcric_1!F1379)</f>
        <v/>
      </c>
      <c r="G1397" t="str">
        <f>IF(VIPcric_1!G1379="","",VIPcric_1!G1379)</f>
        <v/>
      </c>
      <c r="H1397" t="str">
        <f>IF(VIPcric_1!H1379="","",VIPcric_1!H1379)</f>
        <v/>
      </c>
      <c r="I1397" t="str">
        <f>IF(VIPcric_1!M1379="","",VIPcric_1!M1379)</f>
        <v>CRIC-昌江-市场监测.商品房市场.项目累计.供求.xlsx</v>
      </c>
    </row>
    <row r="1398" spans="1:9">
      <c r="A1398" t="str">
        <f>IF(VIPcric_1!A1380="","",VIPcric_1!A1380)</f>
        <v>时间(年)</v>
      </c>
      <c r="B1398" t="str">
        <f>IF(VIPcric_1!B1380="","",VIPcric_1!B1380)</f>
        <v>供应面积(㎡)</v>
      </c>
      <c r="C1398" t="str">
        <f>IF(VIPcric_1!C1380="","",VIPcric_1!C1380)</f>
        <v>供应套数(套)</v>
      </c>
      <c r="D1398" t="str">
        <f>IF(VIPcric_1!D1380="","",VIPcric_1!D1380)</f>
        <v>成交面积(㎡)</v>
      </c>
      <c r="E1398" t="str">
        <f>IF(VIPcric_1!E1380="","",VIPcric_1!E1380)</f>
        <v>成交套数(套)</v>
      </c>
      <c r="F1398" t="str">
        <f>IF(VIPcric_1!F1380="","",VIPcric_1!F1380)</f>
        <v>成交均价(元/㎡)</v>
      </c>
      <c r="G1398" t="str">
        <f>IF(VIPcric_1!G1380="","",VIPcric_1!G1380)</f>
        <v>成交金额(元)</v>
      </c>
      <c r="H1398" t="str">
        <f>IF(VIPcric_1!H1380="","",VIPcric_1!H1380)</f>
        <v>供求比</v>
      </c>
      <c r="I1398" t="str">
        <f>IF(VIPcric_1!M1380="","",VIPcric_1!M1380)</f>
        <v>CRIC-昌江-市场监测.商品房市场.项目累计.供求.xlsx</v>
      </c>
    </row>
    <row r="1399" spans="1:9">
      <c r="A1399" t="str">
        <f>IF(VIPcric_1!A1381="","",VIPcric_1!A1381)</f>
        <v>2024年</v>
      </c>
      <c r="B1399">
        <f>IF(VIPcric_1!B1381="","",VIPcric_1!B1381)</f>
        <v>0</v>
      </c>
      <c r="C1399">
        <f>IF(VIPcric_1!C1381="","",VIPcric_1!C1381)</f>
        <v>0</v>
      </c>
      <c r="D1399">
        <f>IF(VIPcric_1!D1381="","",VIPcric_1!D1381)</f>
        <v>17362</v>
      </c>
      <c r="E1399">
        <f>IF(VIPcric_1!E1381="","",VIPcric_1!E1381)</f>
        <v>147</v>
      </c>
      <c r="F1399">
        <f>IF(VIPcric_1!F1381="","",VIPcric_1!F1381)</f>
        <v>7192</v>
      </c>
      <c r="G1399">
        <f>IF(VIPcric_1!G1381="","",VIPcric_1!G1381)</f>
        <v>124873960</v>
      </c>
      <c r="H1399">
        <f>IF(VIPcric_1!H1381="","",VIPcric_1!H1381)</f>
        <v>0</v>
      </c>
      <c r="I1399" t="str">
        <f>IF(VIPcric_1!M1381="","",VIPcric_1!M1381)</f>
        <v>CRIC-昌江-市场监测.商品房市场.项目累计.供求.xlsx</v>
      </c>
    </row>
    <row r="1400" spans="1:9">
      <c r="A1400" t="str">
        <f>IF(VIPcric_1!A1382="","",VIPcric_1!A1382)</f>
        <v>2023年</v>
      </c>
      <c r="B1400">
        <f>IF(VIPcric_1!B1382="","",VIPcric_1!B1382)</f>
        <v>292473</v>
      </c>
      <c r="C1400">
        <f>IF(VIPcric_1!C1382="","",VIPcric_1!C1382)</f>
        <v>2375</v>
      </c>
      <c r="D1400">
        <f>IF(VIPcric_1!D1382="","",VIPcric_1!D1382)</f>
        <v>195694</v>
      </c>
      <c r="E1400">
        <f>IF(VIPcric_1!E1382="","",VIPcric_1!E1382)</f>
        <v>1640</v>
      </c>
      <c r="F1400">
        <f>IF(VIPcric_1!F1382="","",VIPcric_1!F1382)</f>
        <v>6880</v>
      </c>
      <c r="G1400">
        <f>IF(VIPcric_1!G1382="","",VIPcric_1!G1382)</f>
        <v>1346319284</v>
      </c>
      <c r="H1400">
        <f>IF(VIPcric_1!H1382="","",VIPcric_1!H1382)</f>
        <v>1.49</v>
      </c>
      <c r="I1400" t="str">
        <f>IF(VIPcric_1!M1382="","",VIPcric_1!M1382)</f>
        <v>CRIC-昌江-市场监测.商品房市场.项目累计.供求.xlsx</v>
      </c>
    </row>
    <row r="1401" spans="1:9">
      <c r="A1401" t="str">
        <f>IF(VIPcric_1!A1383="","",VIPcric_1!A1383)</f>
        <v>2022年</v>
      </c>
      <c r="B1401">
        <f>IF(VIPcric_1!B1383="","",VIPcric_1!B1383)</f>
        <v>84908</v>
      </c>
      <c r="C1401">
        <f>IF(VIPcric_1!C1383="","",VIPcric_1!C1383)</f>
        <v>737</v>
      </c>
      <c r="D1401">
        <f>IF(VIPcric_1!D1383="","",VIPcric_1!D1383)</f>
        <v>59477</v>
      </c>
      <c r="E1401">
        <f>IF(VIPcric_1!E1383="","",VIPcric_1!E1383)</f>
        <v>532</v>
      </c>
      <c r="F1401">
        <f>IF(VIPcric_1!F1383="","",VIPcric_1!F1383)</f>
        <v>8009</v>
      </c>
      <c r="G1401">
        <f>IF(VIPcric_1!G1383="","",VIPcric_1!G1383)</f>
        <v>476381998</v>
      </c>
      <c r="H1401">
        <f>IF(VIPcric_1!H1383="","",VIPcric_1!H1383)</f>
        <v>1.43</v>
      </c>
      <c r="I1401" t="str">
        <f>IF(VIPcric_1!M1383="","",VIPcric_1!M1383)</f>
        <v>CRIC-昌江-市场监测.商品房市场.项目累计.供求.xlsx</v>
      </c>
    </row>
    <row r="1402" spans="1:9">
      <c r="A1402" t="str">
        <f>IF(VIPcric_1!A1384="","",VIPcric_1!A1384)</f>
        <v>2021年</v>
      </c>
      <c r="B1402">
        <f>IF(VIPcric_1!B1384="","",VIPcric_1!B1384)</f>
        <v>23854</v>
      </c>
      <c r="C1402">
        <f>IF(VIPcric_1!C1384="","",VIPcric_1!C1384)</f>
        <v>223</v>
      </c>
      <c r="D1402">
        <f>IF(VIPcric_1!D1384="","",VIPcric_1!D1384)</f>
        <v>4832</v>
      </c>
      <c r="E1402">
        <f>IF(VIPcric_1!E1384="","",VIPcric_1!E1384)</f>
        <v>49</v>
      </c>
      <c r="F1402">
        <f>IF(VIPcric_1!F1384="","",VIPcric_1!F1384)</f>
        <v>8266</v>
      </c>
      <c r="G1402">
        <f>IF(VIPcric_1!G1384="","",VIPcric_1!G1384)</f>
        <v>39937360</v>
      </c>
      <c r="H1402">
        <f>IF(VIPcric_1!H1384="","",VIPcric_1!H1384)</f>
        <v>4.9400000000000004</v>
      </c>
      <c r="I1402" t="str">
        <f>IF(VIPcric_1!M1384="","",VIPcric_1!M1384)</f>
        <v>CRIC-昌江-市场监测.商品房市场.项目累计.供求.xlsx</v>
      </c>
    </row>
    <row r="1403" spans="1:9">
      <c r="A1403" t="str">
        <f>IF(VIPcric_1!A1385="","",VIPcric_1!A1385)</f>
        <v>汇总</v>
      </c>
      <c r="B1403">
        <f>IF(VIPcric_1!B1385="","",VIPcric_1!B1385)</f>
        <v>401235</v>
      </c>
      <c r="C1403">
        <f>IF(VIPcric_1!C1385="","",VIPcric_1!C1385)</f>
        <v>3335</v>
      </c>
      <c r="D1403">
        <f>IF(VIPcric_1!D1385="","",VIPcric_1!D1385)</f>
        <v>277365</v>
      </c>
      <c r="E1403">
        <f>IF(VIPcric_1!E1385="","",VIPcric_1!E1385)</f>
        <v>2368</v>
      </c>
      <c r="F1403">
        <f>IF(VIPcric_1!F1385="","",VIPcric_1!F1385)</f>
        <v>7166</v>
      </c>
      <c r="G1403">
        <f>IF(VIPcric_1!G1385="","",VIPcric_1!G1385)</f>
        <v>1987512602</v>
      </c>
      <c r="H1403">
        <f>IF(VIPcric_1!H1385="","",VIPcric_1!H1385)</f>
        <v>1.45</v>
      </c>
      <c r="I1403" t="str">
        <f>IF(VIPcric_1!M1385="","",VIPcric_1!M1385)</f>
        <v>CRIC-昌江-市场监测.商品房市场.项目累计.供求.xlsx</v>
      </c>
    </row>
    <row r="1404" spans="1:9">
      <c r="A1404" t="str">
        <f>IF(VIPcric_1!A1386="","",VIPcric_1!A1386)</f>
        <v/>
      </c>
      <c r="B1404" t="str">
        <f>IF(VIPcric_1!B1386="","",VIPcric_1!B1386)</f>
        <v/>
      </c>
      <c r="C1404" t="str">
        <f>IF(VIPcric_1!C1386="","",VIPcric_1!C1386)</f>
        <v/>
      </c>
      <c r="D1404" t="str">
        <f>IF(VIPcric_1!D1386="","",VIPcric_1!D1386)</f>
        <v/>
      </c>
      <c r="E1404" t="str">
        <f>IF(VIPcric_1!E1386="","",VIPcric_1!E1386)</f>
        <v/>
      </c>
      <c r="F1404" t="str">
        <f>IF(VIPcric_1!F1386="","",VIPcric_1!F1386)</f>
        <v/>
      </c>
      <c r="G1404" t="str">
        <f>IF(VIPcric_1!G1386="","",VIPcric_1!G1386)</f>
        <v/>
      </c>
      <c r="H1404" t="str">
        <f>IF(VIPcric_1!H1386="","",VIPcric_1!H1386)</f>
        <v/>
      </c>
      <c r="I1404" t="str">
        <f>IF(VIPcric_1!M1386="","",VIPcric_1!M1386)</f>
        <v/>
      </c>
    </row>
    <row r="1405" spans="1:9">
      <c r="A1405" t="str">
        <f>IF(VIPcric_1!A1387="","",VIPcric_1!A1387)</f>
        <v/>
      </c>
      <c r="B1405" t="str">
        <f>IF(VIPcric_1!B1387="","",VIPcric_1!B1387)</f>
        <v/>
      </c>
      <c r="C1405" t="str">
        <f>IF(VIPcric_1!C1387="","",VIPcric_1!C1387)</f>
        <v/>
      </c>
      <c r="D1405" t="str">
        <f>IF(VIPcric_1!D1387="","",VIPcric_1!D1387)</f>
        <v/>
      </c>
      <c r="E1405" t="str">
        <f>IF(VIPcric_1!E1387="","",VIPcric_1!E1387)</f>
        <v/>
      </c>
      <c r="F1405" t="str">
        <f>IF(VIPcric_1!F1387="","",VIPcric_1!F1387)</f>
        <v/>
      </c>
      <c r="G1405" t="str">
        <f>IF(VIPcric_1!G1387="","",VIPcric_1!G1387)</f>
        <v/>
      </c>
      <c r="H1405" t="str">
        <f>IF(VIPcric_1!H1387="","",VIPcric_1!H1387)</f>
        <v/>
      </c>
      <c r="I1405" t="str">
        <f>IF(VIPcric_1!M1387="","",VIPcric_1!M1387)</f>
        <v>CRIC-昌江-市场监测.商品房市场.项目累计.库存.xlsx</v>
      </c>
    </row>
    <row r="1406" spans="1:9">
      <c r="A1406" t="str">
        <f>IF(VIPcric_1!A1388="","",VIPcric_1!A1388)</f>
        <v>时间(年)</v>
      </c>
      <c r="B1406" t="str">
        <f>IF(VIPcric_1!B1388="","",VIPcric_1!B1388)</f>
        <v>库存面积(㎡)</v>
      </c>
      <c r="C1406" t="str">
        <f>IF(VIPcric_1!C1388="","",VIPcric_1!C1388)</f>
        <v>库存套数(套)</v>
      </c>
      <c r="D1406" t="str">
        <f>IF(VIPcric_1!D1388="","",VIPcric_1!D1388)</f>
        <v>去化周期12'(月)</v>
      </c>
      <c r="E1406" t="str">
        <f>IF(VIPcric_1!E1388="","",VIPcric_1!E1388)</f>
        <v/>
      </c>
      <c r="F1406" t="str">
        <f>IF(VIPcric_1!F1388="","",VIPcric_1!F1388)</f>
        <v/>
      </c>
      <c r="G1406" t="str">
        <f>IF(VIPcric_1!G1388="","",VIPcric_1!G1388)</f>
        <v/>
      </c>
      <c r="H1406" t="str">
        <f>IF(VIPcric_1!H1388="","",VIPcric_1!H1388)</f>
        <v/>
      </c>
      <c r="I1406" t="str">
        <f>IF(VIPcric_1!M1388="","",VIPcric_1!M1388)</f>
        <v>CRIC-昌江-市场监测.商品房市场.项目累计.库存.xlsx</v>
      </c>
    </row>
    <row r="1407" spans="1:9">
      <c r="A1407" t="str">
        <f>IF(VIPcric_1!A1389="","",VIPcric_1!A1389)</f>
        <v>2024年</v>
      </c>
      <c r="B1407">
        <f>IF(VIPcric_1!B1389="","",VIPcric_1!B1389)</f>
        <v>277492</v>
      </c>
      <c r="C1407">
        <f>IF(VIPcric_1!C1389="","",VIPcric_1!C1389)</f>
        <v>2766</v>
      </c>
      <c r="D1407">
        <f>IF(VIPcric_1!D1389="","",VIPcric_1!D1389)</f>
        <v>16.399999999999999</v>
      </c>
      <c r="E1407" t="str">
        <f>IF(VIPcric_1!E1389="","",VIPcric_1!E1389)</f>
        <v/>
      </c>
      <c r="F1407" t="str">
        <f>IF(VIPcric_1!F1389="","",VIPcric_1!F1389)</f>
        <v/>
      </c>
      <c r="G1407" t="str">
        <f>IF(VIPcric_1!G1389="","",VIPcric_1!G1389)</f>
        <v/>
      </c>
      <c r="H1407" t="str">
        <f>IF(VIPcric_1!H1389="","",VIPcric_1!H1389)</f>
        <v/>
      </c>
      <c r="I1407" t="str">
        <f>IF(VIPcric_1!M1389="","",VIPcric_1!M1389)</f>
        <v>CRIC-昌江-市场监测.商品房市场.项目累计.库存.xlsx</v>
      </c>
    </row>
    <row r="1408" spans="1:9">
      <c r="A1408" t="str">
        <f>IF(VIPcric_1!A1390="","",VIPcric_1!A1390)</f>
        <v>2023年</v>
      </c>
      <c r="B1408">
        <f>IF(VIPcric_1!B1390="","",VIPcric_1!B1390)</f>
        <v>294662</v>
      </c>
      <c r="C1408">
        <f>IF(VIPcric_1!C1390="","",VIPcric_1!C1390)</f>
        <v>2910</v>
      </c>
      <c r="D1408">
        <f>IF(VIPcric_1!D1390="","",VIPcric_1!D1390)</f>
        <v>18.100000000000001</v>
      </c>
      <c r="E1408" t="str">
        <f>IF(VIPcric_1!E1390="","",VIPcric_1!E1390)</f>
        <v/>
      </c>
      <c r="F1408" t="str">
        <f>IF(VIPcric_1!F1390="","",VIPcric_1!F1390)</f>
        <v/>
      </c>
      <c r="G1408" t="str">
        <f>IF(VIPcric_1!G1390="","",VIPcric_1!G1390)</f>
        <v/>
      </c>
      <c r="H1408" t="str">
        <f>IF(VIPcric_1!H1390="","",VIPcric_1!H1390)</f>
        <v/>
      </c>
      <c r="I1408" t="str">
        <f>IF(VIPcric_1!M1390="","",VIPcric_1!M1390)</f>
        <v>CRIC-昌江-市场监测.商品房市场.项目累计.库存.xlsx</v>
      </c>
    </row>
    <row r="1409" spans="1:9">
      <c r="A1409" t="str">
        <f>IF(VIPcric_1!A1391="","",VIPcric_1!A1391)</f>
        <v>2022年</v>
      </c>
      <c r="B1409">
        <f>IF(VIPcric_1!B1391="","",VIPcric_1!B1391)</f>
        <v>195102</v>
      </c>
      <c r="C1409">
        <f>IF(VIPcric_1!C1391="","",VIPcric_1!C1391)</f>
        <v>2150</v>
      </c>
      <c r="D1409">
        <f>IF(VIPcric_1!D1391="","",VIPcric_1!D1391)</f>
        <v>39.4</v>
      </c>
      <c r="E1409" t="str">
        <f>IF(VIPcric_1!E1391="","",VIPcric_1!E1391)</f>
        <v/>
      </c>
      <c r="F1409" t="str">
        <f>IF(VIPcric_1!F1391="","",VIPcric_1!F1391)</f>
        <v/>
      </c>
      <c r="G1409" t="str">
        <f>IF(VIPcric_1!G1391="","",VIPcric_1!G1391)</f>
        <v/>
      </c>
      <c r="H1409" t="str">
        <f>IF(VIPcric_1!H1391="","",VIPcric_1!H1391)</f>
        <v/>
      </c>
      <c r="I1409" t="str">
        <f>IF(VIPcric_1!M1391="","",VIPcric_1!M1391)</f>
        <v>CRIC-昌江-市场监测.商品房市场.项目累计.库存.xlsx</v>
      </c>
    </row>
    <row r="1410" spans="1:9">
      <c r="A1410" t="str">
        <f>IF(VIPcric_1!A1392="","",VIPcric_1!A1392)</f>
        <v>2021年</v>
      </c>
      <c r="B1410">
        <f>IF(VIPcric_1!B1392="","",VIPcric_1!B1392)</f>
        <v>185735</v>
      </c>
      <c r="C1410">
        <f>IF(VIPcric_1!C1392="","",VIPcric_1!C1392)</f>
        <v>2088</v>
      </c>
      <c r="D1410">
        <f>IF(VIPcric_1!D1392="","",VIPcric_1!D1392)</f>
        <v>461.3</v>
      </c>
      <c r="E1410" t="str">
        <f>IF(VIPcric_1!E1392="","",VIPcric_1!E1392)</f>
        <v/>
      </c>
      <c r="F1410" t="str">
        <f>IF(VIPcric_1!F1392="","",VIPcric_1!F1392)</f>
        <v/>
      </c>
      <c r="G1410" t="str">
        <f>IF(VIPcric_1!G1392="","",VIPcric_1!G1392)</f>
        <v/>
      </c>
      <c r="H1410" t="str">
        <f>IF(VIPcric_1!H1392="","",VIPcric_1!H1392)</f>
        <v/>
      </c>
      <c r="I1410" t="str">
        <f>IF(VIPcric_1!M1392="","",VIPcric_1!M1392)</f>
        <v>CRIC-昌江-市场监测.商品房市场.项目累计.库存.xlsx</v>
      </c>
    </row>
    <row r="1411" spans="1:9">
      <c r="A1411" t="str">
        <f>IF(VIPcric_1!A1393="","",VIPcric_1!A1393)</f>
        <v/>
      </c>
      <c r="B1411" t="str">
        <f>IF(VIPcric_1!B1393="","",VIPcric_1!B1393)</f>
        <v/>
      </c>
      <c r="C1411" t="str">
        <f>IF(VIPcric_1!C1393="","",VIPcric_1!C1393)</f>
        <v/>
      </c>
      <c r="D1411" t="str">
        <f>IF(VIPcric_1!D1393="","",VIPcric_1!D1393)</f>
        <v/>
      </c>
      <c r="E1411" t="str">
        <f>IF(VIPcric_1!E1393="","",VIPcric_1!E1393)</f>
        <v/>
      </c>
      <c r="F1411" t="str">
        <f>IF(VIPcric_1!F1393="","",VIPcric_1!F1393)</f>
        <v/>
      </c>
      <c r="G1411" t="str">
        <f>IF(VIPcric_1!G1393="","",VIPcric_1!G1393)</f>
        <v/>
      </c>
      <c r="H1411" t="str">
        <f>IF(VIPcric_1!H1393="","",VIPcric_1!H1393)</f>
        <v/>
      </c>
      <c r="I1411" t="str">
        <f>IF(VIPcric_1!M1393="","",VIPcric_1!M1393)</f>
        <v/>
      </c>
    </row>
    <row r="1412" spans="1:9">
      <c r="A1412" t="str">
        <f>IF(VIPcric_1!A1394="","",VIPcric_1!A1394)</f>
        <v/>
      </c>
      <c r="B1412" t="str">
        <f>IF(VIPcric_1!B1394="","",VIPcric_1!B1394)</f>
        <v/>
      </c>
      <c r="C1412" t="str">
        <f>IF(VIPcric_1!C1394="","",VIPcric_1!C1394)</f>
        <v/>
      </c>
      <c r="D1412" t="str">
        <f>IF(VIPcric_1!D1394="","",VIPcric_1!D1394)</f>
        <v/>
      </c>
      <c r="E1412" t="str">
        <f>IF(VIPcric_1!E1394="","",VIPcric_1!E1394)</f>
        <v/>
      </c>
      <c r="F1412" t="str">
        <f>IF(VIPcric_1!F1394="","",VIPcric_1!F1394)</f>
        <v/>
      </c>
      <c r="G1412" t="str">
        <f>IF(VIPcric_1!G1394="","",VIPcric_1!G1394)</f>
        <v/>
      </c>
      <c r="H1412" t="str">
        <f>IF(VIPcric_1!H1394="","",VIPcric_1!H1394)</f>
        <v/>
      </c>
      <c r="I1412" t="str">
        <f>IF(VIPcric_1!M1394="","",VIPcric_1!M1394)</f>
        <v>CRIC-晋城-市场监测.商品房市场.项目累计.供求.xlsx</v>
      </c>
    </row>
    <row r="1413" spans="1:9">
      <c r="A1413" t="str">
        <f>IF(VIPcric_1!A1395="","",VIPcric_1!A1395)</f>
        <v>时间(年)</v>
      </c>
      <c r="B1413" t="str">
        <f>IF(VIPcric_1!B1395="","",VIPcric_1!B1395)</f>
        <v>供应面积(㎡)</v>
      </c>
      <c r="C1413" t="str">
        <f>IF(VIPcric_1!C1395="","",VIPcric_1!C1395)</f>
        <v>供应套数(套)</v>
      </c>
      <c r="D1413" t="str">
        <f>IF(VIPcric_1!D1395="","",VIPcric_1!D1395)</f>
        <v>成交面积(㎡)</v>
      </c>
      <c r="E1413" t="str">
        <f>IF(VIPcric_1!E1395="","",VIPcric_1!E1395)</f>
        <v>成交套数(套)</v>
      </c>
      <c r="F1413" t="str">
        <f>IF(VIPcric_1!F1395="","",VIPcric_1!F1395)</f>
        <v>成交均价(元/㎡)</v>
      </c>
      <c r="G1413" t="str">
        <f>IF(VIPcric_1!G1395="","",VIPcric_1!G1395)</f>
        <v>成交金额(元)</v>
      </c>
      <c r="H1413" t="str">
        <f>IF(VIPcric_1!H1395="","",VIPcric_1!H1395)</f>
        <v>供求比</v>
      </c>
      <c r="I1413" t="str">
        <f>IF(VIPcric_1!M1395="","",VIPcric_1!M1395)</f>
        <v>CRIC-晋城-市场监测.商品房市场.项目累计.供求.xlsx</v>
      </c>
    </row>
    <row r="1414" spans="1:9">
      <c r="A1414" t="str">
        <f>IF(VIPcric_1!A1396="","",VIPcric_1!A1396)</f>
        <v>2019年</v>
      </c>
      <c r="B1414">
        <f>IF(VIPcric_1!B1396="","",VIPcric_1!B1396)</f>
        <v>524470</v>
      </c>
      <c r="C1414">
        <f>IF(VIPcric_1!C1396="","",VIPcric_1!C1396)</f>
        <v>4899</v>
      </c>
      <c r="D1414">
        <f>IF(VIPcric_1!D1396="","",VIPcric_1!D1396)</f>
        <v>371311</v>
      </c>
      <c r="E1414">
        <f>IF(VIPcric_1!E1396="","",VIPcric_1!E1396)</f>
        <v>3046</v>
      </c>
      <c r="F1414">
        <f>IF(VIPcric_1!F1396="","",VIPcric_1!F1396)</f>
        <v>6665</v>
      </c>
      <c r="G1414">
        <f>IF(VIPcric_1!G1396="","",VIPcric_1!G1396)</f>
        <v>2474757666</v>
      </c>
      <c r="H1414">
        <f>IF(VIPcric_1!H1396="","",VIPcric_1!H1396)</f>
        <v>1.41</v>
      </c>
      <c r="I1414" t="str">
        <f>IF(VIPcric_1!M1396="","",VIPcric_1!M1396)</f>
        <v>CRIC-晋城-市场监测.商品房市场.项目累计.供求.xlsx</v>
      </c>
    </row>
    <row r="1415" spans="1:9">
      <c r="A1415" t="str">
        <f>IF(VIPcric_1!A1397="","",VIPcric_1!A1397)</f>
        <v>2018年</v>
      </c>
      <c r="B1415">
        <f>IF(VIPcric_1!B1397="","",VIPcric_1!B1397)</f>
        <v>467206</v>
      </c>
      <c r="C1415">
        <f>IF(VIPcric_1!C1397="","",VIPcric_1!C1397)</f>
        <v>3879</v>
      </c>
      <c r="D1415">
        <f>IF(VIPcric_1!D1397="","",VIPcric_1!D1397)</f>
        <v>0</v>
      </c>
      <c r="E1415">
        <f>IF(VIPcric_1!E1397="","",VIPcric_1!E1397)</f>
        <v>0</v>
      </c>
      <c r="F1415">
        <f>IF(VIPcric_1!F1397="","",VIPcric_1!F1397)</f>
        <v>0</v>
      </c>
      <c r="G1415">
        <f>IF(VIPcric_1!G1397="","",VIPcric_1!G1397)</f>
        <v>0</v>
      </c>
      <c r="H1415">
        <f>IF(VIPcric_1!H1397="","",VIPcric_1!H1397)</f>
        <v>0</v>
      </c>
      <c r="I1415" t="str">
        <f>IF(VIPcric_1!M1397="","",VIPcric_1!M1397)</f>
        <v>CRIC-晋城-市场监测.商品房市场.项目累计.供求.xlsx</v>
      </c>
    </row>
    <row r="1416" spans="1:9">
      <c r="A1416" t="str">
        <f>IF(VIPcric_1!A1398="","",VIPcric_1!A1398)</f>
        <v>2017年</v>
      </c>
      <c r="B1416">
        <f>IF(VIPcric_1!B1398="","",VIPcric_1!B1398)</f>
        <v>880538</v>
      </c>
      <c r="C1416">
        <f>IF(VIPcric_1!C1398="","",VIPcric_1!C1398)</f>
        <v>7803</v>
      </c>
      <c r="D1416">
        <f>IF(VIPcric_1!D1398="","",VIPcric_1!D1398)</f>
        <v>0</v>
      </c>
      <c r="E1416">
        <f>IF(VIPcric_1!E1398="","",VIPcric_1!E1398)</f>
        <v>0</v>
      </c>
      <c r="F1416">
        <f>IF(VIPcric_1!F1398="","",VIPcric_1!F1398)</f>
        <v>0</v>
      </c>
      <c r="G1416">
        <f>IF(VIPcric_1!G1398="","",VIPcric_1!G1398)</f>
        <v>0</v>
      </c>
      <c r="H1416">
        <f>IF(VIPcric_1!H1398="","",VIPcric_1!H1398)</f>
        <v>0</v>
      </c>
      <c r="I1416" t="str">
        <f>IF(VIPcric_1!M1398="","",VIPcric_1!M1398)</f>
        <v>CRIC-晋城-市场监测.商品房市场.项目累计.供求.xlsx</v>
      </c>
    </row>
    <row r="1417" spans="1:9">
      <c r="A1417" t="str">
        <f>IF(VIPcric_1!A1399="","",VIPcric_1!A1399)</f>
        <v>2016年</v>
      </c>
      <c r="B1417">
        <f>IF(VIPcric_1!B1399="","",VIPcric_1!B1399)</f>
        <v>662930</v>
      </c>
      <c r="C1417">
        <f>IF(VIPcric_1!C1399="","",VIPcric_1!C1399)</f>
        <v>5583</v>
      </c>
      <c r="D1417">
        <f>IF(VIPcric_1!D1399="","",VIPcric_1!D1399)</f>
        <v>0</v>
      </c>
      <c r="E1417">
        <f>IF(VIPcric_1!E1399="","",VIPcric_1!E1399)</f>
        <v>0</v>
      </c>
      <c r="F1417">
        <f>IF(VIPcric_1!F1399="","",VIPcric_1!F1399)</f>
        <v>0</v>
      </c>
      <c r="G1417">
        <f>IF(VIPcric_1!G1399="","",VIPcric_1!G1399)</f>
        <v>0</v>
      </c>
      <c r="H1417">
        <f>IF(VIPcric_1!H1399="","",VIPcric_1!H1399)</f>
        <v>0</v>
      </c>
      <c r="I1417" t="str">
        <f>IF(VIPcric_1!M1399="","",VIPcric_1!M1399)</f>
        <v>CRIC-晋城-市场监测.商品房市场.项目累计.供求.xlsx</v>
      </c>
    </row>
    <row r="1418" spans="1:9">
      <c r="A1418" t="str">
        <f>IF(VIPcric_1!A1400="","",VIPcric_1!A1400)</f>
        <v>2015年</v>
      </c>
      <c r="B1418">
        <f>IF(VIPcric_1!B1400="","",VIPcric_1!B1400)</f>
        <v>1805098</v>
      </c>
      <c r="C1418">
        <f>IF(VIPcric_1!C1400="","",VIPcric_1!C1400)</f>
        <v>15193</v>
      </c>
      <c r="D1418">
        <f>IF(VIPcric_1!D1400="","",VIPcric_1!D1400)</f>
        <v>0</v>
      </c>
      <c r="E1418">
        <f>IF(VIPcric_1!E1400="","",VIPcric_1!E1400)</f>
        <v>0</v>
      </c>
      <c r="F1418">
        <f>IF(VIPcric_1!F1400="","",VIPcric_1!F1400)</f>
        <v>0</v>
      </c>
      <c r="G1418">
        <f>IF(VIPcric_1!G1400="","",VIPcric_1!G1400)</f>
        <v>0</v>
      </c>
      <c r="H1418">
        <f>IF(VIPcric_1!H1400="","",VIPcric_1!H1400)</f>
        <v>0</v>
      </c>
      <c r="I1418" t="str">
        <f>IF(VIPcric_1!M1400="","",VIPcric_1!M1400)</f>
        <v>CRIC-晋城-市场监测.商品房市场.项目累计.供求.xlsx</v>
      </c>
    </row>
    <row r="1419" spans="1:9">
      <c r="A1419" t="str">
        <f>IF(VIPcric_1!A1401="","",VIPcric_1!A1401)</f>
        <v>2014年</v>
      </c>
      <c r="B1419">
        <f>IF(VIPcric_1!B1401="","",VIPcric_1!B1401)</f>
        <v>1543832</v>
      </c>
      <c r="C1419">
        <f>IF(VIPcric_1!C1401="","",VIPcric_1!C1401)</f>
        <v>11787</v>
      </c>
      <c r="D1419">
        <f>IF(VIPcric_1!D1401="","",VIPcric_1!D1401)</f>
        <v>0</v>
      </c>
      <c r="E1419">
        <f>IF(VIPcric_1!E1401="","",VIPcric_1!E1401)</f>
        <v>0</v>
      </c>
      <c r="F1419">
        <f>IF(VIPcric_1!F1401="","",VIPcric_1!F1401)</f>
        <v>0</v>
      </c>
      <c r="G1419">
        <f>IF(VIPcric_1!G1401="","",VIPcric_1!G1401)</f>
        <v>0</v>
      </c>
      <c r="H1419">
        <f>IF(VIPcric_1!H1401="","",VIPcric_1!H1401)</f>
        <v>0</v>
      </c>
      <c r="I1419" t="str">
        <f>IF(VIPcric_1!M1401="","",VIPcric_1!M1401)</f>
        <v>CRIC-晋城-市场监测.商品房市场.项目累计.供求.xlsx</v>
      </c>
    </row>
    <row r="1420" spans="1:9">
      <c r="A1420" t="str">
        <f>IF(VIPcric_1!A1402="","",VIPcric_1!A1402)</f>
        <v>汇总</v>
      </c>
      <c r="B1420">
        <f>IF(VIPcric_1!B1402="","",VIPcric_1!B1402)</f>
        <v>5884074</v>
      </c>
      <c r="C1420">
        <f>IF(VIPcric_1!C1402="","",VIPcric_1!C1402)</f>
        <v>49144</v>
      </c>
      <c r="D1420">
        <f>IF(VIPcric_1!D1402="","",VIPcric_1!D1402)</f>
        <v>371311</v>
      </c>
      <c r="E1420">
        <f>IF(VIPcric_1!E1402="","",VIPcric_1!E1402)</f>
        <v>3046</v>
      </c>
      <c r="F1420">
        <f>IF(VIPcric_1!F1402="","",VIPcric_1!F1402)</f>
        <v>6665</v>
      </c>
      <c r="G1420">
        <f>IF(VIPcric_1!G1402="","",VIPcric_1!G1402)</f>
        <v>2474757666</v>
      </c>
      <c r="H1420">
        <f>IF(VIPcric_1!H1402="","",VIPcric_1!H1402)</f>
        <v>15.85</v>
      </c>
      <c r="I1420" t="str">
        <f>IF(VIPcric_1!M1402="","",VIPcric_1!M1402)</f>
        <v>CRIC-晋城-市场监测.商品房市场.项目累计.供求.xlsx</v>
      </c>
    </row>
    <row r="1421" spans="1:9">
      <c r="A1421" t="str">
        <f>IF(VIPcric_1!A1403="","",VIPcric_1!A1403)</f>
        <v/>
      </c>
      <c r="B1421" t="str">
        <f>IF(VIPcric_1!B1403="","",VIPcric_1!B1403)</f>
        <v/>
      </c>
      <c r="C1421" t="str">
        <f>IF(VIPcric_1!C1403="","",VIPcric_1!C1403)</f>
        <v/>
      </c>
      <c r="D1421" t="str">
        <f>IF(VIPcric_1!D1403="","",VIPcric_1!D1403)</f>
        <v/>
      </c>
      <c r="E1421" t="str">
        <f>IF(VIPcric_1!E1403="","",VIPcric_1!E1403)</f>
        <v/>
      </c>
      <c r="F1421" t="str">
        <f>IF(VIPcric_1!F1403="","",VIPcric_1!F1403)</f>
        <v/>
      </c>
      <c r="G1421" t="str">
        <f>IF(VIPcric_1!G1403="","",VIPcric_1!G1403)</f>
        <v/>
      </c>
      <c r="H1421" t="str">
        <f>IF(VIPcric_1!H1403="","",VIPcric_1!H1403)</f>
        <v/>
      </c>
      <c r="I1421" t="str">
        <f>IF(VIPcric_1!M1403="","",VIPcric_1!M1403)</f>
        <v/>
      </c>
    </row>
    <row r="1422" spans="1:9">
      <c r="A1422" t="str">
        <f>IF(VIPcric_1!A1404="","",VIPcric_1!A1404)</f>
        <v/>
      </c>
      <c r="B1422" t="str">
        <f>IF(VIPcric_1!B1404="","",VIPcric_1!B1404)</f>
        <v/>
      </c>
      <c r="C1422" t="str">
        <f>IF(VIPcric_1!C1404="","",VIPcric_1!C1404)</f>
        <v/>
      </c>
      <c r="D1422" t="str">
        <f>IF(VIPcric_1!D1404="","",VIPcric_1!D1404)</f>
        <v/>
      </c>
      <c r="E1422" t="str">
        <f>IF(VIPcric_1!E1404="","",VIPcric_1!E1404)</f>
        <v/>
      </c>
      <c r="F1422" t="str">
        <f>IF(VIPcric_1!F1404="","",VIPcric_1!F1404)</f>
        <v/>
      </c>
      <c r="G1422" t="str">
        <f>IF(VIPcric_1!G1404="","",VIPcric_1!G1404)</f>
        <v/>
      </c>
      <c r="H1422" t="str">
        <f>IF(VIPcric_1!H1404="","",VIPcric_1!H1404)</f>
        <v/>
      </c>
      <c r="I1422" t="str">
        <f>IF(VIPcric_1!M1404="","",VIPcric_1!M1404)</f>
        <v>CRIC-晋城-市场监测.商品房市场.项目累计.库存.xlsx</v>
      </c>
    </row>
    <row r="1423" spans="1:9">
      <c r="A1423" t="str">
        <f>IF(VIPcric_1!A1405="","",VIPcric_1!A1405)</f>
        <v>时间(年)</v>
      </c>
      <c r="B1423" t="str">
        <f>IF(VIPcric_1!B1405="","",VIPcric_1!B1405)</f>
        <v>库存面积(㎡)</v>
      </c>
      <c r="C1423" t="str">
        <f>IF(VIPcric_1!C1405="","",VIPcric_1!C1405)</f>
        <v>库存套数(套)</v>
      </c>
      <c r="D1423" t="str">
        <f>IF(VIPcric_1!D1405="","",VIPcric_1!D1405)</f>
        <v>去化周期12'(月)</v>
      </c>
      <c r="E1423" t="str">
        <f>IF(VIPcric_1!E1405="","",VIPcric_1!E1405)</f>
        <v/>
      </c>
      <c r="F1423" t="str">
        <f>IF(VIPcric_1!F1405="","",VIPcric_1!F1405)</f>
        <v/>
      </c>
      <c r="G1423" t="str">
        <f>IF(VIPcric_1!G1405="","",VIPcric_1!G1405)</f>
        <v/>
      </c>
      <c r="H1423" t="str">
        <f>IF(VIPcric_1!H1405="","",VIPcric_1!H1405)</f>
        <v/>
      </c>
      <c r="I1423" t="str">
        <f>IF(VIPcric_1!M1405="","",VIPcric_1!M1405)</f>
        <v>CRIC-晋城-市场监测.商品房市场.项目累计.库存.xlsx</v>
      </c>
    </row>
    <row r="1424" spans="1:9">
      <c r="A1424" t="str">
        <f>IF(VIPcric_1!A1406="","",VIPcric_1!A1406)</f>
        <v>2019年</v>
      </c>
      <c r="B1424">
        <f>IF(VIPcric_1!B1406="","",VIPcric_1!B1406)</f>
        <v>783620</v>
      </c>
      <c r="C1424">
        <f>IF(VIPcric_1!C1406="","",VIPcric_1!C1406)</f>
        <v>5819</v>
      </c>
      <c r="D1424">
        <f>IF(VIPcric_1!D1406="","",VIPcric_1!D1406)</f>
        <v>28.4</v>
      </c>
      <c r="E1424" t="str">
        <f>IF(VIPcric_1!E1406="","",VIPcric_1!E1406)</f>
        <v/>
      </c>
      <c r="F1424" t="str">
        <f>IF(VIPcric_1!F1406="","",VIPcric_1!F1406)</f>
        <v/>
      </c>
      <c r="G1424" t="str">
        <f>IF(VIPcric_1!G1406="","",VIPcric_1!G1406)</f>
        <v/>
      </c>
      <c r="H1424" t="str">
        <f>IF(VIPcric_1!H1406="","",VIPcric_1!H1406)</f>
        <v/>
      </c>
      <c r="I1424" t="str">
        <f>IF(VIPcric_1!M1406="","",VIPcric_1!M1406)</f>
        <v>CRIC-晋城-市场监测.商品房市场.项目累计.库存.xlsx</v>
      </c>
    </row>
    <row r="1425" spans="1:9">
      <c r="A1425" t="str">
        <f>IF(VIPcric_1!A1407="","",VIPcric_1!A1407)</f>
        <v/>
      </c>
      <c r="B1425" t="str">
        <f>IF(VIPcric_1!B1407="","",VIPcric_1!B1407)</f>
        <v/>
      </c>
      <c r="C1425" t="str">
        <f>IF(VIPcric_1!C1407="","",VIPcric_1!C1407)</f>
        <v/>
      </c>
      <c r="D1425" t="str">
        <f>IF(VIPcric_1!D1407="","",VIPcric_1!D1407)</f>
        <v/>
      </c>
      <c r="E1425" t="str">
        <f>IF(VIPcric_1!E1407="","",VIPcric_1!E1407)</f>
        <v/>
      </c>
      <c r="F1425" t="str">
        <f>IF(VIPcric_1!F1407="","",VIPcric_1!F1407)</f>
        <v/>
      </c>
      <c r="G1425" t="str">
        <f>IF(VIPcric_1!G1407="","",VIPcric_1!G1407)</f>
        <v/>
      </c>
      <c r="H1425" t="str">
        <f>IF(VIPcric_1!H1407="","",VIPcric_1!H1407)</f>
        <v/>
      </c>
      <c r="I1425" t="str">
        <f>IF(VIPcric_1!M1407="","",VIPcric_1!M1407)</f>
        <v/>
      </c>
    </row>
    <row r="1426" spans="1:9">
      <c r="A1426" t="str">
        <f>IF(VIPcric_1!A1408="","",VIPcric_1!A1408)</f>
        <v/>
      </c>
      <c r="B1426" t="str">
        <f>IF(VIPcric_1!B1408="","",VIPcric_1!B1408)</f>
        <v/>
      </c>
      <c r="C1426" t="str">
        <f>IF(VIPcric_1!C1408="","",VIPcric_1!C1408)</f>
        <v/>
      </c>
      <c r="D1426" t="str">
        <f>IF(VIPcric_1!D1408="","",VIPcric_1!D1408)</f>
        <v/>
      </c>
      <c r="E1426" t="str">
        <f>IF(VIPcric_1!E1408="","",VIPcric_1!E1408)</f>
        <v/>
      </c>
      <c r="F1426" t="str">
        <f>IF(VIPcric_1!F1408="","",VIPcric_1!F1408)</f>
        <v/>
      </c>
      <c r="G1426" t="str">
        <f>IF(VIPcric_1!G1408="","",VIPcric_1!G1408)</f>
        <v/>
      </c>
      <c r="H1426" t="str">
        <f>IF(VIPcric_1!H1408="","",VIPcric_1!H1408)</f>
        <v/>
      </c>
      <c r="I1426" t="str">
        <f>IF(VIPcric_1!M1408="","",VIPcric_1!M1408)</f>
        <v>CRIC-晋江-市场监测.商品房市场.项目累计.供求.xlsx</v>
      </c>
    </row>
    <row r="1427" spans="1:9">
      <c r="A1427" t="str">
        <f>IF(VIPcric_1!A1409="","",VIPcric_1!A1409)</f>
        <v>时间(年)</v>
      </c>
      <c r="B1427" t="str">
        <f>IF(VIPcric_1!B1409="","",VIPcric_1!B1409)</f>
        <v>供应面积(㎡)</v>
      </c>
      <c r="C1427" t="str">
        <f>IF(VIPcric_1!C1409="","",VIPcric_1!C1409)</f>
        <v>供应套数(套)</v>
      </c>
      <c r="D1427" t="str">
        <f>IF(VIPcric_1!D1409="","",VIPcric_1!D1409)</f>
        <v>成交面积(㎡)</v>
      </c>
      <c r="E1427" t="str">
        <f>IF(VIPcric_1!E1409="","",VIPcric_1!E1409)</f>
        <v>成交套数(套)</v>
      </c>
      <c r="F1427" t="str">
        <f>IF(VIPcric_1!F1409="","",VIPcric_1!F1409)</f>
        <v>成交均价(元/㎡)</v>
      </c>
      <c r="G1427" t="str">
        <f>IF(VIPcric_1!G1409="","",VIPcric_1!G1409)</f>
        <v>成交金额(元)</v>
      </c>
      <c r="H1427" t="str">
        <f>IF(VIPcric_1!H1409="","",VIPcric_1!H1409)</f>
        <v>供求比</v>
      </c>
      <c r="I1427" t="str">
        <f>IF(VIPcric_1!M1409="","",VIPcric_1!M1409)</f>
        <v>CRIC-晋江-市场监测.商品房市场.项目累计.供求.xlsx</v>
      </c>
    </row>
    <row r="1428" spans="1:9">
      <c r="A1428" t="str">
        <f>IF(VIPcric_1!A1410="","",VIPcric_1!A1410)</f>
        <v>2024年</v>
      </c>
      <c r="B1428">
        <f>IF(VIPcric_1!B1410="","",VIPcric_1!B1410)</f>
        <v>65330</v>
      </c>
      <c r="C1428">
        <f>IF(VIPcric_1!C1410="","",VIPcric_1!C1410)</f>
        <v>483</v>
      </c>
      <c r="D1428">
        <f>IF(VIPcric_1!D1410="","",VIPcric_1!D1410)</f>
        <v>36148</v>
      </c>
      <c r="E1428">
        <f>IF(VIPcric_1!E1410="","",VIPcric_1!E1410)</f>
        <v>260</v>
      </c>
      <c r="F1428">
        <f>IF(VIPcric_1!F1410="","",VIPcric_1!F1410)</f>
        <v>12497</v>
      </c>
      <c r="G1428">
        <f>IF(VIPcric_1!G1410="","",VIPcric_1!G1410)</f>
        <v>451761728</v>
      </c>
      <c r="H1428">
        <f>IF(VIPcric_1!H1410="","",VIPcric_1!H1410)</f>
        <v>1.81</v>
      </c>
      <c r="I1428" t="str">
        <f>IF(VIPcric_1!M1410="","",VIPcric_1!M1410)</f>
        <v>CRIC-晋江-市场监测.商品房市场.项目累计.供求.xlsx</v>
      </c>
    </row>
    <row r="1429" spans="1:9">
      <c r="A1429" t="str">
        <f>IF(VIPcric_1!A1411="","",VIPcric_1!A1411)</f>
        <v>2023年</v>
      </c>
      <c r="B1429">
        <f>IF(VIPcric_1!B1411="","",VIPcric_1!B1411)</f>
        <v>675072</v>
      </c>
      <c r="C1429">
        <f>IF(VIPcric_1!C1411="","",VIPcric_1!C1411)</f>
        <v>4766</v>
      </c>
      <c r="D1429">
        <f>IF(VIPcric_1!D1411="","",VIPcric_1!D1411)</f>
        <v>542165</v>
      </c>
      <c r="E1429">
        <f>IF(VIPcric_1!E1411="","",VIPcric_1!E1411)</f>
        <v>4046</v>
      </c>
      <c r="F1429">
        <f>IF(VIPcric_1!F1411="","",VIPcric_1!F1411)</f>
        <v>12985</v>
      </c>
      <c r="G1429">
        <f>IF(VIPcric_1!G1411="","",VIPcric_1!G1411)</f>
        <v>7039953745</v>
      </c>
      <c r="H1429">
        <f>IF(VIPcric_1!H1411="","",VIPcric_1!H1411)</f>
        <v>1.25</v>
      </c>
      <c r="I1429" t="str">
        <f>IF(VIPcric_1!M1411="","",VIPcric_1!M1411)</f>
        <v>CRIC-晋江-市场监测.商品房市场.项目累计.供求.xlsx</v>
      </c>
    </row>
    <row r="1430" spans="1:9">
      <c r="A1430" t="str">
        <f>IF(VIPcric_1!A1412="","",VIPcric_1!A1412)</f>
        <v>2022年</v>
      </c>
      <c r="B1430">
        <f>IF(VIPcric_1!B1412="","",VIPcric_1!B1412)</f>
        <v>719174</v>
      </c>
      <c r="C1430">
        <f>IF(VIPcric_1!C1412="","",VIPcric_1!C1412)</f>
        <v>6083</v>
      </c>
      <c r="D1430">
        <f>IF(VIPcric_1!D1412="","",VIPcric_1!D1412)</f>
        <v>543109</v>
      </c>
      <c r="E1430">
        <f>IF(VIPcric_1!E1412="","",VIPcric_1!E1412)</f>
        <v>4534</v>
      </c>
      <c r="F1430">
        <f>IF(VIPcric_1!F1412="","",VIPcric_1!F1412)</f>
        <v>10690</v>
      </c>
      <c r="G1430">
        <f>IF(VIPcric_1!G1412="","",VIPcric_1!G1412)</f>
        <v>5805658447</v>
      </c>
      <c r="H1430">
        <f>IF(VIPcric_1!H1412="","",VIPcric_1!H1412)</f>
        <v>1.32</v>
      </c>
      <c r="I1430" t="str">
        <f>IF(VIPcric_1!M1412="","",VIPcric_1!M1412)</f>
        <v>CRIC-晋江-市场监测.商品房市场.项目累计.供求.xlsx</v>
      </c>
    </row>
    <row r="1431" spans="1:9">
      <c r="A1431" t="str">
        <f>IF(VIPcric_1!A1413="","",VIPcric_1!A1413)</f>
        <v>2021年</v>
      </c>
      <c r="B1431">
        <f>IF(VIPcric_1!B1413="","",VIPcric_1!B1413)</f>
        <v>1424043</v>
      </c>
      <c r="C1431">
        <f>IF(VIPcric_1!C1413="","",VIPcric_1!C1413)</f>
        <v>12301</v>
      </c>
      <c r="D1431">
        <f>IF(VIPcric_1!D1413="","",VIPcric_1!D1413)</f>
        <v>2151802</v>
      </c>
      <c r="E1431">
        <f>IF(VIPcric_1!E1413="","",VIPcric_1!E1413)</f>
        <v>18081</v>
      </c>
      <c r="F1431">
        <f>IF(VIPcric_1!F1413="","",VIPcric_1!F1413)</f>
        <v>10256</v>
      </c>
      <c r="G1431">
        <f>IF(VIPcric_1!G1413="","",VIPcric_1!G1413)</f>
        <v>22069491083</v>
      </c>
      <c r="H1431">
        <f>IF(VIPcric_1!H1413="","",VIPcric_1!H1413)</f>
        <v>0.66</v>
      </c>
      <c r="I1431" t="str">
        <f>IF(VIPcric_1!M1413="","",VIPcric_1!M1413)</f>
        <v>CRIC-晋江-市场监测.商品房市场.项目累计.供求.xlsx</v>
      </c>
    </row>
    <row r="1432" spans="1:9">
      <c r="A1432" t="str">
        <f>IF(VIPcric_1!A1414="","",VIPcric_1!A1414)</f>
        <v>2020年</v>
      </c>
      <c r="B1432">
        <f>IF(VIPcric_1!B1414="","",VIPcric_1!B1414)</f>
        <v>2382110</v>
      </c>
      <c r="C1432">
        <f>IF(VIPcric_1!C1414="","",VIPcric_1!C1414)</f>
        <v>19991</v>
      </c>
      <c r="D1432">
        <f>IF(VIPcric_1!D1414="","",VIPcric_1!D1414)</f>
        <v>2410598</v>
      </c>
      <c r="E1432">
        <f>IF(VIPcric_1!E1414="","",VIPcric_1!E1414)</f>
        <v>20413</v>
      </c>
      <c r="F1432">
        <f>IF(VIPcric_1!F1414="","",VIPcric_1!F1414)</f>
        <v>9730</v>
      </c>
      <c r="G1432">
        <f>IF(VIPcric_1!G1414="","",VIPcric_1!G1414)</f>
        <v>23454909863</v>
      </c>
      <c r="H1432">
        <f>IF(VIPcric_1!H1414="","",VIPcric_1!H1414)</f>
        <v>0.99</v>
      </c>
      <c r="I1432" t="str">
        <f>IF(VIPcric_1!M1414="","",VIPcric_1!M1414)</f>
        <v>CRIC-晋江-市场监测.商品房市场.项目累计.供求.xlsx</v>
      </c>
    </row>
    <row r="1433" spans="1:9">
      <c r="A1433" t="str">
        <f>IF(VIPcric_1!A1415="","",VIPcric_1!A1415)</f>
        <v>2019年</v>
      </c>
      <c r="B1433">
        <f>IF(VIPcric_1!B1415="","",VIPcric_1!B1415)</f>
        <v>2066029</v>
      </c>
      <c r="C1433">
        <f>IF(VIPcric_1!C1415="","",VIPcric_1!C1415)</f>
        <v>17832</v>
      </c>
      <c r="D1433">
        <f>IF(VIPcric_1!D1415="","",VIPcric_1!D1415)</f>
        <v>1977242</v>
      </c>
      <c r="E1433">
        <f>IF(VIPcric_1!E1415="","",VIPcric_1!E1415)</f>
        <v>16928</v>
      </c>
      <c r="F1433">
        <f>IF(VIPcric_1!F1415="","",VIPcric_1!F1415)</f>
        <v>9362</v>
      </c>
      <c r="G1433">
        <f>IF(VIPcric_1!G1415="","",VIPcric_1!G1415)</f>
        <v>18510010625</v>
      </c>
      <c r="H1433">
        <f>IF(VIPcric_1!H1415="","",VIPcric_1!H1415)</f>
        <v>1.04</v>
      </c>
      <c r="I1433" t="str">
        <f>IF(VIPcric_1!M1415="","",VIPcric_1!M1415)</f>
        <v>CRIC-晋江-市场监测.商品房市场.项目累计.供求.xlsx</v>
      </c>
    </row>
    <row r="1434" spans="1:9">
      <c r="A1434" t="str">
        <f>IF(VIPcric_1!A1416="","",VIPcric_1!A1416)</f>
        <v>汇总</v>
      </c>
      <c r="B1434">
        <f>IF(VIPcric_1!B1416="","",VIPcric_1!B1416)</f>
        <v>7331759</v>
      </c>
      <c r="C1434">
        <f>IF(VIPcric_1!C1416="","",VIPcric_1!C1416)</f>
        <v>61456</v>
      </c>
      <c r="D1434">
        <f>IF(VIPcric_1!D1416="","",VIPcric_1!D1416)</f>
        <v>7661064</v>
      </c>
      <c r="E1434">
        <f>IF(VIPcric_1!E1416="","",VIPcric_1!E1416)</f>
        <v>64262</v>
      </c>
      <c r="F1434">
        <f>IF(VIPcric_1!F1416="","",VIPcric_1!F1416)</f>
        <v>10094</v>
      </c>
      <c r="G1434">
        <f>IF(VIPcric_1!G1416="","",VIPcric_1!G1416)</f>
        <v>77331785491</v>
      </c>
      <c r="H1434">
        <f>IF(VIPcric_1!H1416="","",VIPcric_1!H1416)</f>
        <v>0.96</v>
      </c>
      <c r="I1434" t="str">
        <f>IF(VIPcric_1!M1416="","",VIPcric_1!M1416)</f>
        <v>CRIC-晋江-市场监测.商品房市场.项目累计.供求.xlsx</v>
      </c>
    </row>
    <row r="1435" spans="1:9">
      <c r="A1435" t="str">
        <f>IF(VIPcric_1!A1417="","",VIPcric_1!A1417)</f>
        <v/>
      </c>
      <c r="B1435" t="str">
        <f>IF(VIPcric_1!B1417="","",VIPcric_1!B1417)</f>
        <v/>
      </c>
      <c r="C1435" t="str">
        <f>IF(VIPcric_1!C1417="","",VIPcric_1!C1417)</f>
        <v/>
      </c>
      <c r="D1435" t="str">
        <f>IF(VIPcric_1!D1417="","",VIPcric_1!D1417)</f>
        <v/>
      </c>
      <c r="E1435" t="str">
        <f>IF(VIPcric_1!E1417="","",VIPcric_1!E1417)</f>
        <v/>
      </c>
      <c r="F1435" t="str">
        <f>IF(VIPcric_1!F1417="","",VIPcric_1!F1417)</f>
        <v/>
      </c>
      <c r="G1435" t="str">
        <f>IF(VIPcric_1!G1417="","",VIPcric_1!G1417)</f>
        <v/>
      </c>
      <c r="H1435" t="str">
        <f>IF(VIPcric_1!H1417="","",VIPcric_1!H1417)</f>
        <v/>
      </c>
      <c r="I1435" t="str">
        <f>IF(VIPcric_1!M1417="","",VIPcric_1!M1417)</f>
        <v/>
      </c>
    </row>
    <row r="1436" spans="1:9">
      <c r="A1436" t="str">
        <f>IF(VIPcric_1!A1418="","",VIPcric_1!A1418)</f>
        <v/>
      </c>
      <c r="B1436" t="str">
        <f>IF(VIPcric_1!B1418="","",VIPcric_1!B1418)</f>
        <v/>
      </c>
      <c r="C1436" t="str">
        <f>IF(VIPcric_1!C1418="","",VIPcric_1!C1418)</f>
        <v/>
      </c>
      <c r="D1436" t="str">
        <f>IF(VIPcric_1!D1418="","",VIPcric_1!D1418)</f>
        <v/>
      </c>
      <c r="E1436" t="str">
        <f>IF(VIPcric_1!E1418="","",VIPcric_1!E1418)</f>
        <v/>
      </c>
      <c r="F1436" t="str">
        <f>IF(VIPcric_1!F1418="","",VIPcric_1!F1418)</f>
        <v/>
      </c>
      <c r="G1436" t="str">
        <f>IF(VIPcric_1!G1418="","",VIPcric_1!G1418)</f>
        <v/>
      </c>
      <c r="H1436" t="str">
        <f>IF(VIPcric_1!H1418="","",VIPcric_1!H1418)</f>
        <v/>
      </c>
      <c r="I1436" t="str">
        <f>IF(VIPcric_1!M1418="","",VIPcric_1!M1418)</f>
        <v>CRIC-晋江-市场监测.商品房市场.项目累计.库存.xlsx</v>
      </c>
    </row>
    <row r="1437" spans="1:9">
      <c r="A1437" t="str">
        <f>IF(VIPcric_1!A1419="","",VIPcric_1!A1419)</f>
        <v>时间(年)</v>
      </c>
      <c r="B1437" t="str">
        <f>IF(VIPcric_1!B1419="","",VIPcric_1!B1419)</f>
        <v>库存面积(㎡)</v>
      </c>
      <c r="C1437" t="str">
        <f>IF(VIPcric_1!C1419="","",VIPcric_1!C1419)</f>
        <v>库存套数(套)</v>
      </c>
      <c r="D1437" t="str">
        <f>IF(VIPcric_1!D1419="","",VIPcric_1!D1419)</f>
        <v>去化周期12'(月)</v>
      </c>
      <c r="E1437" t="str">
        <f>IF(VIPcric_1!E1419="","",VIPcric_1!E1419)</f>
        <v>去化周期24'(月)</v>
      </c>
      <c r="F1437" t="str">
        <f>IF(VIPcric_1!F1419="","",VIPcric_1!F1419)</f>
        <v/>
      </c>
      <c r="G1437" t="str">
        <f>IF(VIPcric_1!G1419="","",VIPcric_1!G1419)</f>
        <v/>
      </c>
      <c r="H1437" t="str">
        <f>IF(VIPcric_1!H1419="","",VIPcric_1!H1419)</f>
        <v/>
      </c>
      <c r="I1437" t="str">
        <f>IF(VIPcric_1!M1419="","",VIPcric_1!M1419)</f>
        <v>CRIC-晋江-市场监测.商品房市场.项目累计.库存.xlsx</v>
      </c>
    </row>
    <row r="1438" spans="1:9">
      <c r="A1438" t="str">
        <f>IF(VIPcric_1!A1420="","",VIPcric_1!A1420)</f>
        <v>2024年</v>
      </c>
      <c r="B1438">
        <f>IF(VIPcric_1!B1420="","",VIPcric_1!B1420)</f>
        <v>1127417</v>
      </c>
      <c r="C1438">
        <f>IF(VIPcric_1!C1420="","",VIPcric_1!C1420)</f>
        <v>9481</v>
      </c>
      <c r="D1438">
        <f>IF(VIPcric_1!D1420="","",VIPcric_1!D1420)</f>
        <v>24.1</v>
      </c>
      <c r="E1438">
        <f>IF(VIPcric_1!E1420="","",VIPcric_1!E1420)</f>
        <v>25.6</v>
      </c>
      <c r="F1438" t="str">
        <f>IF(VIPcric_1!F1420="","",VIPcric_1!F1420)</f>
        <v/>
      </c>
      <c r="G1438" t="str">
        <f>IF(VIPcric_1!G1420="","",VIPcric_1!G1420)</f>
        <v/>
      </c>
      <c r="H1438" t="str">
        <f>IF(VIPcric_1!H1420="","",VIPcric_1!H1420)</f>
        <v/>
      </c>
      <c r="I1438" t="str">
        <f>IF(VIPcric_1!M1420="","",VIPcric_1!M1420)</f>
        <v>CRIC-晋江-市场监测.商品房市场.项目累计.库存.xlsx</v>
      </c>
    </row>
    <row r="1439" spans="1:9">
      <c r="A1439" t="str">
        <f>IF(VIPcric_1!A1421="","",VIPcric_1!A1421)</f>
        <v>2023年</v>
      </c>
      <c r="B1439">
        <f>IF(VIPcric_1!B1421="","",VIPcric_1!B1421)</f>
        <v>1154015</v>
      </c>
      <c r="C1439">
        <f>IF(VIPcric_1!C1421="","",VIPcric_1!C1421)</f>
        <v>9676</v>
      </c>
      <c r="D1439">
        <f>IF(VIPcric_1!D1421="","",VIPcric_1!D1421)</f>
        <v>25.5</v>
      </c>
      <c r="E1439">
        <f>IF(VIPcric_1!E1421="","",VIPcric_1!E1421)</f>
        <v>25.5</v>
      </c>
      <c r="F1439" t="str">
        <f>IF(VIPcric_1!F1421="","",VIPcric_1!F1421)</f>
        <v/>
      </c>
      <c r="G1439" t="str">
        <f>IF(VIPcric_1!G1421="","",VIPcric_1!G1421)</f>
        <v/>
      </c>
      <c r="H1439" t="str">
        <f>IF(VIPcric_1!H1421="","",VIPcric_1!H1421)</f>
        <v/>
      </c>
      <c r="I1439" t="str">
        <f>IF(VIPcric_1!M1421="","",VIPcric_1!M1421)</f>
        <v>CRIC-晋江-市场监测.商品房市场.项目累计.库存.xlsx</v>
      </c>
    </row>
    <row r="1440" spans="1:9">
      <c r="A1440" t="str">
        <f>IF(VIPcric_1!A1422="","",VIPcric_1!A1422)</f>
        <v>2022年</v>
      </c>
      <c r="B1440">
        <f>IF(VIPcric_1!B1422="","",VIPcric_1!B1422)</f>
        <v>1158870</v>
      </c>
      <c r="C1440">
        <f>IF(VIPcric_1!C1422="","",VIPcric_1!C1422)</f>
        <v>10077</v>
      </c>
      <c r="D1440">
        <f>IF(VIPcric_1!D1422="","",VIPcric_1!D1422)</f>
        <v>25.6</v>
      </c>
      <c r="E1440">
        <f>IF(VIPcric_1!E1422="","",VIPcric_1!E1422)</f>
        <v>10.3</v>
      </c>
      <c r="F1440" t="str">
        <f>IF(VIPcric_1!F1422="","",VIPcric_1!F1422)</f>
        <v/>
      </c>
      <c r="G1440" t="str">
        <f>IF(VIPcric_1!G1422="","",VIPcric_1!G1422)</f>
        <v/>
      </c>
      <c r="H1440" t="str">
        <f>IF(VIPcric_1!H1422="","",VIPcric_1!H1422)</f>
        <v/>
      </c>
      <c r="I1440" t="str">
        <f>IF(VIPcric_1!M1422="","",VIPcric_1!M1422)</f>
        <v>CRIC-晋江-市场监测.商品房市场.项目累计.库存.xlsx</v>
      </c>
    </row>
    <row r="1441" spans="1:9">
      <c r="A1441" t="str">
        <f>IF(VIPcric_1!A1423="","",VIPcric_1!A1423)</f>
        <v>2021年</v>
      </c>
      <c r="B1441">
        <f>IF(VIPcric_1!B1423="","",VIPcric_1!B1423)</f>
        <v>1090453</v>
      </c>
      <c r="C1441">
        <f>IF(VIPcric_1!C1423="","",VIPcric_1!C1423)</f>
        <v>9605</v>
      </c>
      <c r="D1441">
        <f>IF(VIPcric_1!D1423="","",VIPcric_1!D1423)</f>
        <v>6.1</v>
      </c>
      <c r="E1441">
        <f>IF(VIPcric_1!E1423="","",VIPcric_1!E1423)</f>
        <v>5.7</v>
      </c>
      <c r="F1441" t="str">
        <f>IF(VIPcric_1!F1423="","",VIPcric_1!F1423)</f>
        <v/>
      </c>
      <c r="G1441" t="str">
        <f>IF(VIPcric_1!G1423="","",VIPcric_1!G1423)</f>
        <v/>
      </c>
      <c r="H1441" t="str">
        <f>IF(VIPcric_1!H1423="","",VIPcric_1!H1423)</f>
        <v/>
      </c>
      <c r="I1441" t="str">
        <f>IF(VIPcric_1!M1423="","",VIPcric_1!M1423)</f>
        <v>CRIC-晋江-市场监测.商品房市场.项目累计.库存.xlsx</v>
      </c>
    </row>
    <row r="1442" spans="1:9">
      <c r="A1442" t="str">
        <f>IF(VIPcric_1!A1424="","",VIPcric_1!A1424)</f>
        <v>2020年</v>
      </c>
      <c r="B1442">
        <f>IF(VIPcric_1!B1424="","",VIPcric_1!B1424)</f>
        <v>1809035</v>
      </c>
      <c r="C1442">
        <f>IF(VIPcric_1!C1424="","",VIPcric_1!C1424)</f>
        <v>15472</v>
      </c>
      <c r="D1442">
        <f>IF(VIPcric_1!D1424="","",VIPcric_1!D1424)</f>
        <v>9</v>
      </c>
      <c r="E1442">
        <f>IF(VIPcric_1!E1424="","",VIPcric_1!E1424)</f>
        <v>9.9</v>
      </c>
      <c r="F1442" t="str">
        <f>IF(VIPcric_1!F1424="","",VIPcric_1!F1424)</f>
        <v/>
      </c>
      <c r="G1442" t="str">
        <f>IF(VIPcric_1!G1424="","",VIPcric_1!G1424)</f>
        <v/>
      </c>
      <c r="H1442" t="str">
        <f>IF(VIPcric_1!H1424="","",VIPcric_1!H1424)</f>
        <v/>
      </c>
      <c r="I1442" t="str">
        <f>IF(VIPcric_1!M1424="","",VIPcric_1!M1424)</f>
        <v>CRIC-晋江-市场监测.商品房市场.项目累计.库存.xlsx</v>
      </c>
    </row>
    <row r="1443" spans="1:9">
      <c r="A1443" t="str">
        <f>IF(VIPcric_1!A1425="","",VIPcric_1!A1425)</f>
        <v>2019年</v>
      </c>
      <c r="B1443">
        <f>IF(VIPcric_1!B1425="","",VIPcric_1!B1425)</f>
        <v>1793087</v>
      </c>
      <c r="C1443">
        <f>IF(VIPcric_1!C1425="","",VIPcric_1!C1425)</f>
        <v>15574</v>
      </c>
      <c r="D1443">
        <f>IF(VIPcric_1!D1425="","",VIPcric_1!D1425)</f>
        <v>10.9</v>
      </c>
      <c r="E1443">
        <f>IF(VIPcric_1!E1425="","",VIPcric_1!E1425)</f>
        <v>9.1</v>
      </c>
      <c r="F1443" t="str">
        <f>IF(VIPcric_1!F1425="","",VIPcric_1!F1425)</f>
        <v/>
      </c>
      <c r="G1443" t="str">
        <f>IF(VIPcric_1!G1425="","",VIPcric_1!G1425)</f>
        <v/>
      </c>
      <c r="H1443" t="str">
        <f>IF(VIPcric_1!H1425="","",VIPcric_1!H1425)</f>
        <v/>
      </c>
      <c r="I1443" t="str">
        <f>IF(VIPcric_1!M1425="","",VIPcric_1!M1425)</f>
        <v>CRIC-晋江-市场监测.商品房市场.项目累计.库存.xlsx</v>
      </c>
    </row>
    <row r="1444" spans="1:9">
      <c r="A1444" t="str">
        <f>IF(VIPcric_1!A1426="","",VIPcric_1!A1426)</f>
        <v/>
      </c>
      <c r="B1444" t="str">
        <f>IF(VIPcric_1!B1426="","",VIPcric_1!B1426)</f>
        <v/>
      </c>
      <c r="C1444" t="str">
        <f>IF(VIPcric_1!C1426="","",VIPcric_1!C1426)</f>
        <v/>
      </c>
      <c r="D1444" t="str">
        <f>IF(VIPcric_1!D1426="","",VIPcric_1!D1426)</f>
        <v/>
      </c>
      <c r="E1444" t="str">
        <f>IF(VIPcric_1!E1426="","",VIPcric_1!E1426)</f>
        <v/>
      </c>
      <c r="F1444" t="str">
        <f>IF(VIPcric_1!F1426="","",VIPcric_1!F1426)</f>
        <v/>
      </c>
      <c r="G1444" t="str">
        <f>IF(VIPcric_1!G1426="","",VIPcric_1!G1426)</f>
        <v/>
      </c>
      <c r="H1444" t="str">
        <f>IF(VIPcric_1!H1426="","",VIPcric_1!H1426)</f>
        <v/>
      </c>
      <c r="I1444" t="str">
        <f>IF(VIPcric_1!M1426="","",VIPcric_1!M1426)</f>
        <v/>
      </c>
    </row>
    <row r="1445" spans="1:9">
      <c r="A1445" t="str">
        <f>IF(VIPcric_1!A1427="","",VIPcric_1!A1427)</f>
        <v/>
      </c>
      <c r="B1445" t="str">
        <f>IF(VIPcric_1!B1427="","",VIPcric_1!B1427)</f>
        <v/>
      </c>
      <c r="C1445" t="str">
        <f>IF(VIPcric_1!C1427="","",VIPcric_1!C1427)</f>
        <v/>
      </c>
      <c r="D1445" t="str">
        <f>IF(VIPcric_1!D1427="","",VIPcric_1!D1427)</f>
        <v/>
      </c>
      <c r="E1445" t="str">
        <f>IF(VIPcric_1!E1427="","",VIPcric_1!E1427)</f>
        <v/>
      </c>
      <c r="F1445" t="str">
        <f>IF(VIPcric_1!F1427="","",VIPcric_1!F1427)</f>
        <v/>
      </c>
      <c r="G1445" t="str">
        <f>IF(VIPcric_1!G1427="","",VIPcric_1!G1427)</f>
        <v/>
      </c>
      <c r="H1445" t="str">
        <f>IF(VIPcric_1!H1427="","",VIPcric_1!H1427)</f>
        <v/>
      </c>
      <c r="I1445" t="str">
        <f>IF(VIPcric_1!M1427="","",VIPcric_1!M1427)</f>
        <v>CRIC-景德镇-市场监测.商品房市场.项目累计.供求.xlsx</v>
      </c>
    </row>
    <row r="1446" spans="1:9">
      <c r="A1446" t="str">
        <f>IF(VIPcric_1!A1428="","",VIPcric_1!A1428)</f>
        <v>时间(年)</v>
      </c>
      <c r="B1446" t="str">
        <f>IF(VIPcric_1!B1428="","",VIPcric_1!B1428)</f>
        <v>供应面积(㎡)</v>
      </c>
      <c r="C1446" t="str">
        <f>IF(VIPcric_1!C1428="","",VIPcric_1!C1428)</f>
        <v>供应套数(套)</v>
      </c>
      <c r="D1446" t="str">
        <f>IF(VIPcric_1!D1428="","",VIPcric_1!D1428)</f>
        <v>成交面积(㎡)</v>
      </c>
      <c r="E1446" t="str">
        <f>IF(VIPcric_1!E1428="","",VIPcric_1!E1428)</f>
        <v>成交套数(套)</v>
      </c>
      <c r="F1446" t="str">
        <f>IF(VIPcric_1!F1428="","",VIPcric_1!F1428)</f>
        <v>成交均价(元/㎡)</v>
      </c>
      <c r="G1446" t="str">
        <f>IF(VIPcric_1!G1428="","",VIPcric_1!G1428)</f>
        <v>成交金额(元)</v>
      </c>
      <c r="H1446" t="str">
        <f>IF(VIPcric_1!H1428="","",VIPcric_1!H1428)</f>
        <v>供求比</v>
      </c>
      <c r="I1446" t="str">
        <f>IF(VIPcric_1!M1428="","",VIPcric_1!M1428)</f>
        <v>CRIC-景德镇-市场监测.商品房市场.项目累计.供求.xlsx</v>
      </c>
    </row>
    <row r="1447" spans="1:9">
      <c r="A1447" t="str">
        <f>IF(VIPcric_1!A1429="","",VIPcric_1!A1429)</f>
        <v>2023年</v>
      </c>
      <c r="B1447">
        <f>IF(VIPcric_1!B1429="","",VIPcric_1!B1429)</f>
        <v>537453</v>
      </c>
      <c r="C1447">
        <f>IF(VIPcric_1!C1429="","",VIPcric_1!C1429)</f>
        <v>4386</v>
      </c>
      <c r="D1447">
        <f>IF(VIPcric_1!D1429="","",VIPcric_1!D1429)</f>
        <v>424736</v>
      </c>
      <c r="E1447">
        <f>IF(VIPcric_1!E1429="","",VIPcric_1!E1429)</f>
        <v>3631</v>
      </c>
      <c r="F1447">
        <f>IF(VIPcric_1!F1429="","",VIPcric_1!F1429)</f>
        <v>7871</v>
      </c>
      <c r="G1447">
        <f>IF(VIPcric_1!G1429="","",VIPcric_1!G1429)</f>
        <v>3343110318</v>
      </c>
      <c r="H1447">
        <f>IF(VIPcric_1!H1429="","",VIPcric_1!H1429)</f>
        <v>1.27</v>
      </c>
      <c r="I1447" t="str">
        <f>IF(VIPcric_1!M1429="","",VIPcric_1!M1429)</f>
        <v>CRIC-景德镇-市场监测.商品房市场.项目累计.供求.xlsx</v>
      </c>
    </row>
    <row r="1448" spans="1:9">
      <c r="A1448" t="str">
        <f>IF(VIPcric_1!A1430="","",VIPcric_1!A1430)</f>
        <v>2022年</v>
      </c>
      <c r="B1448">
        <f>IF(VIPcric_1!B1430="","",VIPcric_1!B1430)</f>
        <v>355064</v>
      </c>
      <c r="C1448">
        <f>IF(VIPcric_1!C1430="","",VIPcric_1!C1430)</f>
        <v>2928</v>
      </c>
      <c r="D1448">
        <f>IF(VIPcric_1!D1430="","",VIPcric_1!D1430)</f>
        <v>677712</v>
      </c>
      <c r="E1448">
        <f>IF(VIPcric_1!E1430="","",VIPcric_1!E1430)</f>
        <v>5597</v>
      </c>
      <c r="F1448">
        <f>IF(VIPcric_1!F1430="","",VIPcric_1!F1430)</f>
        <v>8036</v>
      </c>
      <c r="G1448">
        <f>IF(VIPcric_1!G1430="","",VIPcric_1!G1430)</f>
        <v>5446081476</v>
      </c>
      <c r="H1448">
        <f>IF(VIPcric_1!H1430="","",VIPcric_1!H1430)</f>
        <v>0.52</v>
      </c>
      <c r="I1448" t="str">
        <f>IF(VIPcric_1!M1430="","",VIPcric_1!M1430)</f>
        <v>CRIC-景德镇-市场监测.商品房市场.项目累计.供求.xlsx</v>
      </c>
    </row>
    <row r="1449" spans="1:9">
      <c r="A1449" t="str">
        <f>IF(VIPcric_1!A1431="","",VIPcric_1!A1431)</f>
        <v>2021年</v>
      </c>
      <c r="B1449">
        <f>IF(VIPcric_1!B1431="","",VIPcric_1!B1431)</f>
        <v>1077173</v>
      </c>
      <c r="C1449">
        <f>IF(VIPcric_1!C1431="","",VIPcric_1!C1431)</f>
        <v>8880</v>
      </c>
      <c r="D1449">
        <f>IF(VIPcric_1!D1431="","",VIPcric_1!D1431)</f>
        <v>1916540</v>
      </c>
      <c r="E1449">
        <f>IF(VIPcric_1!E1431="","",VIPcric_1!E1431)</f>
        <v>16037</v>
      </c>
      <c r="F1449">
        <f>IF(VIPcric_1!F1431="","",VIPcric_1!F1431)</f>
        <v>7627</v>
      </c>
      <c r="G1449">
        <f>IF(VIPcric_1!G1431="","",VIPcric_1!G1431)</f>
        <v>14617895694</v>
      </c>
      <c r="H1449">
        <f>IF(VIPcric_1!H1431="","",VIPcric_1!H1431)</f>
        <v>0.56000000000000005</v>
      </c>
      <c r="I1449" t="str">
        <f>IF(VIPcric_1!M1431="","",VIPcric_1!M1431)</f>
        <v>CRIC-景德镇-市场监测.商品房市场.项目累计.供求.xlsx</v>
      </c>
    </row>
    <row r="1450" spans="1:9">
      <c r="A1450" t="str">
        <f>IF(VIPcric_1!A1432="","",VIPcric_1!A1432)</f>
        <v>2020年</v>
      </c>
      <c r="B1450">
        <f>IF(VIPcric_1!B1432="","",VIPcric_1!B1432)</f>
        <v>1250594</v>
      </c>
      <c r="C1450">
        <f>IF(VIPcric_1!C1432="","",VIPcric_1!C1432)</f>
        <v>10443</v>
      </c>
      <c r="D1450">
        <f>IF(VIPcric_1!D1432="","",VIPcric_1!D1432)</f>
        <v>638912</v>
      </c>
      <c r="E1450">
        <f>IF(VIPcric_1!E1432="","",VIPcric_1!E1432)</f>
        <v>5260</v>
      </c>
      <c r="F1450">
        <f>IF(VIPcric_1!F1432="","",VIPcric_1!F1432)</f>
        <v>7313</v>
      </c>
      <c r="G1450">
        <f>IF(VIPcric_1!G1432="","",VIPcric_1!G1432)</f>
        <v>4672213497</v>
      </c>
      <c r="H1450">
        <f>IF(VIPcric_1!H1432="","",VIPcric_1!H1432)</f>
        <v>1.96</v>
      </c>
      <c r="I1450" t="str">
        <f>IF(VIPcric_1!M1432="","",VIPcric_1!M1432)</f>
        <v>CRIC-景德镇-市场监测.商品房市场.项目累计.供求.xlsx</v>
      </c>
    </row>
    <row r="1451" spans="1:9">
      <c r="A1451" t="str">
        <f>IF(VIPcric_1!A1433="","",VIPcric_1!A1433)</f>
        <v>2019年</v>
      </c>
      <c r="B1451">
        <f>IF(VIPcric_1!B1433="","",VIPcric_1!B1433)</f>
        <v>1042393</v>
      </c>
      <c r="C1451">
        <f>IF(VIPcric_1!C1433="","",VIPcric_1!C1433)</f>
        <v>8472</v>
      </c>
      <c r="D1451">
        <f>IF(VIPcric_1!D1433="","",VIPcric_1!D1433)</f>
        <v>303205</v>
      </c>
      <c r="E1451">
        <f>IF(VIPcric_1!E1433="","",VIPcric_1!E1433)</f>
        <v>2461</v>
      </c>
      <c r="F1451">
        <f>IF(VIPcric_1!F1433="","",VIPcric_1!F1433)</f>
        <v>7241</v>
      </c>
      <c r="G1451">
        <f>IF(VIPcric_1!G1433="","",VIPcric_1!G1433)</f>
        <v>2195654165</v>
      </c>
      <c r="H1451">
        <f>IF(VIPcric_1!H1433="","",VIPcric_1!H1433)</f>
        <v>3.44</v>
      </c>
      <c r="I1451" t="str">
        <f>IF(VIPcric_1!M1433="","",VIPcric_1!M1433)</f>
        <v>CRIC-景德镇-市场监测.商品房市场.项目累计.供求.xlsx</v>
      </c>
    </row>
    <row r="1452" spans="1:9">
      <c r="A1452" t="str">
        <f>IF(VIPcric_1!A1434="","",VIPcric_1!A1434)</f>
        <v>汇总</v>
      </c>
      <c r="B1452">
        <f>IF(VIPcric_1!B1434="","",VIPcric_1!B1434)</f>
        <v>4262678</v>
      </c>
      <c r="C1452">
        <f>IF(VIPcric_1!C1434="","",VIPcric_1!C1434)</f>
        <v>35109</v>
      </c>
      <c r="D1452">
        <f>IF(VIPcric_1!D1434="","",VIPcric_1!D1434)</f>
        <v>3961105</v>
      </c>
      <c r="E1452">
        <f>IF(VIPcric_1!E1434="","",VIPcric_1!E1434)</f>
        <v>32986</v>
      </c>
      <c r="F1452">
        <f>IF(VIPcric_1!F1434="","",VIPcric_1!F1434)</f>
        <v>7643</v>
      </c>
      <c r="G1452">
        <f>IF(VIPcric_1!G1434="","",VIPcric_1!G1434)</f>
        <v>30274955151</v>
      </c>
      <c r="H1452">
        <f>IF(VIPcric_1!H1434="","",VIPcric_1!H1434)</f>
        <v>1.08</v>
      </c>
      <c r="I1452" t="str">
        <f>IF(VIPcric_1!M1434="","",VIPcric_1!M1434)</f>
        <v>CRIC-景德镇-市场监测.商品房市场.项目累计.供求.xlsx</v>
      </c>
    </row>
    <row r="1453" spans="1:9">
      <c r="A1453" t="str">
        <f>IF(VIPcric_1!A1435="","",VIPcric_1!A1435)</f>
        <v/>
      </c>
      <c r="B1453" t="str">
        <f>IF(VIPcric_1!B1435="","",VIPcric_1!B1435)</f>
        <v/>
      </c>
      <c r="C1453" t="str">
        <f>IF(VIPcric_1!C1435="","",VIPcric_1!C1435)</f>
        <v/>
      </c>
      <c r="D1453" t="str">
        <f>IF(VIPcric_1!D1435="","",VIPcric_1!D1435)</f>
        <v/>
      </c>
      <c r="E1453" t="str">
        <f>IF(VIPcric_1!E1435="","",VIPcric_1!E1435)</f>
        <v/>
      </c>
      <c r="F1453" t="str">
        <f>IF(VIPcric_1!F1435="","",VIPcric_1!F1435)</f>
        <v/>
      </c>
      <c r="G1453" t="str">
        <f>IF(VIPcric_1!G1435="","",VIPcric_1!G1435)</f>
        <v/>
      </c>
      <c r="H1453" t="str">
        <f>IF(VIPcric_1!H1435="","",VIPcric_1!H1435)</f>
        <v/>
      </c>
      <c r="I1453" t="str">
        <f>IF(VIPcric_1!M1435="","",VIPcric_1!M1435)</f>
        <v/>
      </c>
    </row>
    <row r="1454" spans="1:9">
      <c r="A1454" t="str">
        <f>IF(VIPcric_1!A1436="","",VIPcric_1!A1436)</f>
        <v/>
      </c>
      <c r="B1454" t="str">
        <f>IF(VIPcric_1!B1436="","",VIPcric_1!B1436)</f>
        <v/>
      </c>
      <c r="C1454" t="str">
        <f>IF(VIPcric_1!C1436="","",VIPcric_1!C1436)</f>
        <v/>
      </c>
      <c r="D1454" t="str">
        <f>IF(VIPcric_1!D1436="","",VIPcric_1!D1436)</f>
        <v/>
      </c>
      <c r="E1454" t="str">
        <f>IF(VIPcric_1!E1436="","",VIPcric_1!E1436)</f>
        <v/>
      </c>
      <c r="F1454" t="str">
        <f>IF(VIPcric_1!F1436="","",VIPcric_1!F1436)</f>
        <v/>
      </c>
      <c r="G1454" t="str">
        <f>IF(VIPcric_1!G1436="","",VIPcric_1!G1436)</f>
        <v/>
      </c>
      <c r="H1454" t="str">
        <f>IF(VIPcric_1!H1436="","",VIPcric_1!H1436)</f>
        <v/>
      </c>
      <c r="I1454" t="str">
        <f>IF(VIPcric_1!M1436="","",VIPcric_1!M1436)</f>
        <v>CRIC-景德镇-市场监测.商品房市场.项目累计.库存.xlsx</v>
      </c>
    </row>
    <row r="1455" spans="1:9">
      <c r="A1455" t="str">
        <f>IF(VIPcric_1!A1437="","",VIPcric_1!A1437)</f>
        <v>时间(年)</v>
      </c>
      <c r="B1455" t="str">
        <f>IF(VIPcric_1!B1437="","",VIPcric_1!B1437)</f>
        <v>库存面积(㎡)</v>
      </c>
      <c r="C1455" t="str">
        <f>IF(VIPcric_1!C1437="","",VIPcric_1!C1437)</f>
        <v>库存套数(套)</v>
      </c>
      <c r="D1455" t="str">
        <f>IF(VIPcric_1!D1437="","",VIPcric_1!D1437)</f>
        <v>去化周期12'(月)</v>
      </c>
      <c r="E1455" t="str">
        <f>IF(VIPcric_1!E1437="","",VIPcric_1!E1437)</f>
        <v>去化周期24'(月)</v>
      </c>
      <c r="F1455" t="str">
        <f>IF(VIPcric_1!F1437="","",VIPcric_1!F1437)</f>
        <v/>
      </c>
      <c r="G1455" t="str">
        <f>IF(VIPcric_1!G1437="","",VIPcric_1!G1437)</f>
        <v/>
      </c>
      <c r="H1455" t="str">
        <f>IF(VIPcric_1!H1437="","",VIPcric_1!H1437)</f>
        <v/>
      </c>
      <c r="I1455" t="str">
        <f>IF(VIPcric_1!M1437="","",VIPcric_1!M1437)</f>
        <v>CRIC-景德镇-市场监测.商品房市场.项目累计.库存.xlsx</v>
      </c>
    </row>
    <row r="1456" spans="1:9">
      <c r="A1456" t="str">
        <f>IF(VIPcric_1!A1438="","",VIPcric_1!A1438)</f>
        <v>2024年</v>
      </c>
      <c r="B1456">
        <f>IF(VIPcric_1!B1438="","",VIPcric_1!B1438)</f>
        <v>1294587</v>
      </c>
      <c r="C1456">
        <f>IF(VIPcric_1!C1438="","",VIPcric_1!C1438)</f>
        <v>10396</v>
      </c>
      <c r="D1456">
        <f>IF(VIPcric_1!D1438="","",VIPcric_1!D1438)</f>
        <v>34.799999999999997</v>
      </c>
      <c r="E1456">
        <f>IF(VIPcric_1!E1438="","",VIPcric_1!E1438)</f>
        <v>32</v>
      </c>
      <c r="F1456" t="str">
        <f>IF(VIPcric_1!F1438="","",VIPcric_1!F1438)</f>
        <v/>
      </c>
      <c r="G1456" t="str">
        <f>IF(VIPcric_1!G1438="","",VIPcric_1!G1438)</f>
        <v/>
      </c>
      <c r="H1456" t="str">
        <f>IF(VIPcric_1!H1438="","",VIPcric_1!H1438)</f>
        <v/>
      </c>
      <c r="I1456" t="str">
        <f>IF(VIPcric_1!M1438="","",VIPcric_1!M1438)</f>
        <v>CRIC-景德镇-市场监测.商品房市场.项目累计.库存.xlsx</v>
      </c>
    </row>
    <row r="1457" spans="1:9">
      <c r="A1457" t="str">
        <f>IF(VIPcric_1!A1439="","",VIPcric_1!A1439)</f>
        <v>2023年</v>
      </c>
      <c r="B1457">
        <f>IF(VIPcric_1!B1439="","",VIPcric_1!B1439)</f>
        <v>1255719</v>
      </c>
      <c r="C1457">
        <f>IF(VIPcric_1!C1439="","",VIPcric_1!C1439)</f>
        <v>10143</v>
      </c>
      <c r="D1457">
        <f>IF(VIPcric_1!D1439="","",VIPcric_1!D1439)</f>
        <v>35.5</v>
      </c>
      <c r="E1457">
        <f>IF(VIPcric_1!E1439="","",VIPcric_1!E1439)</f>
        <v>27.3</v>
      </c>
      <c r="F1457" t="str">
        <f>IF(VIPcric_1!F1439="","",VIPcric_1!F1439)</f>
        <v/>
      </c>
      <c r="G1457" t="str">
        <f>IF(VIPcric_1!G1439="","",VIPcric_1!G1439)</f>
        <v/>
      </c>
      <c r="H1457" t="str">
        <f>IF(VIPcric_1!H1439="","",VIPcric_1!H1439)</f>
        <v/>
      </c>
      <c r="I1457" t="str">
        <f>IF(VIPcric_1!M1439="","",VIPcric_1!M1439)</f>
        <v>CRIC-景德镇-市场监测.商品房市场.项目累计.库存.xlsx</v>
      </c>
    </row>
    <row r="1458" spans="1:9">
      <c r="A1458" t="str">
        <f>IF(VIPcric_1!A1440="","",VIPcric_1!A1440)</f>
        <v>2022年</v>
      </c>
      <c r="B1458">
        <f>IF(VIPcric_1!B1440="","",VIPcric_1!B1440)</f>
        <v>1184262</v>
      </c>
      <c r="C1458">
        <f>IF(VIPcric_1!C1440="","",VIPcric_1!C1440)</f>
        <v>9751</v>
      </c>
      <c r="D1458">
        <f>IF(VIPcric_1!D1440="","",VIPcric_1!D1440)</f>
        <v>21</v>
      </c>
      <c r="E1458">
        <f>IF(VIPcric_1!E1440="","",VIPcric_1!E1440)</f>
        <v>11</v>
      </c>
      <c r="F1458" t="str">
        <f>IF(VIPcric_1!F1440="","",VIPcric_1!F1440)</f>
        <v/>
      </c>
      <c r="G1458" t="str">
        <f>IF(VIPcric_1!G1440="","",VIPcric_1!G1440)</f>
        <v/>
      </c>
      <c r="H1458" t="str">
        <f>IF(VIPcric_1!H1440="","",VIPcric_1!H1440)</f>
        <v/>
      </c>
      <c r="I1458" t="str">
        <f>IF(VIPcric_1!M1440="","",VIPcric_1!M1440)</f>
        <v>CRIC-景德镇-市场监测.商品房市场.项目累计.库存.xlsx</v>
      </c>
    </row>
    <row r="1459" spans="1:9">
      <c r="A1459" t="str">
        <f>IF(VIPcric_1!A1441="","",VIPcric_1!A1441)</f>
        <v>2021年</v>
      </c>
      <c r="B1459">
        <f>IF(VIPcric_1!B1441="","",VIPcric_1!B1441)</f>
        <v>1680726</v>
      </c>
      <c r="C1459">
        <f>IF(VIPcric_1!C1441="","",VIPcric_1!C1441)</f>
        <v>14502</v>
      </c>
      <c r="D1459">
        <f>IF(VIPcric_1!D1441="","",VIPcric_1!D1441)</f>
        <v>10.5</v>
      </c>
      <c r="E1459">
        <f>IF(VIPcric_1!E1441="","",VIPcric_1!E1441)</f>
        <v>15.8</v>
      </c>
      <c r="F1459" t="str">
        <f>IF(VIPcric_1!F1441="","",VIPcric_1!F1441)</f>
        <v/>
      </c>
      <c r="G1459" t="str">
        <f>IF(VIPcric_1!G1441="","",VIPcric_1!G1441)</f>
        <v/>
      </c>
      <c r="H1459" t="str">
        <f>IF(VIPcric_1!H1441="","",VIPcric_1!H1441)</f>
        <v/>
      </c>
      <c r="I1459" t="str">
        <f>IF(VIPcric_1!M1441="","",VIPcric_1!M1441)</f>
        <v>CRIC-景德镇-市场监测.商品房市场.项目累计.库存.xlsx</v>
      </c>
    </row>
    <row r="1460" spans="1:9">
      <c r="A1460" t="str">
        <f>IF(VIPcric_1!A1442="","",VIPcric_1!A1442)</f>
        <v>2020年</v>
      </c>
      <c r="B1460">
        <f>IF(VIPcric_1!B1442="","",VIPcric_1!B1442)</f>
        <v>2506968</v>
      </c>
      <c r="C1460">
        <f>IF(VIPcric_1!C1442="","",VIPcric_1!C1442)</f>
        <v>21127</v>
      </c>
      <c r="D1460">
        <f>IF(VIPcric_1!D1442="","",VIPcric_1!D1442)</f>
        <v>47.1</v>
      </c>
      <c r="E1460">
        <f>IF(VIPcric_1!E1442="","",VIPcric_1!E1442)</f>
        <v>63.9</v>
      </c>
      <c r="F1460" t="str">
        <f>IF(VIPcric_1!F1442="","",VIPcric_1!F1442)</f>
        <v/>
      </c>
      <c r="G1460" t="str">
        <f>IF(VIPcric_1!G1442="","",VIPcric_1!G1442)</f>
        <v/>
      </c>
      <c r="H1460" t="str">
        <f>IF(VIPcric_1!H1442="","",VIPcric_1!H1442)</f>
        <v/>
      </c>
      <c r="I1460" t="str">
        <f>IF(VIPcric_1!M1442="","",VIPcric_1!M1442)</f>
        <v>CRIC-景德镇-市场监测.商品房市场.项目累计.库存.xlsx</v>
      </c>
    </row>
    <row r="1461" spans="1:9">
      <c r="A1461" t="str">
        <f>IF(VIPcric_1!A1443="","",VIPcric_1!A1443)</f>
        <v/>
      </c>
      <c r="B1461" t="str">
        <f>IF(VIPcric_1!B1443="","",VIPcric_1!B1443)</f>
        <v/>
      </c>
      <c r="C1461" t="str">
        <f>IF(VIPcric_1!C1443="","",VIPcric_1!C1443)</f>
        <v/>
      </c>
      <c r="D1461" t="str">
        <f>IF(VIPcric_1!D1443="","",VIPcric_1!D1443)</f>
        <v/>
      </c>
      <c r="E1461" t="str">
        <f>IF(VIPcric_1!E1443="","",VIPcric_1!E1443)</f>
        <v/>
      </c>
      <c r="F1461" t="str">
        <f>IF(VIPcric_1!F1443="","",VIPcric_1!F1443)</f>
        <v/>
      </c>
      <c r="G1461" t="str">
        <f>IF(VIPcric_1!G1443="","",VIPcric_1!G1443)</f>
        <v/>
      </c>
      <c r="H1461" t="str">
        <f>IF(VIPcric_1!H1443="","",VIPcric_1!H1443)</f>
        <v/>
      </c>
      <c r="I1461" t="str">
        <f>IF(VIPcric_1!M1443="","",VIPcric_1!M1443)</f>
        <v/>
      </c>
    </row>
    <row r="1462" spans="1:9">
      <c r="A1462" t="str">
        <f>IF(VIPcric_1!A1444="","",VIPcric_1!A1444)</f>
        <v/>
      </c>
      <c r="B1462" t="str">
        <f>IF(VIPcric_1!B1444="","",VIPcric_1!B1444)</f>
        <v/>
      </c>
      <c r="C1462" t="str">
        <f>IF(VIPcric_1!C1444="","",VIPcric_1!C1444)</f>
        <v/>
      </c>
      <c r="D1462" t="str">
        <f>IF(VIPcric_1!D1444="","",VIPcric_1!D1444)</f>
        <v/>
      </c>
      <c r="E1462" t="str">
        <f>IF(VIPcric_1!E1444="","",VIPcric_1!E1444)</f>
        <v/>
      </c>
      <c r="F1462" t="str">
        <f>IF(VIPcric_1!F1444="","",VIPcric_1!F1444)</f>
        <v/>
      </c>
      <c r="G1462" t="str">
        <f>IF(VIPcric_1!G1444="","",VIPcric_1!G1444)</f>
        <v/>
      </c>
      <c r="H1462" t="str">
        <f>IF(VIPcric_1!H1444="","",VIPcric_1!H1444)</f>
        <v/>
      </c>
      <c r="I1462" t="str">
        <f>IF(VIPcric_1!M1444="","",VIPcric_1!M1444)</f>
        <v>CRIC-杭州-市场监测.商品房市场.项目累计.供求.xlsx</v>
      </c>
    </row>
    <row r="1463" spans="1:9">
      <c r="A1463" t="str">
        <f>IF(VIPcric_1!A1445="","",VIPcric_1!A1445)</f>
        <v>时间(年)</v>
      </c>
      <c r="B1463" t="str">
        <f>IF(VIPcric_1!B1445="","",VIPcric_1!B1445)</f>
        <v>供应面积(㎡)</v>
      </c>
      <c r="C1463" t="str">
        <f>IF(VIPcric_1!C1445="","",VIPcric_1!C1445)</f>
        <v>供应套数(套)</v>
      </c>
      <c r="D1463" t="str">
        <f>IF(VIPcric_1!D1445="","",VIPcric_1!D1445)</f>
        <v>成交面积(㎡)</v>
      </c>
      <c r="E1463" t="str">
        <f>IF(VIPcric_1!E1445="","",VIPcric_1!E1445)</f>
        <v>成交套数(套)</v>
      </c>
      <c r="F1463" t="str">
        <f>IF(VIPcric_1!F1445="","",VIPcric_1!F1445)</f>
        <v>成交均价(元/㎡)</v>
      </c>
      <c r="G1463" t="str">
        <f>IF(VIPcric_1!G1445="","",VIPcric_1!G1445)</f>
        <v>成交金额(元)</v>
      </c>
      <c r="H1463" t="str">
        <f>IF(VIPcric_1!H1445="","",VIPcric_1!H1445)</f>
        <v>供求比</v>
      </c>
      <c r="I1463" t="str">
        <f>IF(VIPcric_1!M1445="","",VIPcric_1!M1445)</f>
        <v>CRIC-杭州-市场监测.商品房市场.项目累计.供求.xlsx</v>
      </c>
    </row>
    <row r="1464" spans="1:9">
      <c r="A1464" t="str">
        <f>IF(VIPcric_1!A1446="","",VIPcric_1!A1446)</f>
        <v>2023年</v>
      </c>
      <c r="B1464">
        <f>IF(VIPcric_1!B1446="","",VIPcric_1!B1446)</f>
        <v>16492784</v>
      </c>
      <c r="C1464">
        <f>IF(VIPcric_1!C1446="","",VIPcric_1!C1446)</f>
        <v>94029</v>
      </c>
      <c r="D1464">
        <f>IF(VIPcric_1!D1446="","",VIPcric_1!D1446)</f>
        <v>14260384</v>
      </c>
      <c r="E1464">
        <f>IF(VIPcric_1!E1446="","",VIPcric_1!E1446)</f>
        <v>104621</v>
      </c>
      <c r="F1464">
        <f>IF(VIPcric_1!F1446="","",VIPcric_1!F1446)</f>
        <v>32322</v>
      </c>
      <c r="G1464">
        <f>IF(VIPcric_1!G1446="","",VIPcric_1!G1446)</f>
        <v>460925409866</v>
      </c>
      <c r="H1464">
        <f>IF(VIPcric_1!H1446="","",VIPcric_1!H1446)</f>
        <v>1.1599999999999999</v>
      </c>
      <c r="I1464" t="str">
        <f>IF(VIPcric_1!M1446="","",VIPcric_1!M1446)</f>
        <v>CRIC-杭州-市场监测.商品房市场.项目累计.供求.xlsx</v>
      </c>
    </row>
    <row r="1465" spans="1:9">
      <c r="A1465" t="str">
        <f>IF(VIPcric_1!A1447="","",VIPcric_1!A1447)</f>
        <v>2022年</v>
      </c>
      <c r="B1465">
        <f>IF(VIPcric_1!B1447="","",VIPcric_1!B1447)</f>
        <v>20129514</v>
      </c>
      <c r="C1465">
        <f>IF(VIPcric_1!C1447="","",VIPcric_1!C1447)</f>
        <v>123461</v>
      </c>
      <c r="D1465">
        <f>IF(VIPcric_1!D1447="","",VIPcric_1!D1447)</f>
        <v>12342110</v>
      </c>
      <c r="E1465">
        <f>IF(VIPcric_1!E1447="","",VIPcric_1!E1447)</f>
        <v>97191</v>
      </c>
      <c r="F1465">
        <f>IF(VIPcric_1!F1447="","",VIPcric_1!F1447)</f>
        <v>33544</v>
      </c>
      <c r="G1465">
        <f>IF(VIPcric_1!G1447="","",VIPcric_1!G1447)</f>
        <v>414005339537</v>
      </c>
      <c r="H1465">
        <f>IF(VIPcric_1!H1447="","",VIPcric_1!H1447)</f>
        <v>1.63</v>
      </c>
      <c r="I1465" t="str">
        <f>IF(VIPcric_1!M1447="","",VIPcric_1!M1447)</f>
        <v>CRIC-杭州-市场监测.商品房市场.项目累计.供求.xlsx</v>
      </c>
    </row>
    <row r="1466" spans="1:9">
      <c r="A1466" t="str">
        <f>IF(VIPcric_1!A1448="","",VIPcric_1!A1448)</f>
        <v>2021年</v>
      </c>
      <c r="B1466">
        <f>IF(VIPcric_1!B1448="","",VIPcric_1!B1448)</f>
        <v>26167638</v>
      </c>
      <c r="C1466">
        <f>IF(VIPcric_1!C1448="","",VIPcric_1!C1448)</f>
        <v>177222</v>
      </c>
      <c r="D1466">
        <f>IF(VIPcric_1!D1448="","",VIPcric_1!D1448)</f>
        <v>23437209</v>
      </c>
      <c r="E1466">
        <f>IF(VIPcric_1!E1448="","",VIPcric_1!E1448)</f>
        <v>208731</v>
      </c>
      <c r="F1466">
        <f>IF(VIPcric_1!F1448="","",VIPcric_1!F1448)</f>
        <v>31143</v>
      </c>
      <c r="G1466">
        <f>IF(VIPcric_1!G1448="","",VIPcric_1!G1448)</f>
        <v>729899979889</v>
      </c>
      <c r="H1466">
        <f>IF(VIPcric_1!H1448="","",VIPcric_1!H1448)</f>
        <v>1.1200000000000001</v>
      </c>
      <c r="I1466" t="str">
        <f>IF(VIPcric_1!M1448="","",VIPcric_1!M1448)</f>
        <v>CRIC-杭州-市场监测.商品房市场.项目累计.供求.xlsx</v>
      </c>
    </row>
    <row r="1467" spans="1:9">
      <c r="A1467" t="str">
        <f>IF(VIPcric_1!A1449="","",VIPcric_1!A1449)</f>
        <v>2020年</v>
      </c>
      <c r="B1467">
        <f>IF(VIPcric_1!B1449="","",VIPcric_1!B1449)</f>
        <v>23239554</v>
      </c>
      <c r="C1467">
        <f>IF(VIPcric_1!C1449="","",VIPcric_1!C1449)</f>
        <v>185008</v>
      </c>
      <c r="D1467">
        <f>IF(VIPcric_1!D1449="","",VIPcric_1!D1449)</f>
        <v>16168907</v>
      </c>
      <c r="E1467">
        <f>IF(VIPcric_1!E1449="","",VIPcric_1!E1449)</f>
        <v>152266</v>
      </c>
      <c r="F1467">
        <f>IF(VIPcric_1!F1449="","",VIPcric_1!F1449)</f>
        <v>28321</v>
      </c>
      <c r="G1467">
        <f>IF(VIPcric_1!G1449="","",VIPcric_1!G1449)</f>
        <v>457919068421</v>
      </c>
      <c r="H1467">
        <f>IF(VIPcric_1!H1449="","",VIPcric_1!H1449)</f>
        <v>1.44</v>
      </c>
      <c r="I1467" t="str">
        <f>IF(VIPcric_1!M1449="","",VIPcric_1!M1449)</f>
        <v>CRIC-杭州-市场监测.商品房市场.项目累计.供求.xlsx</v>
      </c>
    </row>
    <row r="1468" spans="1:9">
      <c r="A1468" t="str">
        <f>IF(VIPcric_1!A1450="","",VIPcric_1!A1450)</f>
        <v>2019年</v>
      </c>
      <c r="B1468">
        <f>IF(VIPcric_1!B1450="","",VIPcric_1!B1450)</f>
        <v>19227927</v>
      </c>
      <c r="C1468">
        <f>IF(VIPcric_1!C1450="","",VIPcric_1!C1450)</f>
        <v>164124</v>
      </c>
      <c r="D1468">
        <f>IF(VIPcric_1!D1450="","",VIPcric_1!D1450)</f>
        <v>14378041</v>
      </c>
      <c r="E1468">
        <f>IF(VIPcric_1!E1450="","",VIPcric_1!E1450)</f>
        <v>134997</v>
      </c>
      <c r="F1468">
        <f>IF(VIPcric_1!F1450="","",VIPcric_1!F1450)</f>
        <v>27458</v>
      </c>
      <c r="G1468">
        <f>IF(VIPcric_1!G1450="","",VIPcric_1!G1450)</f>
        <v>394786421262</v>
      </c>
      <c r="H1468">
        <f>IF(VIPcric_1!H1450="","",VIPcric_1!H1450)</f>
        <v>1.34</v>
      </c>
      <c r="I1468" t="str">
        <f>IF(VIPcric_1!M1450="","",VIPcric_1!M1450)</f>
        <v>CRIC-杭州-市场监测.商品房市场.项目累计.供求.xlsx</v>
      </c>
    </row>
    <row r="1469" spans="1:9">
      <c r="A1469" t="str">
        <f>IF(VIPcric_1!A1451="","",VIPcric_1!A1451)</f>
        <v>汇总</v>
      </c>
      <c r="B1469">
        <f>IF(VIPcric_1!B1451="","",VIPcric_1!B1451)</f>
        <v>105257416</v>
      </c>
      <c r="C1469">
        <f>IF(VIPcric_1!C1451="","",VIPcric_1!C1451)</f>
        <v>743844</v>
      </c>
      <c r="D1469">
        <f>IF(VIPcric_1!D1451="","",VIPcric_1!D1451)</f>
        <v>80586651</v>
      </c>
      <c r="E1469">
        <f>IF(VIPcric_1!E1451="","",VIPcric_1!E1451)</f>
        <v>697806</v>
      </c>
      <c r="F1469">
        <f>IF(VIPcric_1!F1451="","",VIPcric_1!F1451)</f>
        <v>30496</v>
      </c>
      <c r="G1469">
        <f>IF(VIPcric_1!G1451="","",VIPcric_1!G1451)</f>
        <v>2457536218976</v>
      </c>
      <c r="H1469">
        <f>IF(VIPcric_1!H1451="","",VIPcric_1!H1451)</f>
        <v>1.31</v>
      </c>
      <c r="I1469" t="str">
        <f>IF(VIPcric_1!M1451="","",VIPcric_1!M1451)</f>
        <v>CRIC-杭州-市场监测.商品房市场.项目累计.供求.xlsx</v>
      </c>
    </row>
    <row r="1470" spans="1:9">
      <c r="A1470" t="str">
        <f>IF(VIPcric_1!A1452="","",VIPcric_1!A1452)</f>
        <v/>
      </c>
      <c r="B1470" t="str">
        <f>IF(VIPcric_1!B1452="","",VIPcric_1!B1452)</f>
        <v/>
      </c>
      <c r="C1470" t="str">
        <f>IF(VIPcric_1!C1452="","",VIPcric_1!C1452)</f>
        <v/>
      </c>
      <c r="D1470" t="str">
        <f>IF(VIPcric_1!D1452="","",VIPcric_1!D1452)</f>
        <v/>
      </c>
      <c r="E1470" t="str">
        <f>IF(VIPcric_1!E1452="","",VIPcric_1!E1452)</f>
        <v/>
      </c>
      <c r="F1470" t="str">
        <f>IF(VIPcric_1!F1452="","",VIPcric_1!F1452)</f>
        <v/>
      </c>
      <c r="G1470" t="str">
        <f>IF(VIPcric_1!G1452="","",VIPcric_1!G1452)</f>
        <v/>
      </c>
      <c r="H1470" t="str">
        <f>IF(VIPcric_1!H1452="","",VIPcric_1!H1452)</f>
        <v/>
      </c>
      <c r="I1470" t="str">
        <f>IF(VIPcric_1!M1452="","",VIPcric_1!M1452)</f>
        <v/>
      </c>
    </row>
    <row r="1471" spans="1:9">
      <c r="A1471" t="str">
        <f>IF(VIPcric_1!A1453="","",VIPcric_1!A1453)</f>
        <v/>
      </c>
      <c r="B1471" t="str">
        <f>IF(VIPcric_1!B1453="","",VIPcric_1!B1453)</f>
        <v/>
      </c>
      <c r="C1471" t="str">
        <f>IF(VIPcric_1!C1453="","",VIPcric_1!C1453)</f>
        <v/>
      </c>
      <c r="D1471" t="str">
        <f>IF(VIPcric_1!D1453="","",VIPcric_1!D1453)</f>
        <v/>
      </c>
      <c r="E1471" t="str">
        <f>IF(VIPcric_1!E1453="","",VIPcric_1!E1453)</f>
        <v/>
      </c>
      <c r="F1471" t="str">
        <f>IF(VIPcric_1!F1453="","",VIPcric_1!F1453)</f>
        <v/>
      </c>
      <c r="G1471" t="str">
        <f>IF(VIPcric_1!G1453="","",VIPcric_1!G1453)</f>
        <v/>
      </c>
      <c r="H1471" t="str">
        <f>IF(VIPcric_1!H1453="","",VIPcric_1!H1453)</f>
        <v/>
      </c>
      <c r="I1471" t="str">
        <f>IF(VIPcric_1!M1453="","",VIPcric_1!M1453)</f>
        <v>CRIC-杭州-市场监测.商品房市场.项目累计.库存.xlsx</v>
      </c>
    </row>
    <row r="1472" spans="1:9">
      <c r="A1472" t="str">
        <f>IF(VIPcric_1!A1454="","",VIPcric_1!A1454)</f>
        <v>时间(年)</v>
      </c>
      <c r="B1472" t="str">
        <f>IF(VIPcric_1!B1454="","",VIPcric_1!B1454)</f>
        <v>库存面积(㎡)</v>
      </c>
      <c r="C1472" t="str">
        <f>IF(VIPcric_1!C1454="","",VIPcric_1!C1454)</f>
        <v>库存套数(套)</v>
      </c>
      <c r="D1472" t="str">
        <f>IF(VIPcric_1!D1454="","",VIPcric_1!D1454)</f>
        <v>去化周期12'(月)</v>
      </c>
      <c r="E1472" t="str">
        <f>IF(VIPcric_1!E1454="","",VIPcric_1!E1454)</f>
        <v/>
      </c>
      <c r="F1472" t="str">
        <f>IF(VIPcric_1!F1454="","",VIPcric_1!F1454)</f>
        <v/>
      </c>
      <c r="G1472" t="str">
        <f>IF(VIPcric_1!G1454="","",VIPcric_1!G1454)</f>
        <v/>
      </c>
      <c r="H1472" t="str">
        <f>IF(VIPcric_1!H1454="","",VIPcric_1!H1454)</f>
        <v/>
      </c>
      <c r="I1472" t="str">
        <f>IF(VIPcric_1!M1454="","",VIPcric_1!M1454)</f>
        <v>CRIC-杭州-市场监测.商品房市场.项目累计.库存.xlsx</v>
      </c>
    </row>
    <row r="1473" spans="1:9">
      <c r="A1473" t="str">
        <f>IF(VIPcric_1!A1455="","",VIPcric_1!A1455)</f>
        <v>2023年</v>
      </c>
      <c r="B1473">
        <f>IF(VIPcric_1!B1455="","",VIPcric_1!B1455)</f>
        <v>3788853</v>
      </c>
      <c r="C1473">
        <f>IF(VIPcric_1!C1455="","",VIPcric_1!C1455)</f>
        <v>33273</v>
      </c>
      <c r="D1473">
        <f>IF(VIPcric_1!D1455="","",VIPcric_1!D1455)</f>
        <v>4.5</v>
      </c>
      <c r="E1473" t="str">
        <f>IF(VIPcric_1!E1455="","",VIPcric_1!E1455)</f>
        <v/>
      </c>
      <c r="F1473" t="str">
        <f>IF(VIPcric_1!F1455="","",VIPcric_1!F1455)</f>
        <v/>
      </c>
      <c r="G1473" t="str">
        <f>IF(VIPcric_1!G1455="","",VIPcric_1!G1455)</f>
        <v/>
      </c>
      <c r="H1473" t="str">
        <f>IF(VIPcric_1!H1455="","",VIPcric_1!H1455)</f>
        <v/>
      </c>
      <c r="I1473" t="str">
        <f>IF(VIPcric_1!M1455="","",VIPcric_1!M1455)</f>
        <v>CRIC-杭州-市场监测.商品房市场.项目累计.库存.xlsx</v>
      </c>
    </row>
    <row r="1474" spans="1:9">
      <c r="A1474" t="str">
        <f>IF(VIPcric_1!A1456="","",VIPcric_1!A1456)</f>
        <v>2022年</v>
      </c>
      <c r="B1474">
        <f>IF(VIPcric_1!B1456="","",VIPcric_1!B1456)</f>
        <v>4555431</v>
      </c>
      <c r="C1474">
        <f>IF(VIPcric_1!C1456="","",VIPcric_1!C1456)</f>
        <v>40499</v>
      </c>
      <c r="D1474">
        <f>IF(VIPcric_1!D1456="","",VIPcric_1!D1456)</f>
        <v>5.8</v>
      </c>
      <c r="E1474" t="str">
        <f>IF(VIPcric_1!E1456="","",VIPcric_1!E1456)</f>
        <v/>
      </c>
      <c r="F1474" t="str">
        <f>IF(VIPcric_1!F1456="","",VIPcric_1!F1456)</f>
        <v/>
      </c>
      <c r="G1474" t="str">
        <f>IF(VIPcric_1!G1456="","",VIPcric_1!G1456)</f>
        <v/>
      </c>
      <c r="H1474" t="str">
        <f>IF(VIPcric_1!H1456="","",VIPcric_1!H1456)</f>
        <v/>
      </c>
      <c r="I1474" t="str">
        <f>IF(VIPcric_1!M1456="","",VIPcric_1!M1456)</f>
        <v>CRIC-杭州-市场监测.商品房市场.项目累计.库存.xlsx</v>
      </c>
    </row>
    <row r="1475" spans="1:9">
      <c r="A1475" t="str">
        <f>IF(VIPcric_1!A1457="","",VIPcric_1!A1457)</f>
        <v>2021年</v>
      </c>
      <c r="B1475">
        <f>IF(VIPcric_1!B1457="","",VIPcric_1!B1457)</f>
        <v>3455661</v>
      </c>
      <c r="C1475">
        <f>IF(VIPcric_1!C1457="","",VIPcric_1!C1457)</f>
        <v>31538</v>
      </c>
      <c r="D1475">
        <f>IF(VIPcric_1!D1457="","",VIPcric_1!D1457)</f>
        <v>2.2000000000000002</v>
      </c>
      <c r="E1475" t="str">
        <f>IF(VIPcric_1!E1457="","",VIPcric_1!E1457)</f>
        <v/>
      </c>
      <c r="F1475" t="str">
        <f>IF(VIPcric_1!F1457="","",VIPcric_1!F1457)</f>
        <v/>
      </c>
      <c r="G1475" t="str">
        <f>IF(VIPcric_1!G1457="","",VIPcric_1!G1457)</f>
        <v/>
      </c>
      <c r="H1475" t="str">
        <f>IF(VIPcric_1!H1457="","",VIPcric_1!H1457)</f>
        <v/>
      </c>
      <c r="I1475" t="str">
        <f>IF(VIPcric_1!M1457="","",VIPcric_1!M1457)</f>
        <v>CRIC-杭州-市场监测.商品房市场.项目累计.库存.xlsx</v>
      </c>
    </row>
    <row r="1476" spans="1:9">
      <c r="A1476" t="str">
        <f>IF(VIPcric_1!A1458="","",VIPcric_1!A1458)</f>
        <v>2020年</v>
      </c>
      <c r="B1476">
        <f>IF(VIPcric_1!B1458="","",VIPcric_1!B1458)</f>
        <v>7885524</v>
      </c>
      <c r="C1476">
        <f>IF(VIPcric_1!C1458="","",VIPcric_1!C1458)</f>
        <v>70293</v>
      </c>
      <c r="D1476">
        <f>IF(VIPcric_1!D1458="","",VIPcric_1!D1458)</f>
        <v>7.9</v>
      </c>
      <c r="E1476" t="str">
        <f>IF(VIPcric_1!E1458="","",VIPcric_1!E1458)</f>
        <v/>
      </c>
      <c r="F1476" t="str">
        <f>IF(VIPcric_1!F1458="","",VIPcric_1!F1458)</f>
        <v/>
      </c>
      <c r="G1476" t="str">
        <f>IF(VIPcric_1!G1458="","",VIPcric_1!G1458)</f>
        <v/>
      </c>
      <c r="H1476" t="str">
        <f>IF(VIPcric_1!H1458="","",VIPcric_1!H1458)</f>
        <v/>
      </c>
      <c r="I1476" t="str">
        <f>IF(VIPcric_1!M1458="","",VIPcric_1!M1458)</f>
        <v>CRIC-杭州-市场监测.商品房市场.项目累计.库存.xlsx</v>
      </c>
    </row>
    <row r="1477" spans="1:9">
      <c r="A1477" t="str">
        <f>IF(VIPcric_1!A1459="","",VIPcric_1!A1459)</f>
        <v>2019年</v>
      </c>
      <c r="B1477">
        <f>IF(VIPcric_1!B1459="","",VIPcric_1!B1459)</f>
        <v>3625286</v>
      </c>
      <c r="C1477">
        <f>IF(VIPcric_1!C1459="","",VIPcric_1!C1459)</f>
        <v>29454</v>
      </c>
      <c r="D1477">
        <f>IF(VIPcric_1!D1459="","",VIPcric_1!D1459)</f>
        <v>4.0999999999999996</v>
      </c>
      <c r="E1477" t="str">
        <f>IF(VIPcric_1!E1459="","",VIPcric_1!E1459)</f>
        <v/>
      </c>
      <c r="F1477" t="str">
        <f>IF(VIPcric_1!F1459="","",VIPcric_1!F1459)</f>
        <v/>
      </c>
      <c r="G1477" t="str">
        <f>IF(VIPcric_1!G1459="","",VIPcric_1!G1459)</f>
        <v/>
      </c>
      <c r="H1477" t="str">
        <f>IF(VIPcric_1!H1459="","",VIPcric_1!H1459)</f>
        <v/>
      </c>
      <c r="I1477" t="str">
        <f>IF(VIPcric_1!M1459="","",VIPcric_1!M1459)</f>
        <v>CRIC-杭州-市场监测.商品房市场.项目累计.库存.xlsx</v>
      </c>
    </row>
    <row r="1478" spans="1:9">
      <c r="A1478" t="str">
        <f>IF(VIPcric_1!A1460="","",VIPcric_1!A1460)</f>
        <v/>
      </c>
      <c r="B1478" t="str">
        <f>IF(VIPcric_1!B1460="","",VIPcric_1!B1460)</f>
        <v/>
      </c>
      <c r="C1478" t="str">
        <f>IF(VIPcric_1!C1460="","",VIPcric_1!C1460)</f>
        <v/>
      </c>
      <c r="D1478" t="str">
        <f>IF(VIPcric_1!D1460="","",VIPcric_1!D1460)</f>
        <v/>
      </c>
      <c r="E1478" t="str">
        <f>IF(VIPcric_1!E1460="","",VIPcric_1!E1460)</f>
        <v/>
      </c>
      <c r="F1478" t="str">
        <f>IF(VIPcric_1!F1460="","",VIPcric_1!F1460)</f>
        <v/>
      </c>
      <c r="G1478" t="str">
        <f>IF(VIPcric_1!G1460="","",VIPcric_1!G1460)</f>
        <v/>
      </c>
      <c r="H1478" t="str">
        <f>IF(VIPcric_1!H1460="","",VIPcric_1!H1460)</f>
        <v/>
      </c>
      <c r="I1478" t="str">
        <f>IF(VIPcric_1!M1460="","",VIPcric_1!M1460)</f>
        <v/>
      </c>
    </row>
    <row r="1479" spans="1:9">
      <c r="A1479" t="str">
        <f>IF(VIPcric_1!A1461="","",VIPcric_1!A1461)</f>
        <v/>
      </c>
      <c r="B1479" t="str">
        <f>IF(VIPcric_1!B1461="","",VIPcric_1!B1461)</f>
        <v/>
      </c>
      <c r="C1479" t="str">
        <f>IF(VIPcric_1!C1461="","",VIPcric_1!C1461)</f>
        <v/>
      </c>
      <c r="D1479" t="str">
        <f>IF(VIPcric_1!D1461="","",VIPcric_1!D1461)</f>
        <v/>
      </c>
      <c r="E1479" t="str">
        <f>IF(VIPcric_1!E1461="","",VIPcric_1!E1461)</f>
        <v/>
      </c>
      <c r="F1479" t="str">
        <f>IF(VIPcric_1!F1461="","",VIPcric_1!F1461)</f>
        <v/>
      </c>
      <c r="G1479" t="str">
        <f>IF(VIPcric_1!G1461="","",VIPcric_1!G1461)</f>
        <v/>
      </c>
      <c r="H1479" t="str">
        <f>IF(VIPcric_1!H1461="","",VIPcric_1!H1461)</f>
        <v/>
      </c>
      <c r="I1479" t="str">
        <f>IF(VIPcric_1!M1461="","",VIPcric_1!M1461)</f>
        <v>CRIC-株洲-市场监测.商品房市场.项目累计.供求.xlsx</v>
      </c>
    </row>
    <row r="1480" spans="1:9">
      <c r="A1480" t="str">
        <f>IF(VIPcric_1!A1462="","",VIPcric_1!A1462)</f>
        <v>时间(年)</v>
      </c>
      <c r="B1480" t="str">
        <f>IF(VIPcric_1!B1462="","",VIPcric_1!B1462)</f>
        <v>供应面积(㎡)</v>
      </c>
      <c r="C1480" t="str">
        <f>IF(VIPcric_1!C1462="","",VIPcric_1!C1462)</f>
        <v>供应套数(套)</v>
      </c>
      <c r="D1480" t="str">
        <f>IF(VIPcric_1!D1462="","",VIPcric_1!D1462)</f>
        <v>成交面积(㎡)</v>
      </c>
      <c r="E1480" t="str">
        <f>IF(VIPcric_1!E1462="","",VIPcric_1!E1462)</f>
        <v>成交套数(套)</v>
      </c>
      <c r="F1480" t="str">
        <f>IF(VIPcric_1!F1462="","",VIPcric_1!F1462)</f>
        <v>成交均价(元/㎡)</v>
      </c>
      <c r="G1480" t="str">
        <f>IF(VIPcric_1!G1462="","",VIPcric_1!G1462)</f>
        <v>成交金额(元)</v>
      </c>
      <c r="H1480" t="str">
        <f>IF(VIPcric_1!H1462="","",VIPcric_1!H1462)</f>
        <v>供求比</v>
      </c>
      <c r="I1480" t="str">
        <f>IF(VIPcric_1!M1462="","",VIPcric_1!M1462)</f>
        <v>CRIC-株洲-市场监测.商品房市场.项目累计.供求.xlsx</v>
      </c>
    </row>
    <row r="1481" spans="1:9">
      <c r="A1481" t="str">
        <f>IF(VIPcric_1!A1463="","",VIPcric_1!A1463)</f>
        <v>2021年</v>
      </c>
      <c r="B1481">
        <f>IF(VIPcric_1!B1463="","",VIPcric_1!B1463)</f>
        <v>0</v>
      </c>
      <c r="C1481">
        <f>IF(VIPcric_1!C1463="","",VIPcric_1!C1463)</f>
        <v>0</v>
      </c>
      <c r="D1481">
        <f>IF(VIPcric_1!D1463="","",VIPcric_1!D1463)</f>
        <v>468577</v>
      </c>
      <c r="E1481">
        <f>IF(VIPcric_1!E1463="","",VIPcric_1!E1463)</f>
        <v>4036</v>
      </c>
      <c r="F1481">
        <f>IF(VIPcric_1!F1463="","",VIPcric_1!F1463)</f>
        <v>6608</v>
      </c>
      <c r="G1481">
        <f>IF(VIPcric_1!G1463="","",VIPcric_1!G1463)</f>
        <v>3096556295</v>
      </c>
      <c r="H1481">
        <f>IF(VIPcric_1!H1463="","",VIPcric_1!H1463)</f>
        <v>0</v>
      </c>
      <c r="I1481" t="str">
        <f>IF(VIPcric_1!M1463="","",VIPcric_1!M1463)</f>
        <v>CRIC-株洲-市场监测.商品房市场.项目累计.供求.xlsx</v>
      </c>
    </row>
    <row r="1482" spans="1:9">
      <c r="A1482" t="str">
        <f>IF(VIPcric_1!A1464="","",VIPcric_1!A1464)</f>
        <v>2020年</v>
      </c>
      <c r="B1482">
        <f>IF(VIPcric_1!B1464="","",VIPcric_1!B1464)</f>
        <v>0</v>
      </c>
      <c r="C1482">
        <f>IF(VIPcric_1!C1464="","",VIPcric_1!C1464)</f>
        <v>0</v>
      </c>
      <c r="D1482">
        <f>IF(VIPcric_1!D1464="","",VIPcric_1!D1464)</f>
        <v>3273712</v>
      </c>
      <c r="E1482">
        <f>IF(VIPcric_1!E1464="","",VIPcric_1!E1464)</f>
        <v>27582</v>
      </c>
      <c r="F1482">
        <f>IF(VIPcric_1!F1464="","",VIPcric_1!F1464)</f>
        <v>6844</v>
      </c>
      <c r="G1482">
        <f>IF(VIPcric_1!G1464="","",VIPcric_1!G1464)</f>
        <v>22405418710</v>
      </c>
      <c r="H1482">
        <f>IF(VIPcric_1!H1464="","",VIPcric_1!H1464)</f>
        <v>0</v>
      </c>
      <c r="I1482" t="str">
        <f>IF(VIPcric_1!M1464="","",VIPcric_1!M1464)</f>
        <v>CRIC-株洲-市场监测.商品房市场.项目累计.供求.xlsx</v>
      </c>
    </row>
    <row r="1483" spans="1:9">
      <c r="A1483" t="str">
        <f>IF(VIPcric_1!A1465="","",VIPcric_1!A1465)</f>
        <v>2019年</v>
      </c>
      <c r="B1483">
        <f>IF(VIPcric_1!B1465="","",VIPcric_1!B1465)</f>
        <v>0</v>
      </c>
      <c r="C1483">
        <f>IF(VIPcric_1!C1465="","",VIPcric_1!C1465)</f>
        <v>0</v>
      </c>
      <c r="D1483">
        <f>IF(VIPcric_1!D1465="","",VIPcric_1!D1465)</f>
        <v>3148861</v>
      </c>
      <c r="E1483">
        <f>IF(VIPcric_1!E1465="","",VIPcric_1!E1465)</f>
        <v>26330</v>
      </c>
      <c r="F1483">
        <f>IF(VIPcric_1!F1465="","",VIPcric_1!F1465)</f>
        <v>7081</v>
      </c>
      <c r="G1483">
        <f>IF(VIPcric_1!G1465="","",VIPcric_1!G1465)</f>
        <v>22298615468</v>
      </c>
      <c r="H1483">
        <f>IF(VIPcric_1!H1465="","",VIPcric_1!H1465)</f>
        <v>0</v>
      </c>
      <c r="I1483" t="str">
        <f>IF(VIPcric_1!M1465="","",VIPcric_1!M1465)</f>
        <v>CRIC-株洲-市场监测.商品房市场.项目累计.供求.xlsx</v>
      </c>
    </row>
    <row r="1484" spans="1:9">
      <c r="A1484" t="str">
        <f>IF(VIPcric_1!A1466="","",VIPcric_1!A1466)</f>
        <v>2018年</v>
      </c>
      <c r="B1484">
        <f>IF(VIPcric_1!B1466="","",VIPcric_1!B1466)</f>
        <v>0</v>
      </c>
      <c r="C1484">
        <f>IF(VIPcric_1!C1466="","",VIPcric_1!C1466)</f>
        <v>0</v>
      </c>
      <c r="D1484">
        <f>IF(VIPcric_1!D1466="","",VIPcric_1!D1466)</f>
        <v>4325713</v>
      </c>
      <c r="E1484">
        <f>IF(VIPcric_1!E1466="","",VIPcric_1!E1466)</f>
        <v>36293</v>
      </c>
      <c r="F1484">
        <f>IF(VIPcric_1!F1466="","",VIPcric_1!F1466)</f>
        <v>6826</v>
      </c>
      <c r="G1484">
        <f>IF(VIPcric_1!G1466="","",VIPcric_1!G1466)</f>
        <v>29529349012</v>
      </c>
      <c r="H1484">
        <f>IF(VIPcric_1!H1466="","",VIPcric_1!H1466)</f>
        <v>0</v>
      </c>
      <c r="I1484" t="str">
        <f>IF(VIPcric_1!M1466="","",VIPcric_1!M1466)</f>
        <v>CRIC-株洲-市场监测.商品房市场.项目累计.供求.xlsx</v>
      </c>
    </row>
    <row r="1485" spans="1:9">
      <c r="A1485" t="str">
        <f>IF(VIPcric_1!A1467="","",VIPcric_1!A1467)</f>
        <v>2017年</v>
      </c>
      <c r="B1485">
        <f>IF(VIPcric_1!B1467="","",VIPcric_1!B1467)</f>
        <v>2258643</v>
      </c>
      <c r="C1485">
        <f>IF(VIPcric_1!C1467="","",VIPcric_1!C1467)</f>
        <v>19083</v>
      </c>
      <c r="D1485">
        <f>IF(VIPcric_1!D1467="","",VIPcric_1!D1467)</f>
        <v>2707267</v>
      </c>
      <c r="E1485">
        <f>IF(VIPcric_1!E1467="","",VIPcric_1!E1467)</f>
        <v>24233</v>
      </c>
      <c r="F1485">
        <f>IF(VIPcric_1!F1467="","",VIPcric_1!F1467)</f>
        <v>5321</v>
      </c>
      <c r="G1485">
        <f>IF(VIPcric_1!G1467="","",VIPcric_1!G1467)</f>
        <v>14404875845</v>
      </c>
      <c r="H1485">
        <f>IF(VIPcric_1!H1467="","",VIPcric_1!H1467)</f>
        <v>0.83</v>
      </c>
      <c r="I1485" t="str">
        <f>IF(VIPcric_1!M1467="","",VIPcric_1!M1467)</f>
        <v>CRIC-株洲-市场监测.商品房市场.项目累计.供求.xlsx</v>
      </c>
    </row>
    <row r="1486" spans="1:9">
      <c r="A1486" t="str">
        <f>IF(VIPcric_1!A1468="","",VIPcric_1!A1468)</f>
        <v>2016年</v>
      </c>
      <c r="B1486">
        <f>IF(VIPcric_1!B1468="","",VIPcric_1!B1468)</f>
        <v>2566911</v>
      </c>
      <c r="C1486">
        <f>IF(VIPcric_1!C1468="","",VIPcric_1!C1468)</f>
        <v>22621</v>
      </c>
      <c r="D1486">
        <f>IF(VIPcric_1!D1468="","",VIPcric_1!D1468)</f>
        <v>2098217</v>
      </c>
      <c r="E1486">
        <f>IF(VIPcric_1!E1468="","",VIPcric_1!E1468)</f>
        <v>18755</v>
      </c>
      <c r="F1486">
        <f>IF(VIPcric_1!F1468="","",VIPcric_1!F1468)</f>
        <v>4457</v>
      </c>
      <c r="G1486">
        <f>IF(VIPcric_1!G1468="","",VIPcric_1!G1468)</f>
        <v>9352338214</v>
      </c>
      <c r="H1486">
        <f>IF(VIPcric_1!H1468="","",VIPcric_1!H1468)</f>
        <v>1.22</v>
      </c>
      <c r="I1486" t="str">
        <f>IF(VIPcric_1!M1468="","",VIPcric_1!M1468)</f>
        <v>CRIC-株洲-市场监测.商品房市场.项目累计.供求.xlsx</v>
      </c>
    </row>
    <row r="1487" spans="1:9">
      <c r="A1487" t="str">
        <f>IF(VIPcric_1!A1469="","",VIPcric_1!A1469)</f>
        <v>汇总</v>
      </c>
      <c r="B1487">
        <f>IF(VIPcric_1!B1469="","",VIPcric_1!B1469)</f>
        <v>4825554</v>
      </c>
      <c r="C1487">
        <f>IF(VIPcric_1!C1469="","",VIPcric_1!C1469)</f>
        <v>41704</v>
      </c>
      <c r="D1487">
        <f>IF(VIPcric_1!D1469="","",VIPcric_1!D1469)</f>
        <v>16022348</v>
      </c>
      <c r="E1487">
        <f>IF(VIPcric_1!E1469="","",VIPcric_1!E1469)</f>
        <v>137229</v>
      </c>
      <c r="F1487">
        <f>IF(VIPcric_1!F1469="","",VIPcric_1!F1469)</f>
        <v>6309</v>
      </c>
      <c r="G1487">
        <f>IF(VIPcric_1!G1469="","",VIPcric_1!G1469)</f>
        <v>101087153545</v>
      </c>
      <c r="H1487">
        <f>IF(VIPcric_1!H1469="","",VIPcric_1!H1469)</f>
        <v>0.3</v>
      </c>
      <c r="I1487" t="str">
        <f>IF(VIPcric_1!M1469="","",VIPcric_1!M1469)</f>
        <v>CRIC-株洲-市场监测.商品房市场.项目累计.供求.xlsx</v>
      </c>
    </row>
    <row r="1488" spans="1:9">
      <c r="A1488" t="str">
        <f>IF(VIPcric_1!A1470="","",VIPcric_1!A1470)</f>
        <v/>
      </c>
      <c r="B1488" t="str">
        <f>IF(VIPcric_1!B1470="","",VIPcric_1!B1470)</f>
        <v/>
      </c>
      <c r="C1488" t="str">
        <f>IF(VIPcric_1!C1470="","",VIPcric_1!C1470)</f>
        <v/>
      </c>
      <c r="D1488" t="str">
        <f>IF(VIPcric_1!D1470="","",VIPcric_1!D1470)</f>
        <v/>
      </c>
      <c r="E1488" t="str">
        <f>IF(VIPcric_1!E1470="","",VIPcric_1!E1470)</f>
        <v/>
      </c>
      <c r="F1488" t="str">
        <f>IF(VIPcric_1!F1470="","",VIPcric_1!F1470)</f>
        <v/>
      </c>
      <c r="G1488" t="str">
        <f>IF(VIPcric_1!G1470="","",VIPcric_1!G1470)</f>
        <v/>
      </c>
      <c r="H1488" t="str">
        <f>IF(VIPcric_1!H1470="","",VIPcric_1!H1470)</f>
        <v/>
      </c>
      <c r="I1488" t="str">
        <f>IF(VIPcric_1!M1470="","",VIPcric_1!M1470)</f>
        <v/>
      </c>
    </row>
    <row r="1489" spans="1:9">
      <c r="A1489" t="str">
        <f>IF(VIPcric_1!A1471="","",VIPcric_1!A1471)</f>
        <v/>
      </c>
      <c r="B1489" t="str">
        <f>IF(VIPcric_1!B1471="","",VIPcric_1!B1471)</f>
        <v/>
      </c>
      <c r="C1489" t="str">
        <f>IF(VIPcric_1!C1471="","",VIPcric_1!C1471)</f>
        <v/>
      </c>
      <c r="D1489" t="str">
        <f>IF(VIPcric_1!D1471="","",VIPcric_1!D1471)</f>
        <v/>
      </c>
      <c r="E1489" t="str">
        <f>IF(VIPcric_1!E1471="","",VIPcric_1!E1471)</f>
        <v/>
      </c>
      <c r="F1489" t="str">
        <f>IF(VIPcric_1!F1471="","",VIPcric_1!F1471)</f>
        <v/>
      </c>
      <c r="G1489" t="str">
        <f>IF(VIPcric_1!G1471="","",VIPcric_1!G1471)</f>
        <v/>
      </c>
      <c r="H1489" t="str">
        <f>IF(VIPcric_1!H1471="","",VIPcric_1!H1471)</f>
        <v/>
      </c>
      <c r="I1489" t="str">
        <f>IF(VIPcric_1!M1471="","",VIPcric_1!M1471)</f>
        <v>CRIC-桐乡-市场监测.商品房市场.项目累计.供求.xlsx</v>
      </c>
    </row>
    <row r="1490" spans="1:9">
      <c r="A1490" t="str">
        <f>IF(VIPcric_1!A1472="","",VIPcric_1!A1472)</f>
        <v>时间(年)</v>
      </c>
      <c r="B1490" t="str">
        <f>IF(VIPcric_1!B1472="","",VIPcric_1!B1472)</f>
        <v>供应面积(㎡)</v>
      </c>
      <c r="C1490" t="str">
        <f>IF(VIPcric_1!C1472="","",VIPcric_1!C1472)</f>
        <v>供应套数(套)</v>
      </c>
      <c r="D1490" t="str">
        <f>IF(VIPcric_1!D1472="","",VIPcric_1!D1472)</f>
        <v>成交面积(㎡)</v>
      </c>
      <c r="E1490" t="str">
        <f>IF(VIPcric_1!E1472="","",VIPcric_1!E1472)</f>
        <v>成交套数(套)</v>
      </c>
      <c r="F1490" t="str">
        <f>IF(VIPcric_1!F1472="","",VIPcric_1!F1472)</f>
        <v>成交均价(元/㎡)</v>
      </c>
      <c r="G1490" t="str">
        <f>IF(VIPcric_1!G1472="","",VIPcric_1!G1472)</f>
        <v>成交金额(元)</v>
      </c>
      <c r="H1490" t="str">
        <f>IF(VIPcric_1!H1472="","",VIPcric_1!H1472)</f>
        <v>供求比</v>
      </c>
      <c r="I1490" t="str">
        <f>IF(VIPcric_1!M1472="","",VIPcric_1!M1472)</f>
        <v>CRIC-桐乡-市场监测.商品房市场.项目累计.供求.xlsx</v>
      </c>
    </row>
    <row r="1491" spans="1:9">
      <c r="A1491" t="str">
        <f>IF(VIPcric_1!A1473="","",VIPcric_1!A1473)</f>
        <v>2023年</v>
      </c>
      <c r="B1491">
        <f>IF(VIPcric_1!B1473="","",VIPcric_1!B1473)</f>
        <v>230398</v>
      </c>
      <c r="C1491">
        <f>IF(VIPcric_1!C1473="","",VIPcric_1!C1473)</f>
        <v>1919</v>
      </c>
      <c r="D1491">
        <f>IF(VIPcric_1!D1473="","",VIPcric_1!D1473)</f>
        <v>378397</v>
      </c>
      <c r="E1491">
        <f>IF(VIPcric_1!E1473="","",VIPcric_1!E1473)</f>
        <v>3482</v>
      </c>
      <c r="F1491">
        <f>IF(VIPcric_1!F1473="","",VIPcric_1!F1473)</f>
        <v>17669</v>
      </c>
      <c r="G1491">
        <f>IF(VIPcric_1!G1473="","",VIPcric_1!G1473)</f>
        <v>6685848662</v>
      </c>
      <c r="H1491">
        <f>IF(VIPcric_1!H1473="","",VIPcric_1!H1473)</f>
        <v>0.61</v>
      </c>
      <c r="I1491" t="str">
        <f>IF(VIPcric_1!M1473="","",VIPcric_1!M1473)</f>
        <v>CRIC-桐乡-市场监测.商品房市场.项目累计.供求.xlsx</v>
      </c>
    </row>
    <row r="1492" spans="1:9">
      <c r="A1492" t="str">
        <f>IF(VIPcric_1!A1474="","",VIPcric_1!A1474)</f>
        <v>2022年</v>
      </c>
      <c r="B1492">
        <f>IF(VIPcric_1!B1474="","",VIPcric_1!B1474)</f>
        <v>786122</v>
      </c>
      <c r="C1492">
        <f>IF(VIPcric_1!C1474="","",VIPcric_1!C1474)</f>
        <v>7103</v>
      </c>
      <c r="D1492">
        <f>IF(VIPcric_1!D1474="","",VIPcric_1!D1474)</f>
        <v>610770</v>
      </c>
      <c r="E1492">
        <f>IF(VIPcric_1!E1474="","",VIPcric_1!E1474)</f>
        <v>5396</v>
      </c>
      <c r="F1492">
        <f>IF(VIPcric_1!F1474="","",VIPcric_1!F1474)</f>
        <v>19839</v>
      </c>
      <c r="G1492">
        <f>IF(VIPcric_1!G1474="","",VIPcric_1!G1474)</f>
        <v>12117365876</v>
      </c>
      <c r="H1492">
        <f>IF(VIPcric_1!H1474="","",VIPcric_1!H1474)</f>
        <v>1.29</v>
      </c>
      <c r="I1492" t="str">
        <f>IF(VIPcric_1!M1474="","",VIPcric_1!M1474)</f>
        <v>CRIC-桐乡-市场监测.商品房市场.项目累计.供求.xlsx</v>
      </c>
    </row>
    <row r="1493" spans="1:9">
      <c r="A1493" t="str">
        <f>IF(VIPcric_1!A1475="","",VIPcric_1!A1475)</f>
        <v>2021年</v>
      </c>
      <c r="B1493">
        <f>IF(VIPcric_1!B1475="","",VIPcric_1!B1475)</f>
        <v>1209094</v>
      </c>
      <c r="C1493">
        <f>IF(VIPcric_1!C1475="","",VIPcric_1!C1475)</f>
        <v>11033</v>
      </c>
      <c r="D1493">
        <f>IF(VIPcric_1!D1475="","",VIPcric_1!D1475)</f>
        <v>1307433</v>
      </c>
      <c r="E1493">
        <f>IF(VIPcric_1!E1475="","",VIPcric_1!E1475)</f>
        <v>12127</v>
      </c>
      <c r="F1493">
        <f>IF(VIPcric_1!F1475="","",VIPcric_1!F1475)</f>
        <v>17143</v>
      </c>
      <c r="G1493">
        <f>IF(VIPcric_1!G1475="","",VIPcric_1!G1475)</f>
        <v>22412795009</v>
      </c>
      <c r="H1493">
        <f>IF(VIPcric_1!H1475="","",VIPcric_1!H1475)</f>
        <v>0.92</v>
      </c>
      <c r="I1493" t="str">
        <f>IF(VIPcric_1!M1475="","",VIPcric_1!M1475)</f>
        <v>CRIC-桐乡-市场监测.商品房市场.项目累计.供求.xlsx</v>
      </c>
    </row>
    <row r="1494" spans="1:9">
      <c r="A1494" t="str">
        <f>IF(VIPcric_1!A1476="","",VIPcric_1!A1476)</f>
        <v>2020年</v>
      </c>
      <c r="B1494">
        <f>IF(VIPcric_1!B1476="","",VIPcric_1!B1476)</f>
        <v>1750320</v>
      </c>
      <c r="C1494">
        <f>IF(VIPcric_1!C1476="","",VIPcric_1!C1476)</f>
        <v>15879</v>
      </c>
      <c r="D1494">
        <f>IF(VIPcric_1!D1476="","",VIPcric_1!D1476)</f>
        <v>956069</v>
      </c>
      <c r="E1494">
        <f>IF(VIPcric_1!E1476="","",VIPcric_1!E1476)</f>
        <v>8427</v>
      </c>
      <c r="F1494">
        <f>IF(VIPcric_1!F1476="","",VIPcric_1!F1476)</f>
        <v>16883</v>
      </c>
      <c r="G1494">
        <f>IF(VIPcric_1!G1476="","",VIPcric_1!G1476)</f>
        <v>16141694800</v>
      </c>
      <c r="H1494">
        <f>IF(VIPcric_1!H1476="","",VIPcric_1!H1476)</f>
        <v>1.83</v>
      </c>
      <c r="I1494" t="str">
        <f>IF(VIPcric_1!M1476="","",VIPcric_1!M1476)</f>
        <v>CRIC-桐乡-市场监测.商品房市场.项目累计.供求.xlsx</v>
      </c>
    </row>
    <row r="1495" spans="1:9">
      <c r="A1495" t="str">
        <f>IF(VIPcric_1!A1477="","",VIPcric_1!A1477)</f>
        <v>2019年</v>
      </c>
      <c r="B1495">
        <f>IF(VIPcric_1!B1477="","",VIPcric_1!B1477)</f>
        <v>821132</v>
      </c>
      <c r="C1495">
        <f>IF(VIPcric_1!C1477="","",VIPcric_1!C1477)</f>
        <v>7049</v>
      </c>
      <c r="D1495">
        <f>IF(VIPcric_1!D1477="","",VIPcric_1!D1477)</f>
        <v>61736</v>
      </c>
      <c r="E1495">
        <f>IF(VIPcric_1!E1477="","",VIPcric_1!E1477)</f>
        <v>510</v>
      </c>
      <c r="F1495">
        <f>IF(VIPcric_1!F1477="","",VIPcric_1!F1477)</f>
        <v>16077</v>
      </c>
      <c r="G1495">
        <f>IF(VIPcric_1!G1477="","",VIPcric_1!G1477)</f>
        <v>992534306</v>
      </c>
      <c r="H1495">
        <f>IF(VIPcric_1!H1477="","",VIPcric_1!H1477)</f>
        <v>13.3</v>
      </c>
      <c r="I1495" t="str">
        <f>IF(VIPcric_1!M1477="","",VIPcric_1!M1477)</f>
        <v>CRIC-桐乡-市场监测.商品房市场.项目累计.供求.xlsx</v>
      </c>
    </row>
    <row r="1496" spans="1:9">
      <c r="A1496" t="str">
        <f>IF(VIPcric_1!A1478="","",VIPcric_1!A1478)</f>
        <v>2018年</v>
      </c>
      <c r="B1496">
        <f>IF(VIPcric_1!B1478="","",VIPcric_1!B1478)</f>
        <v>77558</v>
      </c>
      <c r="C1496">
        <f>IF(VIPcric_1!C1478="","",VIPcric_1!C1478)</f>
        <v>538</v>
      </c>
      <c r="D1496">
        <f>IF(VIPcric_1!D1478="","",VIPcric_1!D1478)</f>
        <v>88869</v>
      </c>
      <c r="E1496">
        <f>IF(VIPcric_1!E1478="","",VIPcric_1!E1478)</f>
        <v>649</v>
      </c>
      <c r="F1496">
        <f>IF(VIPcric_1!F1478="","",VIPcric_1!F1478)</f>
        <v>16095</v>
      </c>
      <c r="G1496">
        <f>IF(VIPcric_1!G1478="","",VIPcric_1!G1478)</f>
        <v>1430319180</v>
      </c>
      <c r="H1496">
        <f>IF(VIPcric_1!H1478="","",VIPcric_1!H1478)</f>
        <v>0.87</v>
      </c>
      <c r="I1496" t="str">
        <f>IF(VIPcric_1!M1478="","",VIPcric_1!M1478)</f>
        <v>CRIC-桐乡-市场监测.商品房市场.项目累计.供求.xlsx</v>
      </c>
    </row>
    <row r="1497" spans="1:9">
      <c r="A1497" t="str">
        <f>IF(VIPcric_1!A1479="","",VIPcric_1!A1479)</f>
        <v>汇总</v>
      </c>
      <c r="B1497">
        <f>IF(VIPcric_1!B1479="","",VIPcric_1!B1479)</f>
        <v>4874624</v>
      </c>
      <c r="C1497">
        <f>IF(VIPcric_1!C1479="","",VIPcric_1!C1479)</f>
        <v>43521</v>
      </c>
      <c r="D1497">
        <f>IF(VIPcric_1!D1479="","",VIPcric_1!D1479)</f>
        <v>3403275</v>
      </c>
      <c r="E1497">
        <f>IF(VIPcric_1!E1479="","",VIPcric_1!E1479)</f>
        <v>30591</v>
      </c>
      <c r="F1497">
        <f>IF(VIPcric_1!F1479="","",VIPcric_1!F1479)</f>
        <v>17566</v>
      </c>
      <c r="G1497">
        <f>IF(VIPcric_1!G1479="","",VIPcric_1!G1479)</f>
        <v>59780557833</v>
      </c>
      <c r="H1497">
        <f>IF(VIPcric_1!H1479="","",VIPcric_1!H1479)</f>
        <v>1.43</v>
      </c>
      <c r="I1497" t="str">
        <f>IF(VIPcric_1!M1479="","",VIPcric_1!M1479)</f>
        <v>CRIC-桐乡-市场监测.商品房市场.项目累计.供求.xlsx</v>
      </c>
    </row>
    <row r="1498" spans="1:9">
      <c r="A1498" t="str">
        <f>IF(VIPcric_1!A1480="","",VIPcric_1!A1480)</f>
        <v/>
      </c>
      <c r="B1498" t="str">
        <f>IF(VIPcric_1!B1480="","",VIPcric_1!B1480)</f>
        <v/>
      </c>
      <c r="C1498" t="str">
        <f>IF(VIPcric_1!C1480="","",VIPcric_1!C1480)</f>
        <v/>
      </c>
      <c r="D1498" t="str">
        <f>IF(VIPcric_1!D1480="","",VIPcric_1!D1480)</f>
        <v/>
      </c>
      <c r="E1498" t="str">
        <f>IF(VIPcric_1!E1480="","",VIPcric_1!E1480)</f>
        <v/>
      </c>
      <c r="F1498" t="str">
        <f>IF(VIPcric_1!F1480="","",VIPcric_1!F1480)</f>
        <v/>
      </c>
      <c r="G1498" t="str">
        <f>IF(VIPcric_1!G1480="","",VIPcric_1!G1480)</f>
        <v/>
      </c>
      <c r="H1498" t="str">
        <f>IF(VIPcric_1!H1480="","",VIPcric_1!H1480)</f>
        <v/>
      </c>
      <c r="I1498" t="str">
        <f>IF(VIPcric_1!M1480="","",VIPcric_1!M1480)</f>
        <v/>
      </c>
    </row>
    <row r="1499" spans="1:9">
      <c r="A1499" t="str">
        <f>IF(VIPcric_1!A1481="","",VIPcric_1!A1481)</f>
        <v/>
      </c>
      <c r="B1499" t="str">
        <f>IF(VIPcric_1!B1481="","",VIPcric_1!B1481)</f>
        <v/>
      </c>
      <c r="C1499" t="str">
        <f>IF(VIPcric_1!C1481="","",VIPcric_1!C1481)</f>
        <v/>
      </c>
      <c r="D1499" t="str">
        <f>IF(VIPcric_1!D1481="","",VIPcric_1!D1481)</f>
        <v/>
      </c>
      <c r="E1499" t="str">
        <f>IF(VIPcric_1!E1481="","",VIPcric_1!E1481)</f>
        <v/>
      </c>
      <c r="F1499" t="str">
        <f>IF(VIPcric_1!F1481="","",VIPcric_1!F1481)</f>
        <v/>
      </c>
      <c r="G1499" t="str">
        <f>IF(VIPcric_1!G1481="","",VIPcric_1!G1481)</f>
        <v/>
      </c>
      <c r="H1499" t="str">
        <f>IF(VIPcric_1!H1481="","",VIPcric_1!H1481)</f>
        <v/>
      </c>
      <c r="I1499" t="str">
        <f>IF(VIPcric_1!M1481="","",VIPcric_1!M1481)</f>
        <v>CRIC-桐乡-市场监测.商品房市场.项目累计.库存.xlsx</v>
      </c>
    </row>
    <row r="1500" spans="1:9">
      <c r="A1500" t="str">
        <f>IF(VIPcric_1!A1482="","",VIPcric_1!A1482)</f>
        <v>时间(年)</v>
      </c>
      <c r="B1500" t="str">
        <f>IF(VIPcric_1!B1482="","",VIPcric_1!B1482)</f>
        <v>库存面积(㎡)</v>
      </c>
      <c r="C1500" t="str">
        <f>IF(VIPcric_1!C1482="","",VIPcric_1!C1482)</f>
        <v>库存套数(套)</v>
      </c>
      <c r="D1500" t="str">
        <f>IF(VIPcric_1!D1482="","",VIPcric_1!D1482)</f>
        <v>去化周期12'(月)</v>
      </c>
      <c r="E1500" t="str">
        <f>IF(VIPcric_1!E1482="","",VIPcric_1!E1482)</f>
        <v/>
      </c>
      <c r="F1500" t="str">
        <f>IF(VIPcric_1!F1482="","",VIPcric_1!F1482)</f>
        <v/>
      </c>
      <c r="G1500" t="str">
        <f>IF(VIPcric_1!G1482="","",VIPcric_1!G1482)</f>
        <v/>
      </c>
      <c r="H1500" t="str">
        <f>IF(VIPcric_1!H1482="","",VIPcric_1!H1482)</f>
        <v/>
      </c>
      <c r="I1500" t="str">
        <f>IF(VIPcric_1!M1482="","",VIPcric_1!M1482)</f>
        <v>CRIC-桐乡-市场监测.商品房市场.项目累计.库存.xlsx</v>
      </c>
    </row>
    <row r="1501" spans="1:9">
      <c r="A1501" t="str">
        <f>IF(VIPcric_1!A1483="","",VIPcric_1!A1483)</f>
        <v>2023年</v>
      </c>
      <c r="B1501">
        <f>IF(VIPcric_1!B1483="","",VIPcric_1!B1483)</f>
        <v>1031713</v>
      </c>
      <c r="C1501">
        <f>IF(VIPcric_1!C1483="","",VIPcric_1!C1483)</f>
        <v>10137</v>
      </c>
      <c r="D1501">
        <f>IF(VIPcric_1!D1483="","",VIPcric_1!D1483)</f>
        <v>16.3</v>
      </c>
      <c r="E1501" t="str">
        <f>IF(VIPcric_1!E1483="","",VIPcric_1!E1483)</f>
        <v/>
      </c>
      <c r="F1501" t="str">
        <f>IF(VIPcric_1!F1483="","",VIPcric_1!F1483)</f>
        <v/>
      </c>
      <c r="G1501" t="str">
        <f>IF(VIPcric_1!G1483="","",VIPcric_1!G1483)</f>
        <v/>
      </c>
      <c r="H1501" t="str">
        <f>IF(VIPcric_1!H1483="","",VIPcric_1!H1483)</f>
        <v/>
      </c>
      <c r="I1501" t="str">
        <f>IF(VIPcric_1!M1483="","",VIPcric_1!M1483)</f>
        <v>CRIC-桐乡-市场监测.商品房市场.项目累计.库存.xlsx</v>
      </c>
    </row>
    <row r="1502" spans="1:9">
      <c r="A1502" t="str">
        <f>IF(VIPcric_1!A1484="","",VIPcric_1!A1484)</f>
        <v>2022年</v>
      </c>
      <c r="B1502">
        <f>IF(VIPcric_1!B1484="","",VIPcric_1!B1484)</f>
        <v>1075413</v>
      </c>
      <c r="C1502">
        <f>IF(VIPcric_1!C1484="","",VIPcric_1!C1484)</f>
        <v>10786</v>
      </c>
      <c r="D1502">
        <f>IF(VIPcric_1!D1484="","",VIPcric_1!D1484)</f>
        <v>22.2</v>
      </c>
      <c r="E1502" t="str">
        <f>IF(VIPcric_1!E1484="","",VIPcric_1!E1484)</f>
        <v/>
      </c>
      <c r="F1502" t="str">
        <f>IF(VIPcric_1!F1484="","",VIPcric_1!F1484)</f>
        <v/>
      </c>
      <c r="G1502" t="str">
        <f>IF(VIPcric_1!G1484="","",VIPcric_1!G1484)</f>
        <v/>
      </c>
      <c r="H1502" t="str">
        <f>IF(VIPcric_1!H1484="","",VIPcric_1!H1484)</f>
        <v/>
      </c>
      <c r="I1502" t="str">
        <f>IF(VIPcric_1!M1484="","",VIPcric_1!M1484)</f>
        <v>CRIC-桐乡-市场监测.商品房市场.项目累计.库存.xlsx</v>
      </c>
    </row>
    <row r="1503" spans="1:9">
      <c r="A1503" t="str">
        <f>IF(VIPcric_1!A1485="","",VIPcric_1!A1485)</f>
        <v>2021年</v>
      </c>
      <c r="B1503">
        <f>IF(VIPcric_1!B1485="","",VIPcric_1!B1485)</f>
        <v>919716</v>
      </c>
      <c r="C1503">
        <f>IF(VIPcric_1!C1485="","",VIPcric_1!C1485)</f>
        <v>9313</v>
      </c>
      <c r="D1503">
        <f>IF(VIPcric_1!D1485="","",VIPcric_1!D1485)</f>
        <v>9.1</v>
      </c>
      <c r="E1503" t="str">
        <f>IF(VIPcric_1!E1485="","",VIPcric_1!E1485)</f>
        <v/>
      </c>
      <c r="F1503" t="str">
        <f>IF(VIPcric_1!F1485="","",VIPcric_1!F1485)</f>
        <v/>
      </c>
      <c r="G1503" t="str">
        <f>IF(VIPcric_1!G1485="","",VIPcric_1!G1485)</f>
        <v/>
      </c>
      <c r="H1503" t="str">
        <f>IF(VIPcric_1!H1485="","",VIPcric_1!H1485)</f>
        <v/>
      </c>
      <c r="I1503" t="str">
        <f>IF(VIPcric_1!M1485="","",VIPcric_1!M1485)</f>
        <v>CRIC-桐乡-市场监测.商品房市场.项目累计.库存.xlsx</v>
      </c>
    </row>
    <row r="1504" spans="1:9">
      <c r="A1504" t="str">
        <f>IF(VIPcric_1!A1486="","",VIPcric_1!A1486)</f>
        <v>2020年</v>
      </c>
      <c r="B1504">
        <f>IF(VIPcric_1!B1486="","",VIPcric_1!B1486)</f>
        <v>1060198</v>
      </c>
      <c r="C1504">
        <f>IF(VIPcric_1!C1486="","",VIPcric_1!C1486)</f>
        <v>10332</v>
      </c>
      <c r="D1504">
        <f>IF(VIPcric_1!D1486="","",VIPcric_1!D1486)</f>
        <v>14.1</v>
      </c>
      <c r="E1504" t="str">
        <f>IF(VIPcric_1!E1486="","",VIPcric_1!E1486)</f>
        <v/>
      </c>
      <c r="F1504" t="str">
        <f>IF(VIPcric_1!F1486="","",VIPcric_1!F1486)</f>
        <v/>
      </c>
      <c r="G1504" t="str">
        <f>IF(VIPcric_1!G1486="","",VIPcric_1!G1486)</f>
        <v/>
      </c>
      <c r="H1504" t="str">
        <f>IF(VIPcric_1!H1486="","",VIPcric_1!H1486)</f>
        <v/>
      </c>
      <c r="I1504" t="str">
        <f>IF(VIPcric_1!M1486="","",VIPcric_1!M1486)</f>
        <v>CRIC-桐乡-市场监测.商品房市场.项目累计.库存.xlsx</v>
      </c>
    </row>
    <row r="1505" spans="1:9">
      <c r="A1505" t="str">
        <f>IF(VIPcric_1!A1487="","",VIPcric_1!A1487)</f>
        <v>2019年</v>
      </c>
      <c r="B1505">
        <f>IF(VIPcric_1!B1487="","",VIPcric_1!B1487)</f>
        <v>0</v>
      </c>
      <c r="C1505">
        <f>IF(VIPcric_1!C1487="","",VIPcric_1!C1487)</f>
        <v>0</v>
      </c>
      <c r="D1505">
        <f>IF(VIPcric_1!D1487="","",VIPcric_1!D1487)</f>
        <v>0</v>
      </c>
      <c r="E1505" t="str">
        <f>IF(VIPcric_1!E1487="","",VIPcric_1!E1487)</f>
        <v/>
      </c>
      <c r="F1505" t="str">
        <f>IF(VIPcric_1!F1487="","",VIPcric_1!F1487)</f>
        <v/>
      </c>
      <c r="G1505" t="str">
        <f>IF(VIPcric_1!G1487="","",VIPcric_1!G1487)</f>
        <v/>
      </c>
      <c r="H1505" t="str">
        <f>IF(VIPcric_1!H1487="","",VIPcric_1!H1487)</f>
        <v/>
      </c>
      <c r="I1505" t="str">
        <f>IF(VIPcric_1!M1487="","",VIPcric_1!M1487)</f>
        <v>CRIC-桐乡-市场监测.商品房市场.项目累计.库存.xlsx</v>
      </c>
    </row>
    <row r="1506" spans="1:9">
      <c r="A1506" t="str">
        <f>IF(VIPcric_1!A1488="","",VIPcric_1!A1488)</f>
        <v>2018年</v>
      </c>
      <c r="B1506">
        <f>IF(VIPcric_1!B1488="","",VIPcric_1!B1488)</f>
        <v>0</v>
      </c>
      <c r="C1506">
        <f>IF(VIPcric_1!C1488="","",VIPcric_1!C1488)</f>
        <v>0</v>
      </c>
      <c r="D1506">
        <f>IF(VIPcric_1!D1488="","",VIPcric_1!D1488)</f>
        <v>0</v>
      </c>
      <c r="E1506" t="str">
        <f>IF(VIPcric_1!E1488="","",VIPcric_1!E1488)</f>
        <v/>
      </c>
      <c r="F1506" t="str">
        <f>IF(VIPcric_1!F1488="","",VIPcric_1!F1488)</f>
        <v/>
      </c>
      <c r="G1506" t="str">
        <f>IF(VIPcric_1!G1488="","",VIPcric_1!G1488)</f>
        <v/>
      </c>
      <c r="H1506" t="str">
        <f>IF(VIPcric_1!H1488="","",VIPcric_1!H1488)</f>
        <v/>
      </c>
      <c r="I1506" t="str">
        <f>IF(VIPcric_1!M1488="","",VIPcric_1!M1488)</f>
        <v>CRIC-桐乡-市场监测.商品房市场.项目累计.库存.xlsx</v>
      </c>
    </row>
    <row r="1507" spans="1:9">
      <c r="A1507" t="str">
        <f>IF(VIPcric_1!A1489="","",VIPcric_1!A1489)</f>
        <v/>
      </c>
      <c r="B1507" t="str">
        <f>IF(VIPcric_1!B1489="","",VIPcric_1!B1489)</f>
        <v/>
      </c>
      <c r="C1507" t="str">
        <f>IF(VIPcric_1!C1489="","",VIPcric_1!C1489)</f>
        <v/>
      </c>
      <c r="D1507" t="str">
        <f>IF(VIPcric_1!D1489="","",VIPcric_1!D1489)</f>
        <v/>
      </c>
      <c r="E1507" t="str">
        <f>IF(VIPcric_1!E1489="","",VIPcric_1!E1489)</f>
        <v/>
      </c>
      <c r="F1507" t="str">
        <f>IF(VIPcric_1!F1489="","",VIPcric_1!F1489)</f>
        <v/>
      </c>
      <c r="G1507" t="str">
        <f>IF(VIPcric_1!G1489="","",VIPcric_1!G1489)</f>
        <v/>
      </c>
      <c r="H1507" t="str">
        <f>IF(VIPcric_1!H1489="","",VIPcric_1!H1489)</f>
        <v/>
      </c>
      <c r="I1507" t="str">
        <f>IF(VIPcric_1!M1489="","",VIPcric_1!M1489)</f>
        <v/>
      </c>
    </row>
    <row r="1508" spans="1:9">
      <c r="A1508" t="str">
        <f>IF(VIPcric_1!A1490="","",VIPcric_1!A1490)</f>
        <v/>
      </c>
      <c r="B1508" t="str">
        <f>IF(VIPcric_1!B1490="","",VIPcric_1!B1490)</f>
        <v/>
      </c>
      <c r="C1508" t="str">
        <f>IF(VIPcric_1!C1490="","",VIPcric_1!C1490)</f>
        <v/>
      </c>
      <c r="D1508" t="str">
        <f>IF(VIPcric_1!D1490="","",VIPcric_1!D1490)</f>
        <v/>
      </c>
      <c r="E1508" t="str">
        <f>IF(VIPcric_1!E1490="","",VIPcric_1!E1490)</f>
        <v/>
      </c>
      <c r="F1508" t="str">
        <f>IF(VIPcric_1!F1490="","",VIPcric_1!F1490)</f>
        <v/>
      </c>
      <c r="G1508" t="str">
        <f>IF(VIPcric_1!G1490="","",VIPcric_1!G1490)</f>
        <v/>
      </c>
      <c r="H1508" t="str">
        <f>IF(VIPcric_1!H1490="","",VIPcric_1!H1490)</f>
        <v/>
      </c>
      <c r="I1508" t="str">
        <f>IF(VIPcric_1!M1490="","",VIPcric_1!M1490)</f>
        <v>CRIC-桐庐-市场监测.商品房市场.项目累计.供求.xlsx</v>
      </c>
    </row>
    <row r="1509" spans="1:9">
      <c r="A1509" t="str">
        <f>IF(VIPcric_1!A1491="","",VIPcric_1!A1491)</f>
        <v>时间(年)</v>
      </c>
      <c r="B1509" t="str">
        <f>IF(VIPcric_1!B1491="","",VIPcric_1!B1491)</f>
        <v>供应面积(㎡)</v>
      </c>
      <c r="C1509" t="str">
        <f>IF(VIPcric_1!C1491="","",VIPcric_1!C1491)</f>
        <v>供应套数(套)</v>
      </c>
      <c r="D1509" t="str">
        <f>IF(VIPcric_1!D1491="","",VIPcric_1!D1491)</f>
        <v>成交面积(㎡)</v>
      </c>
      <c r="E1509" t="str">
        <f>IF(VIPcric_1!E1491="","",VIPcric_1!E1491)</f>
        <v>成交套数(套)</v>
      </c>
      <c r="F1509" t="str">
        <f>IF(VIPcric_1!F1491="","",VIPcric_1!F1491)</f>
        <v>成交均价(元/㎡)</v>
      </c>
      <c r="G1509" t="str">
        <f>IF(VIPcric_1!G1491="","",VIPcric_1!G1491)</f>
        <v>成交金额(元)</v>
      </c>
      <c r="H1509" t="str">
        <f>IF(VIPcric_1!H1491="","",VIPcric_1!H1491)</f>
        <v>供求比</v>
      </c>
      <c r="I1509" t="str">
        <f>IF(VIPcric_1!M1491="","",VIPcric_1!M1491)</f>
        <v>CRIC-桐庐-市场监测.商品房市场.项目累计.供求.xlsx</v>
      </c>
    </row>
    <row r="1510" spans="1:9">
      <c r="A1510" t="str">
        <f>IF(VIPcric_1!A1492="","",VIPcric_1!A1492)</f>
        <v>2024年</v>
      </c>
      <c r="B1510">
        <f>IF(VIPcric_1!B1492="","",VIPcric_1!B1492)</f>
        <v>0</v>
      </c>
      <c r="C1510">
        <f>IF(VIPcric_1!C1492="","",VIPcric_1!C1492)</f>
        <v>0</v>
      </c>
      <c r="D1510">
        <f>IF(VIPcric_1!D1492="","",VIPcric_1!D1492)</f>
        <v>8824</v>
      </c>
      <c r="E1510">
        <f>IF(VIPcric_1!E1492="","",VIPcric_1!E1492)</f>
        <v>76</v>
      </c>
      <c r="F1510">
        <f>IF(VIPcric_1!F1492="","",VIPcric_1!F1492)</f>
        <v>20293</v>
      </c>
      <c r="G1510">
        <f>IF(VIPcric_1!G1492="","",VIPcric_1!G1492)</f>
        <v>179075598</v>
      </c>
      <c r="H1510">
        <f>IF(VIPcric_1!H1492="","",VIPcric_1!H1492)</f>
        <v>0</v>
      </c>
      <c r="I1510" t="str">
        <f>IF(VIPcric_1!M1492="","",VIPcric_1!M1492)</f>
        <v>CRIC-桐庐-市场监测.商品房市场.项目累计.供求.xlsx</v>
      </c>
    </row>
    <row r="1511" spans="1:9">
      <c r="A1511" t="str">
        <f>IF(VIPcric_1!A1493="","",VIPcric_1!A1493)</f>
        <v>2023年</v>
      </c>
      <c r="B1511">
        <f>IF(VIPcric_1!B1493="","",VIPcric_1!B1493)</f>
        <v>114671</v>
      </c>
      <c r="C1511">
        <f>IF(VIPcric_1!C1493="","",VIPcric_1!C1493)</f>
        <v>1032</v>
      </c>
      <c r="D1511">
        <f>IF(VIPcric_1!D1493="","",VIPcric_1!D1493)</f>
        <v>169364</v>
      </c>
      <c r="E1511">
        <f>IF(VIPcric_1!E1493="","",VIPcric_1!E1493)</f>
        <v>1471</v>
      </c>
      <c r="F1511">
        <f>IF(VIPcric_1!F1493="","",VIPcric_1!F1493)</f>
        <v>18035</v>
      </c>
      <c r="G1511">
        <f>IF(VIPcric_1!G1493="","",VIPcric_1!G1493)</f>
        <v>3054423783</v>
      </c>
      <c r="H1511">
        <f>IF(VIPcric_1!H1493="","",VIPcric_1!H1493)</f>
        <v>0.68</v>
      </c>
      <c r="I1511" t="str">
        <f>IF(VIPcric_1!M1493="","",VIPcric_1!M1493)</f>
        <v>CRIC-桐庐-市场监测.商品房市场.项目累计.供求.xlsx</v>
      </c>
    </row>
    <row r="1512" spans="1:9">
      <c r="A1512" t="str">
        <f>IF(VIPcric_1!A1494="","",VIPcric_1!A1494)</f>
        <v>2022年</v>
      </c>
      <c r="B1512">
        <f>IF(VIPcric_1!B1494="","",VIPcric_1!B1494)</f>
        <v>389545</v>
      </c>
      <c r="C1512">
        <f>IF(VIPcric_1!C1494="","",VIPcric_1!C1494)</f>
        <v>3464</v>
      </c>
      <c r="D1512">
        <f>IF(VIPcric_1!D1494="","",VIPcric_1!D1494)</f>
        <v>248588</v>
      </c>
      <c r="E1512">
        <f>IF(VIPcric_1!E1494="","",VIPcric_1!E1494)</f>
        <v>2174</v>
      </c>
      <c r="F1512">
        <f>IF(VIPcric_1!F1494="","",VIPcric_1!F1494)</f>
        <v>18889</v>
      </c>
      <c r="G1512">
        <f>IF(VIPcric_1!G1494="","",VIPcric_1!G1494)</f>
        <v>4695669042</v>
      </c>
      <c r="H1512">
        <f>IF(VIPcric_1!H1494="","",VIPcric_1!H1494)</f>
        <v>1.57</v>
      </c>
      <c r="I1512" t="str">
        <f>IF(VIPcric_1!M1494="","",VIPcric_1!M1494)</f>
        <v>CRIC-桐庐-市场监测.商品房市场.项目累计.供求.xlsx</v>
      </c>
    </row>
    <row r="1513" spans="1:9">
      <c r="A1513" t="str">
        <f>IF(VIPcric_1!A1495="","",VIPcric_1!A1495)</f>
        <v>2021年</v>
      </c>
      <c r="B1513">
        <f>IF(VIPcric_1!B1495="","",VIPcric_1!B1495)</f>
        <v>451033</v>
      </c>
      <c r="C1513">
        <f>IF(VIPcric_1!C1495="","",VIPcric_1!C1495)</f>
        <v>4160</v>
      </c>
      <c r="D1513">
        <f>IF(VIPcric_1!D1495="","",VIPcric_1!D1495)</f>
        <v>395783</v>
      </c>
      <c r="E1513">
        <f>IF(VIPcric_1!E1495="","",VIPcric_1!E1495)</f>
        <v>3606</v>
      </c>
      <c r="F1513">
        <f>IF(VIPcric_1!F1495="","",VIPcric_1!F1495)</f>
        <v>18819</v>
      </c>
      <c r="G1513">
        <f>IF(VIPcric_1!G1495="","",VIPcric_1!G1495)</f>
        <v>7448300791</v>
      </c>
      <c r="H1513">
        <f>IF(VIPcric_1!H1495="","",VIPcric_1!H1495)</f>
        <v>1.1399999999999999</v>
      </c>
      <c r="I1513" t="str">
        <f>IF(VIPcric_1!M1495="","",VIPcric_1!M1495)</f>
        <v>CRIC-桐庐-市场监测.商品房市场.项目累计.供求.xlsx</v>
      </c>
    </row>
    <row r="1514" spans="1:9">
      <c r="A1514" t="str">
        <f>IF(VIPcric_1!A1496="","",VIPcric_1!A1496)</f>
        <v>2020年</v>
      </c>
      <c r="B1514">
        <f>IF(VIPcric_1!B1496="","",VIPcric_1!B1496)</f>
        <v>318341</v>
      </c>
      <c r="C1514">
        <f>IF(VIPcric_1!C1496="","",VIPcric_1!C1496)</f>
        <v>2919</v>
      </c>
      <c r="D1514">
        <f>IF(VIPcric_1!D1496="","",VIPcric_1!D1496)</f>
        <v>298260</v>
      </c>
      <c r="E1514">
        <f>IF(VIPcric_1!E1496="","",VIPcric_1!E1496)</f>
        <v>2682</v>
      </c>
      <c r="F1514">
        <f>IF(VIPcric_1!F1496="","",VIPcric_1!F1496)</f>
        <v>17998</v>
      </c>
      <c r="G1514">
        <f>IF(VIPcric_1!G1496="","",VIPcric_1!G1496)</f>
        <v>5368107580</v>
      </c>
      <c r="H1514">
        <f>IF(VIPcric_1!H1496="","",VIPcric_1!H1496)</f>
        <v>1.07</v>
      </c>
      <c r="I1514" t="str">
        <f>IF(VIPcric_1!M1496="","",VIPcric_1!M1496)</f>
        <v>CRIC-桐庐-市场监测.商品房市场.项目累计.供求.xlsx</v>
      </c>
    </row>
    <row r="1515" spans="1:9">
      <c r="A1515" t="str">
        <f>IF(VIPcric_1!A1497="","",VIPcric_1!A1497)</f>
        <v>2019年</v>
      </c>
      <c r="B1515">
        <f>IF(VIPcric_1!B1497="","",VIPcric_1!B1497)</f>
        <v>245928</v>
      </c>
      <c r="C1515">
        <f>IF(VIPcric_1!C1497="","",VIPcric_1!C1497)</f>
        <v>2117</v>
      </c>
      <c r="D1515">
        <f>IF(VIPcric_1!D1497="","",VIPcric_1!D1497)</f>
        <v>197496</v>
      </c>
      <c r="E1515">
        <f>IF(VIPcric_1!E1497="","",VIPcric_1!E1497)</f>
        <v>1688</v>
      </c>
      <c r="F1515">
        <f>IF(VIPcric_1!F1497="","",VIPcric_1!F1497)</f>
        <v>17600</v>
      </c>
      <c r="G1515">
        <f>IF(VIPcric_1!G1497="","",VIPcric_1!G1497)</f>
        <v>3475840953</v>
      </c>
      <c r="H1515">
        <f>IF(VIPcric_1!H1497="","",VIPcric_1!H1497)</f>
        <v>1.25</v>
      </c>
      <c r="I1515" t="str">
        <f>IF(VIPcric_1!M1497="","",VIPcric_1!M1497)</f>
        <v>CRIC-桐庐-市场监测.商品房市场.项目累计.供求.xlsx</v>
      </c>
    </row>
    <row r="1516" spans="1:9">
      <c r="A1516" t="str">
        <f>IF(VIPcric_1!A1498="","",VIPcric_1!A1498)</f>
        <v>汇总</v>
      </c>
      <c r="B1516">
        <f>IF(VIPcric_1!B1498="","",VIPcric_1!B1498)</f>
        <v>1519518</v>
      </c>
      <c r="C1516">
        <f>IF(VIPcric_1!C1498="","",VIPcric_1!C1498)</f>
        <v>13692</v>
      </c>
      <c r="D1516">
        <f>IF(VIPcric_1!D1498="","",VIPcric_1!D1498)</f>
        <v>1318316</v>
      </c>
      <c r="E1516">
        <f>IF(VIPcric_1!E1498="","",VIPcric_1!E1498)</f>
        <v>11697</v>
      </c>
      <c r="F1516">
        <f>IF(VIPcric_1!F1498="","",VIPcric_1!F1498)</f>
        <v>18373</v>
      </c>
      <c r="G1516">
        <f>IF(VIPcric_1!G1498="","",VIPcric_1!G1498)</f>
        <v>24221417747</v>
      </c>
      <c r="H1516">
        <f>IF(VIPcric_1!H1498="","",VIPcric_1!H1498)</f>
        <v>1.1499999999999999</v>
      </c>
      <c r="I1516" t="str">
        <f>IF(VIPcric_1!M1498="","",VIPcric_1!M1498)</f>
        <v>CRIC-桐庐-市场监测.商品房市场.项目累计.供求.xlsx</v>
      </c>
    </row>
    <row r="1517" spans="1:9">
      <c r="A1517" t="str">
        <f>IF(VIPcric_1!A1499="","",VIPcric_1!A1499)</f>
        <v/>
      </c>
      <c r="B1517" t="str">
        <f>IF(VIPcric_1!B1499="","",VIPcric_1!B1499)</f>
        <v/>
      </c>
      <c r="C1517" t="str">
        <f>IF(VIPcric_1!C1499="","",VIPcric_1!C1499)</f>
        <v/>
      </c>
      <c r="D1517" t="str">
        <f>IF(VIPcric_1!D1499="","",VIPcric_1!D1499)</f>
        <v/>
      </c>
      <c r="E1517" t="str">
        <f>IF(VIPcric_1!E1499="","",VIPcric_1!E1499)</f>
        <v/>
      </c>
      <c r="F1517" t="str">
        <f>IF(VIPcric_1!F1499="","",VIPcric_1!F1499)</f>
        <v/>
      </c>
      <c r="G1517" t="str">
        <f>IF(VIPcric_1!G1499="","",VIPcric_1!G1499)</f>
        <v/>
      </c>
      <c r="H1517" t="str">
        <f>IF(VIPcric_1!H1499="","",VIPcric_1!H1499)</f>
        <v/>
      </c>
      <c r="I1517" t="str">
        <f>IF(VIPcric_1!M1499="","",VIPcric_1!M1499)</f>
        <v/>
      </c>
    </row>
    <row r="1518" spans="1:9">
      <c r="A1518" t="str">
        <f>IF(VIPcric_1!A1500="","",VIPcric_1!A1500)</f>
        <v/>
      </c>
      <c r="B1518" t="str">
        <f>IF(VIPcric_1!B1500="","",VIPcric_1!B1500)</f>
        <v/>
      </c>
      <c r="C1518" t="str">
        <f>IF(VIPcric_1!C1500="","",VIPcric_1!C1500)</f>
        <v/>
      </c>
      <c r="D1518" t="str">
        <f>IF(VIPcric_1!D1500="","",VIPcric_1!D1500)</f>
        <v/>
      </c>
      <c r="E1518" t="str">
        <f>IF(VIPcric_1!E1500="","",VIPcric_1!E1500)</f>
        <v/>
      </c>
      <c r="F1518" t="str">
        <f>IF(VIPcric_1!F1500="","",VIPcric_1!F1500)</f>
        <v/>
      </c>
      <c r="G1518" t="str">
        <f>IF(VIPcric_1!G1500="","",VIPcric_1!G1500)</f>
        <v/>
      </c>
      <c r="H1518" t="str">
        <f>IF(VIPcric_1!H1500="","",VIPcric_1!H1500)</f>
        <v/>
      </c>
      <c r="I1518" t="str">
        <f>IF(VIPcric_1!M1500="","",VIPcric_1!M1500)</f>
        <v>CRIC-桐庐-市场监测.商品房市场.项目累计.库存.xlsx</v>
      </c>
    </row>
    <row r="1519" spans="1:9">
      <c r="A1519" t="str">
        <f>IF(VIPcric_1!A1501="","",VIPcric_1!A1501)</f>
        <v>时间(年)</v>
      </c>
      <c r="B1519" t="str">
        <f>IF(VIPcric_1!B1501="","",VIPcric_1!B1501)</f>
        <v>库存面积(㎡)</v>
      </c>
      <c r="C1519" t="str">
        <f>IF(VIPcric_1!C1501="","",VIPcric_1!C1501)</f>
        <v>库存套数(套)</v>
      </c>
      <c r="D1519" t="str">
        <f>IF(VIPcric_1!D1501="","",VIPcric_1!D1501)</f>
        <v>去化周期12'(月)</v>
      </c>
      <c r="E1519" t="str">
        <f>IF(VIPcric_1!E1501="","",VIPcric_1!E1501)</f>
        <v>去化周期24'(月)</v>
      </c>
      <c r="F1519" t="str">
        <f>IF(VIPcric_1!F1501="","",VIPcric_1!F1501)</f>
        <v/>
      </c>
      <c r="G1519" t="str">
        <f>IF(VIPcric_1!G1501="","",VIPcric_1!G1501)</f>
        <v/>
      </c>
      <c r="H1519" t="str">
        <f>IF(VIPcric_1!H1501="","",VIPcric_1!H1501)</f>
        <v/>
      </c>
      <c r="I1519" t="str">
        <f>IF(VIPcric_1!M1501="","",VIPcric_1!M1501)</f>
        <v>CRIC-桐庐-市场监测.商品房市场.项目累计.库存.xlsx</v>
      </c>
    </row>
    <row r="1520" spans="1:9">
      <c r="A1520" t="str">
        <f>IF(VIPcric_1!A1502="","",VIPcric_1!A1502)</f>
        <v>2024年</v>
      </c>
      <c r="B1520">
        <f>IF(VIPcric_1!B1502="","",VIPcric_1!B1502)</f>
        <v>470925</v>
      </c>
      <c r="C1520">
        <f>IF(VIPcric_1!C1502="","",VIPcric_1!C1502)</f>
        <v>4343</v>
      </c>
      <c r="D1520">
        <f>IF(VIPcric_1!D1502="","",VIPcric_1!D1502)</f>
        <v>34.299999999999997</v>
      </c>
      <c r="E1520">
        <f>IF(VIPcric_1!E1502="","",VIPcric_1!E1502)</f>
        <v>27.7</v>
      </c>
      <c r="F1520" t="str">
        <f>IF(VIPcric_1!F1502="","",VIPcric_1!F1502)</f>
        <v/>
      </c>
      <c r="G1520" t="str">
        <f>IF(VIPcric_1!G1502="","",VIPcric_1!G1502)</f>
        <v/>
      </c>
      <c r="H1520" t="str">
        <f>IF(VIPcric_1!H1502="","",VIPcric_1!H1502)</f>
        <v/>
      </c>
      <c r="I1520" t="str">
        <f>IF(VIPcric_1!M1502="","",VIPcric_1!M1502)</f>
        <v>CRIC-桐庐-市场监测.商品房市场.项目累计.库存.xlsx</v>
      </c>
    </row>
    <row r="1521" spans="1:9">
      <c r="A1521" t="str">
        <f>IF(VIPcric_1!A1503="","",VIPcric_1!A1503)</f>
        <v>2023年</v>
      </c>
      <c r="B1521">
        <f>IF(VIPcric_1!B1503="","",VIPcric_1!B1503)</f>
        <v>477565</v>
      </c>
      <c r="C1521">
        <f>IF(VIPcric_1!C1503="","",VIPcric_1!C1503)</f>
        <v>4397</v>
      </c>
      <c r="D1521">
        <f>IF(VIPcric_1!D1503="","",VIPcric_1!D1503)</f>
        <v>33.799999999999997</v>
      </c>
      <c r="E1521">
        <f>IF(VIPcric_1!E1503="","",VIPcric_1!E1503)</f>
        <v>27.4</v>
      </c>
      <c r="F1521" t="str">
        <f>IF(VIPcric_1!F1503="","",VIPcric_1!F1503)</f>
        <v/>
      </c>
      <c r="G1521" t="str">
        <f>IF(VIPcric_1!G1503="","",VIPcric_1!G1503)</f>
        <v/>
      </c>
      <c r="H1521" t="str">
        <f>IF(VIPcric_1!H1503="","",VIPcric_1!H1503)</f>
        <v/>
      </c>
      <c r="I1521" t="str">
        <f>IF(VIPcric_1!M1503="","",VIPcric_1!M1503)</f>
        <v>CRIC-桐庐-市场监测.商品房市场.项目累计.库存.xlsx</v>
      </c>
    </row>
    <row r="1522" spans="1:9">
      <c r="A1522" t="str">
        <f>IF(VIPcric_1!A1504="","",VIPcric_1!A1504)</f>
        <v>2022年</v>
      </c>
      <c r="B1522">
        <f>IF(VIPcric_1!B1504="","",VIPcric_1!B1504)</f>
        <v>565804</v>
      </c>
      <c r="C1522">
        <f>IF(VIPcric_1!C1504="","",VIPcric_1!C1504)</f>
        <v>5063</v>
      </c>
      <c r="D1522">
        <f>IF(VIPcric_1!D1504="","",VIPcric_1!D1504)</f>
        <v>27.3</v>
      </c>
      <c r="E1522">
        <f>IF(VIPcric_1!E1504="","",VIPcric_1!E1504)</f>
        <v>21.1</v>
      </c>
      <c r="F1522" t="str">
        <f>IF(VIPcric_1!F1504="","",VIPcric_1!F1504)</f>
        <v/>
      </c>
      <c r="G1522" t="str">
        <f>IF(VIPcric_1!G1504="","",VIPcric_1!G1504)</f>
        <v/>
      </c>
      <c r="H1522" t="str">
        <f>IF(VIPcric_1!H1504="","",VIPcric_1!H1504)</f>
        <v/>
      </c>
      <c r="I1522" t="str">
        <f>IF(VIPcric_1!M1504="","",VIPcric_1!M1504)</f>
        <v>CRIC-桐庐-市场监测.商品房市场.项目累计.库存.xlsx</v>
      </c>
    </row>
    <row r="1523" spans="1:9">
      <c r="A1523" t="str">
        <f>IF(VIPcric_1!A1505="","",VIPcric_1!A1505)</f>
        <v>2021年</v>
      </c>
      <c r="B1523">
        <f>IF(VIPcric_1!B1505="","",VIPcric_1!B1505)</f>
        <v>452507</v>
      </c>
      <c r="C1523">
        <f>IF(VIPcric_1!C1505="","",VIPcric_1!C1505)</f>
        <v>3984</v>
      </c>
      <c r="D1523">
        <f>IF(VIPcric_1!D1505="","",VIPcric_1!D1505)</f>
        <v>13.7</v>
      </c>
      <c r="E1523">
        <f>IF(VIPcric_1!E1505="","",VIPcric_1!E1505)</f>
        <v>15.6</v>
      </c>
      <c r="F1523" t="str">
        <f>IF(VIPcric_1!F1505="","",VIPcric_1!F1505)</f>
        <v/>
      </c>
      <c r="G1523" t="str">
        <f>IF(VIPcric_1!G1505="","",VIPcric_1!G1505)</f>
        <v/>
      </c>
      <c r="H1523" t="str">
        <f>IF(VIPcric_1!H1505="","",VIPcric_1!H1505)</f>
        <v/>
      </c>
      <c r="I1523" t="str">
        <f>IF(VIPcric_1!M1505="","",VIPcric_1!M1505)</f>
        <v>CRIC-桐庐-市场监测.商品房市场.项目累计.库存.xlsx</v>
      </c>
    </row>
    <row r="1524" spans="1:9">
      <c r="A1524" t="str">
        <f>IF(VIPcric_1!A1506="","",VIPcric_1!A1506)</f>
        <v>2020年</v>
      </c>
      <c r="B1524">
        <f>IF(VIPcric_1!B1506="","",VIPcric_1!B1506)</f>
        <v>457789</v>
      </c>
      <c r="C1524">
        <f>IF(VIPcric_1!C1506="","",VIPcric_1!C1506)</f>
        <v>3957</v>
      </c>
      <c r="D1524">
        <f>IF(VIPcric_1!D1506="","",VIPcric_1!D1506)</f>
        <v>18.399999999999999</v>
      </c>
      <c r="E1524">
        <f>IF(VIPcric_1!E1506="","",VIPcric_1!E1506)</f>
        <v>22.2</v>
      </c>
      <c r="F1524" t="str">
        <f>IF(VIPcric_1!F1506="","",VIPcric_1!F1506)</f>
        <v/>
      </c>
      <c r="G1524" t="str">
        <f>IF(VIPcric_1!G1506="","",VIPcric_1!G1506)</f>
        <v/>
      </c>
      <c r="H1524" t="str">
        <f>IF(VIPcric_1!H1506="","",VIPcric_1!H1506)</f>
        <v/>
      </c>
      <c r="I1524" t="str">
        <f>IF(VIPcric_1!M1506="","",VIPcric_1!M1506)</f>
        <v>CRIC-桐庐-市场监测.商品房市场.项目累计.库存.xlsx</v>
      </c>
    </row>
    <row r="1525" spans="1:9">
      <c r="A1525" t="str">
        <f>IF(VIPcric_1!A1507="","",VIPcric_1!A1507)</f>
        <v>2019年</v>
      </c>
      <c r="B1525">
        <f>IF(VIPcric_1!B1507="","",VIPcric_1!B1507)</f>
        <v>398065</v>
      </c>
      <c r="C1525">
        <f>IF(VIPcric_1!C1507="","",VIPcric_1!C1507)</f>
        <v>3809</v>
      </c>
      <c r="D1525">
        <f>IF(VIPcric_1!D1507="","",VIPcric_1!D1507)</f>
        <v>24.2</v>
      </c>
      <c r="E1525">
        <f>IF(VIPcric_1!E1507="","",VIPcric_1!E1507)</f>
        <v>22</v>
      </c>
      <c r="F1525" t="str">
        <f>IF(VIPcric_1!F1507="","",VIPcric_1!F1507)</f>
        <v/>
      </c>
      <c r="G1525" t="str">
        <f>IF(VIPcric_1!G1507="","",VIPcric_1!G1507)</f>
        <v/>
      </c>
      <c r="H1525" t="str">
        <f>IF(VIPcric_1!H1507="","",VIPcric_1!H1507)</f>
        <v/>
      </c>
      <c r="I1525" t="str">
        <f>IF(VIPcric_1!M1507="","",VIPcric_1!M1507)</f>
        <v>CRIC-桐庐-市场监测.商品房市场.项目累计.库存.xlsx</v>
      </c>
    </row>
    <row r="1526" spans="1:9">
      <c r="A1526" t="str">
        <f>IF(VIPcric_1!A1508="","",VIPcric_1!A1508)</f>
        <v/>
      </c>
      <c r="B1526" t="str">
        <f>IF(VIPcric_1!B1508="","",VIPcric_1!B1508)</f>
        <v/>
      </c>
      <c r="C1526" t="str">
        <f>IF(VIPcric_1!C1508="","",VIPcric_1!C1508)</f>
        <v/>
      </c>
      <c r="D1526" t="str">
        <f>IF(VIPcric_1!D1508="","",VIPcric_1!D1508)</f>
        <v/>
      </c>
      <c r="E1526" t="str">
        <f>IF(VIPcric_1!E1508="","",VIPcric_1!E1508)</f>
        <v/>
      </c>
      <c r="F1526" t="str">
        <f>IF(VIPcric_1!F1508="","",VIPcric_1!F1508)</f>
        <v/>
      </c>
      <c r="G1526" t="str">
        <f>IF(VIPcric_1!G1508="","",VIPcric_1!G1508)</f>
        <v/>
      </c>
      <c r="H1526" t="str">
        <f>IF(VIPcric_1!H1508="","",VIPcric_1!H1508)</f>
        <v/>
      </c>
      <c r="I1526" t="str">
        <f>IF(VIPcric_1!M1508="","",VIPcric_1!M1508)</f>
        <v/>
      </c>
    </row>
    <row r="1527" spans="1:9">
      <c r="A1527" t="str">
        <f>IF(VIPcric_1!A1509="","",VIPcric_1!A1509)</f>
        <v/>
      </c>
      <c r="B1527" t="str">
        <f>IF(VIPcric_1!B1509="","",VIPcric_1!B1509)</f>
        <v/>
      </c>
      <c r="C1527" t="str">
        <f>IF(VIPcric_1!C1509="","",VIPcric_1!C1509)</f>
        <v/>
      </c>
      <c r="D1527" t="str">
        <f>IF(VIPcric_1!D1509="","",VIPcric_1!D1509)</f>
        <v/>
      </c>
      <c r="E1527" t="str">
        <f>IF(VIPcric_1!E1509="","",VIPcric_1!E1509)</f>
        <v/>
      </c>
      <c r="F1527" t="str">
        <f>IF(VIPcric_1!F1509="","",VIPcric_1!F1509)</f>
        <v/>
      </c>
      <c r="G1527" t="str">
        <f>IF(VIPcric_1!G1509="","",VIPcric_1!G1509)</f>
        <v/>
      </c>
      <c r="H1527" t="str">
        <f>IF(VIPcric_1!H1509="","",VIPcric_1!H1509)</f>
        <v/>
      </c>
      <c r="I1527" t="str">
        <f>IF(VIPcric_1!M1509="","",VIPcric_1!M1509)</f>
        <v>CRIC-武汉-市场监测.商品房市场.项目累计.供求.xlsx</v>
      </c>
    </row>
    <row r="1528" spans="1:9">
      <c r="A1528" t="str">
        <f>IF(VIPcric_1!A1510="","",VIPcric_1!A1510)</f>
        <v>时间(年)</v>
      </c>
      <c r="B1528" t="str">
        <f>IF(VIPcric_1!B1510="","",VIPcric_1!B1510)</f>
        <v>供应面积(㎡)</v>
      </c>
      <c r="C1528" t="str">
        <f>IF(VIPcric_1!C1510="","",VIPcric_1!C1510)</f>
        <v>供应套数(套)</v>
      </c>
      <c r="D1528" t="str">
        <f>IF(VIPcric_1!D1510="","",VIPcric_1!D1510)</f>
        <v>成交面积(㎡)</v>
      </c>
      <c r="E1528" t="str">
        <f>IF(VIPcric_1!E1510="","",VIPcric_1!E1510)</f>
        <v>成交套数(套)</v>
      </c>
      <c r="F1528" t="str">
        <f>IF(VIPcric_1!F1510="","",VIPcric_1!F1510)</f>
        <v>成交均价(元/㎡)</v>
      </c>
      <c r="G1528" t="str">
        <f>IF(VIPcric_1!G1510="","",VIPcric_1!G1510)</f>
        <v>成交金额(元)</v>
      </c>
      <c r="H1528" t="str">
        <f>IF(VIPcric_1!H1510="","",VIPcric_1!H1510)</f>
        <v>供求比</v>
      </c>
      <c r="I1528" t="str">
        <f>IF(VIPcric_1!M1510="","",VIPcric_1!M1510)</f>
        <v>CRIC-武汉-市场监测.商品房市场.项目累计.供求.xlsx</v>
      </c>
    </row>
    <row r="1529" spans="1:9">
      <c r="A1529" t="str">
        <f>IF(VIPcric_1!A1511="","",VIPcric_1!A1511)</f>
        <v>2023年</v>
      </c>
      <c r="B1529">
        <f>IF(VIPcric_1!B1511="","",VIPcric_1!B1511)</f>
        <v>8728103</v>
      </c>
      <c r="C1529">
        <f>IF(VIPcric_1!C1511="","",VIPcric_1!C1511)</f>
        <v>72622</v>
      </c>
      <c r="D1529">
        <f>IF(VIPcric_1!D1511="","",VIPcric_1!D1511)</f>
        <v>10402600</v>
      </c>
      <c r="E1529">
        <f>IF(VIPcric_1!E1511="","",VIPcric_1!E1511)</f>
        <v>87310</v>
      </c>
      <c r="F1529">
        <f>IF(VIPcric_1!F1511="","",VIPcric_1!F1511)</f>
        <v>16780</v>
      </c>
      <c r="G1529">
        <f>IF(VIPcric_1!G1511="","",VIPcric_1!G1511)</f>
        <v>174557325202</v>
      </c>
      <c r="H1529">
        <f>IF(VIPcric_1!H1511="","",VIPcric_1!H1511)</f>
        <v>0.84</v>
      </c>
      <c r="I1529" t="str">
        <f>IF(VIPcric_1!M1511="","",VIPcric_1!M1511)</f>
        <v>CRIC-武汉-市场监测.商品房市场.项目累计.供求.xlsx</v>
      </c>
    </row>
    <row r="1530" spans="1:9">
      <c r="A1530" t="str">
        <f>IF(VIPcric_1!A1512="","",VIPcric_1!A1512)</f>
        <v>2022年</v>
      </c>
      <c r="B1530">
        <f>IF(VIPcric_1!B1512="","",VIPcric_1!B1512)</f>
        <v>9542980</v>
      </c>
      <c r="C1530">
        <f>IF(VIPcric_1!C1512="","",VIPcric_1!C1512)</f>
        <v>82409</v>
      </c>
      <c r="D1530">
        <f>IF(VIPcric_1!D1512="","",VIPcric_1!D1512)</f>
        <v>10003299</v>
      </c>
      <c r="E1530">
        <f>IF(VIPcric_1!E1512="","",VIPcric_1!E1512)</f>
        <v>85123</v>
      </c>
      <c r="F1530">
        <f>IF(VIPcric_1!F1512="","",VIPcric_1!F1512)</f>
        <v>16055</v>
      </c>
      <c r="G1530">
        <f>IF(VIPcric_1!G1512="","",VIPcric_1!G1512)</f>
        <v>160600441315</v>
      </c>
      <c r="H1530">
        <f>IF(VIPcric_1!H1512="","",VIPcric_1!H1512)</f>
        <v>0.95</v>
      </c>
      <c r="I1530" t="str">
        <f>IF(VIPcric_1!M1512="","",VIPcric_1!M1512)</f>
        <v>CRIC-武汉-市场监测.商品房市场.项目累计.供求.xlsx</v>
      </c>
    </row>
    <row r="1531" spans="1:9">
      <c r="A1531" t="str">
        <f>IF(VIPcric_1!A1513="","",VIPcric_1!A1513)</f>
        <v>2021年</v>
      </c>
      <c r="B1531">
        <f>IF(VIPcric_1!B1513="","",VIPcric_1!B1513)</f>
        <v>20199553</v>
      </c>
      <c r="C1531">
        <f>IF(VIPcric_1!C1513="","",VIPcric_1!C1513)</f>
        <v>174962</v>
      </c>
      <c r="D1531">
        <f>IF(VIPcric_1!D1513="","",VIPcric_1!D1513)</f>
        <v>19267194</v>
      </c>
      <c r="E1531">
        <f>IF(VIPcric_1!E1513="","",VIPcric_1!E1513)</f>
        <v>165773</v>
      </c>
      <c r="F1531">
        <f>IF(VIPcric_1!F1513="","",VIPcric_1!F1513)</f>
        <v>16690</v>
      </c>
      <c r="G1531">
        <f>IF(VIPcric_1!G1513="","",VIPcric_1!G1513)</f>
        <v>321576516422</v>
      </c>
      <c r="H1531">
        <f>IF(VIPcric_1!H1513="","",VIPcric_1!H1513)</f>
        <v>1.05</v>
      </c>
      <c r="I1531" t="str">
        <f>IF(VIPcric_1!M1513="","",VIPcric_1!M1513)</f>
        <v>CRIC-武汉-市场监测.商品房市场.项目累计.供求.xlsx</v>
      </c>
    </row>
    <row r="1532" spans="1:9">
      <c r="A1532" t="str">
        <f>IF(VIPcric_1!A1514="","",VIPcric_1!A1514)</f>
        <v>2020年</v>
      </c>
      <c r="B1532">
        <f>IF(VIPcric_1!B1514="","",VIPcric_1!B1514)</f>
        <v>20794466</v>
      </c>
      <c r="C1532">
        <f>IF(VIPcric_1!C1514="","",VIPcric_1!C1514)</f>
        <v>177869</v>
      </c>
      <c r="D1532">
        <f>IF(VIPcric_1!D1514="","",VIPcric_1!D1514)</f>
        <v>17264415</v>
      </c>
      <c r="E1532">
        <f>IF(VIPcric_1!E1514="","",VIPcric_1!E1514)</f>
        <v>150033</v>
      </c>
      <c r="F1532">
        <f>IF(VIPcric_1!F1514="","",VIPcric_1!F1514)</f>
        <v>14840</v>
      </c>
      <c r="G1532">
        <f>IF(VIPcric_1!G1514="","",VIPcric_1!G1514)</f>
        <v>256201232358</v>
      </c>
      <c r="H1532">
        <f>IF(VIPcric_1!H1514="","",VIPcric_1!H1514)</f>
        <v>1.2</v>
      </c>
      <c r="I1532" t="str">
        <f>IF(VIPcric_1!M1514="","",VIPcric_1!M1514)</f>
        <v>CRIC-武汉-市场监测.商品房市场.项目累计.供求.xlsx</v>
      </c>
    </row>
    <row r="1533" spans="1:9">
      <c r="A1533" t="str">
        <f>IF(VIPcric_1!A1515="","",VIPcric_1!A1515)</f>
        <v>2019年</v>
      </c>
      <c r="B1533">
        <f>IF(VIPcric_1!B1515="","",VIPcric_1!B1515)</f>
        <v>24203450</v>
      </c>
      <c r="C1533">
        <f>IF(VIPcric_1!C1515="","",VIPcric_1!C1515)</f>
        <v>208853</v>
      </c>
      <c r="D1533">
        <f>IF(VIPcric_1!D1515="","",VIPcric_1!D1515)</f>
        <v>20669169</v>
      </c>
      <c r="E1533">
        <f>IF(VIPcric_1!E1515="","",VIPcric_1!E1515)</f>
        <v>181297</v>
      </c>
      <c r="F1533">
        <f>IF(VIPcric_1!F1515="","",VIPcric_1!F1515)</f>
        <v>12862</v>
      </c>
      <c r="G1533">
        <f>IF(VIPcric_1!G1515="","",VIPcric_1!G1515)</f>
        <v>265847160371</v>
      </c>
      <c r="H1533">
        <f>IF(VIPcric_1!H1515="","",VIPcric_1!H1515)</f>
        <v>1.17</v>
      </c>
      <c r="I1533" t="str">
        <f>IF(VIPcric_1!M1515="","",VIPcric_1!M1515)</f>
        <v>CRIC-武汉-市场监测.商品房市场.项目累计.供求.xlsx</v>
      </c>
    </row>
    <row r="1534" spans="1:9">
      <c r="A1534" t="str">
        <f>IF(VIPcric_1!A1516="","",VIPcric_1!A1516)</f>
        <v>汇总</v>
      </c>
      <c r="B1534">
        <f>IF(VIPcric_1!B1516="","",VIPcric_1!B1516)</f>
        <v>83468553</v>
      </c>
      <c r="C1534">
        <f>IF(VIPcric_1!C1516="","",VIPcric_1!C1516)</f>
        <v>716715</v>
      </c>
      <c r="D1534">
        <f>IF(VIPcric_1!D1516="","",VIPcric_1!D1516)</f>
        <v>77606677</v>
      </c>
      <c r="E1534">
        <f>IF(VIPcric_1!E1516="","",VIPcric_1!E1516)</f>
        <v>669536</v>
      </c>
      <c r="F1534">
        <f>IF(VIPcric_1!F1516="","",VIPcric_1!F1516)</f>
        <v>15189</v>
      </c>
      <c r="G1534">
        <f>IF(VIPcric_1!G1516="","",VIPcric_1!G1516)</f>
        <v>1178782675667</v>
      </c>
      <c r="H1534">
        <f>IF(VIPcric_1!H1516="","",VIPcric_1!H1516)</f>
        <v>1.08</v>
      </c>
      <c r="I1534" t="str">
        <f>IF(VIPcric_1!M1516="","",VIPcric_1!M1516)</f>
        <v>CRIC-武汉-市场监测.商品房市场.项目累计.供求.xlsx</v>
      </c>
    </row>
    <row r="1535" spans="1:9">
      <c r="A1535" t="str">
        <f>IF(VIPcric_1!A1517="","",VIPcric_1!A1517)</f>
        <v/>
      </c>
      <c r="B1535" t="str">
        <f>IF(VIPcric_1!B1517="","",VIPcric_1!B1517)</f>
        <v/>
      </c>
      <c r="C1535" t="str">
        <f>IF(VIPcric_1!C1517="","",VIPcric_1!C1517)</f>
        <v/>
      </c>
      <c r="D1535" t="str">
        <f>IF(VIPcric_1!D1517="","",VIPcric_1!D1517)</f>
        <v/>
      </c>
      <c r="E1535" t="str">
        <f>IF(VIPcric_1!E1517="","",VIPcric_1!E1517)</f>
        <v/>
      </c>
      <c r="F1535" t="str">
        <f>IF(VIPcric_1!F1517="","",VIPcric_1!F1517)</f>
        <v/>
      </c>
      <c r="G1535" t="str">
        <f>IF(VIPcric_1!G1517="","",VIPcric_1!G1517)</f>
        <v/>
      </c>
      <c r="H1535" t="str">
        <f>IF(VIPcric_1!H1517="","",VIPcric_1!H1517)</f>
        <v/>
      </c>
      <c r="I1535" t="str">
        <f>IF(VIPcric_1!M1517="","",VIPcric_1!M1517)</f>
        <v/>
      </c>
    </row>
    <row r="1536" spans="1:9">
      <c r="A1536" t="str">
        <f>IF(VIPcric_1!A1518="","",VIPcric_1!A1518)</f>
        <v/>
      </c>
      <c r="B1536" t="str">
        <f>IF(VIPcric_1!B1518="","",VIPcric_1!B1518)</f>
        <v/>
      </c>
      <c r="C1536" t="str">
        <f>IF(VIPcric_1!C1518="","",VIPcric_1!C1518)</f>
        <v/>
      </c>
      <c r="D1536" t="str">
        <f>IF(VIPcric_1!D1518="","",VIPcric_1!D1518)</f>
        <v/>
      </c>
      <c r="E1536" t="str">
        <f>IF(VIPcric_1!E1518="","",VIPcric_1!E1518)</f>
        <v/>
      </c>
      <c r="F1536" t="str">
        <f>IF(VIPcric_1!F1518="","",VIPcric_1!F1518)</f>
        <v/>
      </c>
      <c r="G1536" t="str">
        <f>IF(VIPcric_1!G1518="","",VIPcric_1!G1518)</f>
        <v/>
      </c>
      <c r="H1536" t="str">
        <f>IF(VIPcric_1!H1518="","",VIPcric_1!H1518)</f>
        <v/>
      </c>
      <c r="I1536" t="str">
        <f>IF(VIPcric_1!M1518="","",VIPcric_1!M1518)</f>
        <v>CRIC-武汉-市场监测.商品房市场.项目累计.库存.xlsx</v>
      </c>
    </row>
    <row r="1537" spans="1:9">
      <c r="A1537" t="str">
        <f>IF(VIPcric_1!A1519="","",VIPcric_1!A1519)</f>
        <v>时间(年)</v>
      </c>
      <c r="B1537" t="str">
        <f>IF(VIPcric_1!B1519="","",VIPcric_1!B1519)</f>
        <v>库存面积(㎡)</v>
      </c>
      <c r="C1537" t="str">
        <f>IF(VIPcric_1!C1519="","",VIPcric_1!C1519)</f>
        <v>库存套数(套)</v>
      </c>
      <c r="D1537" t="str">
        <f>IF(VIPcric_1!D1519="","",VIPcric_1!D1519)</f>
        <v>去化周期12'(月)</v>
      </c>
      <c r="E1537" t="str">
        <f>IF(VIPcric_1!E1519="","",VIPcric_1!E1519)</f>
        <v>去化周期24'(月)</v>
      </c>
      <c r="F1537" t="str">
        <f>IF(VIPcric_1!F1519="","",VIPcric_1!F1519)</f>
        <v/>
      </c>
      <c r="G1537" t="str">
        <f>IF(VIPcric_1!G1519="","",VIPcric_1!G1519)</f>
        <v/>
      </c>
      <c r="H1537" t="str">
        <f>IF(VIPcric_1!H1519="","",VIPcric_1!H1519)</f>
        <v/>
      </c>
      <c r="I1537" t="str">
        <f>IF(VIPcric_1!M1519="","",VIPcric_1!M1519)</f>
        <v>CRIC-武汉-市场监测.商品房市场.项目累计.库存.xlsx</v>
      </c>
    </row>
    <row r="1538" spans="1:9">
      <c r="A1538" t="str">
        <f>IF(VIPcric_1!A1520="","",VIPcric_1!A1520)</f>
        <v>2024年</v>
      </c>
      <c r="B1538">
        <f>IF(VIPcric_1!B1520="","",VIPcric_1!B1520)</f>
        <v>15455687</v>
      </c>
      <c r="C1538">
        <f>IF(VIPcric_1!C1520="","",VIPcric_1!C1520)</f>
        <v>130821</v>
      </c>
      <c r="D1538">
        <f>IF(VIPcric_1!D1520="","",VIPcric_1!D1520)</f>
        <v>18.5</v>
      </c>
      <c r="E1538">
        <f>IF(VIPcric_1!E1520="","",VIPcric_1!E1520)</f>
        <v>18.600000000000001</v>
      </c>
      <c r="F1538" t="str">
        <f>IF(VIPcric_1!F1520="","",VIPcric_1!F1520)</f>
        <v/>
      </c>
      <c r="G1538" t="str">
        <f>IF(VIPcric_1!G1520="","",VIPcric_1!G1520)</f>
        <v/>
      </c>
      <c r="H1538" t="str">
        <f>IF(VIPcric_1!H1520="","",VIPcric_1!H1520)</f>
        <v/>
      </c>
      <c r="I1538" t="str">
        <f>IF(VIPcric_1!M1520="","",VIPcric_1!M1520)</f>
        <v>CRIC-武汉-市场监测.商品房市场.项目累计.库存.xlsx</v>
      </c>
    </row>
    <row r="1539" spans="1:9">
      <c r="A1539" t="str">
        <f>IF(VIPcric_1!A1521="","",VIPcric_1!A1521)</f>
        <v>2023年</v>
      </c>
      <c r="B1539">
        <f>IF(VIPcric_1!B1521="","",VIPcric_1!B1521)</f>
        <v>15528464</v>
      </c>
      <c r="C1539">
        <f>IF(VIPcric_1!C1521="","",VIPcric_1!C1521)</f>
        <v>131350</v>
      </c>
      <c r="D1539">
        <f>IF(VIPcric_1!D1521="","",VIPcric_1!D1521)</f>
        <v>17.899999999999999</v>
      </c>
      <c r="E1539">
        <f>IF(VIPcric_1!E1521="","",VIPcric_1!E1521)</f>
        <v>18.3</v>
      </c>
      <c r="F1539" t="str">
        <f>IF(VIPcric_1!F1521="","",VIPcric_1!F1521)</f>
        <v/>
      </c>
      <c r="G1539" t="str">
        <f>IF(VIPcric_1!G1521="","",VIPcric_1!G1521)</f>
        <v/>
      </c>
      <c r="H1539" t="str">
        <f>IF(VIPcric_1!H1521="","",VIPcric_1!H1521)</f>
        <v/>
      </c>
      <c r="I1539" t="str">
        <f>IF(VIPcric_1!M1521="","",VIPcric_1!M1521)</f>
        <v>CRIC-武汉-市场监测.商品房市场.项目累计.库存.xlsx</v>
      </c>
    </row>
    <row r="1540" spans="1:9">
      <c r="A1540" t="str">
        <f>IF(VIPcric_1!A1522="","",VIPcric_1!A1522)</f>
        <v>2022年</v>
      </c>
      <c r="B1540">
        <f>IF(VIPcric_1!B1522="","",VIPcric_1!B1522)</f>
        <v>16951874</v>
      </c>
      <c r="C1540">
        <f>IF(VIPcric_1!C1522="","",VIPcric_1!C1522)</f>
        <v>144468</v>
      </c>
      <c r="D1540">
        <f>IF(VIPcric_1!D1522="","",VIPcric_1!D1522)</f>
        <v>20.3</v>
      </c>
      <c r="E1540">
        <f>IF(VIPcric_1!E1522="","",VIPcric_1!E1522)</f>
        <v>13.9</v>
      </c>
      <c r="F1540" t="str">
        <f>IF(VIPcric_1!F1522="","",VIPcric_1!F1522)</f>
        <v/>
      </c>
      <c r="G1540" t="str">
        <f>IF(VIPcric_1!G1522="","",VIPcric_1!G1522)</f>
        <v/>
      </c>
      <c r="H1540" t="str">
        <f>IF(VIPcric_1!H1522="","",VIPcric_1!H1522)</f>
        <v/>
      </c>
      <c r="I1540" t="str">
        <f>IF(VIPcric_1!M1522="","",VIPcric_1!M1522)</f>
        <v>CRIC-武汉-市场监测.商品房市场.项目累计.库存.xlsx</v>
      </c>
    </row>
    <row r="1541" spans="1:9">
      <c r="A1541" t="str">
        <f>IF(VIPcric_1!A1523="","",VIPcric_1!A1523)</f>
        <v>2021年</v>
      </c>
      <c r="B1541">
        <f>IF(VIPcric_1!B1523="","",VIPcric_1!B1523)</f>
        <v>17523306</v>
      </c>
      <c r="C1541">
        <f>IF(VIPcric_1!C1523="","",VIPcric_1!C1523)</f>
        <v>148440</v>
      </c>
      <c r="D1541">
        <f>IF(VIPcric_1!D1523="","",VIPcric_1!D1523)</f>
        <v>10.9</v>
      </c>
      <c r="E1541">
        <f>IF(VIPcric_1!E1523="","",VIPcric_1!E1523)</f>
        <v>11.5</v>
      </c>
      <c r="F1541" t="str">
        <f>IF(VIPcric_1!F1523="","",VIPcric_1!F1523)</f>
        <v/>
      </c>
      <c r="G1541" t="str">
        <f>IF(VIPcric_1!G1523="","",VIPcric_1!G1523)</f>
        <v/>
      </c>
      <c r="H1541" t="str">
        <f>IF(VIPcric_1!H1523="","",VIPcric_1!H1523)</f>
        <v/>
      </c>
      <c r="I1541" t="str">
        <f>IF(VIPcric_1!M1523="","",VIPcric_1!M1523)</f>
        <v>CRIC-武汉-市场监测.商品房市场.项目累计.库存.xlsx</v>
      </c>
    </row>
    <row r="1542" spans="1:9">
      <c r="A1542" t="str">
        <f>IF(VIPcric_1!A1524="","",VIPcric_1!A1524)</f>
        <v>2020年</v>
      </c>
      <c r="B1542">
        <f>IF(VIPcric_1!B1524="","",VIPcric_1!B1524)</f>
        <v>15215406</v>
      </c>
      <c r="C1542">
        <f>IF(VIPcric_1!C1524="","",VIPcric_1!C1524)</f>
        <v>126681</v>
      </c>
      <c r="D1542">
        <f>IF(VIPcric_1!D1524="","",VIPcric_1!D1524)</f>
        <v>10.6</v>
      </c>
      <c r="E1542">
        <f>IF(VIPcric_1!E1524="","",VIPcric_1!E1524)</f>
        <v>9.6</v>
      </c>
      <c r="F1542" t="str">
        <f>IF(VIPcric_1!F1524="","",VIPcric_1!F1524)</f>
        <v/>
      </c>
      <c r="G1542" t="str">
        <f>IF(VIPcric_1!G1524="","",VIPcric_1!G1524)</f>
        <v/>
      </c>
      <c r="H1542" t="str">
        <f>IF(VIPcric_1!H1524="","",VIPcric_1!H1524)</f>
        <v/>
      </c>
      <c r="I1542" t="str">
        <f>IF(VIPcric_1!M1524="","",VIPcric_1!M1524)</f>
        <v>CRIC-武汉-市场监测.商品房市场.项目累计.库存.xlsx</v>
      </c>
    </row>
    <row r="1543" spans="1:9">
      <c r="A1543" t="str">
        <f>IF(VIPcric_1!A1525="","",VIPcric_1!A1525)</f>
        <v>2019年</v>
      </c>
      <c r="B1543">
        <f>IF(VIPcric_1!B1525="","",VIPcric_1!B1525)</f>
        <v>7478582</v>
      </c>
      <c r="C1543">
        <f>IF(VIPcric_1!C1525="","",VIPcric_1!C1525)</f>
        <v>60928</v>
      </c>
      <c r="D1543">
        <f>IF(VIPcric_1!D1525="","",VIPcric_1!D1525)</f>
        <v>4.3</v>
      </c>
      <c r="E1543">
        <f>IF(VIPcric_1!E1525="","",VIPcric_1!E1525)</f>
        <v>4.8</v>
      </c>
      <c r="F1543" t="str">
        <f>IF(VIPcric_1!F1525="","",VIPcric_1!F1525)</f>
        <v/>
      </c>
      <c r="G1543" t="str">
        <f>IF(VIPcric_1!G1525="","",VIPcric_1!G1525)</f>
        <v/>
      </c>
      <c r="H1543" t="str">
        <f>IF(VIPcric_1!H1525="","",VIPcric_1!H1525)</f>
        <v/>
      </c>
      <c r="I1543" t="str">
        <f>IF(VIPcric_1!M1525="","",VIPcric_1!M1525)</f>
        <v>CRIC-武汉-市场监测.商品房市场.项目累计.库存.xlsx</v>
      </c>
    </row>
    <row r="1544" spans="1:9">
      <c r="A1544" t="str">
        <f>IF(VIPcric_1!A1526="","",VIPcric_1!A1526)</f>
        <v/>
      </c>
      <c r="B1544" t="str">
        <f>IF(VIPcric_1!B1526="","",VIPcric_1!B1526)</f>
        <v/>
      </c>
      <c r="C1544" t="str">
        <f>IF(VIPcric_1!C1526="","",VIPcric_1!C1526)</f>
        <v/>
      </c>
      <c r="D1544" t="str">
        <f>IF(VIPcric_1!D1526="","",VIPcric_1!D1526)</f>
        <v/>
      </c>
      <c r="E1544" t="str">
        <f>IF(VIPcric_1!E1526="","",VIPcric_1!E1526)</f>
        <v/>
      </c>
      <c r="F1544" t="str">
        <f>IF(VIPcric_1!F1526="","",VIPcric_1!F1526)</f>
        <v/>
      </c>
      <c r="G1544" t="str">
        <f>IF(VIPcric_1!G1526="","",VIPcric_1!G1526)</f>
        <v/>
      </c>
      <c r="H1544" t="str">
        <f>IF(VIPcric_1!H1526="","",VIPcric_1!H1526)</f>
        <v/>
      </c>
      <c r="I1544" t="str">
        <f>IF(VIPcric_1!M1526="","",VIPcric_1!M1526)</f>
        <v/>
      </c>
    </row>
    <row r="1545" spans="1:9">
      <c r="A1545" t="str">
        <f>IF(VIPcric_1!A1527="","",VIPcric_1!A1527)</f>
        <v/>
      </c>
      <c r="B1545" t="str">
        <f>IF(VIPcric_1!B1527="","",VIPcric_1!B1527)</f>
        <v/>
      </c>
      <c r="C1545" t="str">
        <f>IF(VIPcric_1!C1527="","",VIPcric_1!C1527)</f>
        <v/>
      </c>
      <c r="D1545" t="str">
        <f>IF(VIPcric_1!D1527="","",VIPcric_1!D1527)</f>
        <v/>
      </c>
      <c r="E1545" t="str">
        <f>IF(VIPcric_1!E1527="","",VIPcric_1!E1527)</f>
        <v/>
      </c>
      <c r="F1545" t="str">
        <f>IF(VIPcric_1!F1527="","",VIPcric_1!F1527)</f>
        <v/>
      </c>
      <c r="G1545" t="str">
        <f>IF(VIPcric_1!G1527="","",VIPcric_1!G1527)</f>
        <v/>
      </c>
      <c r="H1545" t="str">
        <f>IF(VIPcric_1!H1527="","",VIPcric_1!H1527)</f>
        <v/>
      </c>
      <c r="I1545" t="str">
        <f>IF(VIPcric_1!M1527="","",VIPcric_1!M1527)</f>
        <v>CRIC-毕节-市场监测.商品房市场.项目累计.供求.xlsx</v>
      </c>
    </row>
    <row r="1546" spans="1:9">
      <c r="A1546" t="str">
        <f>IF(VIPcric_1!A1528="","",VIPcric_1!A1528)</f>
        <v>时间(年)</v>
      </c>
      <c r="B1546" t="str">
        <f>IF(VIPcric_1!B1528="","",VIPcric_1!B1528)</f>
        <v>供应面积(㎡)</v>
      </c>
      <c r="C1546" t="str">
        <f>IF(VIPcric_1!C1528="","",VIPcric_1!C1528)</f>
        <v>供应套数(套)</v>
      </c>
      <c r="D1546" t="str">
        <f>IF(VIPcric_1!D1528="","",VIPcric_1!D1528)</f>
        <v>成交面积(㎡)</v>
      </c>
      <c r="E1546" t="str">
        <f>IF(VIPcric_1!E1528="","",VIPcric_1!E1528)</f>
        <v>成交套数(套)</v>
      </c>
      <c r="F1546" t="str">
        <f>IF(VIPcric_1!F1528="","",VIPcric_1!F1528)</f>
        <v>成交均价(元/㎡)</v>
      </c>
      <c r="G1546" t="str">
        <f>IF(VIPcric_1!G1528="","",VIPcric_1!G1528)</f>
        <v>成交金额(元)</v>
      </c>
      <c r="H1546" t="str">
        <f>IF(VIPcric_1!H1528="","",VIPcric_1!H1528)</f>
        <v>供求比</v>
      </c>
      <c r="I1546" t="str">
        <f>IF(VIPcric_1!M1528="","",VIPcric_1!M1528)</f>
        <v>CRIC-毕节-市场监测.商品房市场.项目累计.供求.xlsx</v>
      </c>
    </row>
    <row r="1547" spans="1:9">
      <c r="A1547" t="str">
        <f>IF(VIPcric_1!A1529="","",VIPcric_1!A1529)</f>
        <v>2022年</v>
      </c>
      <c r="B1547">
        <f>IF(VIPcric_1!B1529="","",VIPcric_1!B1529)</f>
        <v>650003</v>
      </c>
      <c r="C1547">
        <f>IF(VIPcric_1!C1529="","",VIPcric_1!C1529)</f>
        <v>5350</v>
      </c>
      <c r="D1547">
        <f>IF(VIPcric_1!D1529="","",VIPcric_1!D1529)</f>
        <v>678306</v>
      </c>
      <c r="E1547">
        <f>IF(VIPcric_1!E1529="","",VIPcric_1!E1529)</f>
        <v>5448</v>
      </c>
      <c r="F1547">
        <f>IF(VIPcric_1!F1529="","",VIPcric_1!F1529)</f>
        <v>5285</v>
      </c>
      <c r="G1547">
        <f>IF(VIPcric_1!G1529="","",VIPcric_1!G1529)</f>
        <v>3585083681</v>
      </c>
      <c r="H1547">
        <f>IF(VIPcric_1!H1529="","",VIPcric_1!H1529)</f>
        <v>0.96</v>
      </c>
      <c r="I1547" t="str">
        <f>IF(VIPcric_1!M1529="","",VIPcric_1!M1529)</f>
        <v>CRIC-毕节-市场监测.商品房市场.项目累计.供求.xlsx</v>
      </c>
    </row>
    <row r="1548" spans="1:9">
      <c r="A1548" t="str">
        <f>IF(VIPcric_1!A1530="","",VIPcric_1!A1530)</f>
        <v>2021年</v>
      </c>
      <c r="B1548">
        <f>IF(VIPcric_1!B1530="","",VIPcric_1!B1530)</f>
        <v>1788340</v>
      </c>
      <c r="C1548">
        <f>IF(VIPcric_1!C1530="","",VIPcric_1!C1530)</f>
        <v>14837</v>
      </c>
      <c r="D1548">
        <f>IF(VIPcric_1!D1530="","",VIPcric_1!D1530)</f>
        <v>1472680</v>
      </c>
      <c r="E1548">
        <f>IF(VIPcric_1!E1530="","",VIPcric_1!E1530)</f>
        <v>12955</v>
      </c>
      <c r="F1548">
        <f>IF(VIPcric_1!F1530="","",VIPcric_1!F1530)</f>
        <v>5250</v>
      </c>
      <c r="G1548">
        <f>IF(VIPcric_1!G1530="","",VIPcric_1!G1530)</f>
        <v>7731806437</v>
      </c>
      <c r="H1548">
        <f>IF(VIPcric_1!H1530="","",VIPcric_1!H1530)</f>
        <v>1.21</v>
      </c>
      <c r="I1548" t="str">
        <f>IF(VIPcric_1!M1530="","",VIPcric_1!M1530)</f>
        <v>CRIC-毕节-市场监测.商品房市场.项目累计.供求.xlsx</v>
      </c>
    </row>
    <row r="1549" spans="1:9">
      <c r="A1549" t="str">
        <f>IF(VIPcric_1!A1531="","",VIPcric_1!A1531)</f>
        <v>2020年</v>
      </c>
      <c r="B1549">
        <f>IF(VIPcric_1!B1531="","",VIPcric_1!B1531)</f>
        <v>2024895</v>
      </c>
      <c r="C1549">
        <f>IF(VIPcric_1!C1531="","",VIPcric_1!C1531)</f>
        <v>18536</v>
      </c>
      <c r="D1549">
        <f>IF(VIPcric_1!D1531="","",VIPcric_1!D1531)</f>
        <v>1079339</v>
      </c>
      <c r="E1549">
        <f>IF(VIPcric_1!E1531="","",VIPcric_1!E1531)</f>
        <v>9253</v>
      </c>
      <c r="F1549">
        <f>IF(VIPcric_1!F1531="","",VIPcric_1!F1531)</f>
        <v>5227</v>
      </c>
      <c r="G1549">
        <f>IF(VIPcric_1!G1531="","",VIPcric_1!G1531)</f>
        <v>5641799736</v>
      </c>
      <c r="H1549">
        <f>IF(VIPcric_1!H1531="","",VIPcric_1!H1531)</f>
        <v>1.88</v>
      </c>
      <c r="I1549" t="str">
        <f>IF(VIPcric_1!M1531="","",VIPcric_1!M1531)</f>
        <v>CRIC-毕节-市场监测.商品房市场.项目累计.供求.xlsx</v>
      </c>
    </row>
    <row r="1550" spans="1:9">
      <c r="A1550" t="str">
        <f>IF(VIPcric_1!A1532="","",VIPcric_1!A1532)</f>
        <v>2019年</v>
      </c>
      <c r="B1550">
        <f>IF(VIPcric_1!B1532="","",VIPcric_1!B1532)</f>
        <v>2299711</v>
      </c>
      <c r="C1550">
        <f>IF(VIPcric_1!C1532="","",VIPcric_1!C1532)</f>
        <v>19803</v>
      </c>
      <c r="D1550">
        <f>IF(VIPcric_1!D1532="","",VIPcric_1!D1532)</f>
        <v>0</v>
      </c>
      <c r="E1550">
        <f>IF(VIPcric_1!E1532="","",VIPcric_1!E1532)</f>
        <v>0</v>
      </c>
      <c r="F1550">
        <f>IF(VIPcric_1!F1532="","",VIPcric_1!F1532)</f>
        <v>0</v>
      </c>
      <c r="G1550">
        <f>IF(VIPcric_1!G1532="","",VIPcric_1!G1532)</f>
        <v>0</v>
      </c>
      <c r="H1550">
        <f>IF(VIPcric_1!H1532="","",VIPcric_1!H1532)</f>
        <v>0</v>
      </c>
      <c r="I1550" t="str">
        <f>IF(VIPcric_1!M1532="","",VIPcric_1!M1532)</f>
        <v>CRIC-毕节-市场监测.商品房市场.项目累计.供求.xlsx</v>
      </c>
    </row>
    <row r="1551" spans="1:9">
      <c r="A1551" t="str">
        <f>IF(VIPcric_1!A1533="","",VIPcric_1!A1533)</f>
        <v>2018年</v>
      </c>
      <c r="B1551">
        <f>IF(VIPcric_1!B1533="","",VIPcric_1!B1533)</f>
        <v>1456112</v>
      </c>
      <c r="C1551">
        <f>IF(VIPcric_1!C1533="","",VIPcric_1!C1533)</f>
        <v>12772</v>
      </c>
      <c r="D1551">
        <f>IF(VIPcric_1!D1533="","",VIPcric_1!D1533)</f>
        <v>0</v>
      </c>
      <c r="E1551">
        <f>IF(VIPcric_1!E1533="","",VIPcric_1!E1533)</f>
        <v>0</v>
      </c>
      <c r="F1551">
        <f>IF(VIPcric_1!F1533="","",VIPcric_1!F1533)</f>
        <v>0</v>
      </c>
      <c r="G1551">
        <f>IF(VIPcric_1!G1533="","",VIPcric_1!G1533)</f>
        <v>0</v>
      </c>
      <c r="H1551">
        <f>IF(VIPcric_1!H1533="","",VIPcric_1!H1533)</f>
        <v>0</v>
      </c>
      <c r="I1551" t="str">
        <f>IF(VIPcric_1!M1533="","",VIPcric_1!M1533)</f>
        <v>CRIC-毕节-市场监测.商品房市场.项目累计.供求.xlsx</v>
      </c>
    </row>
    <row r="1552" spans="1:9">
      <c r="A1552" t="str">
        <f>IF(VIPcric_1!A1534="","",VIPcric_1!A1534)</f>
        <v>2017年</v>
      </c>
      <c r="B1552">
        <f>IF(VIPcric_1!B1534="","",VIPcric_1!B1534)</f>
        <v>1356960</v>
      </c>
      <c r="C1552">
        <f>IF(VIPcric_1!C1534="","",VIPcric_1!C1534)</f>
        <v>11993</v>
      </c>
      <c r="D1552">
        <f>IF(VIPcric_1!D1534="","",VIPcric_1!D1534)</f>
        <v>0</v>
      </c>
      <c r="E1552">
        <f>IF(VIPcric_1!E1534="","",VIPcric_1!E1534)</f>
        <v>0</v>
      </c>
      <c r="F1552">
        <f>IF(VIPcric_1!F1534="","",VIPcric_1!F1534)</f>
        <v>0</v>
      </c>
      <c r="G1552">
        <f>IF(VIPcric_1!G1534="","",VIPcric_1!G1534)</f>
        <v>0</v>
      </c>
      <c r="H1552">
        <f>IF(VIPcric_1!H1534="","",VIPcric_1!H1534)</f>
        <v>0</v>
      </c>
      <c r="I1552" t="str">
        <f>IF(VIPcric_1!M1534="","",VIPcric_1!M1534)</f>
        <v>CRIC-毕节-市场监测.商品房市场.项目累计.供求.xlsx</v>
      </c>
    </row>
    <row r="1553" spans="1:9">
      <c r="A1553" t="str">
        <f>IF(VIPcric_1!A1535="","",VIPcric_1!A1535)</f>
        <v>汇总</v>
      </c>
      <c r="B1553">
        <f>IF(VIPcric_1!B1535="","",VIPcric_1!B1535)</f>
        <v>9576021</v>
      </c>
      <c r="C1553">
        <f>IF(VIPcric_1!C1535="","",VIPcric_1!C1535)</f>
        <v>83291</v>
      </c>
      <c r="D1553">
        <f>IF(VIPcric_1!D1535="","",VIPcric_1!D1535)</f>
        <v>3230325</v>
      </c>
      <c r="E1553">
        <f>IF(VIPcric_1!E1535="","",VIPcric_1!E1535)</f>
        <v>27656</v>
      </c>
      <c r="F1553">
        <f>IF(VIPcric_1!F1535="","",VIPcric_1!F1535)</f>
        <v>5250</v>
      </c>
      <c r="G1553">
        <f>IF(VIPcric_1!G1535="","",VIPcric_1!G1535)</f>
        <v>16958689854</v>
      </c>
      <c r="H1553">
        <f>IF(VIPcric_1!H1535="","",VIPcric_1!H1535)</f>
        <v>2.96</v>
      </c>
      <c r="I1553" t="str">
        <f>IF(VIPcric_1!M1535="","",VIPcric_1!M1535)</f>
        <v>CRIC-毕节-市场监测.商品房市场.项目累计.供求.xlsx</v>
      </c>
    </row>
    <row r="1554" spans="1:9">
      <c r="A1554" t="str">
        <f>IF(VIPcric_1!A1536="","",VIPcric_1!A1536)</f>
        <v/>
      </c>
      <c r="B1554" t="str">
        <f>IF(VIPcric_1!B1536="","",VIPcric_1!B1536)</f>
        <v/>
      </c>
      <c r="C1554" t="str">
        <f>IF(VIPcric_1!C1536="","",VIPcric_1!C1536)</f>
        <v/>
      </c>
      <c r="D1554" t="str">
        <f>IF(VIPcric_1!D1536="","",VIPcric_1!D1536)</f>
        <v/>
      </c>
      <c r="E1554" t="str">
        <f>IF(VIPcric_1!E1536="","",VIPcric_1!E1536)</f>
        <v/>
      </c>
      <c r="F1554" t="str">
        <f>IF(VIPcric_1!F1536="","",VIPcric_1!F1536)</f>
        <v/>
      </c>
      <c r="G1554" t="str">
        <f>IF(VIPcric_1!G1536="","",VIPcric_1!G1536)</f>
        <v/>
      </c>
      <c r="H1554" t="str">
        <f>IF(VIPcric_1!H1536="","",VIPcric_1!H1536)</f>
        <v/>
      </c>
      <c r="I1554" t="str">
        <f>IF(VIPcric_1!M1536="","",VIPcric_1!M1536)</f>
        <v/>
      </c>
    </row>
    <row r="1555" spans="1:9">
      <c r="A1555" t="str">
        <f>IF(VIPcric_1!A1537="","",VIPcric_1!A1537)</f>
        <v/>
      </c>
      <c r="B1555" t="str">
        <f>IF(VIPcric_1!B1537="","",VIPcric_1!B1537)</f>
        <v/>
      </c>
      <c r="C1555" t="str">
        <f>IF(VIPcric_1!C1537="","",VIPcric_1!C1537)</f>
        <v/>
      </c>
      <c r="D1555" t="str">
        <f>IF(VIPcric_1!D1537="","",VIPcric_1!D1537)</f>
        <v/>
      </c>
      <c r="E1555" t="str">
        <f>IF(VIPcric_1!E1537="","",VIPcric_1!E1537)</f>
        <v/>
      </c>
      <c r="F1555" t="str">
        <f>IF(VIPcric_1!F1537="","",VIPcric_1!F1537)</f>
        <v/>
      </c>
      <c r="G1555" t="str">
        <f>IF(VIPcric_1!G1537="","",VIPcric_1!G1537)</f>
        <v/>
      </c>
      <c r="H1555" t="str">
        <f>IF(VIPcric_1!H1537="","",VIPcric_1!H1537)</f>
        <v/>
      </c>
      <c r="I1555" t="str">
        <f>IF(VIPcric_1!M1537="","",VIPcric_1!M1537)</f>
        <v>CRIC-毕节-市场监测.商品房市场.项目累计.库存.xlsx</v>
      </c>
    </row>
    <row r="1556" spans="1:9">
      <c r="A1556" t="str">
        <f>IF(VIPcric_1!A1538="","",VIPcric_1!A1538)</f>
        <v>时间(年)</v>
      </c>
      <c r="B1556" t="str">
        <f>IF(VIPcric_1!B1538="","",VIPcric_1!B1538)</f>
        <v>库存面积(㎡)</v>
      </c>
      <c r="C1556" t="str">
        <f>IF(VIPcric_1!C1538="","",VIPcric_1!C1538)</f>
        <v>库存套数(套)</v>
      </c>
      <c r="D1556" t="str">
        <f>IF(VIPcric_1!D1538="","",VIPcric_1!D1538)</f>
        <v>去化周期12'(月)</v>
      </c>
      <c r="E1556" t="str">
        <f>IF(VIPcric_1!E1538="","",VIPcric_1!E1538)</f>
        <v>去化周期24'(月)</v>
      </c>
      <c r="F1556" t="str">
        <f>IF(VIPcric_1!F1538="","",VIPcric_1!F1538)</f>
        <v/>
      </c>
      <c r="G1556" t="str">
        <f>IF(VIPcric_1!G1538="","",VIPcric_1!G1538)</f>
        <v/>
      </c>
      <c r="H1556" t="str">
        <f>IF(VIPcric_1!H1538="","",VIPcric_1!H1538)</f>
        <v/>
      </c>
      <c r="I1556" t="str">
        <f>IF(VIPcric_1!M1538="","",VIPcric_1!M1538)</f>
        <v>CRIC-毕节-市场监测.商品房市场.项目累计.库存.xlsx</v>
      </c>
    </row>
    <row r="1557" spans="1:9">
      <c r="A1557" t="str">
        <f>IF(VIPcric_1!A1539="","",VIPcric_1!A1539)</f>
        <v>2022年</v>
      </c>
      <c r="B1557">
        <f>IF(VIPcric_1!B1539="","",VIPcric_1!B1539)</f>
        <v>2223421</v>
      </c>
      <c r="C1557">
        <f>IF(VIPcric_1!C1539="","",VIPcric_1!C1539)</f>
        <v>20485</v>
      </c>
      <c r="D1557">
        <f>IF(VIPcric_1!D1539="","",VIPcric_1!D1539)</f>
        <v>35.299999999999997</v>
      </c>
      <c r="E1557">
        <f>IF(VIPcric_1!E1539="","",VIPcric_1!E1539)</f>
        <v>23.3</v>
      </c>
      <c r="F1557" t="str">
        <f>IF(VIPcric_1!F1539="","",VIPcric_1!F1539)</f>
        <v/>
      </c>
      <c r="G1557" t="str">
        <f>IF(VIPcric_1!G1539="","",VIPcric_1!G1539)</f>
        <v/>
      </c>
      <c r="H1557" t="str">
        <f>IF(VIPcric_1!H1539="","",VIPcric_1!H1539)</f>
        <v/>
      </c>
      <c r="I1557" t="str">
        <f>IF(VIPcric_1!M1539="","",VIPcric_1!M1539)</f>
        <v>CRIC-毕节-市场监测.商品房市场.项目累计.库存.xlsx</v>
      </c>
    </row>
    <row r="1558" spans="1:9">
      <c r="A1558" t="str">
        <f>IF(VIPcric_1!A1540="","",VIPcric_1!A1540)</f>
        <v>2021年</v>
      </c>
      <c r="B1558">
        <f>IF(VIPcric_1!B1540="","",VIPcric_1!B1540)</f>
        <v>2300465</v>
      </c>
      <c r="C1558">
        <f>IF(VIPcric_1!C1540="","",VIPcric_1!C1540)</f>
        <v>21020</v>
      </c>
      <c r="D1558">
        <f>IF(VIPcric_1!D1540="","",VIPcric_1!D1540)</f>
        <v>18.7</v>
      </c>
      <c r="E1558">
        <f>IF(VIPcric_1!E1540="","",VIPcric_1!E1540)</f>
        <v>21.6</v>
      </c>
      <c r="F1558" t="str">
        <f>IF(VIPcric_1!F1540="","",VIPcric_1!F1540)</f>
        <v/>
      </c>
      <c r="G1558" t="str">
        <f>IF(VIPcric_1!G1540="","",VIPcric_1!G1540)</f>
        <v/>
      </c>
      <c r="H1558" t="str">
        <f>IF(VIPcric_1!H1540="","",VIPcric_1!H1540)</f>
        <v/>
      </c>
      <c r="I1558" t="str">
        <f>IF(VIPcric_1!M1540="","",VIPcric_1!M1540)</f>
        <v>CRIC-毕节-市场监测.商品房市场.项目累计.库存.xlsx</v>
      </c>
    </row>
    <row r="1559" spans="1:9">
      <c r="A1559" t="str">
        <f>IF(VIPcric_1!A1541="","",VIPcric_1!A1541)</f>
        <v>2020年</v>
      </c>
      <c r="B1559">
        <f>IF(VIPcric_1!B1541="","",VIPcric_1!B1541)</f>
        <v>1948728</v>
      </c>
      <c r="C1559">
        <f>IF(VIPcric_1!C1541="","",VIPcric_1!C1541)</f>
        <v>18874</v>
      </c>
      <c r="D1559">
        <f>IF(VIPcric_1!D1541="","",VIPcric_1!D1541)</f>
        <v>21.7</v>
      </c>
      <c r="E1559">
        <f>IF(VIPcric_1!E1541="","",VIPcric_1!E1541)</f>
        <v>43.3</v>
      </c>
      <c r="F1559" t="str">
        <f>IF(VIPcric_1!F1541="","",VIPcric_1!F1541)</f>
        <v/>
      </c>
      <c r="G1559" t="str">
        <f>IF(VIPcric_1!G1541="","",VIPcric_1!G1541)</f>
        <v/>
      </c>
      <c r="H1559" t="str">
        <f>IF(VIPcric_1!H1541="","",VIPcric_1!H1541)</f>
        <v/>
      </c>
      <c r="I1559" t="str">
        <f>IF(VIPcric_1!M1541="","",VIPcric_1!M1541)</f>
        <v>CRIC-毕节-市场监测.商品房市场.项目累计.库存.xlsx</v>
      </c>
    </row>
    <row r="1560" spans="1:9">
      <c r="A1560" t="str">
        <f>IF(VIPcric_1!A1542="","",VIPcric_1!A1542)</f>
        <v/>
      </c>
      <c r="B1560" t="str">
        <f>IF(VIPcric_1!B1542="","",VIPcric_1!B1542)</f>
        <v/>
      </c>
      <c r="C1560" t="str">
        <f>IF(VIPcric_1!C1542="","",VIPcric_1!C1542)</f>
        <v/>
      </c>
      <c r="D1560" t="str">
        <f>IF(VIPcric_1!D1542="","",VIPcric_1!D1542)</f>
        <v/>
      </c>
      <c r="E1560" t="str">
        <f>IF(VIPcric_1!E1542="","",VIPcric_1!E1542)</f>
        <v/>
      </c>
      <c r="F1560" t="str">
        <f>IF(VIPcric_1!F1542="","",VIPcric_1!F1542)</f>
        <v/>
      </c>
      <c r="G1560" t="str">
        <f>IF(VIPcric_1!G1542="","",VIPcric_1!G1542)</f>
        <v/>
      </c>
      <c r="H1560" t="str">
        <f>IF(VIPcric_1!H1542="","",VIPcric_1!H1542)</f>
        <v/>
      </c>
      <c r="I1560" t="str">
        <f>IF(VIPcric_1!M1542="","",VIPcric_1!M1542)</f>
        <v/>
      </c>
    </row>
    <row r="1561" spans="1:9">
      <c r="A1561" t="str">
        <f>IF(VIPcric_1!A1543="","",VIPcric_1!A1543)</f>
        <v/>
      </c>
      <c r="B1561" t="str">
        <f>IF(VIPcric_1!B1543="","",VIPcric_1!B1543)</f>
        <v/>
      </c>
      <c r="C1561" t="str">
        <f>IF(VIPcric_1!C1543="","",VIPcric_1!C1543)</f>
        <v/>
      </c>
      <c r="D1561" t="str">
        <f>IF(VIPcric_1!D1543="","",VIPcric_1!D1543)</f>
        <v/>
      </c>
      <c r="E1561" t="str">
        <f>IF(VIPcric_1!E1543="","",VIPcric_1!E1543)</f>
        <v/>
      </c>
      <c r="F1561" t="str">
        <f>IF(VIPcric_1!F1543="","",VIPcric_1!F1543)</f>
        <v/>
      </c>
      <c r="G1561" t="str">
        <f>IF(VIPcric_1!G1543="","",VIPcric_1!G1543)</f>
        <v/>
      </c>
      <c r="H1561" t="str">
        <f>IF(VIPcric_1!H1543="","",VIPcric_1!H1543)</f>
        <v/>
      </c>
      <c r="I1561" t="str">
        <f>IF(VIPcric_1!M1543="","",VIPcric_1!M1543)</f>
        <v>CRIC-汉中-市场监测.商品房市场.项目累计.供求.xlsx</v>
      </c>
    </row>
    <row r="1562" spans="1:9">
      <c r="A1562" t="str">
        <f>IF(VIPcric_1!A1544="","",VIPcric_1!A1544)</f>
        <v>时间(年)</v>
      </c>
      <c r="B1562" t="str">
        <f>IF(VIPcric_1!B1544="","",VIPcric_1!B1544)</f>
        <v>供应面积(㎡)</v>
      </c>
      <c r="C1562" t="str">
        <f>IF(VIPcric_1!C1544="","",VIPcric_1!C1544)</f>
        <v>供应套数(套)</v>
      </c>
      <c r="D1562" t="str">
        <f>IF(VIPcric_1!D1544="","",VIPcric_1!D1544)</f>
        <v>成交面积(㎡)</v>
      </c>
      <c r="E1562" t="str">
        <f>IF(VIPcric_1!E1544="","",VIPcric_1!E1544)</f>
        <v>成交套数(套)</v>
      </c>
      <c r="F1562" t="str">
        <f>IF(VIPcric_1!F1544="","",VIPcric_1!F1544)</f>
        <v>成交均价(元/㎡)</v>
      </c>
      <c r="G1562" t="str">
        <f>IF(VIPcric_1!G1544="","",VIPcric_1!G1544)</f>
        <v>成交金额(元)</v>
      </c>
      <c r="H1562" t="str">
        <f>IF(VIPcric_1!H1544="","",VIPcric_1!H1544)</f>
        <v>供求比</v>
      </c>
      <c r="I1562" t="str">
        <f>IF(VIPcric_1!M1544="","",VIPcric_1!M1544)</f>
        <v>CRIC-汉中-市场监测.商品房市场.项目累计.供求.xlsx</v>
      </c>
    </row>
    <row r="1563" spans="1:9">
      <c r="A1563" t="str">
        <f>IF(VIPcric_1!A1545="","",VIPcric_1!A1545)</f>
        <v>2023年</v>
      </c>
      <c r="B1563">
        <f>IF(VIPcric_1!B1545="","",VIPcric_1!B1545)</f>
        <v>1868302</v>
      </c>
      <c r="C1563">
        <f>IF(VIPcric_1!C1545="","",VIPcric_1!C1545)</f>
        <v>15061</v>
      </c>
      <c r="D1563">
        <f>IF(VIPcric_1!D1545="","",VIPcric_1!D1545)</f>
        <v>1238948</v>
      </c>
      <c r="E1563">
        <f>IF(VIPcric_1!E1545="","",VIPcric_1!E1545)</f>
        <v>10120</v>
      </c>
      <c r="F1563">
        <f>IF(VIPcric_1!F1545="","",VIPcric_1!F1545)</f>
        <v>5476</v>
      </c>
      <c r="G1563">
        <f>IF(VIPcric_1!G1545="","",VIPcric_1!G1545)</f>
        <v>6783864730</v>
      </c>
      <c r="H1563">
        <f>IF(VIPcric_1!H1545="","",VIPcric_1!H1545)</f>
        <v>1.51</v>
      </c>
      <c r="I1563" t="str">
        <f>IF(VIPcric_1!M1545="","",VIPcric_1!M1545)</f>
        <v>CRIC-汉中-市场监测.商品房市场.项目累计.供求.xlsx</v>
      </c>
    </row>
    <row r="1564" spans="1:9">
      <c r="A1564" t="str">
        <f>IF(VIPcric_1!A1546="","",VIPcric_1!A1546)</f>
        <v>2022年</v>
      </c>
      <c r="B1564">
        <f>IF(VIPcric_1!B1546="","",VIPcric_1!B1546)</f>
        <v>1892988</v>
      </c>
      <c r="C1564">
        <f>IF(VIPcric_1!C1546="","",VIPcric_1!C1546)</f>
        <v>15145</v>
      </c>
      <c r="D1564">
        <f>IF(VIPcric_1!D1546="","",VIPcric_1!D1546)</f>
        <v>1594574</v>
      </c>
      <c r="E1564">
        <f>IF(VIPcric_1!E1546="","",VIPcric_1!E1546)</f>
        <v>13180</v>
      </c>
      <c r="F1564">
        <f>IF(VIPcric_1!F1546="","",VIPcric_1!F1546)</f>
        <v>5395</v>
      </c>
      <c r="G1564">
        <f>IF(VIPcric_1!G1546="","",VIPcric_1!G1546)</f>
        <v>8603134990</v>
      </c>
      <c r="H1564">
        <f>IF(VIPcric_1!H1546="","",VIPcric_1!H1546)</f>
        <v>1.19</v>
      </c>
      <c r="I1564" t="str">
        <f>IF(VIPcric_1!M1546="","",VIPcric_1!M1546)</f>
        <v>CRIC-汉中-市场监测.商品房市场.项目累计.供求.xlsx</v>
      </c>
    </row>
    <row r="1565" spans="1:9">
      <c r="A1565" t="str">
        <f>IF(VIPcric_1!A1547="","",VIPcric_1!A1547)</f>
        <v>2021年</v>
      </c>
      <c r="B1565">
        <f>IF(VIPcric_1!B1547="","",VIPcric_1!B1547)</f>
        <v>2786379</v>
      </c>
      <c r="C1565">
        <f>IF(VIPcric_1!C1547="","",VIPcric_1!C1547)</f>
        <v>22815</v>
      </c>
      <c r="D1565">
        <f>IF(VIPcric_1!D1547="","",VIPcric_1!D1547)</f>
        <v>1055091</v>
      </c>
      <c r="E1565">
        <f>IF(VIPcric_1!E1547="","",VIPcric_1!E1547)</f>
        <v>8646</v>
      </c>
      <c r="F1565">
        <f>IF(VIPcric_1!F1547="","",VIPcric_1!F1547)</f>
        <v>5609</v>
      </c>
      <c r="G1565">
        <f>IF(VIPcric_1!G1547="","",VIPcric_1!G1547)</f>
        <v>5917573361</v>
      </c>
      <c r="H1565">
        <f>IF(VIPcric_1!H1547="","",VIPcric_1!H1547)</f>
        <v>2.64</v>
      </c>
      <c r="I1565" t="str">
        <f>IF(VIPcric_1!M1547="","",VIPcric_1!M1547)</f>
        <v>CRIC-汉中-市场监测.商品房市场.项目累计.供求.xlsx</v>
      </c>
    </row>
    <row r="1566" spans="1:9">
      <c r="A1566" t="str">
        <f>IF(VIPcric_1!A1548="","",VIPcric_1!A1548)</f>
        <v>2020年</v>
      </c>
      <c r="B1566">
        <f>IF(VIPcric_1!B1548="","",VIPcric_1!B1548)</f>
        <v>3131641</v>
      </c>
      <c r="C1566">
        <f>IF(VIPcric_1!C1548="","",VIPcric_1!C1548)</f>
        <v>26886</v>
      </c>
      <c r="D1566">
        <f>IF(VIPcric_1!D1548="","",VIPcric_1!D1548)</f>
        <v>0</v>
      </c>
      <c r="E1566">
        <f>IF(VIPcric_1!E1548="","",VIPcric_1!E1548)</f>
        <v>0</v>
      </c>
      <c r="F1566">
        <f>IF(VIPcric_1!F1548="","",VIPcric_1!F1548)</f>
        <v>0</v>
      </c>
      <c r="G1566">
        <f>IF(VIPcric_1!G1548="","",VIPcric_1!G1548)</f>
        <v>0</v>
      </c>
      <c r="H1566">
        <f>IF(VIPcric_1!H1548="","",VIPcric_1!H1548)</f>
        <v>0</v>
      </c>
      <c r="I1566" t="str">
        <f>IF(VIPcric_1!M1548="","",VIPcric_1!M1548)</f>
        <v>CRIC-汉中-市场监测.商品房市场.项目累计.供求.xlsx</v>
      </c>
    </row>
    <row r="1567" spans="1:9">
      <c r="A1567" t="str">
        <f>IF(VIPcric_1!A1549="","",VIPcric_1!A1549)</f>
        <v>2019年</v>
      </c>
      <c r="B1567">
        <f>IF(VIPcric_1!B1549="","",VIPcric_1!B1549)</f>
        <v>1569335</v>
      </c>
      <c r="C1567">
        <f>IF(VIPcric_1!C1549="","",VIPcric_1!C1549)</f>
        <v>12837</v>
      </c>
      <c r="D1567">
        <f>IF(VIPcric_1!D1549="","",VIPcric_1!D1549)</f>
        <v>0</v>
      </c>
      <c r="E1567">
        <f>IF(VIPcric_1!E1549="","",VIPcric_1!E1549)</f>
        <v>0</v>
      </c>
      <c r="F1567">
        <f>IF(VIPcric_1!F1549="","",VIPcric_1!F1549)</f>
        <v>0</v>
      </c>
      <c r="G1567">
        <f>IF(VIPcric_1!G1549="","",VIPcric_1!G1549)</f>
        <v>0</v>
      </c>
      <c r="H1567">
        <f>IF(VIPcric_1!H1549="","",VIPcric_1!H1549)</f>
        <v>0</v>
      </c>
      <c r="I1567" t="str">
        <f>IF(VIPcric_1!M1549="","",VIPcric_1!M1549)</f>
        <v>CRIC-汉中-市场监测.商品房市场.项目累计.供求.xlsx</v>
      </c>
    </row>
    <row r="1568" spans="1:9">
      <c r="A1568" t="str">
        <f>IF(VIPcric_1!A1550="","",VIPcric_1!A1550)</f>
        <v>汇总</v>
      </c>
      <c r="B1568">
        <f>IF(VIPcric_1!B1550="","",VIPcric_1!B1550)</f>
        <v>11248645</v>
      </c>
      <c r="C1568">
        <f>IF(VIPcric_1!C1550="","",VIPcric_1!C1550)</f>
        <v>92744</v>
      </c>
      <c r="D1568">
        <f>IF(VIPcric_1!D1550="","",VIPcric_1!D1550)</f>
        <v>3888613</v>
      </c>
      <c r="E1568">
        <f>IF(VIPcric_1!E1550="","",VIPcric_1!E1550)</f>
        <v>31946</v>
      </c>
      <c r="F1568">
        <f>IF(VIPcric_1!F1550="","",VIPcric_1!F1550)</f>
        <v>5479</v>
      </c>
      <c r="G1568">
        <f>IF(VIPcric_1!G1550="","",VIPcric_1!G1550)</f>
        <v>21304573080</v>
      </c>
      <c r="H1568">
        <f>IF(VIPcric_1!H1550="","",VIPcric_1!H1550)</f>
        <v>2.89</v>
      </c>
      <c r="I1568" t="str">
        <f>IF(VIPcric_1!M1550="","",VIPcric_1!M1550)</f>
        <v>CRIC-汉中-市场监测.商品房市场.项目累计.供求.xlsx</v>
      </c>
    </row>
    <row r="1569" spans="1:9">
      <c r="A1569" t="str">
        <f>IF(VIPcric_1!A1551="","",VIPcric_1!A1551)</f>
        <v/>
      </c>
      <c r="B1569" t="str">
        <f>IF(VIPcric_1!B1551="","",VIPcric_1!B1551)</f>
        <v/>
      </c>
      <c r="C1569" t="str">
        <f>IF(VIPcric_1!C1551="","",VIPcric_1!C1551)</f>
        <v/>
      </c>
      <c r="D1569" t="str">
        <f>IF(VIPcric_1!D1551="","",VIPcric_1!D1551)</f>
        <v/>
      </c>
      <c r="E1569" t="str">
        <f>IF(VIPcric_1!E1551="","",VIPcric_1!E1551)</f>
        <v/>
      </c>
      <c r="F1569" t="str">
        <f>IF(VIPcric_1!F1551="","",VIPcric_1!F1551)</f>
        <v/>
      </c>
      <c r="G1569" t="str">
        <f>IF(VIPcric_1!G1551="","",VIPcric_1!G1551)</f>
        <v/>
      </c>
      <c r="H1569" t="str">
        <f>IF(VIPcric_1!H1551="","",VIPcric_1!H1551)</f>
        <v/>
      </c>
      <c r="I1569" t="str">
        <f>IF(VIPcric_1!M1551="","",VIPcric_1!M1551)</f>
        <v/>
      </c>
    </row>
    <row r="1570" spans="1:9">
      <c r="A1570" t="str">
        <f>IF(VIPcric_1!A1552="","",VIPcric_1!A1552)</f>
        <v/>
      </c>
      <c r="B1570" t="str">
        <f>IF(VIPcric_1!B1552="","",VIPcric_1!B1552)</f>
        <v/>
      </c>
      <c r="C1570" t="str">
        <f>IF(VIPcric_1!C1552="","",VIPcric_1!C1552)</f>
        <v/>
      </c>
      <c r="D1570" t="str">
        <f>IF(VIPcric_1!D1552="","",VIPcric_1!D1552)</f>
        <v/>
      </c>
      <c r="E1570" t="str">
        <f>IF(VIPcric_1!E1552="","",VIPcric_1!E1552)</f>
        <v/>
      </c>
      <c r="F1570" t="str">
        <f>IF(VIPcric_1!F1552="","",VIPcric_1!F1552)</f>
        <v/>
      </c>
      <c r="G1570" t="str">
        <f>IF(VIPcric_1!G1552="","",VIPcric_1!G1552)</f>
        <v/>
      </c>
      <c r="H1570" t="str">
        <f>IF(VIPcric_1!H1552="","",VIPcric_1!H1552)</f>
        <v/>
      </c>
      <c r="I1570" t="str">
        <f>IF(VIPcric_1!M1552="","",VIPcric_1!M1552)</f>
        <v>CRIC-汉中-市场监测.商品房市场.项目累计.库存.xlsx</v>
      </c>
    </row>
    <row r="1571" spans="1:9">
      <c r="A1571" t="str">
        <f>IF(VIPcric_1!A1553="","",VIPcric_1!A1553)</f>
        <v>时间(年)</v>
      </c>
      <c r="B1571" t="str">
        <f>IF(VIPcric_1!B1553="","",VIPcric_1!B1553)</f>
        <v>库存面积(㎡)</v>
      </c>
      <c r="C1571" t="str">
        <f>IF(VIPcric_1!C1553="","",VIPcric_1!C1553)</f>
        <v>库存套数(套)</v>
      </c>
      <c r="D1571" t="str">
        <f>IF(VIPcric_1!D1553="","",VIPcric_1!D1553)</f>
        <v>去化周期12'(月)</v>
      </c>
      <c r="E1571" t="str">
        <f>IF(VIPcric_1!E1553="","",VIPcric_1!E1553)</f>
        <v/>
      </c>
      <c r="F1571" t="str">
        <f>IF(VIPcric_1!F1553="","",VIPcric_1!F1553)</f>
        <v/>
      </c>
      <c r="G1571" t="str">
        <f>IF(VIPcric_1!G1553="","",VIPcric_1!G1553)</f>
        <v/>
      </c>
      <c r="H1571" t="str">
        <f>IF(VIPcric_1!H1553="","",VIPcric_1!H1553)</f>
        <v/>
      </c>
      <c r="I1571" t="str">
        <f>IF(VIPcric_1!M1553="","",VIPcric_1!M1553)</f>
        <v>CRIC-汉中-市场监测.商品房市场.项目累计.库存.xlsx</v>
      </c>
    </row>
    <row r="1572" spans="1:9">
      <c r="A1572" t="str">
        <f>IF(VIPcric_1!A1554="","",VIPcric_1!A1554)</f>
        <v>2023年</v>
      </c>
      <c r="B1572">
        <f>IF(VIPcric_1!B1554="","",VIPcric_1!B1554)</f>
        <v>4011108</v>
      </c>
      <c r="C1572">
        <f>IF(VIPcric_1!C1554="","",VIPcric_1!C1554)</f>
        <v>32648</v>
      </c>
      <c r="D1572">
        <f>IF(VIPcric_1!D1554="","",VIPcric_1!D1554)</f>
        <v>38.9</v>
      </c>
      <c r="E1572" t="str">
        <f>IF(VIPcric_1!E1554="","",VIPcric_1!E1554)</f>
        <v/>
      </c>
      <c r="F1572" t="str">
        <f>IF(VIPcric_1!F1554="","",VIPcric_1!F1554)</f>
        <v/>
      </c>
      <c r="G1572" t="str">
        <f>IF(VIPcric_1!G1554="","",VIPcric_1!G1554)</f>
        <v/>
      </c>
      <c r="H1572" t="str">
        <f>IF(VIPcric_1!H1554="","",VIPcric_1!H1554)</f>
        <v/>
      </c>
      <c r="I1572" t="str">
        <f>IF(VIPcric_1!M1554="","",VIPcric_1!M1554)</f>
        <v>CRIC-汉中-市场监测.商品房市场.项目累计.库存.xlsx</v>
      </c>
    </row>
    <row r="1573" spans="1:9">
      <c r="A1573" t="str">
        <f>IF(VIPcric_1!A1555="","",VIPcric_1!A1555)</f>
        <v>2022年</v>
      </c>
      <c r="B1573">
        <f>IF(VIPcric_1!B1555="","",VIPcric_1!B1555)</f>
        <v>3432220</v>
      </c>
      <c r="C1573">
        <f>IF(VIPcric_1!C1555="","",VIPcric_1!C1555)</f>
        <v>28048</v>
      </c>
      <c r="D1573">
        <f>IF(VIPcric_1!D1555="","",VIPcric_1!D1555)</f>
        <v>25.8</v>
      </c>
      <c r="E1573" t="str">
        <f>IF(VIPcric_1!E1555="","",VIPcric_1!E1555)</f>
        <v/>
      </c>
      <c r="F1573" t="str">
        <f>IF(VIPcric_1!F1555="","",VIPcric_1!F1555)</f>
        <v/>
      </c>
      <c r="G1573" t="str">
        <f>IF(VIPcric_1!G1555="","",VIPcric_1!G1555)</f>
        <v/>
      </c>
      <c r="H1573" t="str">
        <f>IF(VIPcric_1!H1555="","",VIPcric_1!H1555)</f>
        <v/>
      </c>
      <c r="I1573" t="str">
        <f>IF(VIPcric_1!M1555="","",VIPcric_1!M1555)</f>
        <v>CRIC-汉中-市场监测.商品房市场.项目累计.库存.xlsx</v>
      </c>
    </row>
    <row r="1574" spans="1:9">
      <c r="A1574" t="str">
        <f>IF(VIPcric_1!A1556="","",VIPcric_1!A1556)</f>
        <v>2021年</v>
      </c>
      <c r="B1574">
        <f>IF(VIPcric_1!B1556="","",VIPcric_1!B1556)</f>
        <v>3148005</v>
      </c>
      <c r="C1574">
        <f>IF(VIPcric_1!C1556="","",VIPcric_1!C1556)</f>
        <v>26237</v>
      </c>
      <c r="D1574">
        <f>IF(VIPcric_1!D1556="","",VIPcric_1!D1556)</f>
        <v>35.799999999999997</v>
      </c>
      <c r="E1574" t="str">
        <f>IF(VIPcric_1!E1556="","",VIPcric_1!E1556)</f>
        <v/>
      </c>
      <c r="F1574" t="str">
        <f>IF(VIPcric_1!F1556="","",VIPcric_1!F1556)</f>
        <v/>
      </c>
      <c r="G1574" t="str">
        <f>IF(VIPcric_1!G1556="","",VIPcric_1!G1556)</f>
        <v/>
      </c>
      <c r="H1574" t="str">
        <f>IF(VIPcric_1!H1556="","",VIPcric_1!H1556)</f>
        <v/>
      </c>
      <c r="I1574" t="str">
        <f>IF(VIPcric_1!M1556="","",VIPcric_1!M1556)</f>
        <v>CRIC-汉中-市场监测.商品房市场.项目累计.库存.xlsx</v>
      </c>
    </row>
    <row r="1575" spans="1:9">
      <c r="A1575" t="str">
        <f>IF(VIPcric_1!A1557="","",VIPcric_1!A1557)</f>
        <v/>
      </c>
      <c r="B1575" t="str">
        <f>IF(VIPcric_1!B1557="","",VIPcric_1!B1557)</f>
        <v/>
      </c>
      <c r="C1575" t="str">
        <f>IF(VIPcric_1!C1557="","",VIPcric_1!C1557)</f>
        <v/>
      </c>
      <c r="D1575" t="str">
        <f>IF(VIPcric_1!D1557="","",VIPcric_1!D1557)</f>
        <v/>
      </c>
      <c r="E1575" t="str">
        <f>IF(VIPcric_1!E1557="","",VIPcric_1!E1557)</f>
        <v/>
      </c>
      <c r="F1575" t="str">
        <f>IF(VIPcric_1!F1557="","",VIPcric_1!F1557)</f>
        <v/>
      </c>
      <c r="G1575" t="str">
        <f>IF(VIPcric_1!G1557="","",VIPcric_1!G1557)</f>
        <v/>
      </c>
      <c r="H1575" t="str">
        <f>IF(VIPcric_1!H1557="","",VIPcric_1!H1557)</f>
        <v/>
      </c>
      <c r="I1575" t="str">
        <f>IF(VIPcric_1!M1557="","",VIPcric_1!M1557)</f>
        <v/>
      </c>
    </row>
    <row r="1576" spans="1:9">
      <c r="A1576" t="str">
        <f>IF(VIPcric_1!A1558="","",VIPcric_1!A1558)</f>
        <v/>
      </c>
      <c r="B1576" t="str">
        <f>IF(VIPcric_1!B1558="","",VIPcric_1!B1558)</f>
        <v/>
      </c>
      <c r="C1576" t="str">
        <f>IF(VIPcric_1!C1558="","",VIPcric_1!C1558)</f>
        <v/>
      </c>
      <c r="D1576" t="str">
        <f>IF(VIPcric_1!D1558="","",VIPcric_1!D1558)</f>
        <v/>
      </c>
      <c r="E1576" t="str">
        <f>IF(VIPcric_1!E1558="","",VIPcric_1!E1558)</f>
        <v/>
      </c>
      <c r="F1576" t="str">
        <f>IF(VIPcric_1!F1558="","",VIPcric_1!F1558)</f>
        <v/>
      </c>
      <c r="G1576" t="str">
        <f>IF(VIPcric_1!G1558="","",VIPcric_1!G1558)</f>
        <v/>
      </c>
      <c r="H1576" t="str">
        <f>IF(VIPcric_1!H1558="","",VIPcric_1!H1558)</f>
        <v/>
      </c>
      <c r="I1576" t="str">
        <f>IF(VIPcric_1!M1558="","",VIPcric_1!M1558)</f>
        <v>CRIC-汕头-市场监测.商品房市场.项目累计.供求.xlsx</v>
      </c>
    </row>
    <row r="1577" spans="1:9">
      <c r="A1577" t="str">
        <f>IF(VIPcric_1!A1559="","",VIPcric_1!A1559)</f>
        <v>时间(年)</v>
      </c>
      <c r="B1577" t="str">
        <f>IF(VIPcric_1!B1559="","",VIPcric_1!B1559)</f>
        <v>供应面积(㎡)</v>
      </c>
      <c r="C1577" t="str">
        <f>IF(VIPcric_1!C1559="","",VIPcric_1!C1559)</f>
        <v>供应套数(套)</v>
      </c>
      <c r="D1577" t="str">
        <f>IF(VIPcric_1!D1559="","",VIPcric_1!D1559)</f>
        <v>成交面积(㎡)</v>
      </c>
      <c r="E1577" t="str">
        <f>IF(VIPcric_1!E1559="","",VIPcric_1!E1559)</f>
        <v>成交套数(套)</v>
      </c>
      <c r="F1577" t="str">
        <f>IF(VIPcric_1!F1559="","",VIPcric_1!F1559)</f>
        <v>成交均价(元/㎡)</v>
      </c>
      <c r="G1577" t="str">
        <f>IF(VIPcric_1!G1559="","",VIPcric_1!G1559)</f>
        <v>成交金额(元)</v>
      </c>
      <c r="H1577" t="str">
        <f>IF(VIPcric_1!H1559="","",VIPcric_1!H1559)</f>
        <v>供求比</v>
      </c>
      <c r="I1577" t="str">
        <f>IF(VIPcric_1!M1559="","",VIPcric_1!M1559)</f>
        <v>CRIC-汕头-市场监测.商品房市场.项目累计.供求.xlsx</v>
      </c>
    </row>
    <row r="1578" spans="1:9">
      <c r="A1578" t="str">
        <f>IF(VIPcric_1!A1560="","",VIPcric_1!A1560)</f>
        <v>2023年</v>
      </c>
      <c r="B1578">
        <f>IF(VIPcric_1!B1560="","",VIPcric_1!B1560)</f>
        <v>2451220</v>
      </c>
      <c r="C1578">
        <f>IF(VIPcric_1!C1560="","",VIPcric_1!C1560)</f>
        <v>19221</v>
      </c>
      <c r="D1578">
        <f>IF(VIPcric_1!D1560="","",VIPcric_1!D1560)</f>
        <v>2632160</v>
      </c>
      <c r="E1578">
        <f>IF(VIPcric_1!E1560="","",VIPcric_1!E1560)</f>
        <v>22282</v>
      </c>
      <c r="F1578">
        <f>IF(VIPcric_1!F1560="","",VIPcric_1!F1560)</f>
        <v>10573</v>
      </c>
      <c r="G1578">
        <f>IF(VIPcric_1!G1560="","",VIPcric_1!G1560)</f>
        <v>27829172972</v>
      </c>
      <c r="H1578">
        <f>IF(VIPcric_1!H1560="","",VIPcric_1!H1560)</f>
        <v>0.93</v>
      </c>
      <c r="I1578" t="str">
        <f>IF(VIPcric_1!M1560="","",VIPcric_1!M1560)</f>
        <v>CRIC-汕头-市场监测.商品房市场.项目累计.供求.xlsx</v>
      </c>
    </row>
    <row r="1579" spans="1:9">
      <c r="A1579" t="str">
        <f>IF(VIPcric_1!A1561="","",VIPcric_1!A1561)</f>
        <v>2022年</v>
      </c>
      <c r="B1579">
        <f>IF(VIPcric_1!B1561="","",VIPcric_1!B1561)</f>
        <v>3305530</v>
      </c>
      <c r="C1579">
        <f>IF(VIPcric_1!C1561="","",VIPcric_1!C1561)</f>
        <v>26481</v>
      </c>
      <c r="D1579">
        <f>IF(VIPcric_1!D1561="","",VIPcric_1!D1561)</f>
        <v>2770106</v>
      </c>
      <c r="E1579">
        <f>IF(VIPcric_1!E1561="","",VIPcric_1!E1561)</f>
        <v>23341</v>
      </c>
      <c r="F1579">
        <f>IF(VIPcric_1!F1561="","",VIPcric_1!F1561)</f>
        <v>9601</v>
      </c>
      <c r="G1579">
        <f>IF(VIPcric_1!G1561="","",VIPcric_1!G1561)</f>
        <v>26595107905</v>
      </c>
      <c r="H1579">
        <f>IF(VIPcric_1!H1561="","",VIPcric_1!H1561)</f>
        <v>1.19</v>
      </c>
      <c r="I1579" t="str">
        <f>IF(VIPcric_1!M1561="","",VIPcric_1!M1561)</f>
        <v>CRIC-汕头-市场监测.商品房市场.项目累计.供求.xlsx</v>
      </c>
    </row>
    <row r="1580" spans="1:9">
      <c r="A1580" t="str">
        <f>IF(VIPcric_1!A1562="","",VIPcric_1!A1562)</f>
        <v>2021年</v>
      </c>
      <c r="B1580">
        <f>IF(VIPcric_1!B1562="","",VIPcric_1!B1562)</f>
        <v>6055686</v>
      </c>
      <c r="C1580">
        <f>IF(VIPcric_1!C1562="","",VIPcric_1!C1562)</f>
        <v>54427</v>
      </c>
      <c r="D1580">
        <f>IF(VIPcric_1!D1562="","",VIPcric_1!D1562)</f>
        <v>4196963</v>
      </c>
      <c r="E1580">
        <f>IF(VIPcric_1!E1562="","",VIPcric_1!E1562)</f>
        <v>36877</v>
      </c>
      <c r="F1580">
        <f>IF(VIPcric_1!F1562="","",VIPcric_1!F1562)</f>
        <v>10652</v>
      </c>
      <c r="G1580">
        <f>IF(VIPcric_1!G1562="","",VIPcric_1!G1562)</f>
        <v>44707057757</v>
      </c>
      <c r="H1580">
        <f>IF(VIPcric_1!H1562="","",VIPcric_1!H1562)</f>
        <v>1.44</v>
      </c>
      <c r="I1580" t="str">
        <f>IF(VIPcric_1!M1562="","",VIPcric_1!M1562)</f>
        <v>CRIC-汕头-市场监测.商品房市场.项目累计.供求.xlsx</v>
      </c>
    </row>
    <row r="1581" spans="1:9">
      <c r="A1581" t="str">
        <f>IF(VIPcric_1!A1563="","",VIPcric_1!A1563)</f>
        <v>2020年</v>
      </c>
      <c r="B1581">
        <f>IF(VIPcric_1!B1563="","",VIPcric_1!B1563)</f>
        <v>2818201</v>
      </c>
      <c r="C1581">
        <f>IF(VIPcric_1!C1563="","",VIPcric_1!C1563)</f>
        <v>23977</v>
      </c>
      <c r="D1581">
        <f>IF(VIPcric_1!D1563="","",VIPcric_1!D1563)</f>
        <v>2671705</v>
      </c>
      <c r="E1581">
        <f>IF(VIPcric_1!E1563="","",VIPcric_1!E1563)</f>
        <v>22577</v>
      </c>
      <c r="F1581">
        <f>IF(VIPcric_1!F1563="","",VIPcric_1!F1563)</f>
        <v>10228</v>
      </c>
      <c r="G1581">
        <f>IF(VIPcric_1!G1563="","",VIPcric_1!G1563)</f>
        <v>27327191856</v>
      </c>
      <c r="H1581">
        <f>IF(VIPcric_1!H1563="","",VIPcric_1!H1563)</f>
        <v>1.05</v>
      </c>
      <c r="I1581" t="str">
        <f>IF(VIPcric_1!M1563="","",VIPcric_1!M1563)</f>
        <v>CRIC-汕头-市场监测.商品房市场.项目累计.供求.xlsx</v>
      </c>
    </row>
    <row r="1582" spans="1:9">
      <c r="A1582" t="str">
        <f>IF(VIPcric_1!A1564="","",VIPcric_1!A1564)</f>
        <v>2019年</v>
      </c>
      <c r="B1582">
        <f>IF(VIPcric_1!B1564="","",VIPcric_1!B1564)</f>
        <v>2491973</v>
      </c>
      <c r="C1582">
        <f>IF(VIPcric_1!C1564="","",VIPcric_1!C1564)</f>
        <v>22743</v>
      </c>
      <c r="D1582">
        <f>IF(VIPcric_1!D1564="","",VIPcric_1!D1564)</f>
        <v>2375434</v>
      </c>
      <c r="E1582">
        <f>IF(VIPcric_1!E1564="","",VIPcric_1!E1564)</f>
        <v>19449</v>
      </c>
      <c r="F1582">
        <f>IF(VIPcric_1!F1564="","",VIPcric_1!F1564)</f>
        <v>9715</v>
      </c>
      <c r="G1582">
        <f>IF(VIPcric_1!G1564="","",VIPcric_1!G1564)</f>
        <v>23076856032</v>
      </c>
      <c r="H1582">
        <f>IF(VIPcric_1!H1564="","",VIPcric_1!H1564)</f>
        <v>1.05</v>
      </c>
      <c r="I1582" t="str">
        <f>IF(VIPcric_1!M1564="","",VIPcric_1!M1564)</f>
        <v>CRIC-汕头-市场监测.商品房市场.项目累计.供求.xlsx</v>
      </c>
    </row>
    <row r="1583" spans="1:9">
      <c r="A1583" t="str">
        <f>IF(VIPcric_1!A1565="","",VIPcric_1!A1565)</f>
        <v>汇总</v>
      </c>
      <c r="B1583">
        <f>IF(VIPcric_1!B1565="","",VIPcric_1!B1565)</f>
        <v>17122611</v>
      </c>
      <c r="C1583">
        <f>IF(VIPcric_1!C1565="","",VIPcric_1!C1565)</f>
        <v>146849</v>
      </c>
      <c r="D1583">
        <f>IF(VIPcric_1!D1565="","",VIPcric_1!D1565)</f>
        <v>14646369</v>
      </c>
      <c r="E1583">
        <f>IF(VIPcric_1!E1565="","",VIPcric_1!E1565)</f>
        <v>124526</v>
      </c>
      <c r="F1583">
        <f>IF(VIPcric_1!F1565="","",VIPcric_1!F1565)</f>
        <v>10210</v>
      </c>
      <c r="G1583">
        <f>IF(VIPcric_1!G1565="","",VIPcric_1!G1565)</f>
        <v>149535386522</v>
      </c>
      <c r="H1583">
        <f>IF(VIPcric_1!H1565="","",VIPcric_1!H1565)</f>
        <v>1.17</v>
      </c>
      <c r="I1583" t="str">
        <f>IF(VIPcric_1!M1565="","",VIPcric_1!M1565)</f>
        <v>CRIC-汕头-市场监测.商品房市场.项目累计.供求.xlsx</v>
      </c>
    </row>
    <row r="1584" spans="1:9">
      <c r="A1584" t="str">
        <f>IF(VIPcric_1!A1566="","",VIPcric_1!A1566)</f>
        <v/>
      </c>
      <c r="B1584" t="str">
        <f>IF(VIPcric_1!B1566="","",VIPcric_1!B1566)</f>
        <v/>
      </c>
      <c r="C1584" t="str">
        <f>IF(VIPcric_1!C1566="","",VIPcric_1!C1566)</f>
        <v/>
      </c>
      <c r="D1584" t="str">
        <f>IF(VIPcric_1!D1566="","",VIPcric_1!D1566)</f>
        <v/>
      </c>
      <c r="E1584" t="str">
        <f>IF(VIPcric_1!E1566="","",VIPcric_1!E1566)</f>
        <v/>
      </c>
      <c r="F1584" t="str">
        <f>IF(VIPcric_1!F1566="","",VIPcric_1!F1566)</f>
        <v/>
      </c>
      <c r="G1584" t="str">
        <f>IF(VIPcric_1!G1566="","",VIPcric_1!G1566)</f>
        <v/>
      </c>
      <c r="H1584" t="str">
        <f>IF(VIPcric_1!H1566="","",VIPcric_1!H1566)</f>
        <v/>
      </c>
      <c r="I1584" t="str">
        <f>IF(VIPcric_1!M1566="","",VIPcric_1!M1566)</f>
        <v/>
      </c>
    </row>
    <row r="1585" spans="1:9">
      <c r="A1585" t="str">
        <f>IF(VIPcric_1!A1567="","",VIPcric_1!A1567)</f>
        <v/>
      </c>
      <c r="B1585" t="str">
        <f>IF(VIPcric_1!B1567="","",VIPcric_1!B1567)</f>
        <v/>
      </c>
      <c r="C1585" t="str">
        <f>IF(VIPcric_1!C1567="","",VIPcric_1!C1567)</f>
        <v/>
      </c>
      <c r="D1585" t="str">
        <f>IF(VIPcric_1!D1567="","",VIPcric_1!D1567)</f>
        <v/>
      </c>
      <c r="E1585" t="str">
        <f>IF(VIPcric_1!E1567="","",VIPcric_1!E1567)</f>
        <v/>
      </c>
      <c r="F1585" t="str">
        <f>IF(VIPcric_1!F1567="","",VIPcric_1!F1567)</f>
        <v/>
      </c>
      <c r="G1585" t="str">
        <f>IF(VIPcric_1!G1567="","",VIPcric_1!G1567)</f>
        <v/>
      </c>
      <c r="H1585" t="str">
        <f>IF(VIPcric_1!H1567="","",VIPcric_1!H1567)</f>
        <v/>
      </c>
      <c r="I1585" t="str">
        <f>IF(VIPcric_1!M1567="","",VIPcric_1!M1567)</f>
        <v>CRIC-汕头-市场监测.商品房市场.项目累计.库存.xlsx</v>
      </c>
    </row>
    <row r="1586" spans="1:9">
      <c r="A1586" t="str">
        <f>IF(VIPcric_1!A1568="","",VIPcric_1!A1568)</f>
        <v>时间(年)</v>
      </c>
      <c r="B1586" t="str">
        <f>IF(VIPcric_1!B1568="","",VIPcric_1!B1568)</f>
        <v>库存面积(㎡)</v>
      </c>
      <c r="C1586" t="str">
        <f>IF(VIPcric_1!C1568="","",VIPcric_1!C1568)</f>
        <v>库存套数(套)</v>
      </c>
      <c r="D1586" t="str">
        <f>IF(VIPcric_1!D1568="","",VIPcric_1!D1568)</f>
        <v>去化周期12'(月)</v>
      </c>
      <c r="E1586" t="str">
        <f>IF(VIPcric_1!E1568="","",VIPcric_1!E1568)</f>
        <v/>
      </c>
      <c r="F1586" t="str">
        <f>IF(VIPcric_1!F1568="","",VIPcric_1!F1568)</f>
        <v/>
      </c>
      <c r="G1586" t="str">
        <f>IF(VIPcric_1!G1568="","",VIPcric_1!G1568)</f>
        <v/>
      </c>
      <c r="H1586" t="str">
        <f>IF(VIPcric_1!H1568="","",VIPcric_1!H1568)</f>
        <v/>
      </c>
      <c r="I1586" t="str">
        <f>IF(VIPcric_1!M1568="","",VIPcric_1!M1568)</f>
        <v>CRIC-汕头-市场监测.商品房市场.项目累计.库存.xlsx</v>
      </c>
    </row>
    <row r="1587" spans="1:9">
      <c r="A1587" t="str">
        <f>IF(VIPcric_1!A1569="","",VIPcric_1!A1569)</f>
        <v>2024年</v>
      </c>
      <c r="B1587">
        <f>IF(VIPcric_1!B1569="","",VIPcric_1!B1569)</f>
        <v>7572943</v>
      </c>
      <c r="C1587">
        <f>IF(VIPcric_1!C1569="","",VIPcric_1!C1569)</f>
        <v>60732</v>
      </c>
      <c r="D1587">
        <f>IF(VIPcric_1!D1569="","",VIPcric_1!D1569)</f>
        <v>35.1</v>
      </c>
      <c r="E1587" t="str">
        <f>IF(VIPcric_1!E1569="","",VIPcric_1!E1569)</f>
        <v/>
      </c>
      <c r="F1587" t="str">
        <f>IF(VIPcric_1!F1569="","",VIPcric_1!F1569)</f>
        <v/>
      </c>
      <c r="G1587" t="str">
        <f>IF(VIPcric_1!G1569="","",VIPcric_1!G1569)</f>
        <v/>
      </c>
      <c r="H1587" t="str">
        <f>IF(VIPcric_1!H1569="","",VIPcric_1!H1569)</f>
        <v/>
      </c>
      <c r="I1587" t="str">
        <f>IF(VIPcric_1!M1569="","",VIPcric_1!M1569)</f>
        <v>CRIC-汕头-市场监测.商品房市场.项目累计.库存.xlsx</v>
      </c>
    </row>
    <row r="1588" spans="1:9">
      <c r="A1588" t="str">
        <f>IF(VIPcric_1!A1570="","",VIPcric_1!A1570)</f>
        <v>2023年</v>
      </c>
      <c r="B1588">
        <f>IF(VIPcric_1!B1570="","",VIPcric_1!B1570)</f>
        <v>7470676</v>
      </c>
      <c r="C1588">
        <f>IF(VIPcric_1!C1570="","",VIPcric_1!C1570)</f>
        <v>60172</v>
      </c>
      <c r="D1588">
        <f>IF(VIPcric_1!D1570="","",VIPcric_1!D1570)</f>
        <v>34.1</v>
      </c>
      <c r="E1588" t="str">
        <f>IF(VIPcric_1!E1570="","",VIPcric_1!E1570)</f>
        <v/>
      </c>
      <c r="F1588" t="str">
        <f>IF(VIPcric_1!F1570="","",VIPcric_1!F1570)</f>
        <v/>
      </c>
      <c r="G1588" t="str">
        <f>IF(VIPcric_1!G1570="","",VIPcric_1!G1570)</f>
        <v/>
      </c>
      <c r="H1588" t="str">
        <f>IF(VIPcric_1!H1570="","",VIPcric_1!H1570)</f>
        <v/>
      </c>
      <c r="I1588" t="str">
        <f>IF(VIPcric_1!M1570="","",VIPcric_1!M1570)</f>
        <v>CRIC-汕头-市场监测.商品房市场.项目累计.库存.xlsx</v>
      </c>
    </row>
    <row r="1589" spans="1:9">
      <c r="A1589" t="str">
        <f>IF(VIPcric_1!A1571="","",VIPcric_1!A1571)</f>
        <v>2022年</v>
      </c>
      <c r="B1589">
        <f>IF(VIPcric_1!B1571="","",VIPcric_1!B1571)</f>
        <v>7885750</v>
      </c>
      <c r="C1589">
        <f>IF(VIPcric_1!C1571="","",VIPcric_1!C1571)</f>
        <v>64896</v>
      </c>
      <c r="D1589">
        <f>IF(VIPcric_1!D1571="","",VIPcric_1!D1571)</f>
        <v>34.200000000000003</v>
      </c>
      <c r="E1589" t="str">
        <f>IF(VIPcric_1!E1571="","",VIPcric_1!E1571)</f>
        <v/>
      </c>
      <c r="F1589" t="str">
        <f>IF(VIPcric_1!F1571="","",VIPcric_1!F1571)</f>
        <v/>
      </c>
      <c r="G1589" t="str">
        <f>IF(VIPcric_1!G1571="","",VIPcric_1!G1571)</f>
        <v/>
      </c>
      <c r="H1589" t="str">
        <f>IF(VIPcric_1!H1571="","",VIPcric_1!H1571)</f>
        <v/>
      </c>
      <c r="I1589" t="str">
        <f>IF(VIPcric_1!M1571="","",VIPcric_1!M1571)</f>
        <v>CRIC-汕头-市场监测.商品房市场.项目累计.库存.xlsx</v>
      </c>
    </row>
    <row r="1590" spans="1:9">
      <c r="A1590" t="str">
        <f>IF(VIPcric_1!A1572="","",VIPcric_1!A1572)</f>
        <v>2021年</v>
      </c>
      <c r="B1590">
        <f>IF(VIPcric_1!B1572="","",VIPcric_1!B1572)</f>
        <v>7278495</v>
      </c>
      <c r="C1590">
        <f>IF(VIPcric_1!C1572="","",VIPcric_1!C1572)</f>
        <v>61022</v>
      </c>
      <c r="D1590">
        <f>IF(VIPcric_1!D1572="","",VIPcric_1!D1572)</f>
        <v>20.8</v>
      </c>
      <c r="E1590" t="str">
        <f>IF(VIPcric_1!E1572="","",VIPcric_1!E1572)</f>
        <v/>
      </c>
      <c r="F1590" t="str">
        <f>IF(VIPcric_1!F1572="","",VIPcric_1!F1572)</f>
        <v/>
      </c>
      <c r="G1590" t="str">
        <f>IF(VIPcric_1!G1572="","",VIPcric_1!G1572)</f>
        <v/>
      </c>
      <c r="H1590" t="str">
        <f>IF(VIPcric_1!H1572="","",VIPcric_1!H1572)</f>
        <v/>
      </c>
      <c r="I1590" t="str">
        <f>IF(VIPcric_1!M1572="","",VIPcric_1!M1572)</f>
        <v>CRIC-汕头-市场监测.商品房市场.项目累计.库存.xlsx</v>
      </c>
    </row>
    <row r="1591" spans="1:9">
      <c r="A1591" t="str">
        <f>IF(VIPcric_1!A1573="","",VIPcric_1!A1573)</f>
        <v>2020年</v>
      </c>
      <c r="B1591">
        <f>IF(VIPcric_1!B1573="","",VIPcric_1!B1573)</f>
        <v>5036327</v>
      </c>
      <c r="C1591">
        <f>IF(VIPcric_1!C1573="","",VIPcric_1!C1573)</f>
        <v>43733</v>
      </c>
      <c r="D1591">
        <f>IF(VIPcric_1!D1573="","",VIPcric_1!D1573)</f>
        <v>22.6</v>
      </c>
      <c r="E1591" t="str">
        <f>IF(VIPcric_1!E1573="","",VIPcric_1!E1573)</f>
        <v/>
      </c>
      <c r="F1591" t="str">
        <f>IF(VIPcric_1!F1573="","",VIPcric_1!F1573)</f>
        <v/>
      </c>
      <c r="G1591" t="str">
        <f>IF(VIPcric_1!G1573="","",VIPcric_1!G1573)</f>
        <v/>
      </c>
      <c r="H1591" t="str">
        <f>IF(VIPcric_1!H1573="","",VIPcric_1!H1573)</f>
        <v/>
      </c>
      <c r="I1591" t="str">
        <f>IF(VIPcric_1!M1573="","",VIPcric_1!M1573)</f>
        <v>CRIC-汕头-市场监测.商品房市场.项目累计.库存.xlsx</v>
      </c>
    </row>
    <row r="1592" spans="1:9">
      <c r="A1592" t="str">
        <f>IF(VIPcric_1!A1574="","",VIPcric_1!A1574)</f>
        <v>2019年</v>
      </c>
      <c r="B1592">
        <f>IF(VIPcric_1!B1574="","",VIPcric_1!B1574)</f>
        <v>5777181</v>
      </c>
      <c r="C1592">
        <f>IF(VIPcric_1!C1574="","",VIPcric_1!C1574)</f>
        <v>44832</v>
      </c>
      <c r="D1592">
        <f>IF(VIPcric_1!D1574="","",VIPcric_1!D1574)</f>
        <v>29.2</v>
      </c>
      <c r="E1592" t="str">
        <f>IF(VIPcric_1!E1574="","",VIPcric_1!E1574)</f>
        <v/>
      </c>
      <c r="F1592" t="str">
        <f>IF(VIPcric_1!F1574="","",VIPcric_1!F1574)</f>
        <v/>
      </c>
      <c r="G1592" t="str">
        <f>IF(VIPcric_1!G1574="","",VIPcric_1!G1574)</f>
        <v/>
      </c>
      <c r="H1592" t="str">
        <f>IF(VIPcric_1!H1574="","",VIPcric_1!H1574)</f>
        <v/>
      </c>
      <c r="I1592" t="str">
        <f>IF(VIPcric_1!M1574="","",VIPcric_1!M1574)</f>
        <v>CRIC-汕头-市场监测.商品房市场.项目累计.库存.xlsx</v>
      </c>
    </row>
    <row r="1593" spans="1:9">
      <c r="A1593" t="str">
        <f>IF(VIPcric_1!A1575="","",VIPcric_1!A1575)</f>
        <v/>
      </c>
      <c r="B1593" t="str">
        <f>IF(VIPcric_1!B1575="","",VIPcric_1!B1575)</f>
        <v/>
      </c>
      <c r="C1593" t="str">
        <f>IF(VIPcric_1!C1575="","",VIPcric_1!C1575)</f>
        <v/>
      </c>
      <c r="D1593" t="str">
        <f>IF(VIPcric_1!D1575="","",VIPcric_1!D1575)</f>
        <v/>
      </c>
      <c r="E1593" t="str">
        <f>IF(VIPcric_1!E1575="","",VIPcric_1!E1575)</f>
        <v/>
      </c>
      <c r="F1593" t="str">
        <f>IF(VIPcric_1!F1575="","",VIPcric_1!F1575)</f>
        <v/>
      </c>
      <c r="G1593" t="str">
        <f>IF(VIPcric_1!G1575="","",VIPcric_1!G1575)</f>
        <v/>
      </c>
      <c r="H1593" t="str">
        <f>IF(VIPcric_1!H1575="","",VIPcric_1!H1575)</f>
        <v/>
      </c>
      <c r="I1593" t="str">
        <f>IF(VIPcric_1!M1575="","",VIPcric_1!M1575)</f>
        <v/>
      </c>
    </row>
    <row r="1594" spans="1:9">
      <c r="A1594" t="str">
        <f>IF(VIPcric_1!A1576="","",VIPcric_1!A1576)</f>
        <v/>
      </c>
      <c r="B1594" t="str">
        <f>IF(VIPcric_1!B1576="","",VIPcric_1!B1576)</f>
        <v/>
      </c>
      <c r="C1594" t="str">
        <f>IF(VIPcric_1!C1576="","",VIPcric_1!C1576)</f>
        <v/>
      </c>
      <c r="D1594" t="str">
        <f>IF(VIPcric_1!D1576="","",VIPcric_1!D1576)</f>
        <v/>
      </c>
      <c r="E1594" t="str">
        <f>IF(VIPcric_1!E1576="","",VIPcric_1!E1576)</f>
        <v/>
      </c>
      <c r="F1594" t="str">
        <f>IF(VIPcric_1!F1576="","",VIPcric_1!F1576)</f>
        <v/>
      </c>
      <c r="G1594" t="str">
        <f>IF(VIPcric_1!G1576="","",VIPcric_1!G1576)</f>
        <v/>
      </c>
      <c r="H1594" t="str">
        <f>IF(VIPcric_1!H1576="","",VIPcric_1!H1576)</f>
        <v/>
      </c>
      <c r="I1594" t="str">
        <f>IF(VIPcric_1!M1576="","",VIPcric_1!M1576)</f>
        <v>CRIC-江阴-市场监测.商品房市场.项目累计.供求.xlsx</v>
      </c>
    </row>
    <row r="1595" spans="1:9">
      <c r="A1595" t="str">
        <f>IF(VIPcric_1!A1577="","",VIPcric_1!A1577)</f>
        <v>时间(年)</v>
      </c>
      <c r="B1595" t="str">
        <f>IF(VIPcric_1!B1577="","",VIPcric_1!B1577)</f>
        <v>供应面积(㎡)</v>
      </c>
      <c r="C1595" t="str">
        <f>IF(VIPcric_1!C1577="","",VIPcric_1!C1577)</f>
        <v>供应套数(套)</v>
      </c>
      <c r="D1595" t="str">
        <f>IF(VIPcric_1!D1577="","",VIPcric_1!D1577)</f>
        <v>成交面积(㎡)</v>
      </c>
      <c r="E1595" t="str">
        <f>IF(VIPcric_1!E1577="","",VIPcric_1!E1577)</f>
        <v>成交套数(套)</v>
      </c>
      <c r="F1595" t="str">
        <f>IF(VIPcric_1!F1577="","",VIPcric_1!F1577)</f>
        <v>成交均价(元/㎡)</v>
      </c>
      <c r="G1595" t="str">
        <f>IF(VIPcric_1!G1577="","",VIPcric_1!G1577)</f>
        <v>成交金额(元)</v>
      </c>
      <c r="H1595" t="str">
        <f>IF(VIPcric_1!H1577="","",VIPcric_1!H1577)</f>
        <v>供求比</v>
      </c>
      <c r="I1595" t="str">
        <f>IF(VIPcric_1!M1577="","",VIPcric_1!M1577)</f>
        <v>CRIC-江阴-市场监测.商品房市场.项目累计.供求.xlsx</v>
      </c>
    </row>
    <row r="1596" spans="1:9">
      <c r="A1596" t="str">
        <f>IF(VIPcric_1!A1578="","",VIPcric_1!A1578)</f>
        <v>2024年</v>
      </c>
      <c r="B1596">
        <f>IF(VIPcric_1!B1578="","",VIPcric_1!B1578)</f>
        <v>52314</v>
      </c>
      <c r="C1596">
        <f>IF(VIPcric_1!C1578="","",VIPcric_1!C1578)</f>
        <v>461</v>
      </c>
      <c r="D1596">
        <f>IF(VIPcric_1!D1578="","",VIPcric_1!D1578)</f>
        <v>34815</v>
      </c>
      <c r="E1596">
        <f>IF(VIPcric_1!E1578="","",VIPcric_1!E1578)</f>
        <v>267</v>
      </c>
      <c r="F1596">
        <f>IF(VIPcric_1!F1578="","",VIPcric_1!F1578)</f>
        <v>13487</v>
      </c>
      <c r="G1596">
        <f>IF(VIPcric_1!G1578="","",VIPcric_1!G1578)</f>
        <v>469560997</v>
      </c>
      <c r="H1596">
        <f>IF(VIPcric_1!H1578="","",VIPcric_1!H1578)</f>
        <v>1.5</v>
      </c>
      <c r="I1596" t="str">
        <f>IF(VIPcric_1!M1578="","",VIPcric_1!M1578)</f>
        <v>CRIC-江阴-市场监测.商品房市场.项目累计.供求.xlsx</v>
      </c>
    </row>
    <row r="1597" spans="1:9">
      <c r="A1597" t="str">
        <f>IF(VIPcric_1!A1579="","",VIPcric_1!A1579)</f>
        <v>2023年</v>
      </c>
      <c r="B1597">
        <f>IF(VIPcric_1!B1579="","",VIPcric_1!B1579)</f>
        <v>464692</v>
      </c>
      <c r="C1597">
        <f>IF(VIPcric_1!C1579="","",VIPcric_1!C1579)</f>
        <v>3824</v>
      </c>
      <c r="D1597">
        <f>IF(VIPcric_1!D1579="","",VIPcric_1!D1579)</f>
        <v>746664</v>
      </c>
      <c r="E1597">
        <f>IF(VIPcric_1!E1579="","",VIPcric_1!E1579)</f>
        <v>5968</v>
      </c>
      <c r="F1597">
        <f>IF(VIPcric_1!F1579="","",VIPcric_1!F1579)</f>
        <v>13858</v>
      </c>
      <c r="G1597">
        <f>IF(VIPcric_1!G1579="","",VIPcric_1!G1579)</f>
        <v>10346931279</v>
      </c>
      <c r="H1597">
        <f>IF(VIPcric_1!H1579="","",VIPcric_1!H1579)</f>
        <v>0.62</v>
      </c>
      <c r="I1597" t="str">
        <f>IF(VIPcric_1!M1579="","",VIPcric_1!M1579)</f>
        <v>CRIC-江阴-市场监测.商品房市场.项目累计.供求.xlsx</v>
      </c>
    </row>
    <row r="1598" spans="1:9">
      <c r="A1598" t="str">
        <f>IF(VIPcric_1!A1580="","",VIPcric_1!A1580)</f>
        <v>2022年</v>
      </c>
      <c r="B1598">
        <f>IF(VIPcric_1!B1580="","",VIPcric_1!B1580)</f>
        <v>375755</v>
      </c>
      <c r="C1598">
        <f>IF(VIPcric_1!C1580="","",VIPcric_1!C1580)</f>
        <v>3070</v>
      </c>
      <c r="D1598">
        <f>IF(VIPcric_1!D1580="","",VIPcric_1!D1580)</f>
        <v>1043415</v>
      </c>
      <c r="E1598">
        <f>IF(VIPcric_1!E1580="","",VIPcric_1!E1580)</f>
        <v>8122</v>
      </c>
      <c r="F1598">
        <f>IF(VIPcric_1!F1580="","",VIPcric_1!F1580)</f>
        <v>14209</v>
      </c>
      <c r="G1598">
        <f>IF(VIPcric_1!G1580="","",VIPcric_1!G1580)</f>
        <v>14826330181</v>
      </c>
      <c r="H1598">
        <f>IF(VIPcric_1!H1580="","",VIPcric_1!H1580)</f>
        <v>0.36</v>
      </c>
      <c r="I1598" t="str">
        <f>IF(VIPcric_1!M1580="","",VIPcric_1!M1580)</f>
        <v>CRIC-江阴-市场监测.商品房市场.项目累计.供求.xlsx</v>
      </c>
    </row>
    <row r="1599" spans="1:9">
      <c r="A1599" t="str">
        <f>IF(VIPcric_1!A1581="","",VIPcric_1!A1581)</f>
        <v>2021年</v>
      </c>
      <c r="B1599">
        <f>IF(VIPcric_1!B1581="","",VIPcric_1!B1581)</f>
        <v>2524943</v>
      </c>
      <c r="C1599">
        <f>IF(VIPcric_1!C1581="","",VIPcric_1!C1581)</f>
        <v>20273</v>
      </c>
      <c r="D1599">
        <f>IF(VIPcric_1!D1581="","",VIPcric_1!D1581)</f>
        <v>2091096</v>
      </c>
      <c r="E1599">
        <f>IF(VIPcric_1!E1581="","",VIPcric_1!E1581)</f>
        <v>16706</v>
      </c>
      <c r="F1599">
        <f>IF(VIPcric_1!F1581="","",VIPcric_1!F1581)</f>
        <v>13477</v>
      </c>
      <c r="G1599">
        <f>IF(VIPcric_1!G1581="","",VIPcric_1!G1581)</f>
        <v>28182008100</v>
      </c>
      <c r="H1599">
        <f>IF(VIPcric_1!H1581="","",VIPcric_1!H1581)</f>
        <v>1.21</v>
      </c>
      <c r="I1599" t="str">
        <f>IF(VIPcric_1!M1581="","",VIPcric_1!M1581)</f>
        <v>CRIC-江阴-市场监测.商品房市场.项目累计.供求.xlsx</v>
      </c>
    </row>
    <row r="1600" spans="1:9">
      <c r="A1600" t="str">
        <f>IF(VIPcric_1!A1582="","",VIPcric_1!A1582)</f>
        <v>2020年</v>
      </c>
      <c r="B1600">
        <f>IF(VIPcric_1!B1582="","",VIPcric_1!B1582)</f>
        <v>3271712</v>
      </c>
      <c r="C1600">
        <f>IF(VIPcric_1!C1582="","",VIPcric_1!C1582)</f>
        <v>26005</v>
      </c>
      <c r="D1600">
        <f>IF(VIPcric_1!D1582="","",VIPcric_1!D1582)</f>
        <v>2518926</v>
      </c>
      <c r="E1600">
        <f>IF(VIPcric_1!E1582="","",VIPcric_1!E1582)</f>
        <v>20276</v>
      </c>
      <c r="F1600">
        <f>IF(VIPcric_1!F1582="","",VIPcric_1!F1582)</f>
        <v>12648</v>
      </c>
      <c r="G1600">
        <f>IF(VIPcric_1!G1582="","",VIPcric_1!G1582)</f>
        <v>31860123697</v>
      </c>
      <c r="H1600">
        <f>IF(VIPcric_1!H1582="","",VIPcric_1!H1582)</f>
        <v>1.3</v>
      </c>
      <c r="I1600" t="str">
        <f>IF(VIPcric_1!M1582="","",VIPcric_1!M1582)</f>
        <v>CRIC-江阴-市场监测.商品房市场.项目累计.供求.xlsx</v>
      </c>
    </row>
    <row r="1601" spans="1:9">
      <c r="A1601" t="str">
        <f>IF(VIPcric_1!A1583="","",VIPcric_1!A1583)</f>
        <v>2019年</v>
      </c>
      <c r="B1601">
        <f>IF(VIPcric_1!B1583="","",VIPcric_1!B1583)</f>
        <v>2258881</v>
      </c>
      <c r="C1601">
        <f>IF(VIPcric_1!C1583="","",VIPcric_1!C1583)</f>
        <v>17953</v>
      </c>
      <c r="D1601">
        <f>IF(VIPcric_1!D1583="","",VIPcric_1!D1583)</f>
        <v>2669974</v>
      </c>
      <c r="E1601">
        <f>IF(VIPcric_1!E1583="","",VIPcric_1!E1583)</f>
        <v>20617</v>
      </c>
      <c r="F1601">
        <f>IF(VIPcric_1!F1583="","",VIPcric_1!F1583)</f>
        <v>10574</v>
      </c>
      <c r="G1601">
        <f>IF(VIPcric_1!G1583="","",VIPcric_1!G1583)</f>
        <v>28232851073</v>
      </c>
      <c r="H1601">
        <f>IF(VIPcric_1!H1583="","",VIPcric_1!H1583)</f>
        <v>0.85</v>
      </c>
      <c r="I1601" t="str">
        <f>IF(VIPcric_1!M1583="","",VIPcric_1!M1583)</f>
        <v>CRIC-江阴-市场监测.商品房市场.项目累计.供求.xlsx</v>
      </c>
    </row>
    <row r="1602" spans="1:9">
      <c r="A1602" t="str">
        <f>IF(VIPcric_1!A1584="","",VIPcric_1!A1584)</f>
        <v>汇总</v>
      </c>
      <c r="B1602">
        <f>IF(VIPcric_1!B1584="","",VIPcric_1!B1584)</f>
        <v>8948298</v>
      </c>
      <c r="C1602">
        <f>IF(VIPcric_1!C1584="","",VIPcric_1!C1584)</f>
        <v>71586</v>
      </c>
      <c r="D1602">
        <f>IF(VIPcric_1!D1584="","",VIPcric_1!D1584)</f>
        <v>9104891</v>
      </c>
      <c r="E1602">
        <f>IF(VIPcric_1!E1584="","",VIPcric_1!E1584)</f>
        <v>71956</v>
      </c>
      <c r="F1602">
        <f>IF(VIPcric_1!F1584="","",VIPcric_1!F1584)</f>
        <v>12512</v>
      </c>
      <c r="G1602">
        <f>IF(VIPcric_1!G1584="","",VIPcric_1!G1584)</f>
        <v>113917805327</v>
      </c>
      <c r="H1602">
        <f>IF(VIPcric_1!H1584="","",VIPcric_1!H1584)</f>
        <v>0.98</v>
      </c>
      <c r="I1602" t="str">
        <f>IF(VIPcric_1!M1584="","",VIPcric_1!M1584)</f>
        <v>CRIC-江阴-市场监测.商品房市场.项目累计.供求.xlsx</v>
      </c>
    </row>
    <row r="1603" spans="1:9">
      <c r="A1603" t="str">
        <f>IF(VIPcric_1!A1585="","",VIPcric_1!A1585)</f>
        <v/>
      </c>
      <c r="B1603" t="str">
        <f>IF(VIPcric_1!B1585="","",VIPcric_1!B1585)</f>
        <v/>
      </c>
      <c r="C1603" t="str">
        <f>IF(VIPcric_1!C1585="","",VIPcric_1!C1585)</f>
        <v/>
      </c>
      <c r="D1603" t="str">
        <f>IF(VIPcric_1!D1585="","",VIPcric_1!D1585)</f>
        <v/>
      </c>
      <c r="E1603" t="str">
        <f>IF(VIPcric_1!E1585="","",VIPcric_1!E1585)</f>
        <v/>
      </c>
      <c r="F1603" t="str">
        <f>IF(VIPcric_1!F1585="","",VIPcric_1!F1585)</f>
        <v/>
      </c>
      <c r="G1603" t="str">
        <f>IF(VIPcric_1!G1585="","",VIPcric_1!G1585)</f>
        <v/>
      </c>
      <c r="H1603" t="str">
        <f>IF(VIPcric_1!H1585="","",VIPcric_1!H1585)</f>
        <v/>
      </c>
      <c r="I1603" t="str">
        <f>IF(VIPcric_1!M1585="","",VIPcric_1!M1585)</f>
        <v/>
      </c>
    </row>
    <row r="1604" spans="1:9">
      <c r="A1604" t="str">
        <f>IF(VIPcric_1!A1586="","",VIPcric_1!A1586)</f>
        <v/>
      </c>
      <c r="B1604" t="str">
        <f>IF(VIPcric_1!B1586="","",VIPcric_1!B1586)</f>
        <v/>
      </c>
      <c r="C1604" t="str">
        <f>IF(VIPcric_1!C1586="","",VIPcric_1!C1586)</f>
        <v/>
      </c>
      <c r="D1604" t="str">
        <f>IF(VIPcric_1!D1586="","",VIPcric_1!D1586)</f>
        <v/>
      </c>
      <c r="E1604" t="str">
        <f>IF(VIPcric_1!E1586="","",VIPcric_1!E1586)</f>
        <v/>
      </c>
      <c r="F1604" t="str">
        <f>IF(VIPcric_1!F1586="","",VIPcric_1!F1586)</f>
        <v/>
      </c>
      <c r="G1604" t="str">
        <f>IF(VIPcric_1!G1586="","",VIPcric_1!G1586)</f>
        <v/>
      </c>
      <c r="H1604" t="str">
        <f>IF(VIPcric_1!H1586="","",VIPcric_1!H1586)</f>
        <v/>
      </c>
      <c r="I1604" t="str">
        <f>IF(VIPcric_1!M1586="","",VIPcric_1!M1586)</f>
        <v>CRIC-江阴-市场监测.商品房市场.项目累计.库存.xlsx</v>
      </c>
    </row>
    <row r="1605" spans="1:9">
      <c r="A1605" t="str">
        <f>IF(VIPcric_1!A1587="","",VIPcric_1!A1587)</f>
        <v>时间(年)</v>
      </c>
      <c r="B1605" t="str">
        <f>IF(VIPcric_1!B1587="","",VIPcric_1!B1587)</f>
        <v>库存面积(㎡)</v>
      </c>
      <c r="C1605" t="str">
        <f>IF(VIPcric_1!C1587="","",VIPcric_1!C1587)</f>
        <v>库存套数(套)</v>
      </c>
      <c r="D1605" t="str">
        <f>IF(VIPcric_1!D1587="","",VIPcric_1!D1587)</f>
        <v>去化周期12'(月)</v>
      </c>
      <c r="E1605" t="str">
        <f>IF(VIPcric_1!E1587="","",VIPcric_1!E1587)</f>
        <v/>
      </c>
      <c r="F1605" t="str">
        <f>IF(VIPcric_1!F1587="","",VIPcric_1!F1587)</f>
        <v/>
      </c>
      <c r="G1605" t="str">
        <f>IF(VIPcric_1!G1587="","",VIPcric_1!G1587)</f>
        <v/>
      </c>
      <c r="H1605" t="str">
        <f>IF(VIPcric_1!H1587="","",VIPcric_1!H1587)</f>
        <v/>
      </c>
      <c r="I1605" t="str">
        <f>IF(VIPcric_1!M1587="","",VIPcric_1!M1587)</f>
        <v>CRIC-江阴-市场监测.商品房市场.项目累计.库存.xlsx</v>
      </c>
    </row>
    <row r="1606" spans="1:9">
      <c r="A1606" t="str">
        <f>IF(VIPcric_1!A1588="","",VIPcric_1!A1588)</f>
        <v>2024年</v>
      </c>
      <c r="B1606">
        <f>IF(VIPcric_1!B1588="","",VIPcric_1!B1588)</f>
        <v>1783983</v>
      </c>
      <c r="C1606">
        <f>IF(VIPcric_1!C1588="","",VIPcric_1!C1588)</f>
        <v>13753</v>
      </c>
      <c r="D1606">
        <f>IF(VIPcric_1!D1588="","",VIPcric_1!D1588)</f>
        <v>30.7</v>
      </c>
      <c r="E1606" t="str">
        <f>IF(VIPcric_1!E1588="","",VIPcric_1!E1588)</f>
        <v/>
      </c>
      <c r="F1606" t="str">
        <f>IF(VIPcric_1!F1588="","",VIPcric_1!F1588)</f>
        <v/>
      </c>
      <c r="G1606" t="str">
        <f>IF(VIPcric_1!G1588="","",VIPcric_1!G1588)</f>
        <v/>
      </c>
      <c r="H1606" t="str">
        <f>IF(VIPcric_1!H1588="","",VIPcric_1!H1588)</f>
        <v/>
      </c>
      <c r="I1606" t="str">
        <f>IF(VIPcric_1!M1588="","",VIPcric_1!M1588)</f>
        <v>CRIC-江阴-市场监测.商品房市场.项目累计.库存.xlsx</v>
      </c>
    </row>
    <row r="1607" spans="1:9">
      <c r="A1607" t="str">
        <f>IF(VIPcric_1!A1589="","",VIPcric_1!A1589)</f>
        <v>2023年</v>
      </c>
      <c r="B1607">
        <f>IF(VIPcric_1!B1589="","",VIPcric_1!B1589)</f>
        <v>1740940</v>
      </c>
      <c r="C1607">
        <f>IF(VIPcric_1!C1589="","",VIPcric_1!C1589)</f>
        <v>13362</v>
      </c>
      <c r="D1607">
        <f>IF(VIPcric_1!D1589="","",VIPcric_1!D1589)</f>
        <v>28</v>
      </c>
      <c r="E1607" t="str">
        <f>IF(VIPcric_1!E1589="","",VIPcric_1!E1589)</f>
        <v/>
      </c>
      <c r="F1607" t="str">
        <f>IF(VIPcric_1!F1589="","",VIPcric_1!F1589)</f>
        <v/>
      </c>
      <c r="G1607" t="str">
        <f>IF(VIPcric_1!G1589="","",VIPcric_1!G1589)</f>
        <v/>
      </c>
      <c r="H1607" t="str">
        <f>IF(VIPcric_1!H1589="","",VIPcric_1!H1589)</f>
        <v/>
      </c>
      <c r="I1607" t="str">
        <f>IF(VIPcric_1!M1589="","",VIPcric_1!M1589)</f>
        <v>CRIC-江阴-市场监测.商品房市场.项目累计.库存.xlsx</v>
      </c>
    </row>
    <row r="1608" spans="1:9">
      <c r="A1608" t="str">
        <f>IF(VIPcric_1!A1590="","",VIPcric_1!A1590)</f>
        <v>2022年</v>
      </c>
      <c r="B1608">
        <f>IF(VIPcric_1!B1590="","",VIPcric_1!B1590)</f>
        <v>2055982</v>
      </c>
      <c r="C1608">
        <f>IF(VIPcric_1!C1590="","",VIPcric_1!C1590)</f>
        <v>15847</v>
      </c>
      <c r="D1608">
        <f>IF(VIPcric_1!D1590="","",VIPcric_1!D1590)</f>
        <v>23.6</v>
      </c>
      <c r="E1608" t="str">
        <f>IF(VIPcric_1!E1590="","",VIPcric_1!E1590)</f>
        <v/>
      </c>
      <c r="F1608" t="str">
        <f>IF(VIPcric_1!F1590="","",VIPcric_1!F1590)</f>
        <v/>
      </c>
      <c r="G1608" t="str">
        <f>IF(VIPcric_1!G1590="","",VIPcric_1!G1590)</f>
        <v/>
      </c>
      <c r="H1608" t="str">
        <f>IF(VIPcric_1!H1590="","",VIPcric_1!H1590)</f>
        <v/>
      </c>
      <c r="I1608" t="str">
        <f>IF(VIPcric_1!M1590="","",VIPcric_1!M1590)</f>
        <v>CRIC-江阴-市场监测.商品房市场.项目累计.库存.xlsx</v>
      </c>
    </row>
    <row r="1609" spans="1:9">
      <c r="A1609" t="str">
        <f>IF(VIPcric_1!A1591="","",VIPcric_1!A1591)</f>
        <v>2021年</v>
      </c>
      <c r="B1609">
        <f>IF(VIPcric_1!B1591="","",VIPcric_1!B1591)</f>
        <v>2725946</v>
      </c>
      <c r="C1609">
        <f>IF(VIPcric_1!C1591="","",VIPcric_1!C1591)</f>
        <v>20912</v>
      </c>
      <c r="D1609">
        <f>IF(VIPcric_1!D1591="","",VIPcric_1!D1591)</f>
        <v>15.6</v>
      </c>
      <c r="E1609" t="str">
        <f>IF(VIPcric_1!E1591="","",VIPcric_1!E1591)</f>
        <v/>
      </c>
      <c r="F1609" t="str">
        <f>IF(VIPcric_1!F1591="","",VIPcric_1!F1591)</f>
        <v/>
      </c>
      <c r="G1609" t="str">
        <f>IF(VIPcric_1!G1591="","",VIPcric_1!G1591)</f>
        <v/>
      </c>
      <c r="H1609" t="str">
        <f>IF(VIPcric_1!H1591="","",VIPcric_1!H1591)</f>
        <v/>
      </c>
      <c r="I1609" t="str">
        <f>IF(VIPcric_1!M1591="","",VIPcric_1!M1591)</f>
        <v>CRIC-江阴-市场监测.商品房市场.项目累计.库存.xlsx</v>
      </c>
    </row>
    <row r="1610" spans="1:9">
      <c r="A1610" t="str">
        <f>IF(VIPcric_1!A1592="","",VIPcric_1!A1592)</f>
        <v>2020年</v>
      </c>
      <c r="B1610">
        <f>IF(VIPcric_1!B1592="","",VIPcric_1!B1592)</f>
        <v>2421685</v>
      </c>
      <c r="C1610">
        <f>IF(VIPcric_1!C1592="","",VIPcric_1!C1592)</f>
        <v>18107</v>
      </c>
      <c r="D1610">
        <f>IF(VIPcric_1!D1592="","",VIPcric_1!D1592)</f>
        <v>11.5</v>
      </c>
      <c r="E1610" t="str">
        <f>IF(VIPcric_1!E1592="","",VIPcric_1!E1592)</f>
        <v/>
      </c>
      <c r="F1610" t="str">
        <f>IF(VIPcric_1!F1592="","",VIPcric_1!F1592)</f>
        <v/>
      </c>
      <c r="G1610" t="str">
        <f>IF(VIPcric_1!G1592="","",VIPcric_1!G1592)</f>
        <v/>
      </c>
      <c r="H1610" t="str">
        <f>IF(VIPcric_1!H1592="","",VIPcric_1!H1592)</f>
        <v/>
      </c>
      <c r="I1610" t="str">
        <f>IF(VIPcric_1!M1592="","",VIPcric_1!M1592)</f>
        <v>CRIC-江阴-市场监测.商品房市场.项目累计.库存.xlsx</v>
      </c>
    </row>
    <row r="1611" spans="1:9">
      <c r="A1611" t="str">
        <f>IF(VIPcric_1!A1593="","",VIPcric_1!A1593)</f>
        <v>2019年</v>
      </c>
      <c r="B1611">
        <f>IF(VIPcric_1!B1593="","",VIPcric_1!B1593)</f>
        <v>1582269</v>
      </c>
      <c r="C1611">
        <f>IF(VIPcric_1!C1593="","",VIPcric_1!C1593)</f>
        <v>11001</v>
      </c>
      <c r="D1611">
        <f>IF(VIPcric_1!D1593="","",VIPcric_1!D1593)</f>
        <v>7.1</v>
      </c>
      <c r="E1611" t="str">
        <f>IF(VIPcric_1!E1593="","",VIPcric_1!E1593)</f>
        <v/>
      </c>
      <c r="F1611" t="str">
        <f>IF(VIPcric_1!F1593="","",VIPcric_1!F1593)</f>
        <v/>
      </c>
      <c r="G1611" t="str">
        <f>IF(VIPcric_1!G1593="","",VIPcric_1!G1593)</f>
        <v/>
      </c>
      <c r="H1611" t="str">
        <f>IF(VIPcric_1!H1593="","",VIPcric_1!H1593)</f>
        <v/>
      </c>
      <c r="I1611" t="str">
        <f>IF(VIPcric_1!M1593="","",VIPcric_1!M1593)</f>
        <v>CRIC-江阴-市场监测.商品房市场.项目累计.库存.xlsx</v>
      </c>
    </row>
    <row r="1612" spans="1:9">
      <c r="A1612" t="str">
        <f>IF(VIPcric_1!A1594="","",VIPcric_1!A1594)</f>
        <v/>
      </c>
      <c r="B1612" t="str">
        <f>IF(VIPcric_1!B1594="","",VIPcric_1!B1594)</f>
        <v/>
      </c>
      <c r="C1612" t="str">
        <f>IF(VIPcric_1!C1594="","",VIPcric_1!C1594)</f>
        <v/>
      </c>
      <c r="D1612" t="str">
        <f>IF(VIPcric_1!D1594="","",VIPcric_1!D1594)</f>
        <v/>
      </c>
      <c r="E1612" t="str">
        <f>IF(VIPcric_1!E1594="","",VIPcric_1!E1594)</f>
        <v/>
      </c>
      <c r="F1612" t="str">
        <f>IF(VIPcric_1!F1594="","",VIPcric_1!F1594)</f>
        <v/>
      </c>
      <c r="G1612" t="str">
        <f>IF(VIPcric_1!G1594="","",VIPcric_1!G1594)</f>
        <v/>
      </c>
      <c r="H1612" t="str">
        <f>IF(VIPcric_1!H1594="","",VIPcric_1!H1594)</f>
        <v/>
      </c>
      <c r="I1612" t="str">
        <f>IF(VIPcric_1!M1594="","",VIPcric_1!M1594)</f>
        <v/>
      </c>
    </row>
    <row r="1613" spans="1:9">
      <c r="A1613" t="str">
        <f>IF(VIPcric_1!A1595="","",VIPcric_1!A1595)</f>
        <v/>
      </c>
      <c r="B1613" t="str">
        <f>IF(VIPcric_1!B1595="","",VIPcric_1!B1595)</f>
        <v/>
      </c>
      <c r="C1613" t="str">
        <f>IF(VIPcric_1!C1595="","",VIPcric_1!C1595)</f>
        <v/>
      </c>
      <c r="D1613" t="str">
        <f>IF(VIPcric_1!D1595="","",VIPcric_1!D1595)</f>
        <v/>
      </c>
      <c r="E1613" t="str">
        <f>IF(VIPcric_1!E1595="","",VIPcric_1!E1595)</f>
        <v/>
      </c>
      <c r="F1613" t="str">
        <f>IF(VIPcric_1!F1595="","",VIPcric_1!F1595)</f>
        <v/>
      </c>
      <c r="G1613" t="str">
        <f>IF(VIPcric_1!G1595="","",VIPcric_1!G1595)</f>
        <v/>
      </c>
      <c r="H1613" t="str">
        <f>IF(VIPcric_1!H1595="","",VIPcric_1!H1595)</f>
        <v/>
      </c>
      <c r="I1613" t="str">
        <f>IF(VIPcric_1!M1595="","",VIPcric_1!M1595)</f>
        <v>CRIC-池州-市场监测.商品房市场.项目累计.供求.xlsx</v>
      </c>
    </row>
    <row r="1614" spans="1:9">
      <c r="A1614" t="str">
        <f>IF(VIPcric_1!A1596="","",VIPcric_1!A1596)</f>
        <v>时间(年)</v>
      </c>
      <c r="B1614" t="str">
        <f>IF(VIPcric_1!B1596="","",VIPcric_1!B1596)</f>
        <v>供应面积(㎡)</v>
      </c>
      <c r="C1614" t="str">
        <f>IF(VIPcric_1!C1596="","",VIPcric_1!C1596)</f>
        <v>供应套数(套)</v>
      </c>
      <c r="D1614" t="str">
        <f>IF(VIPcric_1!D1596="","",VIPcric_1!D1596)</f>
        <v>成交面积(㎡)</v>
      </c>
      <c r="E1614" t="str">
        <f>IF(VIPcric_1!E1596="","",VIPcric_1!E1596)</f>
        <v>成交套数(套)</v>
      </c>
      <c r="F1614" t="str">
        <f>IF(VIPcric_1!F1596="","",VIPcric_1!F1596)</f>
        <v>成交均价(元/㎡)</v>
      </c>
      <c r="G1614" t="str">
        <f>IF(VIPcric_1!G1596="","",VIPcric_1!G1596)</f>
        <v>成交金额(元)</v>
      </c>
      <c r="H1614" t="str">
        <f>IF(VIPcric_1!H1596="","",VIPcric_1!H1596)</f>
        <v>供求比</v>
      </c>
      <c r="I1614" t="str">
        <f>IF(VIPcric_1!M1596="","",VIPcric_1!M1596)</f>
        <v>CRIC-池州-市场监测.商品房市场.项目累计.供求.xlsx</v>
      </c>
    </row>
    <row r="1615" spans="1:9">
      <c r="A1615" t="str">
        <f>IF(VIPcric_1!A1597="","",VIPcric_1!A1597)</f>
        <v>2024年</v>
      </c>
      <c r="B1615">
        <f>IF(VIPcric_1!B1597="","",VIPcric_1!B1597)</f>
        <v>3695</v>
      </c>
      <c r="C1615">
        <f>IF(VIPcric_1!C1597="","",VIPcric_1!C1597)</f>
        <v>32</v>
      </c>
      <c r="D1615">
        <f>IF(VIPcric_1!D1597="","",VIPcric_1!D1597)</f>
        <v>10267</v>
      </c>
      <c r="E1615">
        <f>IF(VIPcric_1!E1597="","",VIPcric_1!E1597)</f>
        <v>87</v>
      </c>
      <c r="F1615">
        <f>IF(VIPcric_1!F1597="","",VIPcric_1!F1597)</f>
        <v>7775</v>
      </c>
      <c r="G1615">
        <f>IF(VIPcric_1!G1597="","",VIPcric_1!G1597)</f>
        <v>79823423</v>
      </c>
      <c r="H1615">
        <f>IF(VIPcric_1!H1597="","",VIPcric_1!H1597)</f>
        <v>0.36</v>
      </c>
      <c r="I1615" t="str">
        <f>IF(VIPcric_1!M1597="","",VIPcric_1!M1597)</f>
        <v>CRIC-池州-市场监测.商品房市场.项目累计.供求.xlsx</v>
      </c>
    </row>
    <row r="1616" spans="1:9">
      <c r="A1616" t="str">
        <f>IF(VIPcric_1!A1598="","",VIPcric_1!A1598)</f>
        <v>2023年</v>
      </c>
      <c r="B1616">
        <f>IF(VIPcric_1!B1598="","",VIPcric_1!B1598)</f>
        <v>301256</v>
      </c>
      <c r="C1616">
        <f>IF(VIPcric_1!C1598="","",VIPcric_1!C1598)</f>
        <v>2566</v>
      </c>
      <c r="D1616">
        <f>IF(VIPcric_1!D1598="","",VIPcric_1!D1598)</f>
        <v>296758</v>
      </c>
      <c r="E1616">
        <f>IF(VIPcric_1!E1598="","",VIPcric_1!E1598)</f>
        <v>2600</v>
      </c>
      <c r="F1616">
        <f>IF(VIPcric_1!F1598="","",VIPcric_1!F1598)</f>
        <v>7825</v>
      </c>
      <c r="G1616">
        <f>IF(VIPcric_1!G1598="","",VIPcric_1!G1598)</f>
        <v>2322178907</v>
      </c>
      <c r="H1616">
        <f>IF(VIPcric_1!H1598="","",VIPcric_1!H1598)</f>
        <v>1.02</v>
      </c>
      <c r="I1616" t="str">
        <f>IF(VIPcric_1!M1598="","",VIPcric_1!M1598)</f>
        <v>CRIC-池州-市场监测.商品房市场.项目累计.供求.xlsx</v>
      </c>
    </row>
    <row r="1617" spans="1:9">
      <c r="A1617" t="str">
        <f>IF(VIPcric_1!A1599="","",VIPcric_1!A1599)</f>
        <v>2022年</v>
      </c>
      <c r="B1617">
        <f>IF(VIPcric_1!B1599="","",VIPcric_1!B1599)</f>
        <v>229372</v>
      </c>
      <c r="C1617">
        <f>IF(VIPcric_1!C1599="","",VIPcric_1!C1599)</f>
        <v>2038</v>
      </c>
      <c r="D1617">
        <f>IF(VIPcric_1!D1599="","",VIPcric_1!D1599)</f>
        <v>282966</v>
      </c>
      <c r="E1617">
        <f>IF(VIPcric_1!E1599="","",VIPcric_1!E1599)</f>
        <v>2589</v>
      </c>
      <c r="F1617">
        <f>IF(VIPcric_1!F1599="","",VIPcric_1!F1599)</f>
        <v>8161</v>
      </c>
      <c r="G1617">
        <f>IF(VIPcric_1!G1599="","",VIPcric_1!G1599)</f>
        <v>2309337291</v>
      </c>
      <c r="H1617">
        <f>IF(VIPcric_1!H1599="","",VIPcric_1!H1599)</f>
        <v>0.81</v>
      </c>
      <c r="I1617" t="str">
        <f>IF(VIPcric_1!M1599="","",VIPcric_1!M1599)</f>
        <v>CRIC-池州-市场监测.商品房市场.项目累计.供求.xlsx</v>
      </c>
    </row>
    <row r="1618" spans="1:9">
      <c r="A1618" t="str">
        <f>IF(VIPcric_1!A1600="","",VIPcric_1!A1600)</f>
        <v>2021年</v>
      </c>
      <c r="B1618">
        <f>IF(VIPcric_1!B1600="","",VIPcric_1!B1600)</f>
        <v>653075</v>
      </c>
      <c r="C1618">
        <f>IF(VIPcric_1!C1600="","",VIPcric_1!C1600)</f>
        <v>5851</v>
      </c>
      <c r="D1618">
        <f>IF(VIPcric_1!D1600="","",VIPcric_1!D1600)</f>
        <v>773699</v>
      </c>
      <c r="E1618">
        <f>IF(VIPcric_1!E1600="","",VIPcric_1!E1600)</f>
        <v>6988</v>
      </c>
      <c r="F1618">
        <f>IF(VIPcric_1!F1600="","",VIPcric_1!F1600)</f>
        <v>7728</v>
      </c>
      <c r="G1618">
        <f>IF(VIPcric_1!G1600="","",VIPcric_1!G1600)</f>
        <v>5978942013</v>
      </c>
      <c r="H1618">
        <f>IF(VIPcric_1!H1600="","",VIPcric_1!H1600)</f>
        <v>0.84</v>
      </c>
      <c r="I1618" t="str">
        <f>IF(VIPcric_1!M1600="","",VIPcric_1!M1600)</f>
        <v>CRIC-池州-市场监测.商品房市场.项目累计.供求.xlsx</v>
      </c>
    </row>
    <row r="1619" spans="1:9">
      <c r="A1619" t="str">
        <f>IF(VIPcric_1!A1601="","",VIPcric_1!A1601)</f>
        <v>2020年</v>
      </c>
      <c r="B1619">
        <f>IF(VIPcric_1!B1601="","",VIPcric_1!B1601)</f>
        <v>532669</v>
      </c>
      <c r="C1619">
        <f>IF(VIPcric_1!C1601="","",VIPcric_1!C1601)</f>
        <v>4830</v>
      </c>
      <c r="D1619">
        <f>IF(VIPcric_1!D1601="","",VIPcric_1!D1601)</f>
        <v>525717</v>
      </c>
      <c r="E1619">
        <f>IF(VIPcric_1!E1601="","",VIPcric_1!E1601)</f>
        <v>4553</v>
      </c>
      <c r="F1619">
        <f>IF(VIPcric_1!F1601="","",VIPcric_1!F1601)</f>
        <v>7837</v>
      </c>
      <c r="G1619">
        <f>IF(VIPcric_1!G1601="","",VIPcric_1!G1601)</f>
        <v>4120015870</v>
      </c>
      <c r="H1619">
        <f>IF(VIPcric_1!H1601="","",VIPcric_1!H1601)</f>
        <v>1.01</v>
      </c>
      <c r="I1619" t="str">
        <f>IF(VIPcric_1!M1601="","",VIPcric_1!M1601)</f>
        <v>CRIC-池州-市场监测.商品房市场.项目累计.供求.xlsx</v>
      </c>
    </row>
    <row r="1620" spans="1:9">
      <c r="A1620" t="str">
        <f>IF(VIPcric_1!A1602="","",VIPcric_1!A1602)</f>
        <v>2019年</v>
      </c>
      <c r="B1620">
        <f>IF(VIPcric_1!B1602="","",VIPcric_1!B1602)</f>
        <v>562182</v>
      </c>
      <c r="C1620">
        <f>IF(VIPcric_1!C1602="","",VIPcric_1!C1602)</f>
        <v>4909</v>
      </c>
      <c r="D1620">
        <f>IF(VIPcric_1!D1602="","",VIPcric_1!D1602)</f>
        <v>814218</v>
      </c>
      <c r="E1620">
        <f>IF(VIPcric_1!E1602="","",VIPcric_1!E1602)</f>
        <v>7302</v>
      </c>
      <c r="F1620">
        <f>IF(VIPcric_1!F1602="","",VIPcric_1!F1602)</f>
        <v>7374</v>
      </c>
      <c r="G1620">
        <f>IF(VIPcric_1!G1602="","",VIPcric_1!G1602)</f>
        <v>6003991713</v>
      </c>
      <c r="H1620">
        <f>IF(VIPcric_1!H1602="","",VIPcric_1!H1602)</f>
        <v>0.69</v>
      </c>
      <c r="I1620" t="str">
        <f>IF(VIPcric_1!M1602="","",VIPcric_1!M1602)</f>
        <v>CRIC-池州-市场监测.商品房市场.项目累计.供求.xlsx</v>
      </c>
    </row>
    <row r="1621" spans="1:9">
      <c r="A1621" t="str">
        <f>IF(VIPcric_1!A1603="","",VIPcric_1!A1603)</f>
        <v>汇总</v>
      </c>
      <c r="B1621">
        <f>IF(VIPcric_1!B1603="","",VIPcric_1!B1603)</f>
        <v>2282249</v>
      </c>
      <c r="C1621">
        <f>IF(VIPcric_1!C1603="","",VIPcric_1!C1603)</f>
        <v>20226</v>
      </c>
      <c r="D1621">
        <f>IF(VIPcric_1!D1603="","",VIPcric_1!D1603)</f>
        <v>2703625</v>
      </c>
      <c r="E1621">
        <f>IF(VIPcric_1!E1603="","",VIPcric_1!E1603)</f>
        <v>24119</v>
      </c>
      <c r="F1621">
        <f>IF(VIPcric_1!F1603="","",VIPcric_1!F1603)</f>
        <v>7699</v>
      </c>
      <c r="G1621">
        <f>IF(VIPcric_1!G1603="","",VIPcric_1!G1603)</f>
        <v>20814289217</v>
      </c>
      <c r="H1621">
        <f>IF(VIPcric_1!H1603="","",VIPcric_1!H1603)</f>
        <v>0.84</v>
      </c>
      <c r="I1621" t="str">
        <f>IF(VIPcric_1!M1603="","",VIPcric_1!M1603)</f>
        <v>CRIC-池州-市场监测.商品房市场.项目累计.供求.xlsx</v>
      </c>
    </row>
    <row r="1622" spans="1:9">
      <c r="A1622" t="str">
        <f>IF(VIPcric_1!A1604="","",VIPcric_1!A1604)</f>
        <v/>
      </c>
      <c r="B1622" t="str">
        <f>IF(VIPcric_1!B1604="","",VIPcric_1!B1604)</f>
        <v/>
      </c>
      <c r="C1622" t="str">
        <f>IF(VIPcric_1!C1604="","",VIPcric_1!C1604)</f>
        <v/>
      </c>
      <c r="D1622" t="str">
        <f>IF(VIPcric_1!D1604="","",VIPcric_1!D1604)</f>
        <v/>
      </c>
      <c r="E1622" t="str">
        <f>IF(VIPcric_1!E1604="","",VIPcric_1!E1604)</f>
        <v/>
      </c>
      <c r="F1622" t="str">
        <f>IF(VIPcric_1!F1604="","",VIPcric_1!F1604)</f>
        <v/>
      </c>
      <c r="G1622" t="str">
        <f>IF(VIPcric_1!G1604="","",VIPcric_1!G1604)</f>
        <v/>
      </c>
      <c r="H1622" t="str">
        <f>IF(VIPcric_1!H1604="","",VIPcric_1!H1604)</f>
        <v/>
      </c>
      <c r="I1622" t="str">
        <f>IF(VIPcric_1!M1604="","",VIPcric_1!M1604)</f>
        <v/>
      </c>
    </row>
    <row r="1623" spans="1:9">
      <c r="A1623" t="str">
        <f>IF(VIPcric_1!A1605="","",VIPcric_1!A1605)</f>
        <v/>
      </c>
      <c r="B1623" t="str">
        <f>IF(VIPcric_1!B1605="","",VIPcric_1!B1605)</f>
        <v/>
      </c>
      <c r="C1623" t="str">
        <f>IF(VIPcric_1!C1605="","",VIPcric_1!C1605)</f>
        <v/>
      </c>
      <c r="D1623" t="str">
        <f>IF(VIPcric_1!D1605="","",VIPcric_1!D1605)</f>
        <v/>
      </c>
      <c r="E1623" t="str">
        <f>IF(VIPcric_1!E1605="","",VIPcric_1!E1605)</f>
        <v/>
      </c>
      <c r="F1623" t="str">
        <f>IF(VIPcric_1!F1605="","",VIPcric_1!F1605)</f>
        <v/>
      </c>
      <c r="G1623" t="str">
        <f>IF(VIPcric_1!G1605="","",VIPcric_1!G1605)</f>
        <v/>
      </c>
      <c r="H1623" t="str">
        <f>IF(VIPcric_1!H1605="","",VIPcric_1!H1605)</f>
        <v/>
      </c>
      <c r="I1623" t="str">
        <f>IF(VIPcric_1!M1605="","",VIPcric_1!M1605)</f>
        <v>CRIC-池州-市场监测.商品房市场.项目累计.库存.xlsx</v>
      </c>
    </row>
    <row r="1624" spans="1:9">
      <c r="A1624" t="str">
        <f>IF(VIPcric_1!A1606="","",VIPcric_1!A1606)</f>
        <v>时间(年)</v>
      </c>
      <c r="B1624" t="str">
        <f>IF(VIPcric_1!B1606="","",VIPcric_1!B1606)</f>
        <v>库存面积(㎡)</v>
      </c>
      <c r="C1624" t="str">
        <f>IF(VIPcric_1!C1606="","",VIPcric_1!C1606)</f>
        <v>库存套数(套)</v>
      </c>
      <c r="D1624" t="str">
        <f>IF(VIPcric_1!D1606="","",VIPcric_1!D1606)</f>
        <v>去化周期12'(月)</v>
      </c>
      <c r="E1624" t="str">
        <f>IF(VIPcric_1!E1606="","",VIPcric_1!E1606)</f>
        <v/>
      </c>
      <c r="F1624" t="str">
        <f>IF(VIPcric_1!F1606="","",VIPcric_1!F1606)</f>
        <v/>
      </c>
      <c r="G1624" t="str">
        <f>IF(VIPcric_1!G1606="","",VIPcric_1!G1606)</f>
        <v/>
      </c>
      <c r="H1624" t="str">
        <f>IF(VIPcric_1!H1606="","",VIPcric_1!H1606)</f>
        <v/>
      </c>
      <c r="I1624" t="str">
        <f>IF(VIPcric_1!M1606="","",VIPcric_1!M1606)</f>
        <v>CRIC-池州-市场监测.商品房市场.项目累计.库存.xlsx</v>
      </c>
    </row>
    <row r="1625" spans="1:9">
      <c r="A1625" t="str">
        <f>IF(VIPcric_1!A1607="","",VIPcric_1!A1607)</f>
        <v>2023年</v>
      </c>
      <c r="B1625">
        <f>IF(VIPcric_1!B1607="","",VIPcric_1!B1607)</f>
        <v>1236406</v>
      </c>
      <c r="C1625">
        <f>IF(VIPcric_1!C1607="","",VIPcric_1!C1607)</f>
        <v>17764</v>
      </c>
      <c r="D1625">
        <f>IF(VIPcric_1!D1607="","",VIPcric_1!D1607)</f>
        <v>38.299999999999997</v>
      </c>
      <c r="E1625" t="str">
        <f>IF(VIPcric_1!E1607="","",VIPcric_1!E1607)</f>
        <v/>
      </c>
      <c r="F1625" t="str">
        <f>IF(VIPcric_1!F1607="","",VIPcric_1!F1607)</f>
        <v/>
      </c>
      <c r="G1625" t="str">
        <f>IF(VIPcric_1!G1607="","",VIPcric_1!G1607)</f>
        <v/>
      </c>
      <c r="H1625" t="str">
        <f>IF(VIPcric_1!H1607="","",VIPcric_1!H1607)</f>
        <v/>
      </c>
      <c r="I1625" t="str">
        <f>IF(VIPcric_1!M1607="","",VIPcric_1!M1607)</f>
        <v>CRIC-池州-市场监测.商品房市场.项目累计.库存.xlsx</v>
      </c>
    </row>
    <row r="1626" spans="1:9">
      <c r="A1626" t="str">
        <f>IF(VIPcric_1!A1608="","",VIPcric_1!A1608)</f>
        <v>2022年</v>
      </c>
      <c r="B1626">
        <f>IF(VIPcric_1!B1608="","",VIPcric_1!B1608)</f>
        <v>1236533</v>
      </c>
      <c r="C1626">
        <f>IF(VIPcric_1!C1608="","",VIPcric_1!C1608)</f>
        <v>18622</v>
      </c>
      <c r="D1626">
        <f>IF(VIPcric_1!D1608="","",VIPcric_1!D1608)</f>
        <v>37.799999999999997</v>
      </c>
      <c r="E1626" t="str">
        <f>IF(VIPcric_1!E1608="","",VIPcric_1!E1608)</f>
        <v/>
      </c>
      <c r="F1626" t="str">
        <f>IF(VIPcric_1!F1608="","",VIPcric_1!F1608)</f>
        <v/>
      </c>
      <c r="G1626" t="str">
        <f>IF(VIPcric_1!G1608="","",VIPcric_1!G1608)</f>
        <v/>
      </c>
      <c r="H1626" t="str">
        <f>IF(VIPcric_1!H1608="","",VIPcric_1!H1608)</f>
        <v/>
      </c>
      <c r="I1626" t="str">
        <f>IF(VIPcric_1!M1608="","",VIPcric_1!M1608)</f>
        <v>CRIC-池州-市场监测.商品房市场.项目累计.库存.xlsx</v>
      </c>
    </row>
    <row r="1627" spans="1:9">
      <c r="A1627" t="str">
        <f>IF(VIPcric_1!A1609="","",VIPcric_1!A1609)</f>
        <v>2021年</v>
      </c>
      <c r="B1627">
        <f>IF(VIPcric_1!B1609="","",VIPcric_1!B1609)</f>
        <v>1306241</v>
      </c>
      <c r="C1627">
        <f>IF(VIPcric_1!C1609="","",VIPcric_1!C1609)</f>
        <v>19114</v>
      </c>
      <c r="D1627">
        <f>IF(VIPcric_1!D1609="","",VIPcric_1!D1609)</f>
        <v>16.600000000000001</v>
      </c>
      <c r="E1627" t="str">
        <f>IF(VIPcric_1!E1609="","",VIPcric_1!E1609)</f>
        <v/>
      </c>
      <c r="F1627" t="str">
        <f>IF(VIPcric_1!F1609="","",VIPcric_1!F1609)</f>
        <v/>
      </c>
      <c r="G1627" t="str">
        <f>IF(VIPcric_1!G1609="","",VIPcric_1!G1609)</f>
        <v/>
      </c>
      <c r="H1627" t="str">
        <f>IF(VIPcric_1!H1609="","",VIPcric_1!H1609)</f>
        <v/>
      </c>
      <c r="I1627" t="str">
        <f>IF(VIPcric_1!M1609="","",VIPcric_1!M1609)</f>
        <v>CRIC-池州-市场监测.商品房市场.项目累计.库存.xlsx</v>
      </c>
    </row>
    <row r="1628" spans="1:9">
      <c r="A1628" t="str">
        <f>IF(VIPcric_1!A1610="","",VIPcric_1!A1610)</f>
        <v>2020年</v>
      </c>
      <c r="B1628">
        <f>IF(VIPcric_1!B1610="","",VIPcric_1!B1610)</f>
        <v>1427640</v>
      </c>
      <c r="C1628">
        <f>IF(VIPcric_1!C1610="","",VIPcric_1!C1610)</f>
        <v>20665</v>
      </c>
      <c r="D1628">
        <f>IF(VIPcric_1!D1610="","",VIPcric_1!D1610)</f>
        <v>25.2</v>
      </c>
      <c r="E1628" t="str">
        <f>IF(VIPcric_1!E1610="","",VIPcric_1!E1610)</f>
        <v/>
      </c>
      <c r="F1628" t="str">
        <f>IF(VIPcric_1!F1610="","",VIPcric_1!F1610)</f>
        <v/>
      </c>
      <c r="G1628" t="str">
        <f>IF(VIPcric_1!G1610="","",VIPcric_1!G1610)</f>
        <v/>
      </c>
      <c r="H1628" t="str">
        <f>IF(VIPcric_1!H1610="","",VIPcric_1!H1610)</f>
        <v/>
      </c>
      <c r="I1628" t="str">
        <f>IF(VIPcric_1!M1610="","",VIPcric_1!M1610)</f>
        <v>CRIC-池州-市场监测.商品房市场.项目累计.库存.xlsx</v>
      </c>
    </row>
    <row r="1629" spans="1:9">
      <c r="A1629" t="str">
        <f>IF(VIPcric_1!A1611="","",VIPcric_1!A1611)</f>
        <v>2019年</v>
      </c>
      <c r="B1629">
        <f>IF(VIPcric_1!B1611="","",VIPcric_1!B1611)</f>
        <v>1209704</v>
      </c>
      <c r="C1629">
        <f>IF(VIPcric_1!C1611="","",VIPcric_1!C1611)</f>
        <v>17406</v>
      </c>
      <c r="D1629">
        <f>IF(VIPcric_1!D1611="","",VIPcric_1!D1611)</f>
        <v>13.1</v>
      </c>
      <c r="E1629" t="str">
        <f>IF(VIPcric_1!E1611="","",VIPcric_1!E1611)</f>
        <v/>
      </c>
      <c r="F1629" t="str">
        <f>IF(VIPcric_1!F1611="","",VIPcric_1!F1611)</f>
        <v/>
      </c>
      <c r="G1629" t="str">
        <f>IF(VIPcric_1!G1611="","",VIPcric_1!G1611)</f>
        <v/>
      </c>
      <c r="H1629" t="str">
        <f>IF(VIPcric_1!H1611="","",VIPcric_1!H1611)</f>
        <v/>
      </c>
      <c r="I1629" t="str">
        <f>IF(VIPcric_1!M1611="","",VIPcric_1!M1611)</f>
        <v>CRIC-池州-市场监测.商品房市场.项目累计.库存.xlsx</v>
      </c>
    </row>
    <row r="1630" spans="1:9">
      <c r="A1630" t="str">
        <f>IF(VIPcric_1!A1612="","",VIPcric_1!A1612)</f>
        <v/>
      </c>
      <c r="B1630" t="str">
        <f>IF(VIPcric_1!B1612="","",VIPcric_1!B1612)</f>
        <v/>
      </c>
      <c r="C1630" t="str">
        <f>IF(VIPcric_1!C1612="","",VIPcric_1!C1612)</f>
        <v/>
      </c>
      <c r="D1630" t="str">
        <f>IF(VIPcric_1!D1612="","",VIPcric_1!D1612)</f>
        <v/>
      </c>
      <c r="E1630" t="str">
        <f>IF(VIPcric_1!E1612="","",VIPcric_1!E1612)</f>
        <v/>
      </c>
      <c r="F1630" t="str">
        <f>IF(VIPcric_1!F1612="","",VIPcric_1!F1612)</f>
        <v/>
      </c>
      <c r="G1630" t="str">
        <f>IF(VIPcric_1!G1612="","",VIPcric_1!G1612)</f>
        <v/>
      </c>
      <c r="H1630" t="str">
        <f>IF(VIPcric_1!H1612="","",VIPcric_1!H1612)</f>
        <v/>
      </c>
      <c r="I1630" t="str">
        <f>IF(VIPcric_1!M1612="","",VIPcric_1!M1612)</f>
        <v/>
      </c>
    </row>
    <row r="1631" spans="1:9">
      <c r="A1631" t="str">
        <f>IF(VIPcric_1!A1613="","",VIPcric_1!A1613)</f>
        <v/>
      </c>
      <c r="B1631" t="str">
        <f>IF(VIPcric_1!B1613="","",VIPcric_1!B1613)</f>
        <v/>
      </c>
      <c r="C1631" t="str">
        <f>IF(VIPcric_1!C1613="","",VIPcric_1!C1613)</f>
        <v/>
      </c>
      <c r="D1631" t="str">
        <f>IF(VIPcric_1!D1613="","",VIPcric_1!D1613)</f>
        <v/>
      </c>
      <c r="E1631" t="str">
        <f>IF(VIPcric_1!E1613="","",VIPcric_1!E1613)</f>
        <v/>
      </c>
      <c r="F1631" t="str">
        <f>IF(VIPcric_1!F1613="","",VIPcric_1!F1613)</f>
        <v/>
      </c>
      <c r="G1631" t="str">
        <f>IF(VIPcric_1!G1613="","",VIPcric_1!G1613)</f>
        <v/>
      </c>
      <c r="H1631" t="str">
        <f>IF(VIPcric_1!H1613="","",VIPcric_1!H1613)</f>
        <v/>
      </c>
      <c r="I1631" t="str">
        <f>IF(VIPcric_1!M1613="","",VIPcric_1!M1613)</f>
        <v>CRIC-沈阳-市场监测.商品房市场.项目累计.供求.xlsx</v>
      </c>
    </row>
    <row r="1632" spans="1:9">
      <c r="A1632" t="str">
        <f>IF(VIPcric_1!A1614="","",VIPcric_1!A1614)</f>
        <v>时间(年)</v>
      </c>
      <c r="B1632" t="str">
        <f>IF(VIPcric_1!B1614="","",VIPcric_1!B1614)</f>
        <v>供应面积(㎡)</v>
      </c>
      <c r="C1632" t="str">
        <f>IF(VIPcric_1!C1614="","",VIPcric_1!C1614)</f>
        <v>供应套数(套)</v>
      </c>
      <c r="D1632" t="str">
        <f>IF(VIPcric_1!D1614="","",VIPcric_1!D1614)</f>
        <v>成交面积(㎡)</v>
      </c>
      <c r="E1632" t="str">
        <f>IF(VIPcric_1!E1614="","",VIPcric_1!E1614)</f>
        <v>成交套数(套)</v>
      </c>
      <c r="F1632" t="str">
        <f>IF(VIPcric_1!F1614="","",VIPcric_1!F1614)</f>
        <v>成交均价(元/㎡)</v>
      </c>
      <c r="G1632" t="str">
        <f>IF(VIPcric_1!G1614="","",VIPcric_1!G1614)</f>
        <v>供求比</v>
      </c>
      <c r="H1632" t="str">
        <f>IF(VIPcric_1!H1614="","",VIPcric_1!H1614)</f>
        <v/>
      </c>
      <c r="I1632" t="str">
        <f>IF(VIPcric_1!M1614="","",VIPcric_1!M1614)</f>
        <v>CRIC-沈阳-市场监测.商品房市场.项目累计.供求.xlsx</v>
      </c>
    </row>
    <row r="1633" spans="1:9">
      <c r="A1633" t="str">
        <f>IF(VIPcric_1!A1615="","",VIPcric_1!A1615)</f>
        <v>2023年</v>
      </c>
      <c r="B1633">
        <f>IF(VIPcric_1!B1615="","",VIPcric_1!B1615)</f>
        <v>3012671</v>
      </c>
      <c r="C1633">
        <f>IF(VIPcric_1!C1615="","",VIPcric_1!C1615)</f>
        <v>28847</v>
      </c>
      <c r="D1633">
        <f>IF(VIPcric_1!D1615="","",VIPcric_1!D1615)</f>
        <v>5675175</v>
      </c>
      <c r="E1633">
        <f>IF(VIPcric_1!E1615="","",VIPcric_1!E1615)</f>
        <v>54600</v>
      </c>
      <c r="F1633">
        <f>IF(VIPcric_1!F1615="","",VIPcric_1!F1615)</f>
        <v>10417</v>
      </c>
      <c r="G1633">
        <f>IF(VIPcric_1!G1615="","",VIPcric_1!G1615)</f>
        <v>0.53</v>
      </c>
      <c r="H1633" t="str">
        <f>IF(VIPcric_1!H1615="","",VIPcric_1!H1615)</f>
        <v/>
      </c>
      <c r="I1633" t="str">
        <f>IF(VIPcric_1!M1615="","",VIPcric_1!M1615)</f>
        <v>CRIC-沈阳-市场监测.商品房市场.项目累计.供求.xlsx</v>
      </c>
    </row>
    <row r="1634" spans="1:9">
      <c r="A1634" t="str">
        <f>IF(VIPcric_1!A1616="","",VIPcric_1!A1616)</f>
        <v>2022年</v>
      </c>
      <c r="B1634">
        <f>IF(VIPcric_1!B1616="","",VIPcric_1!B1616)</f>
        <v>2981991</v>
      </c>
      <c r="C1634">
        <f>IF(VIPcric_1!C1616="","",VIPcric_1!C1616)</f>
        <v>27394</v>
      </c>
      <c r="D1634">
        <f>IF(VIPcric_1!D1616="","",VIPcric_1!D1616)</f>
        <v>7235606</v>
      </c>
      <c r="E1634">
        <f>IF(VIPcric_1!E1616="","",VIPcric_1!E1616)</f>
        <v>73640</v>
      </c>
      <c r="F1634">
        <f>IF(VIPcric_1!F1616="","",VIPcric_1!F1616)</f>
        <v>9657</v>
      </c>
      <c r="G1634">
        <f>IF(VIPcric_1!G1616="","",VIPcric_1!G1616)</f>
        <v>0.41</v>
      </c>
      <c r="H1634" t="str">
        <f>IF(VIPcric_1!H1616="","",VIPcric_1!H1616)</f>
        <v/>
      </c>
      <c r="I1634" t="str">
        <f>IF(VIPcric_1!M1616="","",VIPcric_1!M1616)</f>
        <v>CRIC-沈阳-市场监测.商品房市场.项目累计.供求.xlsx</v>
      </c>
    </row>
    <row r="1635" spans="1:9">
      <c r="A1635" t="str">
        <f>IF(VIPcric_1!A1617="","",VIPcric_1!A1617)</f>
        <v>2021年</v>
      </c>
      <c r="B1635">
        <f>IF(VIPcric_1!B1617="","",VIPcric_1!B1617)</f>
        <v>9993313</v>
      </c>
      <c r="C1635">
        <f>IF(VIPcric_1!C1617="","",VIPcric_1!C1617)</f>
        <v>91010</v>
      </c>
      <c r="D1635">
        <f>IF(VIPcric_1!D1617="","",VIPcric_1!D1617)</f>
        <v>12087906</v>
      </c>
      <c r="E1635">
        <f>IF(VIPcric_1!E1617="","",VIPcric_1!E1617)</f>
        <v>115674</v>
      </c>
      <c r="F1635">
        <f>IF(VIPcric_1!F1617="","",VIPcric_1!F1617)</f>
        <v>11347</v>
      </c>
      <c r="G1635">
        <f>IF(VIPcric_1!G1617="","",VIPcric_1!G1617)</f>
        <v>0.83</v>
      </c>
      <c r="H1635" t="str">
        <f>IF(VIPcric_1!H1617="","",VIPcric_1!H1617)</f>
        <v/>
      </c>
      <c r="I1635" t="str">
        <f>IF(VIPcric_1!M1617="","",VIPcric_1!M1617)</f>
        <v>CRIC-沈阳-市场监测.商品房市场.项目累计.供求.xlsx</v>
      </c>
    </row>
    <row r="1636" spans="1:9">
      <c r="A1636" t="str">
        <f>IF(VIPcric_1!A1618="","",VIPcric_1!A1618)</f>
        <v>2020年</v>
      </c>
      <c r="B1636">
        <f>IF(VIPcric_1!B1618="","",VIPcric_1!B1618)</f>
        <v>13961067</v>
      </c>
      <c r="C1636">
        <f>IF(VIPcric_1!C1618="","",VIPcric_1!C1618)</f>
        <v>131798</v>
      </c>
      <c r="D1636">
        <f>IF(VIPcric_1!D1618="","",VIPcric_1!D1618)</f>
        <v>11369073</v>
      </c>
      <c r="E1636">
        <f>IF(VIPcric_1!E1618="","",VIPcric_1!E1618)</f>
        <v>110469</v>
      </c>
      <c r="F1636">
        <f>IF(VIPcric_1!F1618="","",VIPcric_1!F1618)</f>
        <v>11224</v>
      </c>
      <c r="G1636">
        <f>IF(VIPcric_1!G1618="","",VIPcric_1!G1618)</f>
        <v>1.23</v>
      </c>
      <c r="H1636" t="str">
        <f>IF(VIPcric_1!H1618="","",VIPcric_1!H1618)</f>
        <v/>
      </c>
      <c r="I1636" t="str">
        <f>IF(VIPcric_1!M1618="","",VIPcric_1!M1618)</f>
        <v>CRIC-沈阳-市场监测.商品房市场.项目累计.供求.xlsx</v>
      </c>
    </row>
    <row r="1637" spans="1:9">
      <c r="A1637" t="str">
        <f>IF(VIPcric_1!A1619="","",VIPcric_1!A1619)</f>
        <v>2019年</v>
      </c>
      <c r="B1637">
        <f>IF(VIPcric_1!B1619="","",VIPcric_1!B1619)</f>
        <v>12245097</v>
      </c>
      <c r="C1637">
        <f>IF(VIPcric_1!C1619="","",VIPcric_1!C1619)</f>
        <v>119592</v>
      </c>
      <c r="D1637">
        <f>IF(VIPcric_1!D1619="","",VIPcric_1!D1619)</f>
        <v>15918590</v>
      </c>
      <c r="E1637">
        <f>IF(VIPcric_1!E1619="","",VIPcric_1!E1619)</f>
        <v>158132</v>
      </c>
      <c r="F1637">
        <f>IF(VIPcric_1!F1619="","",VIPcric_1!F1619)</f>
        <v>9998</v>
      </c>
      <c r="G1637">
        <f>IF(VIPcric_1!G1619="","",VIPcric_1!G1619)</f>
        <v>0.77</v>
      </c>
      <c r="H1637" t="str">
        <f>IF(VIPcric_1!H1619="","",VIPcric_1!H1619)</f>
        <v/>
      </c>
      <c r="I1637" t="str">
        <f>IF(VIPcric_1!M1619="","",VIPcric_1!M1619)</f>
        <v>CRIC-沈阳-市场监测.商品房市场.项目累计.供求.xlsx</v>
      </c>
    </row>
    <row r="1638" spans="1:9">
      <c r="A1638" t="str">
        <f>IF(VIPcric_1!A1620="","",VIPcric_1!A1620)</f>
        <v>汇总</v>
      </c>
      <c r="B1638">
        <f>IF(VIPcric_1!B1620="","",VIPcric_1!B1620)</f>
        <v>42194138</v>
      </c>
      <c r="C1638">
        <f>IF(VIPcric_1!C1620="","",VIPcric_1!C1620)</f>
        <v>398641</v>
      </c>
      <c r="D1638">
        <f>IF(VIPcric_1!D1620="","",VIPcric_1!D1620)</f>
        <v>52286350</v>
      </c>
      <c r="E1638">
        <f>IF(VIPcric_1!E1620="","",VIPcric_1!E1620)</f>
        <v>512515</v>
      </c>
      <c r="F1638">
        <f>IF(VIPcric_1!F1620="","",VIPcric_1!F1620)</f>
        <v>10575</v>
      </c>
      <c r="G1638">
        <f>IF(VIPcric_1!G1620="","",VIPcric_1!G1620)</f>
        <v>0.81</v>
      </c>
      <c r="H1638" t="str">
        <f>IF(VIPcric_1!H1620="","",VIPcric_1!H1620)</f>
        <v/>
      </c>
      <c r="I1638" t="str">
        <f>IF(VIPcric_1!M1620="","",VIPcric_1!M1620)</f>
        <v>CRIC-沈阳-市场监测.商品房市场.项目累计.供求.xlsx</v>
      </c>
    </row>
    <row r="1639" spans="1:9">
      <c r="A1639" t="str">
        <f>IF(VIPcric_1!A1621="","",VIPcric_1!A1621)</f>
        <v/>
      </c>
      <c r="B1639" t="str">
        <f>IF(VIPcric_1!B1621="","",VIPcric_1!B1621)</f>
        <v/>
      </c>
      <c r="C1639" t="str">
        <f>IF(VIPcric_1!C1621="","",VIPcric_1!C1621)</f>
        <v/>
      </c>
      <c r="D1639" t="str">
        <f>IF(VIPcric_1!D1621="","",VIPcric_1!D1621)</f>
        <v/>
      </c>
      <c r="E1639" t="str">
        <f>IF(VIPcric_1!E1621="","",VIPcric_1!E1621)</f>
        <v/>
      </c>
      <c r="F1639" t="str">
        <f>IF(VIPcric_1!F1621="","",VIPcric_1!F1621)</f>
        <v/>
      </c>
      <c r="G1639" t="str">
        <f>IF(VIPcric_1!G1621="","",VIPcric_1!G1621)</f>
        <v/>
      </c>
      <c r="H1639" t="str">
        <f>IF(VIPcric_1!H1621="","",VIPcric_1!H1621)</f>
        <v/>
      </c>
      <c r="I1639" t="str">
        <f>IF(VIPcric_1!M1621="","",VIPcric_1!M1621)</f>
        <v/>
      </c>
    </row>
    <row r="1640" spans="1:9">
      <c r="A1640" t="str">
        <f>IF(VIPcric_1!A1622="","",VIPcric_1!A1622)</f>
        <v/>
      </c>
      <c r="B1640" t="str">
        <f>IF(VIPcric_1!B1622="","",VIPcric_1!B1622)</f>
        <v/>
      </c>
      <c r="C1640" t="str">
        <f>IF(VIPcric_1!C1622="","",VIPcric_1!C1622)</f>
        <v/>
      </c>
      <c r="D1640" t="str">
        <f>IF(VIPcric_1!D1622="","",VIPcric_1!D1622)</f>
        <v/>
      </c>
      <c r="E1640" t="str">
        <f>IF(VIPcric_1!E1622="","",VIPcric_1!E1622)</f>
        <v/>
      </c>
      <c r="F1640" t="str">
        <f>IF(VIPcric_1!F1622="","",VIPcric_1!F1622)</f>
        <v/>
      </c>
      <c r="G1640" t="str">
        <f>IF(VIPcric_1!G1622="","",VIPcric_1!G1622)</f>
        <v/>
      </c>
      <c r="H1640" t="str">
        <f>IF(VIPcric_1!H1622="","",VIPcric_1!H1622)</f>
        <v/>
      </c>
      <c r="I1640" t="str">
        <f>IF(VIPcric_1!M1622="","",VIPcric_1!M1622)</f>
        <v>CRIC-沈阳-市场监测.商品房市场.项目累计.库存.xlsx</v>
      </c>
    </row>
    <row r="1641" spans="1:9">
      <c r="A1641" t="str">
        <f>IF(VIPcric_1!A1623="","",VIPcric_1!A1623)</f>
        <v>时间(年)</v>
      </c>
      <c r="B1641" t="str">
        <f>IF(VIPcric_1!B1623="","",VIPcric_1!B1623)</f>
        <v>库存面积(㎡)</v>
      </c>
      <c r="C1641" t="str">
        <f>IF(VIPcric_1!C1623="","",VIPcric_1!C1623)</f>
        <v>库存套数(套)</v>
      </c>
      <c r="D1641" t="str">
        <f>IF(VIPcric_1!D1623="","",VIPcric_1!D1623)</f>
        <v>去化周期12'(月)</v>
      </c>
      <c r="E1641" t="str">
        <f>IF(VIPcric_1!E1623="","",VIPcric_1!E1623)</f>
        <v>去化周期24'(月)</v>
      </c>
      <c r="F1641" t="str">
        <f>IF(VIPcric_1!F1623="","",VIPcric_1!F1623)</f>
        <v/>
      </c>
      <c r="G1641" t="str">
        <f>IF(VIPcric_1!G1623="","",VIPcric_1!G1623)</f>
        <v/>
      </c>
      <c r="H1641" t="str">
        <f>IF(VIPcric_1!H1623="","",VIPcric_1!H1623)</f>
        <v/>
      </c>
      <c r="I1641" t="str">
        <f>IF(VIPcric_1!M1623="","",VIPcric_1!M1623)</f>
        <v>CRIC-沈阳-市场监测.商品房市场.项目累计.库存.xlsx</v>
      </c>
    </row>
    <row r="1642" spans="1:9">
      <c r="A1642" t="str">
        <f>IF(VIPcric_1!A1624="","",VIPcric_1!A1624)</f>
        <v>2023年</v>
      </c>
      <c r="B1642">
        <f>IF(VIPcric_1!B1624="","",VIPcric_1!B1624)</f>
        <v>16920503</v>
      </c>
      <c r="C1642">
        <f>IF(VIPcric_1!C1624="","",VIPcric_1!C1624)</f>
        <v>183898</v>
      </c>
      <c r="D1642">
        <f>IF(VIPcric_1!D1624="","",VIPcric_1!D1624)</f>
        <v>35.799999999999997</v>
      </c>
      <c r="E1642">
        <f>IF(VIPcric_1!E1624="","",VIPcric_1!E1624)</f>
        <v>31.5</v>
      </c>
      <c r="F1642" t="str">
        <f>IF(VIPcric_1!F1624="","",VIPcric_1!F1624)</f>
        <v/>
      </c>
      <c r="G1642" t="str">
        <f>IF(VIPcric_1!G1624="","",VIPcric_1!G1624)</f>
        <v/>
      </c>
      <c r="H1642" t="str">
        <f>IF(VIPcric_1!H1624="","",VIPcric_1!H1624)</f>
        <v/>
      </c>
      <c r="I1642" t="str">
        <f>IF(VIPcric_1!M1624="","",VIPcric_1!M1624)</f>
        <v>CRIC-沈阳-市场监测.商品房市场.项目累计.库存.xlsx</v>
      </c>
    </row>
    <row r="1643" spans="1:9">
      <c r="A1643" t="str">
        <f>IF(VIPcric_1!A1625="","",VIPcric_1!A1625)</f>
        <v>2022年</v>
      </c>
      <c r="B1643">
        <f>IF(VIPcric_1!B1625="","",VIPcric_1!B1625)</f>
        <v>19291949</v>
      </c>
      <c r="C1643">
        <f>IF(VIPcric_1!C1625="","",VIPcric_1!C1625)</f>
        <v>206835</v>
      </c>
      <c r="D1643">
        <f>IF(VIPcric_1!D1625="","",VIPcric_1!D1625)</f>
        <v>32</v>
      </c>
      <c r="E1643">
        <f>IF(VIPcric_1!E1625="","",VIPcric_1!E1625)</f>
        <v>24</v>
      </c>
      <c r="F1643" t="str">
        <f>IF(VIPcric_1!F1625="","",VIPcric_1!F1625)</f>
        <v/>
      </c>
      <c r="G1643" t="str">
        <f>IF(VIPcric_1!G1625="","",VIPcric_1!G1625)</f>
        <v/>
      </c>
      <c r="H1643" t="str">
        <f>IF(VIPcric_1!H1625="","",VIPcric_1!H1625)</f>
        <v/>
      </c>
      <c r="I1643" t="str">
        <f>IF(VIPcric_1!M1625="","",VIPcric_1!M1625)</f>
        <v>CRIC-沈阳-市场监测.商品房市场.项目累计.库存.xlsx</v>
      </c>
    </row>
    <row r="1644" spans="1:9">
      <c r="A1644" t="str">
        <f>IF(VIPcric_1!A1626="","",VIPcric_1!A1626)</f>
        <v>2021年</v>
      </c>
      <c r="B1644">
        <f>IF(VIPcric_1!B1626="","",VIPcric_1!B1626)</f>
        <v>21567747</v>
      </c>
      <c r="C1644">
        <f>IF(VIPcric_1!C1626="","",VIPcric_1!C1626)</f>
        <v>233930</v>
      </c>
      <c r="D1644">
        <f>IF(VIPcric_1!D1626="","",VIPcric_1!D1626)</f>
        <v>21.4</v>
      </c>
      <c r="E1644">
        <f>IF(VIPcric_1!E1626="","",VIPcric_1!E1626)</f>
        <v>22.1</v>
      </c>
      <c r="F1644" t="str">
        <f>IF(VIPcric_1!F1626="","",VIPcric_1!F1626)</f>
        <v/>
      </c>
      <c r="G1644" t="str">
        <f>IF(VIPcric_1!G1626="","",VIPcric_1!G1626)</f>
        <v/>
      </c>
      <c r="H1644" t="str">
        <f>IF(VIPcric_1!H1626="","",VIPcric_1!H1626)</f>
        <v/>
      </c>
      <c r="I1644" t="str">
        <f>IF(VIPcric_1!M1626="","",VIPcric_1!M1626)</f>
        <v>CRIC-沈阳-市场监测.商品房市场.项目累计.库存.xlsx</v>
      </c>
    </row>
    <row r="1645" spans="1:9">
      <c r="A1645" t="str">
        <f>IF(VIPcric_1!A1627="","",VIPcric_1!A1627)</f>
        <v>2020年</v>
      </c>
      <c r="B1645">
        <f>IF(VIPcric_1!B1627="","",VIPcric_1!B1627)</f>
        <v>21920917</v>
      </c>
      <c r="C1645">
        <f>IF(VIPcric_1!C1627="","",VIPcric_1!C1627)</f>
        <v>243767</v>
      </c>
      <c r="D1645">
        <f>IF(VIPcric_1!D1627="","",VIPcric_1!D1627)</f>
        <v>23.1</v>
      </c>
      <c r="E1645">
        <f>IF(VIPcric_1!E1627="","",VIPcric_1!E1627)</f>
        <v>19.3</v>
      </c>
      <c r="F1645" t="str">
        <f>IF(VIPcric_1!F1627="","",VIPcric_1!F1627)</f>
        <v/>
      </c>
      <c r="G1645" t="str">
        <f>IF(VIPcric_1!G1627="","",VIPcric_1!G1627)</f>
        <v/>
      </c>
      <c r="H1645" t="str">
        <f>IF(VIPcric_1!H1627="","",VIPcric_1!H1627)</f>
        <v/>
      </c>
      <c r="I1645" t="str">
        <f>IF(VIPcric_1!M1627="","",VIPcric_1!M1627)</f>
        <v>CRIC-沈阳-市场监测.商品房市场.项目累计.库存.xlsx</v>
      </c>
    </row>
    <row r="1646" spans="1:9">
      <c r="A1646" t="str">
        <f>IF(VIPcric_1!A1628="","",VIPcric_1!A1628)</f>
        <v>2019年</v>
      </c>
      <c r="B1646">
        <f>IF(VIPcric_1!B1628="","",VIPcric_1!B1628)</f>
        <v>22381335</v>
      </c>
      <c r="C1646">
        <f>IF(VIPcric_1!C1628="","",VIPcric_1!C1628)</f>
        <v>251612</v>
      </c>
      <c r="D1646">
        <f>IF(VIPcric_1!D1628="","",VIPcric_1!D1628)</f>
        <v>16.899999999999999</v>
      </c>
      <c r="E1646">
        <f>IF(VIPcric_1!E1628="","",VIPcric_1!E1628)</f>
        <v>18.600000000000001</v>
      </c>
      <c r="F1646" t="str">
        <f>IF(VIPcric_1!F1628="","",VIPcric_1!F1628)</f>
        <v/>
      </c>
      <c r="G1646" t="str">
        <f>IF(VIPcric_1!G1628="","",VIPcric_1!G1628)</f>
        <v/>
      </c>
      <c r="H1646" t="str">
        <f>IF(VIPcric_1!H1628="","",VIPcric_1!H1628)</f>
        <v/>
      </c>
      <c r="I1646" t="str">
        <f>IF(VIPcric_1!M1628="","",VIPcric_1!M1628)</f>
        <v>CRIC-沈阳-市场监测.商品房市场.项目累计.库存.xlsx</v>
      </c>
    </row>
    <row r="1647" spans="1:9">
      <c r="A1647" t="str">
        <f>IF(VIPcric_1!A1629="","",VIPcric_1!A1629)</f>
        <v/>
      </c>
      <c r="B1647" t="str">
        <f>IF(VIPcric_1!B1629="","",VIPcric_1!B1629)</f>
        <v/>
      </c>
      <c r="C1647" t="str">
        <f>IF(VIPcric_1!C1629="","",VIPcric_1!C1629)</f>
        <v/>
      </c>
      <c r="D1647" t="str">
        <f>IF(VIPcric_1!D1629="","",VIPcric_1!D1629)</f>
        <v/>
      </c>
      <c r="E1647" t="str">
        <f>IF(VIPcric_1!E1629="","",VIPcric_1!E1629)</f>
        <v/>
      </c>
      <c r="F1647" t="str">
        <f>IF(VIPcric_1!F1629="","",VIPcric_1!F1629)</f>
        <v/>
      </c>
      <c r="G1647" t="str">
        <f>IF(VIPcric_1!G1629="","",VIPcric_1!G1629)</f>
        <v/>
      </c>
      <c r="H1647" t="str">
        <f>IF(VIPcric_1!H1629="","",VIPcric_1!H1629)</f>
        <v/>
      </c>
      <c r="I1647" t="str">
        <f>IF(VIPcric_1!M1629="","",VIPcric_1!M1629)</f>
        <v/>
      </c>
    </row>
    <row r="1648" spans="1:9">
      <c r="A1648" t="str">
        <f>IF(VIPcric_1!A1630="","",VIPcric_1!A1630)</f>
        <v/>
      </c>
      <c r="B1648" t="str">
        <f>IF(VIPcric_1!B1630="","",VIPcric_1!B1630)</f>
        <v/>
      </c>
      <c r="C1648" t="str">
        <f>IF(VIPcric_1!C1630="","",VIPcric_1!C1630)</f>
        <v/>
      </c>
      <c r="D1648" t="str">
        <f>IF(VIPcric_1!D1630="","",VIPcric_1!D1630)</f>
        <v/>
      </c>
      <c r="E1648" t="str">
        <f>IF(VIPcric_1!E1630="","",VIPcric_1!E1630)</f>
        <v/>
      </c>
      <c r="F1648" t="str">
        <f>IF(VIPcric_1!F1630="","",VIPcric_1!F1630)</f>
        <v/>
      </c>
      <c r="G1648" t="str">
        <f>IF(VIPcric_1!G1630="","",VIPcric_1!G1630)</f>
        <v/>
      </c>
      <c r="H1648" t="str">
        <f>IF(VIPcric_1!H1630="","",VIPcric_1!H1630)</f>
        <v/>
      </c>
      <c r="I1648" t="str">
        <f>IF(VIPcric_1!M1630="","",VIPcric_1!M1630)</f>
        <v>CRIC-泉州-市场监测.商品房市场.项目累计.供求.xlsx</v>
      </c>
    </row>
    <row r="1649" spans="1:9">
      <c r="A1649" t="str">
        <f>IF(VIPcric_1!A1631="","",VIPcric_1!A1631)</f>
        <v>时间(年)</v>
      </c>
      <c r="B1649" t="str">
        <f>IF(VIPcric_1!B1631="","",VIPcric_1!B1631)</f>
        <v>供应面积(㎡)</v>
      </c>
      <c r="C1649" t="str">
        <f>IF(VIPcric_1!C1631="","",VIPcric_1!C1631)</f>
        <v>供应套数(套)</v>
      </c>
      <c r="D1649" t="str">
        <f>IF(VIPcric_1!D1631="","",VIPcric_1!D1631)</f>
        <v>成交面积(㎡)</v>
      </c>
      <c r="E1649" t="str">
        <f>IF(VIPcric_1!E1631="","",VIPcric_1!E1631)</f>
        <v>成交套数(套)</v>
      </c>
      <c r="F1649" t="str">
        <f>IF(VIPcric_1!F1631="","",VIPcric_1!F1631)</f>
        <v>成交均价(元/㎡)</v>
      </c>
      <c r="G1649" t="str">
        <f>IF(VIPcric_1!G1631="","",VIPcric_1!G1631)</f>
        <v>成交金额(元)</v>
      </c>
      <c r="H1649" t="str">
        <f>IF(VIPcric_1!H1631="","",VIPcric_1!H1631)</f>
        <v>供求比</v>
      </c>
      <c r="I1649" t="str">
        <f>IF(VIPcric_1!M1631="","",VIPcric_1!M1631)</f>
        <v>CRIC-泉州-市场监测.商品房市场.项目累计.供求.xlsx</v>
      </c>
    </row>
    <row r="1650" spans="1:9">
      <c r="A1650" t="str">
        <f>IF(VIPcric_1!A1632="","",VIPcric_1!A1632)</f>
        <v>2024年</v>
      </c>
      <c r="B1650">
        <f>IF(VIPcric_1!B1632="","",VIPcric_1!B1632)</f>
        <v>29000</v>
      </c>
      <c r="C1650">
        <f>IF(VIPcric_1!C1632="","",VIPcric_1!C1632)</f>
        <v>235</v>
      </c>
      <c r="D1650">
        <f>IF(VIPcric_1!D1632="","",VIPcric_1!D1632)</f>
        <v>84898</v>
      </c>
      <c r="E1650">
        <f>IF(VIPcric_1!E1632="","",VIPcric_1!E1632)</f>
        <v>649</v>
      </c>
      <c r="F1650">
        <f>IF(VIPcric_1!F1632="","",VIPcric_1!F1632)</f>
        <v>18267</v>
      </c>
      <c r="G1650">
        <f>IF(VIPcric_1!G1632="","",VIPcric_1!G1632)</f>
        <v>1550872521</v>
      </c>
      <c r="H1650">
        <f>IF(VIPcric_1!H1632="","",VIPcric_1!H1632)</f>
        <v>0.34</v>
      </c>
      <c r="I1650" t="str">
        <f>IF(VIPcric_1!M1632="","",VIPcric_1!M1632)</f>
        <v>CRIC-泉州-市场监测.商品房市场.项目累计.供求.xlsx</v>
      </c>
    </row>
    <row r="1651" spans="1:9">
      <c r="A1651" t="str">
        <f>IF(VIPcric_1!A1633="","",VIPcric_1!A1633)</f>
        <v>2023年</v>
      </c>
      <c r="B1651">
        <f>IF(VIPcric_1!B1633="","",VIPcric_1!B1633)</f>
        <v>714718</v>
      </c>
      <c r="C1651">
        <f>IF(VIPcric_1!C1633="","",VIPcric_1!C1633)</f>
        <v>5613</v>
      </c>
      <c r="D1651">
        <f>IF(VIPcric_1!D1633="","",VIPcric_1!D1633)</f>
        <v>793483</v>
      </c>
      <c r="E1651">
        <f>IF(VIPcric_1!E1633="","",VIPcric_1!E1633)</f>
        <v>6514</v>
      </c>
      <c r="F1651">
        <f>IF(VIPcric_1!F1633="","",VIPcric_1!F1633)</f>
        <v>13023</v>
      </c>
      <c r="G1651">
        <f>IF(VIPcric_1!G1633="","",VIPcric_1!G1633)</f>
        <v>10333867417</v>
      </c>
      <c r="H1651">
        <f>IF(VIPcric_1!H1633="","",VIPcric_1!H1633)</f>
        <v>0.9</v>
      </c>
      <c r="I1651" t="str">
        <f>IF(VIPcric_1!M1633="","",VIPcric_1!M1633)</f>
        <v>CRIC-泉州-市场监测.商品房市场.项目累计.供求.xlsx</v>
      </c>
    </row>
    <row r="1652" spans="1:9">
      <c r="A1652" t="str">
        <f>IF(VIPcric_1!A1634="","",VIPcric_1!A1634)</f>
        <v>2022年</v>
      </c>
      <c r="B1652">
        <f>IF(VIPcric_1!B1634="","",VIPcric_1!B1634)</f>
        <v>1536742</v>
      </c>
      <c r="C1652">
        <f>IF(VIPcric_1!C1634="","",VIPcric_1!C1634)</f>
        <v>12808</v>
      </c>
      <c r="D1652">
        <f>IF(VIPcric_1!D1634="","",VIPcric_1!D1634)</f>
        <v>1803395</v>
      </c>
      <c r="E1652">
        <f>IF(VIPcric_1!E1634="","",VIPcric_1!E1634)</f>
        <v>15143</v>
      </c>
      <c r="F1652">
        <f>IF(VIPcric_1!F1634="","",VIPcric_1!F1634)</f>
        <v>13424</v>
      </c>
      <c r="G1652">
        <f>IF(VIPcric_1!G1634="","",VIPcric_1!G1634)</f>
        <v>24208472311</v>
      </c>
      <c r="H1652">
        <f>IF(VIPcric_1!H1634="","",VIPcric_1!H1634)</f>
        <v>0.85</v>
      </c>
      <c r="I1652" t="str">
        <f>IF(VIPcric_1!M1634="","",VIPcric_1!M1634)</f>
        <v>CRIC-泉州-市场监测.商品房市场.项目累计.供求.xlsx</v>
      </c>
    </row>
    <row r="1653" spans="1:9">
      <c r="A1653" t="str">
        <f>IF(VIPcric_1!A1635="","",VIPcric_1!A1635)</f>
        <v>2021年</v>
      </c>
      <c r="B1653">
        <f>IF(VIPcric_1!B1635="","",VIPcric_1!B1635)</f>
        <v>2217547</v>
      </c>
      <c r="C1653">
        <f>IF(VIPcric_1!C1635="","",VIPcric_1!C1635)</f>
        <v>19477</v>
      </c>
      <c r="D1653">
        <f>IF(VIPcric_1!D1635="","",VIPcric_1!D1635)</f>
        <v>2472544</v>
      </c>
      <c r="E1653">
        <f>IF(VIPcric_1!E1635="","",VIPcric_1!E1635)</f>
        <v>21367</v>
      </c>
      <c r="F1653">
        <f>IF(VIPcric_1!F1635="","",VIPcric_1!F1635)</f>
        <v>10530</v>
      </c>
      <c r="G1653">
        <f>IF(VIPcric_1!G1635="","",VIPcric_1!G1635)</f>
        <v>26036594365</v>
      </c>
      <c r="H1653">
        <f>IF(VIPcric_1!H1635="","",VIPcric_1!H1635)</f>
        <v>0.9</v>
      </c>
      <c r="I1653" t="str">
        <f>IF(VIPcric_1!M1635="","",VIPcric_1!M1635)</f>
        <v>CRIC-泉州-市场监测.商品房市场.项目累计.供求.xlsx</v>
      </c>
    </row>
    <row r="1654" spans="1:9">
      <c r="A1654" t="str">
        <f>IF(VIPcric_1!A1636="","",VIPcric_1!A1636)</f>
        <v>2020年</v>
      </c>
      <c r="B1654">
        <f>IF(VIPcric_1!B1636="","",VIPcric_1!B1636)</f>
        <v>2338315</v>
      </c>
      <c r="C1654">
        <f>IF(VIPcric_1!C1636="","",VIPcric_1!C1636)</f>
        <v>19596</v>
      </c>
      <c r="D1654">
        <f>IF(VIPcric_1!D1636="","",VIPcric_1!D1636)</f>
        <v>2303789</v>
      </c>
      <c r="E1654">
        <f>IF(VIPcric_1!E1636="","",VIPcric_1!E1636)</f>
        <v>19549</v>
      </c>
      <c r="F1654">
        <f>IF(VIPcric_1!F1636="","",VIPcric_1!F1636)</f>
        <v>10278</v>
      </c>
      <c r="G1654">
        <f>IF(VIPcric_1!G1636="","",VIPcric_1!G1636)</f>
        <v>23678946456</v>
      </c>
      <c r="H1654">
        <f>IF(VIPcric_1!H1636="","",VIPcric_1!H1636)</f>
        <v>1.01</v>
      </c>
      <c r="I1654" t="str">
        <f>IF(VIPcric_1!M1636="","",VIPcric_1!M1636)</f>
        <v>CRIC-泉州-市场监测.商品房市场.项目累计.供求.xlsx</v>
      </c>
    </row>
    <row r="1655" spans="1:9">
      <c r="A1655" t="str">
        <f>IF(VIPcric_1!A1637="","",VIPcric_1!A1637)</f>
        <v>2019年</v>
      </c>
      <c r="B1655">
        <f>IF(VIPcric_1!B1637="","",VIPcric_1!B1637)</f>
        <v>2816635</v>
      </c>
      <c r="C1655">
        <f>IF(VIPcric_1!C1637="","",VIPcric_1!C1637)</f>
        <v>23597</v>
      </c>
      <c r="D1655">
        <f>IF(VIPcric_1!D1637="","",VIPcric_1!D1637)</f>
        <v>2723281</v>
      </c>
      <c r="E1655">
        <f>IF(VIPcric_1!E1637="","",VIPcric_1!E1637)</f>
        <v>23263</v>
      </c>
      <c r="F1655">
        <f>IF(VIPcric_1!F1637="","",VIPcric_1!F1637)</f>
        <v>9189</v>
      </c>
      <c r="G1655">
        <f>IF(VIPcric_1!G1637="","",VIPcric_1!G1637)</f>
        <v>25022929827</v>
      </c>
      <c r="H1655">
        <f>IF(VIPcric_1!H1637="","",VIPcric_1!H1637)</f>
        <v>1.03</v>
      </c>
      <c r="I1655" t="str">
        <f>IF(VIPcric_1!M1637="","",VIPcric_1!M1637)</f>
        <v>CRIC-泉州-市场监测.商品房市场.项目累计.供求.xlsx</v>
      </c>
    </row>
    <row r="1656" spans="1:9">
      <c r="A1656" t="str">
        <f>IF(VIPcric_1!A1638="","",VIPcric_1!A1638)</f>
        <v>汇总</v>
      </c>
      <c r="B1656">
        <f>IF(VIPcric_1!B1638="","",VIPcric_1!B1638)</f>
        <v>9652957</v>
      </c>
      <c r="C1656">
        <f>IF(VIPcric_1!C1638="","",VIPcric_1!C1638)</f>
        <v>81326</v>
      </c>
      <c r="D1656">
        <f>IF(VIPcric_1!D1638="","",VIPcric_1!D1638)</f>
        <v>10181392</v>
      </c>
      <c r="E1656">
        <f>IF(VIPcric_1!E1638="","",VIPcric_1!E1638)</f>
        <v>86485</v>
      </c>
      <c r="F1656">
        <f>IF(VIPcric_1!F1638="","",VIPcric_1!F1638)</f>
        <v>10886</v>
      </c>
      <c r="G1656">
        <f>IF(VIPcric_1!G1638="","",VIPcric_1!G1638)</f>
        <v>110831682896</v>
      </c>
      <c r="H1656">
        <f>IF(VIPcric_1!H1638="","",VIPcric_1!H1638)</f>
        <v>0.95</v>
      </c>
      <c r="I1656" t="str">
        <f>IF(VIPcric_1!M1638="","",VIPcric_1!M1638)</f>
        <v>CRIC-泉州-市场监测.商品房市场.项目累计.供求.xlsx</v>
      </c>
    </row>
    <row r="1657" spans="1:9">
      <c r="A1657" t="str">
        <f>IF(VIPcric_1!A1639="","",VIPcric_1!A1639)</f>
        <v/>
      </c>
      <c r="B1657" t="str">
        <f>IF(VIPcric_1!B1639="","",VIPcric_1!B1639)</f>
        <v/>
      </c>
      <c r="C1657" t="str">
        <f>IF(VIPcric_1!C1639="","",VIPcric_1!C1639)</f>
        <v/>
      </c>
      <c r="D1657" t="str">
        <f>IF(VIPcric_1!D1639="","",VIPcric_1!D1639)</f>
        <v/>
      </c>
      <c r="E1657" t="str">
        <f>IF(VIPcric_1!E1639="","",VIPcric_1!E1639)</f>
        <v/>
      </c>
      <c r="F1657" t="str">
        <f>IF(VIPcric_1!F1639="","",VIPcric_1!F1639)</f>
        <v/>
      </c>
      <c r="G1657" t="str">
        <f>IF(VIPcric_1!G1639="","",VIPcric_1!G1639)</f>
        <v/>
      </c>
      <c r="H1657" t="str">
        <f>IF(VIPcric_1!H1639="","",VIPcric_1!H1639)</f>
        <v/>
      </c>
      <c r="I1657" t="str">
        <f>IF(VIPcric_1!M1639="","",VIPcric_1!M1639)</f>
        <v/>
      </c>
    </row>
    <row r="1658" spans="1:9">
      <c r="A1658" t="str">
        <f>IF(VIPcric_1!A1640="","",VIPcric_1!A1640)</f>
        <v/>
      </c>
      <c r="B1658" t="str">
        <f>IF(VIPcric_1!B1640="","",VIPcric_1!B1640)</f>
        <v/>
      </c>
      <c r="C1658" t="str">
        <f>IF(VIPcric_1!C1640="","",VIPcric_1!C1640)</f>
        <v/>
      </c>
      <c r="D1658" t="str">
        <f>IF(VIPcric_1!D1640="","",VIPcric_1!D1640)</f>
        <v/>
      </c>
      <c r="E1658" t="str">
        <f>IF(VIPcric_1!E1640="","",VIPcric_1!E1640)</f>
        <v/>
      </c>
      <c r="F1658" t="str">
        <f>IF(VIPcric_1!F1640="","",VIPcric_1!F1640)</f>
        <v/>
      </c>
      <c r="G1658" t="str">
        <f>IF(VIPcric_1!G1640="","",VIPcric_1!G1640)</f>
        <v/>
      </c>
      <c r="H1658" t="str">
        <f>IF(VIPcric_1!H1640="","",VIPcric_1!H1640)</f>
        <v/>
      </c>
      <c r="I1658" t="str">
        <f>IF(VIPcric_1!M1640="","",VIPcric_1!M1640)</f>
        <v>CRIC-泉州-市场监测.商品房市场.项目累计.库存.xlsx</v>
      </c>
    </row>
    <row r="1659" spans="1:9">
      <c r="A1659" t="str">
        <f>IF(VIPcric_1!A1641="","",VIPcric_1!A1641)</f>
        <v>时间(年)</v>
      </c>
      <c r="B1659" t="str">
        <f>IF(VIPcric_1!B1641="","",VIPcric_1!B1641)</f>
        <v>库存面积(㎡)</v>
      </c>
      <c r="C1659" t="str">
        <f>IF(VIPcric_1!C1641="","",VIPcric_1!C1641)</f>
        <v>库存套数(套)</v>
      </c>
      <c r="D1659" t="str">
        <f>IF(VIPcric_1!D1641="","",VIPcric_1!D1641)</f>
        <v>去化周期12'(月)</v>
      </c>
      <c r="E1659" t="str">
        <f>IF(VIPcric_1!E1641="","",VIPcric_1!E1641)</f>
        <v/>
      </c>
      <c r="F1659" t="str">
        <f>IF(VIPcric_1!F1641="","",VIPcric_1!F1641)</f>
        <v/>
      </c>
      <c r="G1659" t="str">
        <f>IF(VIPcric_1!G1641="","",VIPcric_1!G1641)</f>
        <v/>
      </c>
      <c r="H1659" t="str">
        <f>IF(VIPcric_1!H1641="","",VIPcric_1!H1641)</f>
        <v/>
      </c>
      <c r="I1659" t="str">
        <f>IF(VIPcric_1!M1641="","",VIPcric_1!M1641)</f>
        <v>CRIC-泉州-市场监测.商品房市场.项目累计.库存.xlsx</v>
      </c>
    </row>
    <row r="1660" spans="1:9">
      <c r="A1660" t="str">
        <f>IF(VIPcric_1!A1642="","",VIPcric_1!A1642)</f>
        <v>2024年</v>
      </c>
      <c r="B1660">
        <f>IF(VIPcric_1!B1642="","",VIPcric_1!B1642)</f>
        <v>1438523</v>
      </c>
      <c r="C1660">
        <f>IF(VIPcric_1!C1642="","",VIPcric_1!C1642)</f>
        <v>11887</v>
      </c>
      <c r="D1660">
        <f>IF(VIPcric_1!D1642="","",VIPcric_1!D1642)</f>
        <v>21.1</v>
      </c>
      <c r="E1660" t="str">
        <f>IF(VIPcric_1!E1642="","",VIPcric_1!E1642)</f>
        <v/>
      </c>
      <c r="F1660" t="str">
        <f>IF(VIPcric_1!F1642="","",VIPcric_1!F1642)</f>
        <v/>
      </c>
      <c r="G1660" t="str">
        <f>IF(VIPcric_1!G1642="","",VIPcric_1!G1642)</f>
        <v/>
      </c>
      <c r="H1660" t="str">
        <f>IF(VIPcric_1!H1642="","",VIPcric_1!H1642)</f>
        <v/>
      </c>
      <c r="I1660" t="str">
        <f>IF(VIPcric_1!M1642="","",VIPcric_1!M1642)</f>
        <v>CRIC-泉州-市场监测.商品房市场.项目累计.库存.xlsx</v>
      </c>
    </row>
    <row r="1661" spans="1:9">
      <c r="A1661" t="str">
        <f>IF(VIPcric_1!A1643="","",VIPcric_1!A1643)</f>
        <v>2023年</v>
      </c>
      <c r="B1661">
        <f>IF(VIPcric_1!B1643="","",VIPcric_1!B1643)</f>
        <v>1472834</v>
      </c>
      <c r="C1661">
        <f>IF(VIPcric_1!C1643="","",VIPcric_1!C1643)</f>
        <v>12135</v>
      </c>
      <c r="D1661">
        <f>IF(VIPcric_1!D1643="","",VIPcric_1!D1643)</f>
        <v>22.3</v>
      </c>
      <c r="E1661" t="str">
        <f>IF(VIPcric_1!E1643="","",VIPcric_1!E1643)</f>
        <v/>
      </c>
      <c r="F1661" t="str">
        <f>IF(VIPcric_1!F1643="","",VIPcric_1!F1643)</f>
        <v/>
      </c>
      <c r="G1661" t="str">
        <f>IF(VIPcric_1!G1643="","",VIPcric_1!G1643)</f>
        <v/>
      </c>
      <c r="H1661" t="str">
        <f>IF(VIPcric_1!H1643="","",VIPcric_1!H1643)</f>
        <v/>
      </c>
      <c r="I1661" t="str">
        <f>IF(VIPcric_1!M1643="","",VIPcric_1!M1643)</f>
        <v>CRIC-泉州-市场监测.商品房市场.项目累计.库存.xlsx</v>
      </c>
    </row>
    <row r="1662" spans="1:9">
      <c r="A1662" t="str">
        <f>IF(VIPcric_1!A1644="","",VIPcric_1!A1644)</f>
        <v>2022年</v>
      </c>
      <c r="B1662">
        <f>IF(VIPcric_1!B1644="","",VIPcric_1!B1644)</f>
        <v>1545262</v>
      </c>
      <c r="C1662">
        <f>IF(VIPcric_1!C1644="","",VIPcric_1!C1644)</f>
        <v>12852</v>
      </c>
      <c r="D1662">
        <f>IF(VIPcric_1!D1644="","",VIPcric_1!D1644)</f>
        <v>10.3</v>
      </c>
      <c r="E1662" t="str">
        <f>IF(VIPcric_1!E1644="","",VIPcric_1!E1644)</f>
        <v/>
      </c>
      <c r="F1662" t="str">
        <f>IF(VIPcric_1!F1644="","",VIPcric_1!F1644)</f>
        <v/>
      </c>
      <c r="G1662" t="str">
        <f>IF(VIPcric_1!G1644="","",VIPcric_1!G1644)</f>
        <v/>
      </c>
      <c r="H1662" t="str">
        <f>IF(VIPcric_1!H1644="","",VIPcric_1!H1644)</f>
        <v/>
      </c>
      <c r="I1662" t="str">
        <f>IF(VIPcric_1!M1644="","",VIPcric_1!M1644)</f>
        <v>CRIC-泉州-市场监测.商品房市场.项目累计.库存.xlsx</v>
      </c>
    </row>
    <row r="1663" spans="1:9">
      <c r="A1663" t="str">
        <f>IF(VIPcric_1!A1645="","",VIPcric_1!A1645)</f>
        <v>2021年</v>
      </c>
      <c r="B1663">
        <f>IF(VIPcric_1!B1645="","",VIPcric_1!B1645)</f>
        <v>1935665</v>
      </c>
      <c r="C1663">
        <f>IF(VIPcric_1!C1645="","",VIPcric_1!C1645)</f>
        <v>16393</v>
      </c>
      <c r="D1663">
        <f>IF(VIPcric_1!D1645="","",VIPcric_1!D1645)</f>
        <v>9.4</v>
      </c>
      <c r="E1663" t="str">
        <f>IF(VIPcric_1!E1645="","",VIPcric_1!E1645)</f>
        <v/>
      </c>
      <c r="F1663" t="str">
        <f>IF(VIPcric_1!F1645="","",VIPcric_1!F1645)</f>
        <v/>
      </c>
      <c r="G1663" t="str">
        <f>IF(VIPcric_1!G1645="","",VIPcric_1!G1645)</f>
        <v/>
      </c>
      <c r="H1663" t="str">
        <f>IF(VIPcric_1!H1645="","",VIPcric_1!H1645)</f>
        <v/>
      </c>
      <c r="I1663" t="str">
        <f>IF(VIPcric_1!M1645="","",VIPcric_1!M1645)</f>
        <v>CRIC-泉州-市场监测.商品房市场.项目累计.库存.xlsx</v>
      </c>
    </row>
    <row r="1664" spans="1:9">
      <c r="A1664" t="str">
        <f>IF(VIPcric_1!A1646="","",VIPcric_1!A1646)</f>
        <v>2020年</v>
      </c>
      <c r="B1664">
        <f>IF(VIPcric_1!B1646="","",VIPcric_1!B1646)</f>
        <v>2278912</v>
      </c>
      <c r="C1664">
        <f>IF(VIPcric_1!C1646="","",VIPcric_1!C1646)</f>
        <v>19115</v>
      </c>
      <c r="D1664">
        <f>IF(VIPcric_1!D1646="","",VIPcric_1!D1646)</f>
        <v>11.9</v>
      </c>
      <c r="E1664" t="str">
        <f>IF(VIPcric_1!E1646="","",VIPcric_1!E1646)</f>
        <v/>
      </c>
      <c r="F1664" t="str">
        <f>IF(VIPcric_1!F1646="","",VIPcric_1!F1646)</f>
        <v/>
      </c>
      <c r="G1664" t="str">
        <f>IF(VIPcric_1!G1646="","",VIPcric_1!G1646)</f>
        <v/>
      </c>
      <c r="H1664" t="str">
        <f>IF(VIPcric_1!H1646="","",VIPcric_1!H1646)</f>
        <v/>
      </c>
      <c r="I1664" t="str">
        <f>IF(VIPcric_1!M1646="","",VIPcric_1!M1646)</f>
        <v>CRIC-泉州-市场监测.商品房市场.项目累计.库存.xlsx</v>
      </c>
    </row>
    <row r="1665" spans="1:9">
      <c r="A1665" t="str">
        <f>IF(VIPcric_1!A1647="","",VIPcric_1!A1647)</f>
        <v>2019年</v>
      </c>
      <c r="B1665">
        <f>IF(VIPcric_1!B1647="","",VIPcric_1!B1647)</f>
        <v>2141623</v>
      </c>
      <c r="C1665">
        <f>IF(VIPcric_1!C1647="","",VIPcric_1!C1647)</f>
        <v>18191</v>
      </c>
      <c r="D1665">
        <f>IF(VIPcric_1!D1647="","",VIPcric_1!D1647)</f>
        <v>9.4</v>
      </c>
      <c r="E1665" t="str">
        <f>IF(VIPcric_1!E1647="","",VIPcric_1!E1647)</f>
        <v/>
      </c>
      <c r="F1665" t="str">
        <f>IF(VIPcric_1!F1647="","",VIPcric_1!F1647)</f>
        <v/>
      </c>
      <c r="G1665" t="str">
        <f>IF(VIPcric_1!G1647="","",VIPcric_1!G1647)</f>
        <v/>
      </c>
      <c r="H1665" t="str">
        <f>IF(VIPcric_1!H1647="","",VIPcric_1!H1647)</f>
        <v/>
      </c>
      <c r="I1665" t="str">
        <f>IF(VIPcric_1!M1647="","",VIPcric_1!M1647)</f>
        <v>CRIC-泉州-市场监测.商品房市场.项目累计.库存.xlsx</v>
      </c>
    </row>
    <row r="1666" spans="1:9">
      <c r="A1666" t="str">
        <f>IF(VIPcric_1!A1648="","",VIPcric_1!A1648)</f>
        <v/>
      </c>
      <c r="B1666" t="str">
        <f>IF(VIPcric_1!B1648="","",VIPcric_1!B1648)</f>
        <v/>
      </c>
      <c r="C1666" t="str">
        <f>IF(VIPcric_1!C1648="","",VIPcric_1!C1648)</f>
        <v/>
      </c>
      <c r="D1666" t="str">
        <f>IF(VIPcric_1!D1648="","",VIPcric_1!D1648)</f>
        <v/>
      </c>
      <c r="E1666" t="str">
        <f>IF(VIPcric_1!E1648="","",VIPcric_1!E1648)</f>
        <v/>
      </c>
      <c r="F1666" t="s">
        <v>857</v>
      </c>
      <c r="G1666" t="str">
        <f>IF(VIPcric_1!G1648="","",VIPcric_1!G1648)</f>
        <v/>
      </c>
      <c r="H1666" t="str">
        <f>IF(VIPcric_1!H1648="","",VIPcric_1!H1648)</f>
        <v/>
      </c>
      <c r="I1666" t="str">
        <f>IF(VIPcric_1!M1648="","",VIPcric_1!M1648)</f>
        <v/>
      </c>
    </row>
    <row r="1667" spans="1:9">
      <c r="A1667" t="str">
        <f>IF(VIPcric_1!A1649="","",VIPcric_1!A1649)</f>
        <v/>
      </c>
      <c r="B1667" t="str">
        <f>IF(VIPcric_1!B1649="","",VIPcric_1!B1649)</f>
        <v/>
      </c>
      <c r="C1667" t="str">
        <f>IF(VIPcric_1!C1649="","",VIPcric_1!C1649)</f>
        <v/>
      </c>
      <c r="D1667" t="str">
        <f>IF(VIPcric_1!D1649="","",VIPcric_1!D1649)</f>
        <v/>
      </c>
      <c r="E1667" t="str">
        <f>IF(VIPcric_1!E1649="","",VIPcric_1!E1649)</f>
        <v/>
      </c>
      <c r="F1667" s="18">
        <f>C1669/E1669*12</f>
        <v>14.681318681318682</v>
      </c>
      <c r="G1667" t="str">
        <f>IF(VIPcric_1!G1649="","",VIPcric_1!G1649)</f>
        <v/>
      </c>
      <c r="H1667" t="str">
        <f>IF(VIPcric_1!H1649="","",VIPcric_1!H1649)</f>
        <v/>
      </c>
      <c r="I1667" t="str">
        <f>IF(VIPcric_1!M1649="","",VIPcric_1!M1649)</f>
        <v>CRIC-泰州-市场监测.商品房市场.项目累计.供求.xlsx</v>
      </c>
    </row>
    <row r="1668" spans="1:9">
      <c r="A1668" t="str">
        <f>IF(VIPcric_1!A1650="","",VIPcric_1!A1650)</f>
        <v>时间(年)</v>
      </c>
      <c r="B1668" t="str">
        <f>IF(VIPcric_1!B1650="","",VIPcric_1!B1650)</f>
        <v>供应面积(㎡)</v>
      </c>
      <c r="C1668" t="str">
        <f>IF(VIPcric_1!C1650="","",VIPcric_1!C1650)</f>
        <v>供应套数(套)</v>
      </c>
      <c r="D1668" t="str">
        <f>IF(VIPcric_1!D1650="","",VIPcric_1!D1650)</f>
        <v>成交面积(㎡)</v>
      </c>
      <c r="E1668" t="str">
        <f>IF(VIPcric_1!E1650="","",VIPcric_1!E1650)</f>
        <v>成交套数(套)</v>
      </c>
      <c r="F1668" t="str">
        <f>IF(VIPcric_1!F1650="","",VIPcric_1!F1650)</f>
        <v>成交均价(元/㎡)</v>
      </c>
      <c r="G1668" t="str">
        <f>IF(VIPcric_1!G1650="","",VIPcric_1!G1650)</f>
        <v>成交金额(元)</v>
      </c>
      <c r="H1668" t="str">
        <f>IF(VIPcric_1!H1650="","",VIPcric_1!H1650)</f>
        <v>供求比</v>
      </c>
      <c r="I1668" t="str">
        <f>IF(VIPcric_1!M1650="","",VIPcric_1!M1650)</f>
        <v>CRIC-泰州-市场监测.商品房市场.项目累计.供求.xlsx</v>
      </c>
    </row>
    <row r="1669" spans="1:9">
      <c r="A1669" t="str">
        <f>IF(VIPcric_1!A1651="","",VIPcric_1!A1651)</f>
        <v>2023年</v>
      </c>
      <c r="B1669">
        <f>IF(VIPcric_1!B1651="","",VIPcric_1!B1651)</f>
        <v>569395</v>
      </c>
      <c r="C1669">
        <f>IF(VIPcric_1!C1651="","",VIPcric_1!C1651)</f>
        <v>4342</v>
      </c>
      <c r="D1669">
        <f>IF(VIPcric_1!D1651="","",VIPcric_1!D1651)</f>
        <v>474131</v>
      </c>
      <c r="E1669">
        <f>IF(VIPcric_1!E1651="","",VIPcric_1!E1651)</f>
        <v>3549</v>
      </c>
      <c r="F1669">
        <f>IF(VIPcric_1!F1651="","",VIPcric_1!F1651)</f>
        <v>16139</v>
      </c>
      <c r="G1669">
        <f>IF(VIPcric_1!G1651="","",VIPcric_1!G1651)</f>
        <v>7651967553</v>
      </c>
      <c r="H1669">
        <f>IF(VIPcric_1!H1651="","",VIPcric_1!H1651)</f>
        <v>1.2</v>
      </c>
      <c r="I1669" t="str">
        <f>IF(VIPcric_1!M1651="","",VIPcric_1!M1651)</f>
        <v>CRIC-泰州-市场监测.商品房市场.项目累计.供求.xlsx</v>
      </c>
    </row>
    <row r="1670" spans="1:9">
      <c r="A1670" t="str">
        <f>IF(VIPcric_1!A1652="","",VIPcric_1!A1652)</f>
        <v>2022年</v>
      </c>
      <c r="B1670">
        <f>IF(VIPcric_1!B1652="","",VIPcric_1!B1652)</f>
        <v>698688</v>
      </c>
      <c r="C1670">
        <f>IF(VIPcric_1!C1652="","",VIPcric_1!C1652)</f>
        <v>5450</v>
      </c>
      <c r="D1670">
        <f>IF(VIPcric_1!D1652="","",VIPcric_1!D1652)</f>
        <v>673061</v>
      </c>
      <c r="E1670">
        <f>IF(VIPcric_1!E1652="","",VIPcric_1!E1652)</f>
        <v>5180</v>
      </c>
      <c r="F1670">
        <f>IF(VIPcric_1!F1652="","",VIPcric_1!F1652)</f>
        <v>15353</v>
      </c>
      <c r="G1670">
        <f>IF(VIPcric_1!G1652="","",VIPcric_1!G1652)</f>
        <v>10333360913</v>
      </c>
      <c r="H1670">
        <f>IF(VIPcric_1!H1652="","",VIPcric_1!H1652)</f>
        <v>1.04</v>
      </c>
      <c r="I1670" t="str">
        <f>IF(VIPcric_1!M1652="","",VIPcric_1!M1652)</f>
        <v>CRIC-泰州-市场监测.商品房市场.项目累计.供求.xlsx</v>
      </c>
    </row>
    <row r="1671" spans="1:9">
      <c r="A1671" t="str">
        <f>IF(VIPcric_1!A1653="","",VIPcric_1!A1653)</f>
        <v>2021年</v>
      </c>
      <c r="B1671">
        <f>IF(VIPcric_1!B1653="","",VIPcric_1!B1653)</f>
        <v>1786684</v>
      </c>
      <c r="C1671">
        <f>IF(VIPcric_1!C1653="","",VIPcric_1!C1653)</f>
        <v>14428</v>
      </c>
      <c r="D1671">
        <f>IF(VIPcric_1!D1653="","",VIPcric_1!D1653)</f>
        <v>1818154</v>
      </c>
      <c r="E1671">
        <f>IF(VIPcric_1!E1653="","",VIPcric_1!E1653)</f>
        <v>14585</v>
      </c>
      <c r="F1671">
        <f>IF(VIPcric_1!F1653="","",VIPcric_1!F1653)</f>
        <v>14660</v>
      </c>
      <c r="G1671">
        <f>IF(VIPcric_1!G1653="","",VIPcric_1!G1653)</f>
        <v>26654862243</v>
      </c>
      <c r="H1671">
        <f>IF(VIPcric_1!H1653="","",VIPcric_1!H1653)</f>
        <v>0.98</v>
      </c>
      <c r="I1671" t="str">
        <f>IF(VIPcric_1!M1653="","",VIPcric_1!M1653)</f>
        <v>CRIC-泰州-市场监测.商品房市场.项目累计.供求.xlsx</v>
      </c>
    </row>
    <row r="1672" spans="1:9">
      <c r="A1672" t="str">
        <f>IF(VIPcric_1!A1654="","",VIPcric_1!A1654)</f>
        <v>2020年</v>
      </c>
      <c r="B1672">
        <f>IF(VIPcric_1!B1654="","",VIPcric_1!B1654)</f>
        <v>1774175</v>
      </c>
      <c r="C1672">
        <f>IF(VIPcric_1!C1654="","",VIPcric_1!C1654)</f>
        <v>14328</v>
      </c>
      <c r="D1672">
        <f>IF(VIPcric_1!D1654="","",VIPcric_1!D1654)</f>
        <v>1768128</v>
      </c>
      <c r="E1672">
        <f>IF(VIPcric_1!E1654="","",VIPcric_1!E1654)</f>
        <v>13852</v>
      </c>
      <c r="F1672">
        <f>IF(VIPcric_1!F1654="","",VIPcric_1!F1654)</f>
        <v>12375</v>
      </c>
      <c r="G1672">
        <f>IF(VIPcric_1!G1654="","",VIPcric_1!G1654)</f>
        <v>21881406618</v>
      </c>
      <c r="H1672">
        <f>IF(VIPcric_1!H1654="","",VIPcric_1!H1654)</f>
        <v>1</v>
      </c>
      <c r="I1672" t="str">
        <f>IF(VIPcric_1!M1654="","",VIPcric_1!M1654)</f>
        <v>CRIC-泰州-市场监测.商品房市场.项目累计.供求.xlsx</v>
      </c>
    </row>
    <row r="1673" spans="1:9">
      <c r="A1673" t="str">
        <f>IF(VIPcric_1!A1655="","",VIPcric_1!A1655)</f>
        <v>2019年</v>
      </c>
      <c r="B1673">
        <f>IF(VIPcric_1!B1655="","",VIPcric_1!B1655)</f>
        <v>1059745</v>
      </c>
      <c r="C1673">
        <f>IF(VIPcric_1!C1655="","",VIPcric_1!C1655)</f>
        <v>8098</v>
      </c>
      <c r="D1673">
        <f>IF(VIPcric_1!D1655="","",VIPcric_1!D1655)</f>
        <v>1530706</v>
      </c>
      <c r="E1673">
        <f>IF(VIPcric_1!E1655="","",VIPcric_1!E1655)</f>
        <v>11968</v>
      </c>
      <c r="F1673">
        <f>IF(VIPcric_1!F1655="","",VIPcric_1!F1655)</f>
        <v>11134</v>
      </c>
      <c r="G1673">
        <f>IF(VIPcric_1!G1655="","",VIPcric_1!G1655)</f>
        <v>17042217462</v>
      </c>
      <c r="H1673">
        <f>IF(VIPcric_1!H1655="","",VIPcric_1!H1655)</f>
        <v>0.69</v>
      </c>
      <c r="I1673" t="str">
        <f>IF(VIPcric_1!M1655="","",VIPcric_1!M1655)</f>
        <v>CRIC-泰州-市场监测.商品房市场.项目累计.供求.xlsx</v>
      </c>
    </row>
    <row r="1674" spans="1:9">
      <c r="A1674" t="str">
        <f>IF(VIPcric_1!A1656="","",VIPcric_1!A1656)</f>
        <v>汇总</v>
      </c>
      <c r="B1674">
        <f>IF(VIPcric_1!B1656="","",VIPcric_1!B1656)</f>
        <v>5888687</v>
      </c>
      <c r="C1674">
        <f>IF(VIPcric_1!C1656="","",VIPcric_1!C1656)</f>
        <v>46646</v>
      </c>
      <c r="D1674">
        <f>IF(VIPcric_1!D1656="","",VIPcric_1!D1656)</f>
        <v>6264181</v>
      </c>
      <c r="E1674">
        <f>IF(VIPcric_1!E1656="","",VIPcric_1!E1656)</f>
        <v>49134</v>
      </c>
      <c r="F1674">
        <f>IF(VIPcric_1!F1656="","",VIPcric_1!F1656)</f>
        <v>13340</v>
      </c>
      <c r="G1674">
        <f>IF(VIPcric_1!G1656="","",VIPcric_1!G1656)</f>
        <v>83563814789</v>
      </c>
      <c r="H1674">
        <f>IF(VIPcric_1!H1656="","",VIPcric_1!H1656)</f>
        <v>0.94</v>
      </c>
      <c r="I1674" t="str">
        <f>IF(VIPcric_1!M1656="","",VIPcric_1!M1656)</f>
        <v>CRIC-泰州-市场监测.商品房市场.项目累计.供求.xlsx</v>
      </c>
    </row>
    <row r="1675" spans="1:9">
      <c r="A1675" t="str">
        <f>IF(VIPcric_1!A1657="","",VIPcric_1!A1657)</f>
        <v/>
      </c>
      <c r="B1675" t="str">
        <f>IF(VIPcric_1!B1657="","",VIPcric_1!B1657)</f>
        <v/>
      </c>
      <c r="C1675" t="str">
        <f>IF(VIPcric_1!C1657="","",VIPcric_1!C1657)</f>
        <v/>
      </c>
      <c r="D1675" t="str">
        <f>IF(VIPcric_1!D1657="","",VIPcric_1!D1657)</f>
        <v/>
      </c>
      <c r="E1675" t="str">
        <f>IF(VIPcric_1!E1657="","",VIPcric_1!E1657)</f>
        <v/>
      </c>
      <c r="F1675" t="str">
        <f>IF(VIPcric_1!F1657="","",VIPcric_1!F1657)</f>
        <v/>
      </c>
      <c r="G1675" t="str">
        <f>IF(VIPcric_1!G1657="","",VIPcric_1!G1657)</f>
        <v/>
      </c>
      <c r="H1675" t="str">
        <f>IF(VIPcric_1!H1657="","",VIPcric_1!H1657)</f>
        <v/>
      </c>
      <c r="I1675" t="str">
        <f>IF(VIPcric_1!M1657="","",VIPcric_1!M1657)</f>
        <v/>
      </c>
    </row>
    <row r="1676" spans="1:9">
      <c r="A1676" t="str">
        <f>IF(VIPcric_1!A1658="","",VIPcric_1!A1658)</f>
        <v/>
      </c>
      <c r="B1676" t="str">
        <f>IF(VIPcric_1!B1658="","",VIPcric_1!B1658)</f>
        <v/>
      </c>
      <c r="C1676" t="str">
        <f>IF(VIPcric_1!C1658="","",VIPcric_1!C1658)</f>
        <v/>
      </c>
      <c r="D1676" t="str">
        <f>IF(VIPcric_1!D1658="","",VIPcric_1!D1658)</f>
        <v/>
      </c>
      <c r="E1676" t="str">
        <f>IF(VIPcric_1!E1658="","",VIPcric_1!E1658)</f>
        <v/>
      </c>
      <c r="F1676" t="str">
        <f>IF(VIPcric_1!F1658="","",VIPcric_1!F1658)</f>
        <v/>
      </c>
      <c r="G1676" t="str">
        <f>IF(VIPcric_1!G1658="","",VIPcric_1!G1658)</f>
        <v/>
      </c>
      <c r="H1676" t="str">
        <f>IF(VIPcric_1!H1658="","",VIPcric_1!H1658)</f>
        <v/>
      </c>
      <c r="I1676" t="str">
        <f>IF(VIPcric_1!M1658="","",VIPcric_1!M1658)</f>
        <v>CRIC-泸州-市场监测.商品房市场.项目累计.供求.xlsx</v>
      </c>
    </row>
    <row r="1677" spans="1:9">
      <c r="A1677" t="str">
        <f>IF(VIPcric_1!A1659="","",VIPcric_1!A1659)</f>
        <v>时间(年)</v>
      </c>
      <c r="B1677" t="str">
        <f>IF(VIPcric_1!B1659="","",VIPcric_1!B1659)</f>
        <v>供应面积(㎡)</v>
      </c>
      <c r="C1677" t="str">
        <f>IF(VIPcric_1!C1659="","",VIPcric_1!C1659)</f>
        <v>供应套数(套)</v>
      </c>
      <c r="D1677" t="str">
        <f>IF(VIPcric_1!D1659="","",VIPcric_1!D1659)</f>
        <v>成交面积(㎡)</v>
      </c>
      <c r="E1677" t="str">
        <f>IF(VIPcric_1!E1659="","",VIPcric_1!E1659)</f>
        <v>成交套数(套)</v>
      </c>
      <c r="F1677" t="str">
        <f>IF(VIPcric_1!F1659="","",VIPcric_1!F1659)</f>
        <v>成交均价(元/㎡)</v>
      </c>
      <c r="G1677" t="str">
        <f>IF(VIPcric_1!G1659="","",VIPcric_1!G1659)</f>
        <v>成交金额(元)</v>
      </c>
      <c r="H1677" t="str">
        <f>IF(VIPcric_1!H1659="","",VIPcric_1!H1659)</f>
        <v>供求比</v>
      </c>
      <c r="I1677" t="str">
        <f>IF(VIPcric_1!M1659="","",VIPcric_1!M1659)</f>
        <v>CRIC-泸州-市场监测.商品房市场.项目累计.供求.xlsx</v>
      </c>
    </row>
    <row r="1678" spans="1:9">
      <c r="A1678" t="str">
        <f>IF(VIPcric_1!A1660="","",VIPcric_1!A1660)</f>
        <v>2023年</v>
      </c>
      <c r="B1678">
        <f>IF(VIPcric_1!B1660="","",VIPcric_1!B1660)</f>
        <v>1360792</v>
      </c>
      <c r="C1678">
        <f>IF(VIPcric_1!C1660="","",VIPcric_1!C1660)</f>
        <v>12341</v>
      </c>
      <c r="D1678">
        <f>IF(VIPcric_1!D1660="","",VIPcric_1!D1660)</f>
        <v>1485655</v>
      </c>
      <c r="E1678">
        <f>IF(VIPcric_1!E1660="","",VIPcric_1!E1660)</f>
        <v>13829</v>
      </c>
      <c r="F1678">
        <f>IF(VIPcric_1!F1660="","",VIPcric_1!F1660)</f>
        <v>6507</v>
      </c>
      <c r="G1678">
        <f>IF(VIPcric_1!G1660="","",VIPcric_1!G1660)</f>
        <v>9666919837</v>
      </c>
      <c r="H1678">
        <f>IF(VIPcric_1!H1660="","",VIPcric_1!H1660)</f>
        <v>0.92</v>
      </c>
      <c r="I1678" t="str">
        <f>IF(VIPcric_1!M1660="","",VIPcric_1!M1660)</f>
        <v>CRIC-泸州-市场监测.商品房市场.项目累计.供求.xlsx</v>
      </c>
    </row>
    <row r="1679" spans="1:9">
      <c r="A1679" t="str">
        <f>IF(VIPcric_1!A1661="","",VIPcric_1!A1661)</f>
        <v>2022年</v>
      </c>
      <c r="B1679">
        <f>IF(VIPcric_1!B1661="","",VIPcric_1!B1661)</f>
        <v>2095981</v>
      </c>
      <c r="C1679">
        <f>IF(VIPcric_1!C1661="","",VIPcric_1!C1661)</f>
        <v>20770</v>
      </c>
      <c r="D1679">
        <f>IF(VIPcric_1!D1661="","",VIPcric_1!D1661)</f>
        <v>1814231</v>
      </c>
      <c r="E1679">
        <f>IF(VIPcric_1!E1661="","",VIPcric_1!E1661)</f>
        <v>17628</v>
      </c>
      <c r="F1679">
        <f>IF(VIPcric_1!F1661="","",VIPcric_1!F1661)</f>
        <v>6862</v>
      </c>
      <c r="G1679">
        <f>IF(VIPcric_1!G1661="","",VIPcric_1!G1661)</f>
        <v>12449599120</v>
      </c>
      <c r="H1679">
        <f>IF(VIPcric_1!H1661="","",VIPcric_1!H1661)</f>
        <v>1.1599999999999999</v>
      </c>
      <c r="I1679" t="str">
        <f>IF(VIPcric_1!M1661="","",VIPcric_1!M1661)</f>
        <v>CRIC-泸州-市场监测.商品房市场.项目累计.供求.xlsx</v>
      </c>
    </row>
    <row r="1680" spans="1:9">
      <c r="A1680" t="str">
        <f>IF(VIPcric_1!A1662="","",VIPcric_1!A1662)</f>
        <v>2021年</v>
      </c>
      <c r="B1680">
        <f>IF(VIPcric_1!B1662="","",VIPcric_1!B1662)</f>
        <v>2772785</v>
      </c>
      <c r="C1680">
        <f>IF(VIPcric_1!C1662="","",VIPcric_1!C1662)</f>
        <v>26828</v>
      </c>
      <c r="D1680">
        <f>IF(VIPcric_1!D1662="","",VIPcric_1!D1662)</f>
        <v>1669843</v>
      </c>
      <c r="E1680">
        <f>IF(VIPcric_1!E1662="","",VIPcric_1!E1662)</f>
        <v>16181</v>
      </c>
      <c r="F1680">
        <f>IF(VIPcric_1!F1662="","",VIPcric_1!F1662)</f>
        <v>7129</v>
      </c>
      <c r="G1680">
        <f>IF(VIPcric_1!G1662="","",VIPcric_1!G1662)</f>
        <v>11904495389</v>
      </c>
      <c r="H1680">
        <f>IF(VIPcric_1!H1662="","",VIPcric_1!H1662)</f>
        <v>1.66</v>
      </c>
      <c r="I1680" t="str">
        <f>IF(VIPcric_1!M1662="","",VIPcric_1!M1662)</f>
        <v>CRIC-泸州-市场监测.商品房市场.项目累计.供求.xlsx</v>
      </c>
    </row>
    <row r="1681" spans="1:9">
      <c r="A1681" t="str">
        <f>IF(VIPcric_1!A1663="","",VIPcric_1!A1663)</f>
        <v>2020年</v>
      </c>
      <c r="B1681">
        <f>IF(VIPcric_1!B1663="","",VIPcric_1!B1663)</f>
        <v>3134017</v>
      </c>
      <c r="C1681">
        <f>IF(VIPcric_1!C1663="","",VIPcric_1!C1663)</f>
        <v>29834</v>
      </c>
      <c r="D1681">
        <f>IF(VIPcric_1!D1663="","",VIPcric_1!D1663)</f>
        <v>946628</v>
      </c>
      <c r="E1681">
        <f>IF(VIPcric_1!E1663="","",VIPcric_1!E1663)</f>
        <v>8871</v>
      </c>
      <c r="F1681">
        <f>IF(VIPcric_1!F1663="","",VIPcric_1!F1663)</f>
        <v>6617</v>
      </c>
      <c r="G1681">
        <f>IF(VIPcric_1!G1663="","",VIPcric_1!G1663)</f>
        <v>6264116068</v>
      </c>
      <c r="H1681">
        <f>IF(VIPcric_1!H1663="","",VIPcric_1!H1663)</f>
        <v>3.31</v>
      </c>
      <c r="I1681" t="str">
        <f>IF(VIPcric_1!M1663="","",VIPcric_1!M1663)</f>
        <v>CRIC-泸州-市场监测.商品房市场.项目累计.供求.xlsx</v>
      </c>
    </row>
    <row r="1682" spans="1:9">
      <c r="A1682" t="str">
        <f>IF(VIPcric_1!A1664="","",VIPcric_1!A1664)</f>
        <v>2019年</v>
      </c>
      <c r="B1682">
        <f>IF(VIPcric_1!B1664="","",VIPcric_1!B1664)</f>
        <v>4969453</v>
      </c>
      <c r="C1682">
        <f>IF(VIPcric_1!C1664="","",VIPcric_1!C1664)</f>
        <v>44518</v>
      </c>
      <c r="D1682">
        <f>IF(VIPcric_1!D1664="","",VIPcric_1!D1664)</f>
        <v>2843238</v>
      </c>
      <c r="E1682">
        <f>IF(VIPcric_1!E1664="","",VIPcric_1!E1664)</f>
        <v>25966</v>
      </c>
      <c r="F1682">
        <f>IF(VIPcric_1!F1664="","",VIPcric_1!F1664)</f>
        <v>6932</v>
      </c>
      <c r="G1682">
        <f>IF(VIPcric_1!G1664="","",VIPcric_1!G1664)</f>
        <v>19709414673</v>
      </c>
      <c r="H1682">
        <f>IF(VIPcric_1!H1664="","",VIPcric_1!H1664)</f>
        <v>1.75</v>
      </c>
      <c r="I1682" t="str">
        <f>IF(VIPcric_1!M1664="","",VIPcric_1!M1664)</f>
        <v>CRIC-泸州-市场监测.商品房市场.项目累计.供求.xlsx</v>
      </c>
    </row>
    <row r="1683" spans="1:9">
      <c r="A1683" t="str">
        <f>IF(VIPcric_1!A1665="","",VIPcric_1!A1665)</f>
        <v>汇总</v>
      </c>
      <c r="B1683">
        <f>IF(VIPcric_1!B1665="","",VIPcric_1!B1665)</f>
        <v>14333028</v>
      </c>
      <c r="C1683">
        <f>IF(VIPcric_1!C1665="","",VIPcric_1!C1665)</f>
        <v>134291</v>
      </c>
      <c r="D1683">
        <f>IF(VIPcric_1!D1665="","",VIPcric_1!D1665)</f>
        <v>8759595</v>
      </c>
      <c r="E1683">
        <f>IF(VIPcric_1!E1665="","",VIPcric_1!E1665)</f>
        <v>82475</v>
      </c>
      <c r="F1683">
        <f>IF(VIPcric_1!F1665="","",VIPcric_1!F1665)</f>
        <v>6849</v>
      </c>
      <c r="G1683">
        <f>IF(VIPcric_1!G1665="","",VIPcric_1!G1665)</f>
        <v>59994545087</v>
      </c>
      <c r="H1683">
        <f>IF(VIPcric_1!H1665="","",VIPcric_1!H1665)</f>
        <v>1.64</v>
      </c>
      <c r="I1683" t="str">
        <f>IF(VIPcric_1!M1665="","",VIPcric_1!M1665)</f>
        <v>CRIC-泸州-市场监测.商品房市场.项目累计.供求.xlsx</v>
      </c>
    </row>
    <row r="1684" spans="1:9">
      <c r="A1684" t="str">
        <f>IF(VIPcric_1!A1666="","",VIPcric_1!A1666)</f>
        <v/>
      </c>
      <c r="B1684" t="str">
        <f>IF(VIPcric_1!B1666="","",VIPcric_1!B1666)</f>
        <v/>
      </c>
      <c r="C1684" t="str">
        <f>IF(VIPcric_1!C1666="","",VIPcric_1!C1666)</f>
        <v/>
      </c>
      <c r="D1684" t="str">
        <f>IF(VIPcric_1!D1666="","",VIPcric_1!D1666)</f>
        <v/>
      </c>
      <c r="E1684" t="str">
        <f>IF(VIPcric_1!E1666="","",VIPcric_1!E1666)</f>
        <v/>
      </c>
      <c r="F1684" t="str">
        <f>IF(VIPcric_1!F1666="","",VIPcric_1!F1666)</f>
        <v/>
      </c>
      <c r="G1684" t="str">
        <f>IF(VIPcric_1!G1666="","",VIPcric_1!G1666)</f>
        <v/>
      </c>
      <c r="H1684" t="str">
        <f>IF(VIPcric_1!H1666="","",VIPcric_1!H1666)</f>
        <v/>
      </c>
      <c r="I1684" t="str">
        <f>IF(VIPcric_1!M1666="","",VIPcric_1!M1666)</f>
        <v/>
      </c>
    </row>
    <row r="1685" spans="1:9">
      <c r="A1685" t="str">
        <f>IF(VIPcric_1!A1667="","",VIPcric_1!A1667)</f>
        <v/>
      </c>
      <c r="B1685" t="str">
        <f>IF(VIPcric_1!B1667="","",VIPcric_1!B1667)</f>
        <v/>
      </c>
      <c r="C1685" t="str">
        <f>IF(VIPcric_1!C1667="","",VIPcric_1!C1667)</f>
        <v/>
      </c>
      <c r="D1685" t="str">
        <f>IF(VIPcric_1!D1667="","",VIPcric_1!D1667)</f>
        <v/>
      </c>
      <c r="E1685" t="str">
        <f>IF(VIPcric_1!E1667="","",VIPcric_1!E1667)</f>
        <v/>
      </c>
      <c r="F1685" t="str">
        <f>IF(VIPcric_1!F1667="","",VIPcric_1!F1667)</f>
        <v/>
      </c>
      <c r="G1685" t="str">
        <f>IF(VIPcric_1!G1667="","",VIPcric_1!G1667)</f>
        <v/>
      </c>
      <c r="H1685" t="str">
        <f>IF(VIPcric_1!H1667="","",VIPcric_1!H1667)</f>
        <v/>
      </c>
      <c r="I1685" t="str">
        <f>IF(VIPcric_1!M1667="","",VIPcric_1!M1667)</f>
        <v>CRIC-泸州-市场监测.商品房市场.项目累计.库存.xlsx</v>
      </c>
    </row>
    <row r="1686" spans="1:9">
      <c r="A1686" t="str">
        <f>IF(VIPcric_1!A1668="","",VIPcric_1!A1668)</f>
        <v>时间(年)</v>
      </c>
      <c r="B1686" t="str">
        <f>IF(VIPcric_1!B1668="","",VIPcric_1!B1668)</f>
        <v>库存面积(㎡)</v>
      </c>
      <c r="C1686" t="str">
        <f>IF(VIPcric_1!C1668="","",VIPcric_1!C1668)</f>
        <v>库存套数(套)</v>
      </c>
      <c r="D1686" t="str">
        <f>IF(VIPcric_1!D1668="","",VIPcric_1!D1668)</f>
        <v>去化周期12'(月)</v>
      </c>
      <c r="E1686" t="str">
        <f>IF(VIPcric_1!E1668="","",VIPcric_1!E1668)</f>
        <v>去化周期24'(月)</v>
      </c>
      <c r="F1686" t="str">
        <f>IF(VIPcric_1!F1668="","",VIPcric_1!F1668)</f>
        <v/>
      </c>
      <c r="G1686" t="str">
        <f>IF(VIPcric_1!G1668="","",VIPcric_1!G1668)</f>
        <v/>
      </c>
      <c r="H1686" t="str">
        <f>IF(VIPcric_1!H1668="","",VIPcric_1!H1668)</f>
        <v/>
      </c>
      <c r="I1686" t="str">
        <f>IF(VIPcric_1!M1668="","",VIPcric_1!M1668)</f>
        <v>CRIC-泸州-市场监测.商品房市场.项目累计.库存.xlsx</v>
      </c>
    </row>
    <row r="1687" spans="1:9">
      <c r="A1687" t="str">
        <f>IF(VIPcric_1!A1669="","",VIPcric_1!A1669)</f>
        <v>2024年</v>
      </c>
      <c r="B1687">
        <f>IF(VIPcric_1!B1669="","",VIPcric_1!B1669)</f>
        <v>5479769</v>
      </c>
      <c r="C1687">
        <f>IF(VIPcric_1!C1669="","",VIPcric_1!C1669)</f>
        <v>49402</v>
      </c>
      <c r="D1687">
        <f>IF(VIPcric_1!D1669="","",VIPcric_1!D1669)</f>
        <v>45.8</v>
      </c>
      <c r="E1687">
        <f>IF(VIPcric_1!E1669="","",VIPcric_1!E1669)</f>
        <v>41.3</v>
      </c>
      <c r="F1687" t="str">
        <f>IF(VIPcric_1!F1669="","",VIPcric_1!F1669)</f>
        <v/>
      </c>
      <c r="G1687" t="str">
        <f>IF(VIPcric_1!G1669="","",VIPcric_1!G1669)</f>
        <v/>
      </c>
      <c r="H1687" t="str">
        <f>IF(VIPcric_1!H1669="","",VIPcric_1!H1669)</f>
        <v/>
      </c>
      <c r="I1687" t="str">
        <f>IF(VIPcric_1!M1669="","",VIPcric_1!M1669)</f>
        <v>CRIC-泸州-市场监测.商品房市场.项目累计.库存.xlsx</v>
      </c>
    </row>
    <row r="1688" spans="1:9">
      <c r="A1688" t="str">
        <f>IF(VIPcric_1!A1670="","",VIPcric_1!A1670)</f>
        <v>2023年</v>
      </c>
      <c r="B1688">
        <f>IF(VIPcric_1!B1670="","",VIPcric_1!B1670)</f>
        <v>5421395</v>
      </c>
      <c r="C1688">
        <f>IF(VIPcric_1!C1670="","",VIPcric_1!C1670)</f>
        <v>48955</v>
      </c>
      <c r="D1688">
        <f>IF(VIPcric_1!D1670="","",VIPcric_1!D1670)</f>
        <v>43.8</v>
      </c>
      <c r="E1688">
        <f>IF(VIPcric_1!E1670="","",VIPcric_1!E1670)</f>
        <v>39.4</v>
      </c>
      <c r="F1688" t="str">
        <f>IF(VIPcric_1!F1670="","",VIPcric_1!F1670)</f>
        <v/>
      </c>
      <c r="G1688" t="str">
        <f>IF(VIPcric_1!G1670="","",VIPcric_1!G1670)</f>
        <v/>
      </c>
      <c r="H1688" t="str">
        <f>IF(VIPcric_1!H1670="","",VIPcric_1!H1670)</f>
        <v/>
      </c>
      <c r="I1688" t="str">
        <f>IF(VIPcric_1!M1670="","",VIPcric_1!M1670)</f>
        <v>CRIC-泸州-市场监测.商品房市场.项目累计.库存.xlsx</v>
      </c>
    </row>
    <row r="1689" spans="1:9">
      <c r="A1689" t="str">
        <f>IF(VIPcric_1!A1671="","",VIPcric_1!A1671)</f>
        <v>2022年</v>
      </c>
      <c r="B1689">
        <f>IF(VIPcric_1!B1671="","",VIPcric_1!B1671)</f>
        <v>5160010</v>
      </c>
      <c r="C1689">
        <f>IF(VIPcric_1!C1671="","",VIPcric_1!C1671)</f>
        <v>47720</v>
      </c>
      <c r="D1689">
        <f>IF(VIPcric_1!D1671="","",VIPcric_1!D1671)</f>
        <v>34.1</v>
      </c>
      <c r="E1689">
        <f>IF(VIPcric_1!E1671="","",VIPcric_1!E1671)</f>
        <v>35.5</v>
      </c>
      <c r="F1689" t="str">
        <f>IF(VIPcric_1!F1671="","",VIPcric_1!F1671)</f>
        <v/>
      </c>
      <c r="G1689" t="str">
        <f>IF(VIPcric_1!G1671="","",VIPcric_1!G1671)</f>
        <v/>
      </c>
      <c r="H1689" t="str">
        <f>IF(VIPcric_1!H1671="","",VIPcric_1!H1671)</f>
        <v/>
      </c>
      <c r="I1689" t="str">
        <f>IF(VIPcric_1!M1671="","",VIPcric_1!M1671)</f>
        <v>CRIC-泸州-市场监测.商品房市场.项目累计.库存.xlsx</v>
      </c>
    </row>
    <row r="1690" spans="1:9">
      <c r="A1690" t="str">
        <f>IF(VIPcric_1!A1672="","",VIPcric_1!A1672)</f>
        <v>2021年</v>
      </c>
      <c r="B1690">
        <f>IF(VIPcric_1!B1672="","",VIPcric_1!B1672)</f>
        <v>4618684</v>
      </c>
      <c r="C1690">
        <f>IF(VIPcric_1!C1672="","",VIPcric_1!C1672)</f>
        <v>42114</v>
      </c>
      <c r="D1690">
        <f>IF(VIPcric_1!D1672="","",VIPcric_1!D1672)</f>
        <v>33.200000000000003</v>
      </c>
      <c r="E1690">
        <f>IF(VIPcric_1!E1672="","",VIPcric_1!E1672)</f>
        <v>42.4</v>
      </c>
      <c r="F1690" t="str">
        <f>IF(VIPcric_1!F1672="","",VIPcric_1!F1672)</f>
        <v/>
      </c>
      <c r="G1690" t="str">
        <f>IF(VIPcric_1!G1672="","",VIPcric_1!G1672)</f>
        <v/>
      </c>
      <c r="H1690" t="str">
        <f>IF(VIPcric_1!H1672="","",VIPcric_1!H1672)</f>
        <v/>
      </c>
      <c r="I1690" t="str">
        <f>IF(VIPcric_1!M1672="","",VIPcric_1!M1672)</f>
        <v>CRIC-泸州-市场监测.商品房市场.项目累计.库存.xlsx</v>
      </c>
    </row>
    <row r="1691" spans="1:9">
      <c r="A1691" t="str">
        <f>IF(VIPcric_1!A1673="","",VIPcric_1!A1673)</f>
        <v>2020年</v>
      </c>
      <c r="B1691">
        <f>IF(VIPcric_1!B1673="","",VIPcric_1!B1673)</f>
        <v>0</v>
      </c>
      <c r="C1691">
        <f>IF(VIPcric_1!C1673="","",VIPcric_1!C1673)</f>
        <v>0</v>
      </c>
      <c r="D1691">
        <f>IF(VIPcric_1!D1673="","",VIPcric_1!D1673)</f>
        <v>0</v>
      </c>
      <c r="E1691">
        <f>IF(VIPcric_1!E1673="","",VIPcric_1!E1673)</f>
        <v>0</v>
      </c>
      <c r="F1691" t="str">
        <f>IF(VIPcric_1!F1673="","",VIPcric_1!F1673)</f>
        <v/>
      </c>
      <c r="G1691" t="str">
        <f>IF(VIPcric_1!G1673="","",VIPcric_1!G1673)</f>
        <v/>
      </c>
      <c r="H1691" t="str">
        <f>IF(VIPcric_1!H1673="","",VIPcric_1!H1673)</f>
        <v/>
      </c>
      <c r="I1691" t="str">
        <f>IF(VIPcric_1!M1673="","",VIPcric_1!M1673)</f>
        <v>CRIC-泸州-市场监测.商品房市场.项目累计.库存.xlsx</v>
      </c>
    </row>
    <row r="1692" spans="1:9">
      <c r="A1692" t="str">
        <f>IF(VIPcric_1!A1674="","",VIPcric_1!A1674)</f>
        <v>2019年</v>
      </c>
      <c r="B1692">
        <f>IF(VIPcric_1!B1674="","",VIPcric_1!B1674)</f>
        <v>3711915</v>
      </c>
      <c r="C1692">
        <f>IF(VIPcric_1!C1674="","",VIPcric_1!C1674)</f>
        <v>32239</v>
      </c>
      <c r="D1692">
        <f>IF(VIPcric_1!D1674="","",VIPcric_1!D1674)</f>
        <v>15.7</v>
      </c>
      <c r="E1692">
        <f>IF(VIPcric_1!E1674="","",VIPcric_1!E1674)</f>
        <v>31.3</v>
      </c>
      <c r="F1692" t="str">
        <f>IF(VIPcric_1!F1674="","",VIPcric_1!F1674)</f>
        <v/>
      </c>
      <c r="G1692" t="str">
        <f>IF(VIPcric_1!G1674="","",VIPcric_1!G1674)</f>
        <v/>
      </c>
      <c r="H1692" t="str">
        <f>IF(VIPcric_1!H1674="","",VIPcric_1!H1674)</f>
        <v/>
      </c>
      <c r="I1692" t="str">
        <f>IF(VIPcric_1!M1674="","",VIPcric_1!M1674)</f>
        <v>CRIC-泸州-市场监测.商品房市场.项目累计.库存.xlsx</v>
      </c>
    </row>
    <row r="1693" spans="1:9">
      <c r="A1693" t="str">
        <f>IF(VIPcric_1!A1675="","",VIPcric_1!A1675)</f>
        <v/>
      </c>
      <c r="B1693" t="str">
        <f>IF(VIPcric_1!B1675="","",VIPcric_1!B1675)</f>
        <v/>
      </c>
      <c r="C1693" t="str">
        <f>IF(VIPcric_1!C1675="","",VIPcric_1!C1675)</f>
        <v/>
      </c>
      <c r="D1693" t="str">
        <f>IF(VIPcric_1!D1675="","",VIPcric_1!D1675)</f>
        <v/>
      </c>
      <c r="E1693" t="str">
        <f>IF(VIPcric_1!E1675="","",VIPcric_1!E1675)</f>
        <v/>
      </c>
      <c r="F1693" t="str">
        <f>IF(VIPcric_1!F1675="","",VIPcric_1!F1675)</f>
        <v/>
      </c>
      <c r="G1693" t="str">
        <f>IF(VIPcric_1!G1675="","",VIPcric_1!G1675)</f>
        <v/>
      </c>
      <c r="H1693" t="str">
        <f>IF(VIPcric_1!H1675="","",VIPcric_1!H1675)</f>
        <v/>
      </c>
      <c r="I1693" t="str">
        <f>IF(VIPcric_1!M1675="","",VIPcric_1!M1675)</f>
        <v/>
      </c>
    </row>
    <row r="1694" spans="1:9">
      <c r="A1694" t="str">
        <f>IF(VIPcric_1!A1676="","",VIPcric_1!A1676)</f>
        <v/>
      </c>
      <c r="B1694" t="str">
        <f>IF(VIPcric_1!B1676="","",VIPcric_1!B1676)</f>
        <v/>
      </c>
      <c r="C1694" t="str">
        <f>IF(VIPcric_1!C1676="","",VIPcric_1!C1676)</f>
        <v/>
      </c>
      <c r="D1694" t="str">
        <f>IF(VIPcric_1!D1676="","",VIPcric_1!D1676)</f>
        <v/>
      </c>
      <c r="E1694" t="str">
        <f>IF(VIPcric_1!E1676="","",VIPcric_1!E1676)</f>
        <v/>
      </c>
      <c r="F1694" t="str">
        <f>IF(VIPcric_1!F1676="","",VIPcric_1!F1676)</f>
        <v/>
      </c>
      <c r="G1694" t="str">
        <f>IF(VIPcric_1!G1676="","",VIPcric_1!G1676)</f>
        <v/>
      </c>
      <c r="H1694" t="str">
        <f>IF(VIPcric_1!H1676="","",VIPcric_1!H1676)</f>
        <v/>
      </c>
      <c r="I1694" t="str">
        <f>IF(VIPcric_1!M1676="","",VIPcric_1!M1676)</f>
        <v>CRIC-洛阳-市场监测.商品房市场.项目累计.供求.xlsx</v>
      </c>
    </row>
    <row r="1695" spans="1:9">
      <c r="A1695" t="str">
        <f>IF(VIPcric_1!A1677="","",VIPcric_1!A1677)</f>
        <v>时间(年)</v>
      </c>
      <c r="B1695" t="str">
        <f>IF(VIPcric_1!B1677="","",VIPcric_1!B1677)</f>
        <v>供应面积(㎡)</v>
      </c>
      <c r="C1695" t="str">
        <f>IF(VIPcric_1!C1677="","",VIPcric_1!C1677)</f>
        <v>供应套数(套)</v>
      </c>
      <c r="D1695" t="str">
        <f>IF(VIPcric_1!D1677="","",VIPcric_1!D1677)</f>
        <v>成交面积(㎡)</v>
      </c>
      <c r="E1695" t="str">
        <f>IF(VIPcric_1!E1677="","",VIPcric_1!E1677)</f>
        <v>成交套数(套)</v>
      </c>
      <c r="F1695" t="str">
        <f>IF(VIPcric_1!F1677="","",VIPcric_1!F1677)</f>
        <v>成交均价(元/㎡)</v>
      </c>
      <c r="G1695" t="str">
        <f>IF(VIPcric_1!G1677="","",VIPcric_1!G1677)</f>
        <v>成交金额(元)</v>
      </c>
      <c r="H1695" t="str">
        <f>IF(VIPcric_1!H1677="","",VIPcric_1!H1677)</f>
        <v>供求比</v>
      </c>
      <c r="I1695" t="str">
        <f>IF(VIPcric_1!M1677="","",VIPcric_1!M1677)</f>
        <v>CRIC-洛阳-市场监测.商品房市场.项目累计.供求.xlsx</v>
      </c>
    </row>
    <row r="1696" spans="1:9">
      <c r="A1696" t="str">
        <f>IF(VIPcric_1!A1678="","",VIPcric_1!A1678)</f>
        <v>2023年</v>
      </c>
      <c r="B1696">
        <f>IF(VIPcric_1!B1678="","",VIPcric_1!B1678)</f>
        <v>811519</v>
      </c>
      <c r="C1696">
        <f>IF(VIPcric_1!C1678="","",VIPcric_1!C1678)</f>
        <v>6897</v>
      </c>
      <c r="D1696">
        <f>IF(VIPcric_1!D1678="","",VIPcric_1!D1678)</f>
        <v>1513956</v>
      </c>
      <c r="E1696">
        <f>IF(VIPcric_1!E1678="","",VIPcric_1!E1678)</f>
        <v>12323</v>
      </c>
      <c r="F1696">
        <f>IF(VIPcric_1!F1678="","",VIPcric_1!F1678)</f>
        <v>9567</v>
      </c>
      <c r="G1696">
        <f>IF(VIPcric_1!G1678="","",VIPcric_1!G1678)</f>
        <v>14483973705</v>
      </c>
      <c r="H1696">
        <f>IF(VIPcric_1!H1678="","",VIPcric_1!H1678)</f>
        <v>0.54</v>
      </c>
      <c r="I1696" t="str">
        <f>IF(VIPcric_1!M1678="","",VIPcric_1!M1678)</f>
        <v>CRIC-洛阳-市场监测.商品房市场.项目累计.供求.xlsx</v>
      </c>
    </row>
    <row r="1697" spans="1:9">
      <c r="A1697" t="str">
        <f>IF(VIPcric_1!A1679="","",VIPcric_1!A1679)</f>
        <v>2022年</v>
      </c>
      <c r="B1697">
        <f>IF(VIPcric_1!B1679="","",VIPcric_1!B1679)</f>
        <v>1478678</v>
      </c>
      <c r="C1697">
        <f>IF(VIPcric_1!C1679="","",VIPcric_1!C1679)</f>
        <v>12013</v>
      </c>
      <c r="D1697">
        <f>IF(VIPcric_1!D1679="","",VIPcric_1!D1679)</f>
        <v>1717381</v>
      </c>
      <c r="E1697">
        <f>IF(VIPcric_1!E1679="","",VIPcric_1!E1679)</f>
        <v>14158</v>
      </c>
      <c r="F1697">
        <f>IF(VIPcric_1!F1679="","",VIPcric_1!F1679)</f>
        <v>9659</v>
      </c>
      <c r="G1697">
        <f>IF(VIPcric_1!G1679="","",VIPcric_1!G1679)</f>
        <v>16587339839</v>
      </c>
      <c r="H1697">
        <f>IF(VIPcric_1!H1679="","",VIPcric_1!H1679)</f>
        <v>0.86</v>
      </c>
      <c r="I1697" t="str">
        <f>IF(VIPcric_1!M1679="","",VIPcric_1!M1679)</f>
        <v>CRIC-洛阳-市场监测.商品房市场.项目累计.供求.xlsx</v>
      </c>
    </row>
    <row r="1698" spans="1:9">
      <c r="A1698" t="str">
        <f>IF(VIPcric_1!A1680="","",VIPcric_1!A1680)</f>
        <v>2021年</v>
      </c>
      <c r="B1698">
        <f>IF(VIPcric_1!B1680="","",VIPcric_1!B1680)</f>
        <v>3922490</v>
      </c>
      <c r="C1698">
        <f>IF(VIPcric_1!C1680="","",VIPcric_1!C1680)</f>
        <v>32804</v>
      </c>
      <c r="D1698">
        <f>IF(VIPcric_1!D1680="","",VIPcric_1!D1680)</f>
        <v>2124082</v>
      </c>
      <c r="E1698">
        <f>IF(VIPcric_1!E1680="","",VIPcric_1!E1680)</f>
        <v>18307</v>
      </c>
      <c r="F1698">
        <f>IF(VIPcric_1!F1680="","",VIPcric_1!F1680)</f>
        <v>9813</v>
      </c>
      <c r="G1698">
        <f>IF(VIPcric_1!G1680="","",VIPcric_1!G1680)</f>
        <v>20844347600</v>
      </c>
      <c r="H1698">
        <f>IF(VIPcric_1!H1680="","",VIPcric_1!H1680)</f>
        <v>1.85</v>
      </c>
      <c r="I1698" t="str">
        <f>IF(VIPcric_1!M1680="","",VIPcric_1!M1680)</f>
        <v>CRIC-洛阳-市场监测.商品房市场.项目累计.供求.xlsx</v>
      </c>
    </row>
    <row r="1699" spans="1:9">
      <c r="A1699" t="str">
        <f>IF(VIPcric_1!A1681="","",VIPcric_1!A1681)</f>
        <v>2020年</v>
      </c>
      <c r="B1699">
        <f>IF(VIPcric_1!B1681="","",VIPcric_1!B1681)</f>
        <v>4237709</v>
      </c>
      <c r="C1699">
        <f>IF(VIPcric_1!C1681="","",VIPcric_1!C1681)</f>
        <v>36322</v>
      </c>
      <c r="D1699">
        <f>IF(VIPcric_1!D1681="","",VIPcric_1!D1681)</f>
        <v>2833596</v>
      </c>
      <c r="E1699">
        <f>IF(VIPcric_1!E1681="","",VIPcric_1!E1681)</f>
        <v>23905</v>
      </c>
      <c r="F1699">
        <f>IF(VIPcric_1!F1681="","",VIPcric_1!F1681)</f>
        <v>9590</v>
      </c>
      <c r="G1699">
        <f>IF(VIPcric_1!G1681="","",VIPcric_1!G1681)</f>
        <v>27173235984</v>
      </c>
      <c r="H1699">
        <f>IF(VIPcric_1!H1681="","",VIPcric_1!H1681)</f>
        <v>1.5</v>
      </c>
      <c r="I1699" t="str">
        <f>IF(VIPcric_1!M1681="","",VIPcric_1!M1681)</f>
        <v>CRIC-洛阳-市场监测.商品房市场.项目累计.供求.xlsx</v>
      </c>
    </row>
    <row r="1700" spans="1:9">
      <c r="A1700" t="str">
        <f>IF(VIPcric_1!A1682="","",VIPcric_1!A1682)</f>
        <v>2019年</v>
      </c>
      <c r="B1700">
        <f>IF(VIPcric_1!B1682="","",VIPcric_1!B1682)</f>
        <v>2992017</v>
      </c>
      <c r="C1700">
        <f>IF(VIPcric_1!C1682="","",VIPcric_1!C1682)</f>
        <v>25286</v>
      </c>
      <c r="D1700">
        <f>IF(VIPcric_1!D1682="","",VIPcric_1!D1682)</f>
        <v>2656285</v>
      </c>
      <c r="E1700">
        <f>IF(VIPcric_1!E1682="","",VIPcric_1!E1682)</f>
        <v>23034</v>
      </c>
      <c r="F1700">
        <f>IF(VIPcric_1!F1682="","",VIPcric_1!F1682)</f>
        <v>8833</v>
      </c>
      <c r="G1700">
        <f>IF(VIPcric_1!G1682="","",VIPcric_1!G1682)</f>
        <v>23462000003</v>
      </c>
      <c r="H1700">
        <f>IF(VIPcric_1!H1682="","",VIPcric_1!H1682)</f>
        <v>1.1299999999999999</v>
      </c>
      <c r="I1700" t="str">
        <f>IF(VIPcric_1!M1682="","",VIPcric_1!M1682)</f>
        <v>CRIC-洛阳-市场监测.商品房市场.项目累计.供求.xlsx</v>
      </c>
    </row>
    <row r="1701" spans="1:9">
      <c r="A1701" t="str">
        <f>IF(VIPcric_1!A1683="","",VIPcric_1!A1683)</f>
        <v>2018年</v>
      </c>
      <c r="B1701">
        <f>IF(VIPcric_1!B1683="","",VIPcric_1!B1683)</f>
        <v>2236648</v>
      </c>
      <c r="C1701">
        <f>IF(VIPcric_1!C1683="","",VIPcric_1!C1683)</f>
        <v>20019</v>
      </c>
      <c r="D1701">
        <f>IF(VIPcric_1!D1683="","",VIPcric_1!D1683)</f>
        <v>2183158</v>
      </c>
      <c r="E1701">
        <f>IF(VIPcric_1!E1683="","",VIPcric_1!E1683)</f>
        <v>18513</v>
      </c>
      <c r="F1701">
        <f>IF(VIPcric_1!F1683="","",VIPcric_1!F1683)</f>
        <v>7551</v>
      </c>
      <c r="G1701">
        <f>IF(VIPcric_1!G1683="","",VIPcric_1!G1683)</f>
        <v>16484791930</v>
      </c>
      <c r="H1701">
        <f>IF(VIPcric_1!H1683="","",VIPcric_1!H1683)</f>
        <v>1.02</v>
      </c>
      <c r="I1701" t="str">
        <f>IF(VIPcric_1!M1683="","",VIPcric_1!M1683)</f>
        <v>CRIC-洛阳-市场监测.商品房市场.项目累计.供求.xlsx</v>
      </c>
    </row>
    <row r="1702" spans="1:9">
      <c r="A1702" t="str">
        <f>IF(VIPcric_1!A1684="","",VIPcric_1!A1684)</f>
        <v>汇总</v>
      </c>
      <c r="B1702">
        <f>IF(VIPcric_1!B1684="","",VIPcric_1!B1684)</f>
        <v>15679062</v>
      </c>
      <c r="C1702">
        <f>IF(VIPcric_1!C1684="","",VIPcric_1!C1684)</f>
        <v>133341</v>
      </c>
      <c r="D1702">
        <f>IF(VIPcric_1!D1684="","",VIPcric_1!D1684)</f>
        <v>13028458</v>
      </c>
      <c r="E1702">
        <f>IF(VIPcric_1!E1684="","",VIPcric_1!E1684)</f>
        <v>110240</v>
      </c>
      <c r="F1702">
        <f>IF(VIPcric_1!F1684="","",VIPcric_1!F1684)</f>
        <v>9137</v>
      </c>
      <c r="G1702">
        <f>IF(VIPcric_1!G1684="","",VIPcric_1!G1684)</f>
        <v>119035689061</v>
      </c>
      <c r="H1702">
        <f>IF(VIPcric_1!H1684="","",VIPcric_1!H1684)</f>
        <v>1.2</v>
      </c>
      <c r="I1702" t="str">
        <f>IF(VIPcric_1!M1684="","",VIPcric_1!M1684)</f>
        <v>CRIC-洛阳-市场监测.商品房市场.项目累计.供求.xlsx</v>
      </c>
    </row>
    <row r="1703" spans="1:9">
      <c r="A1703" t="str">
        <f>IF(VIPcric_1!A1685="","",VIPcric_1!A1685)</f>
        <v/>
      </c>
      <c r="B1703" t="str">
        <f>IF(VIPcric_1!B1685="","",VIPcric_1!B1685)</f>
        <v/>
      </c>
      <c r="C1703" t="str">
        <f>IF(VIPcric_1!C1685="","",VIPcric_1!C1685)</f>
        <v/>
      </c>
      <c r="D1703" t="str">
        <f>IF(VIPcric_1!D1685="","",VIPcric_1!D1685)</f>
        <v/>
      </c>
      <c r="E1703" t="str">
        <f>IF(VIPcric_1!E1685="","",VIPcric_1!E1685)</f>
        <v/>
      </c>
      <c r="F1703" t="str">
        <f>IF(VIPcric_1!F1685="","",VIPcric_1!F1685)</f>
        <v/>
      </c>
      <c r="G1703" t="str">
        <f>IF(VIPcric_1!G1685="","",VIPcric_1!G1685)</f>
        <v/>
      </c>
      <c r="H1703" t="str">
        <f>IF(VIPcric_1!H1685="","",VIPcric_1!H1685)</f>
        <v/>
      </c>
      <c r="I1703" t="str">
        <f>IF(VIPcric_1!M1685="","",VIPcric_1!M1685)</f>
        <v/>
      </c>
    </row>
    <row r="1704" spans="1:9">
      <c r="A1704" t="str">
        <f>IF(VIPcric_1!A1686="","",VIPcric_1!A1686)</f>
        <v/>
      </c>
      <c r="B1704" t="str">
        <f>IF(VIPcric_1!B1686="","",VIPcric_1!B1686)</f>
        <v/>
      </c>
      <c r="C1704" t="str">
        <f>IF(VIPcric_1!C1686="","",VIPcric_1!C1686)</f>
        <v/>
      </c>
      <c r="D1704" t="str">
        <f>IF(VIPcric_1!D1686="","",VIPcric_1!D1686)</f>
        <v/>
      </c>
      <c r="E1704" t="str">
        <f>IF(VIPcric_1!E1686="","",VIPcric_1!E1686)</f>
        <v/>
      </c>
      <c r="F1704" t="str">
        <f>IF(VIPcric_1!F1686="","",VIPcric_1!F1686)</f>
        <v/>
      </c>
      <c r="G1704" t="str">
        <f>IF(VIPcric_1!G1686="","",VIPcric_1!G1686)</f>
        <v/>
      </c>
      <c r="H1704" t="str">
        <f>IF(VIPcric_1!H1686="","",VIPcric_1!H1686)</f>
        <v/>
      </c>
      <c r="I1704" t="str">
        <f>IF(VIPcric_1!M1686="","",VIPcric_1!M1686)</f>
        <v>CRIC-洛阳-市场监测.商品房市场.项目累计.库存.xlsx</v>
      </c>
    </row>
    <row r="1705" spans="1:9">
      <c r="A1705" t="str">
        <f>IF(VIPcric_1!A1687="","",VIPcric_1!A1687)</f>
        <v>时间(年)</v>
      </c>
      <c r="B1705" t="str">
        <f>IF(VIPcric_1!B1687="","",VIPcric_1!B1687)</f>
        <v>库存面积(㎡)</v>
      </c>
      <c r="C1705" t="str">
        <f>IF(VIPcric_1!C1687="","",VIPcric_1!C1687)</f>
        <v>库存套数(套)</v>
      </c>
      <c r="D1705" t="str">
        <f>IF(VIPcric_1!D1687="","",VIPcric_1!D1687)</f>
        <v>去化周期12'(月)</v>
      </c>
      <c r="E1705" t="str">
        <f>IF(VIPcric_1!E1687="","",VIPcric_1!E1687)</f>
        <v/>
      </c>
      <c r="F1705" t="str">
        <f>IF(VIPcric_1!F1687="","",VIPcric_1!F1687)</f>
        <v/>
      </c>
      <c r="G1705" t="str">
        <f>IF(VIPcric_1!G1687="","",VIPcric_1!G1687)</f>
        <v/>
      </c>
      <c r="H1705" t="str">
        <f>IF(VIPcric_1!H1687="","",VIPcric_1!H1687)</f>
        <v/>
      </c>
      <c r="I1705" t="str">
        <f>IF(VIPcric_1!M1687="","",VIPcric_1!M1687)</f>
        <v>CRIC-洛阳-市场监测.商品房市场.项目累计.库存.xlsx</v>
      </c>
    </row>
    <row r="1706" spans="1:9">
      <c r="A1706" t="str">
        <f>IF(VIPcric_1!A1688="","",VIPcric_1!A1688)</f>
        <v>2023年</v>
      </c>
      <c r="B1706">
        <f>IF(VIPcric_1!B1688="","",VIPcric_1!B1688)</f>
        <v>3235865</v>
      </c>
      <c r="C1706">
        <f>IF(VIPcric_1!C1688="","",VIPcric_1!C1688)</f>
        <v>26825</v>
      </c>
      <c r="D1706">
        <f>IF(VIPcric_1!D1688="","",VIPcric_1!D1688)</f>
        <v>25.6</v>
      </c>
      <c r="E1706" t="str">
        <f>IF(VIPcric_1!E1688="","",VIPcric_1!E1688)</f>
        <v/>
      </c>
      <c r="F1706" t="str">
        <f>IF(VIPcric_1!F1688="","",VIPcric_1!F1688)</f>
        <v/>
      </c>
      <c r="G1706" t="str">
        <f>IF(VIPcric_1!G1688="","",VIPcric_1!G1688)</f>
        <v/>
      </c>
      <c r="H1706" t="str">
        <f>IF(VIPcric_1!H1688="","",VIPcric_1!H1688)</f>
        <v/>
      </c>
      <c r="I1706" t="str">
        <f>IF(VIPcric_1!M1688="","",VIPcric_1!M1688)</f>
        <v>CRIC-洛阳-市场监测.商品房市场.项目累计.库存.xlsx</v>
      </c>
    </row>
    <row r="1707" spans="1:9">
      <c r="A1707" t="str">
        <f>IF(VIPcric_1!A1689="","",VIPcric_1!A1689)</f>
        <v>2022年</v>
      </c>
      <c r="B1707">
        <f>IF(VIPcric_1!B1689="","",VIPcric_1!B1689)</f>
        <v>4106477</v>
      </c>
      <c r="C1707">
        <f>IF(VIPcric_1!C1689="","",VIPcric_1!C1689)</f>
        <v>33765</v>
      </c>
      <c r="D1707">
        <f>IF(VIPcric_1!D1689="","",VIPcric_1!D1689)</f>
        <v>28.7</v>
      </c>
      <c r="E1707" t="str">
        <f>IF(VIPcric_1!E1689="","",VIPcric_1!E1689)</f>
        <v/>
      </c>
      <c r="F1707" t="str">
        <f>IF(VIPcric_1!F1689="","",VIPcric_1!F1689)</f>
        <v/>
      </c>
      <c r="G1707" t="str">
        <f>IF(VIPcric_1!G1689="","",VIPcric_1!G1689)</f>
        <v/>
      </c>
      <c r="H1707" t="str">
        <f>IF(VIPcric_1!H1689="","",VIPcric_1!H1689)</f>
        <v/>
      </c>
      <c r="I1707" t="str">
        <f>IF(VIPcric_1!M1689="","",VIPcric_1!M1689)</f>
        <v>CRIC-洛阳-市场监测.商品房市场.项目累计.库存.xlsx</v>
      </c>
    </row>
    <row r="1708" spans="1:9">
      <c r="A1708" t="str">
        <f>IF(VIPcric_1!A1690="","",VIPcric_1!A1690)</f>
        <v>2021年</v>
      </c>
      <c r="B1708">
        <f>IF(VIPcric_1!B1690="","",VIPcric_1!B1690)</f>
        <v>4314173</v>
      </c>
      <c r="C1708">
        <f>IF(VIPcric_1!C1690="","",VIPcric_1!C1690)</f>
        <v>36047</v>
      </c>
      <c r="D1708">
        <f>IF(VIPcric_1!D1690="","",VIPcric_1!D1690)</f>
        <v>24.4</v>
      </c>
      <c r="E1708" t="str">
        <f>IF(VIPcric_1!E1690="","",VIPcric_1!E1690)</f>
        <v/>
      </c>
      <c r="F1708" t="str">
        <f>IF(VIPcric_1!F1690="","",VIPcric_1!F1690)</f>
        <v/>
      </c>
      <c r="G1708" t="str">
        <f>IF(VIPcric_1!G1690="","",VIPcric_1!G1690)</f>
        <v/>
      </c>
      <c r="H1708" t="str">
        <f>IF(VIPcric_1!H1690="","",VIPcric_1!H1690)</f>
        <v/>
      </c>
      <c r="I1708" t="str">
        <f>IF(VIPcric_1!M1690="","",VIPcric_1!M1690)</f>
        <v>CRIC-洛阳-市场监测.商品房市场.项目累计.库存.xlsx</v>
      </c>
    </row>
    <row r="1709" spans="1:9">
      <c r="A1709" t="str">
        <f>IF(VIPcric_1!A1691="","",VIPcric_1!A1691)</f>
        <v>2020年</v>
      </c>
      <c r="B1709">
        <f>IF(VIPcric_1!B1691="","",VIPcric_1!B1691)</f>
        <v>4213328</v>
      </c>
      <c r="C1709">
        <f>IF(VIPcric_1!C1691="","",VIPcric_1!C1691)</f>
        <v>35956</v>
      </c>
      <c r="D1709">
        <f>IF(VIPcric_1!D1691="","",VIPcric_1!D1691)</f>
        <v>17.8</v>
      </c>
      <c r="E1709" t="str">
        <f>IF(VIPcric_1!E1691="","",VIPcric_1!E1691)</f>
        <v/>
      </c>
      <c r="F1709" t="str">
        <f>IF(VIPcric_1!F1691="","",VIPcric_1!F1691)</f>
        <v/>
      </c>
      <c r="G1709" t="str">
        <f>IF(VIPcric_1!G1691="","",VIPcric_1!G1691)</f>
        <v/>
      </c>
      <c r="H1709" t="str">
        <f>IF(VIPcric_1!H1691="","",VIPcric_1!H1691)</f>
        <v/>
      </c>
      <c r="I1709" t="str">
        <f>IF(VIPcric_1!M1691="","",VIPcric_1!M1691)</f>
        <v>CRIC-洛阳-市场监测.商品房市场.项目累计.库存.xlsx</v>
      </c>
    </row>
    <row r="1710" spans="1:9">
      <c r="A1710" t="str">
        <f>IF(VIPcric_1!A1692="","",VIPcric_1!A1692)</f>
        <v/>
      </c>
      <c r="B1710" t="str">
        <f>IF(VIPcric_1!B1692="","",VIPcric_1!B1692)</f>
        <v/>
      </c>
      <c r="C1710" t="str">
        <f>IF(VIPcric_1!C1692="","",VIPcric_1!C1692)</f>
        <v/>
      </c>
      <c r="D1710" t="str">
        <f>IF(VIPcric_1!D1692="","",VIPcric_1!D1692)</f>
        <v/>
      </c>
      <c r="E1710" t="str">
        <f>IF(VIPcric_1!E1692="","",VIPcric_1!E1692)</f>
        <v/>
      </c>
      <c r="F1710" t="str">
        <f>IF(VIPcric_1!F1692="","",VIPcric_1!F1692)</f>
        <v/>
      </c>
      <c r="G1710" t="str">
        <f>IF(VIPcric_1!G1692="","",VIPcric_1!G1692)</f>
        <v/>
      </c>
      <c r="H1710" t="str">
        <f>IF(VIPcric_1!H1692="","",VIPcric_1!H1692)</f>
        <v/>
      </c>
      <c r="I1710" t="str">
        <f>IF(VIPcric_1!M1692="","",VIPcric_1!M1692)</f>
        <v/>
      </c>
    </row>
    <row r="1711" spans="1:9">
      <c r="A1711" t="str">
        <f>IF(VIPcric_1!A1693="","",VIPcric_1!A1693)</f>
        <v/>
      </c>
      <c r="B1711" t="str">
        <f>IF(VIPcric_1!B1693="","",VIPcric_1!B1693)</f>
        <v/>
      </c>
      <c r="C1711" t="str">
        <f>IF(VIPcric_1!C1693="","",VIPcric_1!C1693)</f>
        <v/>
      </c>
      <c r="D1711" t="str">
        <f>IF(VIPcric_1!D1693="","",VIPcric_1!D1693)</f>
        <v/>
      </c>
      <c r="E1711" t="str">
        <f>IF(VIPcric_1!E1693="","",VIPcric_1!E1693)</f>
        <v/>
      </c>
      <c r="F1711" t="str">
        <f>IF(VIPcric_1!F1693="","",VIPcric_1!F1693)</f>
        <v/>
      </c>
      <c r="G1711" t="str">
        <f>IF(VIPcric_1!G1693="","",VIPcric_1!G1693)</f>
        <v/>
      </c>
      <c r="H1711" t="str">
        <f>IF(VIPcric_1!H1693="","",VIPcric_1!H1693)</f>
        <v/>
      </c>
      <c r="I1711" t="str">
        <f>IF(VIPcric_1!M1693="","",VIPcric_1!M1693)</f>
        <v>CRIC-济南-市场监测.商品房市场.项目累计.供求.xlsx</v>
      </c>
    </row>
    <row r="1712" spans="1:9">
      <c r="A1712" t="str">
        <f>IF(VIPcric_1!A1694="","",VIPcric_1!A1694)</f>
        <v>时间(年)</v>
      </c>
      <c r="B1712" t="str">
        <f>IF(VIPcric_1!B1694="","",VIPcric_1!B1694)</f>
        <v>供应面积(㎡)</v>
      </c>
      <c r="C1712" t="str">
        <f>IF(VIPcric_1!C1694="","",VIPcric_1!C1694)</f>
        <v>供应套数(套)</v>
      </c>
      <c r="D1712" t="str">
        <f>IF(VIPcric_1!D1694="","",VIPcric_1!D1694)</f>
        <v>成交面积(㎡)</v>
      </c>
      <c r="E1712" t="str">
        <f>IF(VIPcric_1!E1694="","",VIPcric_1!E1694)</f>
        <v>成交套数(套)</v>
      </c>
      <c r="F1712" t="str">
        <f>IF(VIPcric_1!F1694="","",VIPcric_1!F1694)</f>
        <v>成交均价(元/㎡)</v>
      </c>
      <c r="G1712" t="str">
        <f>IF(VIPcric_1!G1694="","",VIPcric_1!G1694)</f>
        <v>成交金额(元)</v>
      </c>
      <c r="H1712" t="str">
        <f>IF(VIPcric_1!H1694="","",VIPcric_1!H1694)</f>
        <v>供求比</v>
      </c>
      <c r="I1712" t="str">
        <f>IF(VIPcric_1!M1694="","",VIPcric_1!M1694)</f>
        <v>CRIC-济南-市场监测.商品房市场.项目累计.供求.xlsx</v>
      </c>
    </row>
    <row r="1713" spans="1:9">
      <c r="A1713" t="str">
        <f>IF(VIPcric_1!A1695="","",VIPcric_1!A1695)</f>
        <v>2023年</v>
      </c>
      <c r="B1713">
        <f>IF(VIPcric_1!B1695="","",VIPcric_1!B1695)</f>
        <v>5150204</v>
      </c>
      <c r="C1713">
        <f>IF(VIPcric_1!C1695="","",VIPcric_1!C1695)</f>
        <v>39629</v>
      </c>
      <c r="D1713">
        <f>IF(VIPcric_1!D1695="","",VIPcric_1!D1695)</f>
        <v>6103349</v>
      </c>
      <c r="E1713">
        <f>IF(VIPcric_1!E1695="","",VIPcric_1!E1695)</f>
        <v>46378</v>
      </c>
      <c r="F1713">
        <f>IF(VIPcric_1!F1695="","",VIPcric_1!F1695)</f>
        <v>17887</v>
      </c>
      <c r="G1713">
        <f>IF(VIPcric_1!G1695="","",VIPcric_1!G1695)</f>
        <v>109169088969</v>
      </c>
      <c r="H1713">
        <f>IF(VIPcric_1!H1695="","",VIPcric_1!H1695)</f>
        <v>0.84</v>
      </c>
      <c r="I1713" t="str">
        <f>IF(VIPcric_1!M1695="","",VIPcric_1!M1695)</f>
        <v>CRIC-济南-市场监测.商品房市场.项目累计.供求.xlsx</v>
      </c>
    </row>
    <row r="1714" spans="1:9">
      <c r="A1714" t="str">
        <f>IF(VIPcric_1!A1696="","",VIPcric_1!A1696)</f>
        <v>2022年</v>
      </c>
      <c r="B1714">
        <f>IF(VIPcric_1!B1696="","",VIPcric_1!B1696)</f>
        <v>5594873</v>
      </c>
      <c r="C1714">
        <f>IF(VIPcric_1!C1696="","",VIPcric_1!C1696)</f>
        <v>43958</v>
      </c>
      <c r="D1714">
        <f>IF(VIPcric_1!D1696="","",VIPcric_1!D1696)</f>
        <v>6498691</v>
      </c>
      <c r="E1714">
        <f>IF(VIPcric_1!E1696="","",VIPcric_1!E1696)</f>
        <v>49342</v>
      </c>
      <c r="F1714">
        <f>IF(VIPcric_1!F1696="","",VIPcric_1!F1696)</f>
        <v>17334</v>
      </c>
      <c r="G1714">
        <f>IF(VIPcric_1!G1696="","",VIPcric_1!G1696)</f>
        <v>112649712381</v>
      </c>
      <c r="H1714">
        <f>IF(VIPcric_1!H1696="","",VIPcric_1!H1696)</f>
        <v>0.86</v>
      </c>
      <c r="I1714" t="str">
        <f>IF(VIPcric_1!M1696="","",VIPcric_1!M1696)</f>
        <v>CRIC-济南-市场监测.商品房市场.项目累计.供求.xlsx</v>
      </c>
    </row>
    <row r="1715" spans="1:9">
      <c r="A1715" t="str">
        <f>IF(VIPcric_1!A1697="","",VIPcric_1!A1697)</f>
        <v>2021年</v>
      </c>
      <c r="B1715">
        <f>IF(VIPcric_1!B1697="","",VIPcric_1!B1697)</f>
        <v>7905996</v>
      </c>
      <c r="C1715">
        <f>IF(VIPcric_1!C1697="","",VIPcric_1!C1697)</f>
        <v>62037</v>
      </c>
      <c r="D1715">
        <f>IF(VIPcric_1!D1697="","",VIPcric_1!D1697)</f>
        <v>9477196</v>
      </c>
      <c r="E1715">
        <f>IF(VIPcric_1!E1697="","",VIPcric_1!E1697)</f>
        <v>74946</v>
      </c>
      <c r="F1715">
        <f>IF(VIPcric_1!F1697="","",VIPcric_1!F1697)</f>
        <v>16293</v>
      </c>
      <c r="G1715">
        <f>IF(VIPcric_1!G1697="","",VIPcric_1!G1697)</f>
        <v>154408892036</v>
      </c>
      <c r="H1715">
        <f>IF(VIPcric_1!H1697="","",VIPcric_1!H1697)</f>
        <v>0.83</v>
      </c>
      <c r="I1715" t="str">
        <f>IF(VIPcric_1!M1697="","",VIPcric_1!M1697)</f>
        <v>CRIC-济南-市场监测.商品房市场.项目累计.供求.xlsx</v>
      </c>
    </row>
    <row r="1716" spans="1:9">
      <c r="A1716" t="str">
        <f>IF(VIPcric_1!A1698="","",VIPcric_1!A1698)</f>
        <v>2020年</v>
      </c>
      <c r="B1716">
        <f>IF(VIPcric_1!B1698="","",VIPcric_1!B1698)</f>
        <v>7799434</v>
      </c>
      <c r="C1716">
        <f>IF(VIPcric_1!C1698="","",VIPcric_1!C1698)</f>
        <v>61741</v>
      </c>
      <c r="D1716">
        <f>IF(VIPcric_1!D1698="","",VIPcric_1!D1698)</f>
        <v>7498293</v>
      </c>
      <c r="E1716">
        <f>IF(VIPcric_1!E1698="","",VIPcric_1!E1698)</f>
        <v>60875</v>
      </c>
      <c r="F1716">
        <f>IF(VIPcric_1!F1698="","",VIPcric_1!F1698)</f>
        <v>15403</v>
      </c>
      <c r="G1716">
        <f>IF(VIPcric_1!G1698="","",VIPcric_1!G1698)</f>
        <v>115495489579</v>
      </c>
      <c r="H1716">
        <f>IF(VIPcric_1!H1698="","",VIPcric_1!H1698)</f>
        <v>1.04</v>
      </c>
      <c r="I1716" t="str">
        <f>IF(VIPcric_1!M1698="","",VIPcric_1!M1698)</f>
        <v>CRIC-济南-市场监测.商品房市场.项目累计.供求.xlsx</v>
      </c>
    </row>
    <row r="1717" spans="1:9">
      <c r="A1717" t="str">
        <f>IF(VIPcric_1!A1699="","",VIPcric_1!A1699)</f>
        <v>2019年</v>
      </c>
      <c r="B1717">
        <f>IF(VIPcric_1!B1699="","",VIPcric_1!B1699)</f>
        <v>8973222</v>
      </c>
      <c r="C1717">
        <f>IF(VIPcric_1!C1699="","",VIPcric_1!C1699)</f>
        <v>72180</v>
      </c>
      <c r="D1717">
        <f>IF(VIPcric_1!D1699="","",VIPcric_1!D1699)</f>
        <v>6248197</v>
      </c>
      <c r="E1717">
        <f>IF(VIPcric_1!E1699="","",VIPcric_1!E1699)</f>
        <v>50641</v>
      </c>
      <c r="F1717">
        <f>IF(VIPcric_1!F1699="","",VIPcric_1!F1699)</f>
        <v>15184</v>
      </c>
      <c r="G1717">
        <f>IF(VIPcric_1!G1699="","",VIPcric_1!G1699)</f>
        <v>94875004100</v>
      </c>
      <c r="H1717">
        <f>IF(VIPcric_1!H1699="","",VIPcric_1!H1699)</f>
        <v>1.44</v>
      </c>
      <c r="I1717" t="str">
        <f>IF(VIPcric_1!M1699="","",VIPcric_1!M1699)</f>
        <v>CRIC-济南-市场监测.商品房市场.项目累计.供求.xlsx</v>
      </c>
    </row>
    <row r="1718" spans="1:9">
      <c r="A1718" t="str">
        <f>IF(VIPcric_1!A1700="","",VIPcric_1!A1700)</f>
        <v>汇总</v>
      </c>
      <c r="B1718">
        <f>IF(VIPcric_1!B1700="","",VIPcric_1!B1700)</f>
        <v>35423728</v>
      </c>
      <c r="C1718">
        <f>IF(VIPcric_1!C1700="","",VIPcric_1!C1700)</f>
        <v>279545</v>
      </c>
      <c r="D1718">
        <f>IF(VIPcric_1!D1700="","",VIPcric_1!D1700)</f>
        <v>35825726</v>
      </c>
      <c r="E1718">
        <f>IF(VIPcric_1!E1700="","",VIPcric_1!E1700)</f>
        <v>282182</v>
      </c>
      <c r="F1718">
        <f>IF(VIPcric_1!F1700="","",VIPcric_1!F1700)</f>
        <v>16374</v>
      </c>
      <c r="G1718">
        <f>IF(VIPcric_1!G1700="","",VIPcric_1!G1700)</f>
        <v>586598187064</v>
      </c>
      <c r="H1718">
        <f>IF(VIPcric_1!H1700="","",VIPcric_1!H1700)</f>
        <v>0.99</v>
      </c>
      <c r="I1718" t="str">
        <f>IF(VIPcric_1!M1700="","",VIPcric_1!M1700)</f>
        <v>CRIC-济南-市场监测.商品房市场.项目累计.供求.xlsx</v>
      </c>
    </row>
    <row r="1719" spans="1:9">
      <c r="A1719" t="str">
        <f>IF(VIPcric_1!A1701="","",VIPcric_1!A1701)</f>
        <v/>
      </c>
      <c r="B1719" t="str">
        <f>IF(VIPcric_1!B1701="","",VIPcric_1!B1701)</f>
        <v/>
      </c>
      <c r="C1719" t="str">
        <f>IF(VIPcric_1!C1701="","",VIPcric_1!C1701)</f>
        <v/>
      </c>
      <c r="D1719" t="str">
        <f>IF(VIPcric_1!D1701="","",VIPcric_1!D1701)</f>
        <v/>
      </c>
      <c r="E1719" t="str">
        <f>IF(VIPcric_1!E1701="","",VIPcric_1!E1701)</f>
        <v/>
      </c>
      <c r="F1719" t="str">
        <f>IF(VIPcric_1!F1701="","",VIPcric_1!F1701)</f>
        <v/>
      </c>
      <c r="G1719" t="str">
        <f>IF(VIPcric_1!G1701="","",VIPcric_1!G1701)</f>
        <v/>
      </c>
      <c r="H1719" t="str">
        <f>IF(VIPcric_1!H1701="","",VIPcric_1!H1701)</f>
        <v/>
      </c>
      <c r="I1719" t="str">
        <f>IF(VIPcric_1!M1701="","",VIPcric_1!M1701)</f>
        <v/>
      </c>
    </row>
    <row r="1720" spans="1:9">
      <c r="A1720" t="str">
        <f>IF(VIPcric_1!A1702="","",VIPcric_1!A1702)</f>
        <v/>
      </c>
      <c r="B1720" t="str">
        <f>IF(VIPcric_1!B1702="","",VIPcric_1!B1702)</f>
        <v/>
      </c>
      <c r="C1720" t="str">
        <f>IF(VIPcric_1!C1702="","",VIPcric_1!C1702)</f>
        <v/>
      </c>
      <c r="D1720" t="str">
        <f>IF(VIPcric_1!D1702="","",VIPcric_1!D1702)</f>
        <v/>
      </c>
      <c r="E1720" t="str">
        <f>IF(VIPcric_1!E1702="","",VIPcric_1!E1702)</f>
        <v/>
      </c>
      <c r="F1720" t="str">
        <f>IF(VIPcric_1!F1702="","",VIPcric_1!F1702)</f>
        <v/>
      </c>
      <c r="G1720" t="str">
        <f>IF(VIPcric_1!G1702="","",VIPcric_1!G1702)</f>
        <v/>
      </c>
      <c r="H1720" t="str">
        <f>IF(VIPcric_1!H1702="","",VIPcric_1!H1702)</f>
        <v/>
      </c>
      <c r="I1720" t="str">
        <f>IF(VIPcric_1!M1702="","",VIPcric_1!M1702)</f>
        <v>CRIC-济南-市场监测.商品房市场.项目累计.库存.xlsx</v>
      </c>
    </row>
    <row r="1721" spans="1:9">
      <c r="A1721" t="str">
        <f>IF(VIPcric_1!A1703="","",VIPcric_1!A1703)</f>
        <v>时间(年)</v>
      </c>
      <c r="B1721" t="str">
        <f>IF(VIPcric_1!B1703="","",VIPcric_1!B1703)</f>
        <v>库存面积(㎡)</v>
      </c>
      <c r="C1721" t="str">
        <f>IF(VIPcric_1!C1703="","",VIPcric_1!C1703)</f>
        <v>库存套数(套)</v>
      </c>
      <c r="D1721" t="str">
        <f>IF(VIPcric_1!D1703="","",VIPcric_1!D1703)</f>
        <v>去化周期12'(月)</v>
      </c>
      <c r="E1721" t="str">
        <f>IF(VIPcric_1!E1703="","",VIPcric_1!E1703)</f>
        <v/>
      </c>
      <c r="F1721" t="str">
        <f>IF(VIPcric_1!F1703="","",VIPcric_1!F1703)</f>
        <v/>
      </c>
      <c r="G1721" t="str">
        <f>IF(VIPcric_1!G1703="","",VIPcric_1!G1703)</f>
        <v/>
      </c>
      <c r="H1721" t="str">
        <f>IF(VIPcric_1!H1703="","",VIPcric_1!H1703)</f>
        <v/>
      </c>
      <c r="I1721" t="str">
        <f>IF(VIPcric_1!M1703="","",VIPcric_1!M1703)</f>
        <v>CRIC-济南-市场监测.商品房市场.项目累计.库存.xlsx</v>
      </c>
    </row>
    <row r="1722" spans="1:9">
      <c r="A1722" t="str">
        <f>IF(VIPcric_1!A1704="","",VIPcric_1!A1704)</f>
        <v>2023年</v>
      </c>
      <c r="B1722">
        <f>IF(VIPcric_1!B1704="","",VIPcric_1!B1704)</f>
        <v>6161870</v>
      </c>
      <c r="C1722">
        <f>IF(VIPcric_1!C1704="","",VIPcric_1!C1704)</f>
        <v>48541</v>
      </c>
      <c r="D1722">
        <f>IF(VIPcric_1!D1704="","",VIPcric_1!D1704)</f>
        <v>12.1</v>
      </c>
      <c r="E1722" t="str">
        <f>IF(VIPcric_1!E1704="","",VIPcric_1!E1704)</f>
        <v/>
      </c>
      <c r="F1722" t="str">
        <f>IF(VIPcric_1!F1704="","",VIPcric_1!F1704)</f>
        <v/>
      </c>
      <c r="G1722" t="str">
        <f>IF(VIPcric_1!G1704="","",VIPcric_1!G1704)</f>
        <v/>
      </c>
      <c r="H1722" t="str">
        <f>IF(VIPcric_1!H1704="","",VIPcric_1!H1704)</f>
        <v/>
      </c>
      <c r="I1722" t="str">
        <f>IF(VIPcric_1!M1704="","",VIPcric_1!M1704)</f>
        <v>CRIC-济南-市场监测.商品房市场.项目累计.库存.xlsx</v>
      </c>
    </row>
    <row r="1723" spans="1:9">
      <c r="A1723" t="str">
        <f>IF(VIPcric_1!A1705="","",VIPcric_1!A1705)</f>
        <v>2022年</v>
      </c>
      <c r="B1723">
        <f>IF(VIPcric_1!B1705="","",VIPcric_1!B1705)</f>
        <v>5167790</v>
      </c>
      <c r="C1723">
        <f>IF(VIPcric_1!C1705="","",VIPcric_1!C1705)</f>
        <v>40691</v>
      </c>
      <c r="D1723">
        <f>IF(VIPcric_1!D1705="","",VIPcric_1!D1705)</f>
        <v>9.5</v>
      </c>
      <c r="E1723" t="str">
        <f>IF(VIPcric_1!E1705="","",VIPcric_1!E1705)</f>
        <v/>
      </c>
      <c r="F1723" t="str">
        <f>IF(VIPcric_1!F1705="","",VIPcric_1!F1705)</f>
        <v/>
      </c>
      <c r="G1723" t="str">
        <f>IF(VIPcric_1!G1705="","",VIPcric_1!G1705)</f>
        <v/>
      </c>
      <c r="H1723" t="str">
        <f>IF(VIPcric_1!H1705="","",VIPcric_1!H1705)</f>
        <v/>
      </c>
      <c r="I1723" t="str">
        <f>IF(VIPcric_1!M1705="","",VIPcric_1!M1705)</f>
        <v>CRIC-济南-市场监测.商品房市场.项目累计.库存.xlsx</v>
      </c>
    </row>
    <row r="1724" spans="1:9">
      <c r="A1724" t="str">
        <f>IF(VIPcric_1!A1706="","",VIPcric_1!A1706)</f>
        <v>2021年</v>
      </c>
      <c r="B1724">
        <f>IF(VIPcric_1!B1706="","",VIPcric_1!B1706)</f>
        <v>5243090</v>
      </c>
      <c r="C1724">
        <f>IF(VIPcric_1!C1706="","",VIPcric_1!C1706)</f>
        <v>41313</v>
      </c>
      <c r="D1724">
        <f>IF(VIPcric_1!D1706="","",VIPcric_1!D1706)</f>
        <v>6.6</v>
      </c>
      <c r="E1724" t="str">
        <f>IF(VIPcric_1!E1706="","",VIPcric_1!E1706)</f>
        <v/>
      </c>
      <c r="F1724" t="str">
        <f>IF(VIPcric_1!F1706="","",VIPcric_1!F1706)</f>
        <v/>
      </c>
      <c r="G1724" t="str">
        <f>IF(VIPcric_1!G1706="","",VIPcric_1!G1706)</f>
        <v/>
      </c>
      <c r="H1724" t="str">
        <f>IF(VIPcric_1!H1706="","",VIPcric_1!H1706)</f>
        <v/>
      </c>
      <c r="I1724" t="str">
        <f>IF(VIPcric_1!M1706="","",VIPcric_1!M1706)</f>
        <v>CRIC-济南-市场监测.商品房市场.项目累计.库存.xlsx</v>
      </c>
    </row>
    <row r="1725" spans="1:9">
      <c r="A1725" t="str">
        <f>IF(VIPcric_1!A1707="","",VIPcric_1!A1707)</f>
        <v>2020年</v>
      </c>
      <c r="B1725">
        <f>IF(VIPcric_1!B1707="","",VIPcric_1!B1707)</f>
        <v>5675461</v>
      </c>
      <c r="C1725">
        <f>IF(VIPcric_1!C1707="","",VIPcric_1!C1707)</f>
        <v>45266</v>
      </c>
      <c r="D1725">
        <f>IF(VIPcric_1!D1707="","",VIPcric_1!D1707)</f>
        <v>9.1</v>
      </c>
      <c r="E1725" t="str">
        <f>IF(VIPcric_1!E1707="","",VIPcric_1!E1707)</f>
        <v/>
      </c>
      <c r="F1725" t="str">
        <f>IF(VIPcric_1!F1707="","",VIPcric_1!F1707)</f>
        <v/>
      </c>
      <c r="G1725" t="str">
        <f>IF(VIPcric_1!G1707="","",VIPcric_1!G1707)</f>
        <v/>
      </c>
      <c r="H1725" t="str">
        <f>IF(VIPcric_1!H1707="","",VIPcric_1!H1707)</f>
        <v/>
      </c>
      <c r="I1725" t="str">
        <f>IF(VIPcric_1!M1707="","",VIPcric_1!M1707)</f>
        <v>CRIC-济南-市场监测.商品房市场.项目累计.库存.xlsx</v>
      </c>
    </row>
    <row r="1726" spans="1:9">
      <c r="A1726" t="str">
        <f>IF(VIPcric_1!A1708="","",VIPcric_1!A1708)</f>
        <v>2019年</v>
      </c>
      <c r="B1726">
        <f>IF(VIPcric_1!B1708="","",VIPcric_1!B1708)</f>
        <v>4491231</v>
      </c>
      <c r="C1726">
        <f>IF(VIPcric_1!C1708="","",VIPcric_1!C1708)</f>
        <v>35621</v>
      </c>
      <c r="D1726">
        <f>IF(VIPcric_1!D1708="","",VIPcric_1!D1708)</f>
        <v>8.6</v>
      </c>
      <c r="E1726" t="str">
        <f>IF(VIPcric_1!E1708="","",VIPcric_1!E1708)</f>
        <v/>
      </c>
      <c r="F1726" t="str">
        <f>IF(VIPcric_1!F1708="","",VIPcric_1!F1708)</f>
        <v/>
      </c>
      <c r="G1726" t="str">
        <f>IF(VIPcric_1!G1708="","",VIPcric_1!G1708)</f>
        <v/>
      </c>
      <c r="H1726" t="str">
        <f>IF(VIPcric_1!H1708="","",VIPcric_1!H1708)</f>
        <v/>
      </c>
      <c r="I1726" t="str">
        <f>IF(VIPcric_1!M1708="","",VIPcric_1!M1708)</f>
        <v>CRIC-济南-市场监测.商品房市场.项目累计.库存.xlsx</v>
      </c>
    </row>
    <row r="1727" spans="1:9">
      <c r="A1727" t="str">
        <f>IF(VIPcric_1!A1709="","",VIPcric_1!A1709)</f>
        <v>2018年</v>
      </c>
      <c r="B1727">
        <f>IF(VIPcric_1!B1709="","",VIPcric_1!B1709)</f>
        <v>9070483</v>
      </c>
      <c r="C1727">
        <f>IF(VIPcric_1!C1709="","",VIPcric_1!C1709)</f>
        <v>73906</v>
      </c>
      <c r="D1727">
        <f>IF(VIPcric_1!D1709="","",VIPcric_1!D1709)</f>
        <v>15.4</v>
      </c>
      <c r="E1727" t="str">
        <f>IF(VIPcric_1!E1709="","",VIPcric_1!E1709)</f>
        <v/>
      </c>
      <c r="F1727" t="str">
        <f>IF(VIPcric_1!F1709="","",VIPcric_1!F1709)</f>
        <v/>
      </c>
      <c r="G1727" t="str">
        <f>IF(VIPcric_1!G1709="","",VIPcric_1!G1709)</f>
        <v/>
      </c>
      <c r="H1727" t="str">
        <f>IF(VIPcric_1!H1709="","",VIPcric_1!H1709)</f>
        <v/>
      </c>
      <c r="I1727" t="str">
        <f>IF(VIPcric_1!M1709="","",VIPcric_1!M1709)</f>
        <v>CRIC-济南-市场监测.商品房市场.项目累计.库存.xlsx</v>
      </c>
    </row>
    <row r="1728" spans="1:9">
      <c r="A1728" t="str">
        <f>IF(VIPcric_1!A1710="","",VIPcric_1!A1710)</f>
        <v/>
      </c>
      <c r="B1728" t="str">
        <f>IF(VIPcric_1!B1710="","",VIPcric_1!B1710)</f>
        <v/>
      </c>
      <c r="C1728" t="str">
        <f>IF(VIPcric_1!C1710="","",VIPcric_1!C1710)</f>
        <v/>
      </c>
      <c r="D1728" t="str">
        <f>IF(VIPcric_1!D1710="","",VIPcric_1!D1710)</f>
        <v/>
      </c>
      <c r="E1728" t="str">
        <f>IF(VIPcric_1!E1710="","",VIPcric_1!E1710)</f>
        <v/>
      </c>
      <c r="F1728" t="str">
        <f>IF(VIPcric_1!F1710="","",VIPcric_1!F1710)</f>
        <v/>
      </c>
      <c r="G1728" t="str">
        <f>IF(VIPcric_1!G1710="","",VIPcric_1!G1710)</f>
        <v/>
      </c>
      <c r="H1728" t="str">
        <f>IF(VIPcric_1!H1710="","",VIPcric_1!H1710)</f>
        <v/>
      </c>
      <c r="I1728" t="str">
        <f>IF(VIPcric_1!M1710="","",VIPcric_1!M1710)</f>
        <v/>
      </c>
    </row>
    <row r="1729" spans="1:9">
      <c r="A1729" t="str">
        <f>IF(VIPcric_1!A1711="","",VIPcric_1!A1711)</f>
        <v/>
      </c>
      <c r="B1729" t="str">
        <f>IF(VIPcric_1!B1711="","",VIPcric_1!B1711)</f>
        <v/>
      </c>
      <c r="C1729" t="str">
        <f>IF(VIPcric_1!C1711="","",VIPcric_1!C1711)</f>
        <v/>
      </c>
      <c r="D1729" t="str">
        <f>IF(VIPcric_1!D1711="","",VIPcric_1!D1711)</f>
        <v/>
      </c>
      <c r="E1729" t="str">
        <f>IF(VIPcric_1!E1711="","",VIPcric_1!E1711)</f>
        <v/>
      </c>
      <c r="F1729" t="str">
        <f>IF(VIPcric_1!F1711="","",VIPcric_1!F1711)</f>
        <v/>
      </c>
      <c r="G1729" t="str">
        <f>IF(VIPcric_1!G1711="","",VIPcric_1!G1711)</f>
        <v/>
      </c>
      <c r="H1729" t="str">
        <f>IF(VIPcric_1!H1711="","",VIPcric_1!H1711)</f>
        <v/>
      </c>
      <c r="I1729" t="str">
        <f>IF(VIPcric_1!M1711="","",VIPcric_1!M1711)</f>
        <v>CRIC-海东地区-市场监测.商品房市场.项目累计.供求.xlsx</v>
      </c>
    </row>
    <row r="1730" spans="1:9">
      <c r="A1730" t="str">
        <f>IF(VIPcric_1!A1712="","",VIPcric_1!A1712)</f>
        <v>时间(年)</v>
      </c>
      <c r="B1730" t="str">
        <f>IF(VIPcric_1!B1712="","",VIPcric_1!B1712)</f>
        <v>供应面积(㎡)</v>
      </c>
      <c r="C1730" t="str">
        <f>IF(VIPcric_1!C1712="","",VIPcric_1!C1712)</f>
        <v>供应套数(套)</v>
      </c>
      <c r="D1730" t="str">
        <f>IF(VIPcric_1!D1712="","",VIPcric_1!D1712)</f>
        <v>成交面积(㎡)</v>
      </c>
      <c r="E1730" t="str">
        <f>IF(VIPcric_1!E1712="","",VIPcric_1!E1712)</f>
        <v>成交套数(套)</v>
      </c>
      <c r="F1730" t="str">
        <f>IF(VIPcric_1!F1712="","",VIPcric_1!F1712)</f>
        <v>成交均价(元/㎡)</v>
      </c>
      <c r="G1730" t="str">
        <f>IF(VIPcric_1!G1712="","",VIPcric_1!G1712)</f>
        <v>成交金额(元)</v>
      </c>
      <c r="H1730" t="str">
        <f>IF(VIPcric_1!H1712="","",VIPcric_1!H1712)</f>
        <v>供求比</v>
      </c>
      <c r="I1730" t="str">
        <f>IF(VIPcric_1!M1712="","",VIPcric_1!M1712)</f>
        <v>CRIC-海东地区-市场监测.商品房市场.项目累计.供求.xlsx</v>
      </c>
    </row>
    <row r="1731" spans="1:9">
      <c r="A1731" t="str">
        <f>IF(VIPcric_1!A1713="","",VIPcric_1!A1713)</f>
        <v>2023年</v>
      </c>
      <c r="B1731">
        <f>IF(VIPcric_1!B1713="","",VIPcric_1!B1713)</f>
        <v>995994</v>
      </c>
      <c r="C1731">
        <f>IF(VIPcric_1!C1713="","",VIPcric_1!C1713)</f>
        <v>7771</v>
      </c>
      <c r="D1731">
        <f>IF(VIPcric_1!D1713="","",VIPcric_1!D1713)</f>
        <v>1129967</v>
      </c>
      <c r="E1731">
        <f>IF(VIPcric_1!E1713="","",VIPcric_1!E1713)</f>
        <v>8858</v>
      </c>
      <c r="F1731">
        <f>IF(VIPcric_1!F1713="","",VIPcric_1!F1713)</f>
        <v>5859</v>
      </c>
      <c r="G1731">
        <f>IF(VIPcric_1!G1713="","",VIPcric_1!G1713)</f>
        <v>6620257280</v>
      </c>
      <c r="H1731">
        <f>IF(VIPcric_1!H1713="","",VIPcric_1!H1713)</f>
        <v>0.88</v>
      </c>
      <c r="I1731" t="str">
        <f>IF(VIPcric_1!M1713="","",VIPcric_1!M1713)</f>
        <v>CRIC-海东地区-市场监测.商品房市场.项目累计.供求.xlsx</v>
      </c>
    </row>
    <row r="1732" spans="1:9">
      <c r="A1732" t="str">
        <f>IF(VIPcric_1!A1714="","",VIPcric_1!A1714)</f>
        <v>2022年</v>
      </c>
      <c r="B1732">
        <f>IF(VIPcric_1!B1714="","",VIPcric_1!B1714)</f>
        <v>1551404</v>
      </c>
      <c r="C1732">
        <f>IF(VIPcric_1!C1714="","",VIPcric_1!C1714)</f>
        <v>12113</v>
      </c>
      <c r="D1732">
        <f>IF(VIPcric_1!D1714="","",VIPcric_1!D1714)</f>
        <v>211040</v>
      </c>
      <c r="E1732">
        <f>IF(VIPcric_1!E1714="","",VIPcric_1!E1714)</f>
        <v>1627</v>
      </c>
      <c r="F1732">
        <f>IF(VIPcric_1!F1714="","",VIPcric_1!F1714)</f>
        <v>6138</v>
      </c>
      <c r="G1732">
        <f>IF(VIPcric_1!G1714="","",VIPcric_1!G1714)</f>
        <v>1295369119</v>
      </c>
      <c r="H1732">
        <f>IF(VIPcric_1!H1714="","",VIPcric_1!H1714)</f>
        <v>7.35</v>
      </c>
      <c r="I1732" t="str">
        <f>IF(VIPcric_1!M1714="","",VIPcric_1!M1714)</f>
        <v>CRIC-海东地区-市场监测.商品房市场.项目累计.供求.xlsx</v>
      </c>
    </row>
    <row r="1733" spans="1:9">
      <c r="A1733" t="str">
        <f>IF(VIPcric_1!A1715="","",VIPcric_1!A1715)</f>
        <v>2021年</v>
      </c>
      <c r="B1733">
        <f>IF(VIPcric_1!B1715="","",VIPcric_1!B1715)</f>
        <v>2657897</v>
      </c>
      <c r="C1733">
        <f>IF(VIPcric_1!C1715="","",VIPcric_1!C1715)</f>
        <v>21603</v>
      </c>
      <c r="D1733">
        <f>IF(VIPcric_1!D1715="","",VIPcric_1!D1715)</f>
        <v>92848</v>
      </c>
      <c r="E1733">
        <f>IF(VIPcric_1!E1715="","",VIPcric_1!E1715)</f>
        <v>667</v>
      </c>
      <c r="F1733">
        <f>IF(VIPcric_1!F1715="","",VIPcric_1!F1715)</f>
        <v>6121</v>
      </c>
      <c r="G1733">
        <f>IF(VIPcric_1!G1715="","",VIPcric_1!G1715)</f>
        <v>568365810</v>
      </c>
      <c r="H1733">
        <f>IF(VIPcric_1!H1715="","",VIPcric_1!H1715)</f>
        <v>28.63</v>
      </c>
      <c r="I1733" t="str">
        <f>IF(VIPcric_1!M1715="","",VIPcric_1!M1715)</f>
        <v>CRIC-海东地区-市场监测.商品房市场.项目累计.供求.xlsx</v>
      </c>
    </row>
    <row r="1734" spans="1:9">
      <c r="A1734" t="str">
        <f>IF(VIPcric_1!A1716="","",VIPcric_1!A1716)</f>
        <v>2020年</v>
      </c>
      <c r="B1734">
        <f>IF(VIPcric_1!B1716="","",VIPcric_1!B1716)</f>
        <v>1541856</v>
      </c>
      <c r="C1734">
        <f>IF(VIPcric_1!C1716="","",VIPcric_1!C1716)</f>
        <v>12912</v>
      </c>
      <c r="D1734">
        <f>IF(VIPcric_1!D1716="","",VIPcric_1!D1716)</f>
        <v>219047</v>
      </c>
      <c r="E1734">
        <f>IF(VIPcric_1!E1716="","",VIPcric_1!E1716)</f>
        <v>1543</v>
      </c>
      <c r="F1734">
        <f>IF(VIPcric_1!F1716="","",VIPcric_1!F1716)</f>
        <v>6139</v>
      </c>
      <c r="G1734">
        <f>IF(VIPcric_1!G1716="","",VIPcric_1!G1716)</f>
        <v>1344835317</v>
      </c>
      <c r="H1734">
        <f>IF(VIPcric_1!H1716="","",VIPcric_1!H1716)</f>
        <v>7.04</v>
      </c>
      <c r="I1734" t="str">
        <f>IF(VIPcric_1!M1716="","",VIPcric_1!M1716)</f>
        <v>CRIC-海东地区-市场监测.商品房市场.项目累计.供求.xlsx</v>
      </c>
    </row>
    <row r="1735" spans="1:9">
      <c r="A1735" t="str">
        <f>IF(VIPcric_1!A1717="","",VIPcric_1!A1717)</f>
        <v>2019年</v>
      </c>
      <c r="B1735">
        <f>IF(VIPcric_1!B1717="","",VIPcric_1!B1717)</f>
        <v>1718811</v>
      </c>
      <c r="C1735">
        <f>IF(VIPcric_1!C1717="","",VIPcric_1!C1717)</f>
        <v>13261</v>
      </c>
      <c r="D1735">
        <f>IF(VIPcric_1!D1717="","",VIPcric_1!D1717)</f>
        <v>136236</v>
      </c>
      <c r="E1735">
        <f>IF(VIPcric_1!E1717="","",VIPcric_1!E1717)</f>
        <v>935</v>
      </c>
      <c r="F1735">
        <f>IF(VIPcric_1!F1717="","",VIPcric_1!F1717)</f>
        <v>5156</v>
      </c>
      <c r="G1735">
        <f>IF(VIPcric_1!G1717="","",VIPcric_1!G1717)</f>
        <v>702464308</v>
      </c>
      <c r="H1735">
        <f>IF(VIPcric_1!H1717="","",VIPcric_1!H1717)</f>
        <v>12.62</v>
      </c>
      <c r="I1735" t="str">
        <f>IF(VIPcric_1!M1717="","",VIPcric_1!M1717)</f>
        <v>CRIC-海东地区-市场监测.商品房市场.项目累计.供求.xlsx</v>
      </c>
    </row>
    <row r="1736" spans="1:9">
      <c r="A1736" t="str">
        <f>IF(VIPcric_1!A1718="","",VIPcric_1!A1718)</f>
        <v>汇总</v>
      </c>
      <c r="B1736">
        <f>IF(VIPcric_1!B1718="","",VIPcric_1!B1718)</f>
        <v>8465962</v>
      </c>
      <c r="C1736">
        <f>IF(VIPcric_1!C1718="","",VIPcric_1!C1718)</f>
        <v>67660</v>
      </c>
      <c r="D1736">
        <f>IF(VIPcric_1!D1718="","",VIPcric_1!D1718)</f>
        <v>1789138</v>
      </c>
      <c r="E1736">
        <f>IF(VIPcric_1!E1718="","",VIPcric_1!E1718)</f>
        <v>13630</v>
      </c>
      <c r="F1736">
        <f>IF(VIPcric_1!F1718="","",VIPcric_1!F1718)</f>
        <v>5886</v>
      </c>
      <c r="G1736">
        <f>IF(VIPcric_1!G1718="","",VIPcric_1!G1718)</f>
        <v>10531291834</v>
      </c>
      <c r="H1736">
        <f>IF(VIPcric_1!H1718="","",VIPcric_1!H1718)</f>
        <v>4.7300000000000004</v>
      </c>
      <c r="I1736" t="str">
        <f>IF(VIPcric_1!M1718="","",VIPcric_1!M1718)</f>
        <v>CRIC-海东地区-市场监测.商品房市场.项目累计.供求.xlsx</v>
      </c>
    </row>
    <row r="1737" spans="1:9">
      <c r="A1737" t="str">
        <f>IF(VIPcric_1!A1719="","",VIPcric_1!A1719)</f>
        <v/>
      </c>
      <c r="B1737" t="str">
        <f>IF(VIPcric_1!B1719="","",VIPcric_1!B1719)</f>
        <v/>
      </c>
      <c r="C1737" t="str">
        <f>IF(VIPcric_1!C1719="","",VIPcric_1!C1719)</f>
        <v/>
      </c>
      <c r="D1737" t="str">
        <f>IF(VIPcric_1!D1719="","",VIPcric_1!D1719)</f>
        <v/>
      </c>
      <c r="E1737" t="str">
        <f>IF(VIPcric_1!E1719="","",VIPcric_1!E1719)</f>
        <v/>
      </c>
      <c r="F1737" t="str">
        <f>IF(VIPcric_1!F1719="","",VIPcric_1!F1719)</f>
        <v/>
      </c>
      <c r="G1737" t="str">
        <f>IF(VIPcric_1!G1719="","",VIPcric_1!G1719)</f>
        <v/>
      </c>
      <c r="H1737" t="str">
        <f>IF(VIPcric_1!H1719="","",VIPcric_1!H1719)</f>
        <v/>
      </c>
      <c r="I1737" t="str">
        <f>IF(VIPcric_1!M1719="","",VIPcric_1!M1719)</f>
        <v/>
      </c>
    </row>
    <row r="1738" spans="1:9">
      <c r="A1738" t="str">
        <f>IF(VIPcric_1!A1720="","",VIPcric_1!A1720)</f>
        <v/>
      </c>
      <c r="B1738" t="str">
        <f>IF(VIPcric_1!B1720="","",VIPcric_1!B1720)</f>
        <v/>
      </c>
      <c r="C1738" t="str">
        <f>IF(VIPcric_1!C1720="","",VIPcric_1!C1720)</f>
        <v/>
      </c>
      <c r="D1738" t="str">
        <f>IF(VIPcric_1!D1720="","",VIPcric_1!D1720)</f>
        <v/>
      </c>
      <c r="E1738" t="str">
        <f>IF(VIPcric_1!E1720="","",VIPcric_1!E1720)</f>
        <v/>
      </c>
      <c r="F1738" t="str">
        <f>IF(VIPcric_1!F1720="","",VIPcric_1!F1720)</f>
        <v/>
      </c>
      <c r="G1738" t="str">
        <f>IF(VIPcric_1!G1720="","",VIPcric_1!G1720)</f>
        <v/>
      </c>
      <c r="H1738" t="str">
        <f>IF(VIPcric_1!H1720="","",VIPcric_1!H1720)</f>
        <v/>
      </c>
      <c r="I1738" t="str">
        <f>IF(VIPcric_1!M1720="","",VIPcric_1!M1720)</f>
        <v>CRIC-海东地区-市场监测.商品房市场.项目累计.库存.xlsx</v>
      </c>
    </row>
    <row r="1739" spans="1:9">
      <c r="A1739" t="str">
        <f>IF(VIPcric_1!A1721="","",VIPcric_1!A1721)</f>
        <v>时间(年)</v>
      </c>
      <c r="B1739" t="str">
        <f>IF(VIPcric_1!B1721="","",VIPcric_1!B1721)</f>
        <v>库存面积(㎡)</v>
      </c>
      <c r="C1739" t="str">
        <f>IF(VIPcric_1!C1721="","",VIPcric_1!C1721)</f>
        <v>库存套数(套)</v>
      </c>
      <c r="D1739" t="str">
        <f>IF(VIPcric_1!D1721="","",VIPcric_1!D1721)</f>
        <v>去化周期12'(月)</v>
      </c>
      <c r="E1739" t="str">
        <f>IF(VIPcric_1!E1721="","",VIPcric_1!E1721)</f>
        <v/>
      </c>
      <c r="F1739" t="str">
        <f>IF(VIPcric_1!F1721="","",VIPcric_1!F1721)</f>
        <v/>
      </c>
      <c r="G1739" t="str">
        <f>IF(VIPcric_1!G1721="","",VIPcric_1!G1721)</f>
        <v/>
      </c>
      <c r="H1739" t="str">
        <f>IF(VIPcric_1!H1721="","",VIPcric_1!H1721)</f>
        <v/>
      </c>
      <c r="I1739" t="str">
        <f>IF(VIPcric_1!M1721="","",VIPcric_1!M1721)</f>
        <v>CRIC-海东地区-市场监测.商品房市场.项目累计.库存.xlsx</v>
      </c>
    </row>
    <row r="1740" spans="1:9">
      <c r="A1740" t="str">
        <f>IF(VIPcric_1!A1722="","",VIPcric_1!A1722)</f>
        <v>2023年</v>
      </c>
      <c r="B1740">
        <f>IF(VIPcric_1!B1722="","",VIPcric_1!B1722)</f>
        <v>3633601</v>
      </c>
      <c r="C1740">
        <f>IF(VIPcric_1!C1722="","",VIPcric_1!C1722)</f>
        <v>28823</v>
      </c>
      <c r="D1740">
        <f>IF(VIPcric_1!D1722="","",VIPcric_1!D1722)</f>
        <v>38.6</v>
      </c>
      <c r="E1740" t="str">
        <f>IF(VIPcric_1!E1722="","",VIPcric_1!E1722)</f>
        <v/>
      </c>
      <c r="F1740" t="str">
        <f>IF(VIPcric_1!F1722="","",VIPcric_1!F1722)</f>
        <v/>
      </c>
      <c r="G1740" t="str">
        <f>IF(VIPcric_1!G1722="","",VIPcric_1!G1722)</f>
        <v/>
      </c>
      <c r="H1740" t="str">
        <f>IF(VIPcric_1!H1722="","",VIPcric_1!H1722)</f>
        <v/>
      </c>
      <c r="I1740" t="str">
        <f>IF(VIPcric_1!M1722="","",VIPcric_1!M1722)</f>
        <v>CRIC-海东地区-市场监测.商品房市场.项目累计.库存.xlsx</v>
      </c>
    </row>
    <row r="1741" spans="1:9">
      <c r="A1741" t="str">
        <f>IF(VIPcric_1!A1723="","",VIPcric_1!A1723)</f>
        <v>2022年</v>
      </c>
      <c r="B1741">
        <f>IF(VIPcric_1!B1723="","",VIPcric_1!B1723)</f>
        <v>3741191</v>
      </c>
      <c r="C1741">
        <f>IF(VIPcric_1!C1723="","",VIPcric_1!C1723)</f>
        <v>29548</v>
      </c>
      <c r="D1741">
        <f>IF(VIPcric_1!D1723="","",VIPcric_1!D1723)</f>
        <v>212.7</v>
      </c>
      <c r="E1741" t="str">
        <f>IF(VIPcric_1!E1723="","",VIPcric_1!E1723)</f>
        <v/>
      </c>
      <c r="F1741" t="str">
        <f>IF(VIPcric_1!F1723="","",VIPcric_1!F1723)</f>
        <v/>
      </c>
      <c r="G1741" t="str">
        <f>IF(VIPcric_1!G1723="","",VIPcric_1!G1723)</f>
        <v/>
      </c>
      <c r="H1741" t="str">
        <f>IF(VIPcric_1!H1723="","",VIPcric_1!H1723)</f>
        <v/>
      </c>
      <c r="I1741" t="str">
        <f>IF(VIPcric_1!M1723="","",VIPcric_1!M1723)</f>
        <v>CRIC-海东地区-市场监测.商品房市场.项目累计.库存.xlsx</v>
      </c>
    </row>
    <row r="1742" spans="1:9">
      <c r="A1742" t="str">
        <f>IF(VIPcric_1!A1724="","",VIPcric_1!A1724)</f>
        <v>2021年</v>
      </c>
      <c r="B1742">
        <f>IF(VIPcric_1!B1724="","",VIPcric_1!B1724)</f>
        <v>659125</v>
      </c>
      <c r="C1742">
        <f>IF(VIPcric_1!C1724="","",VIPcric_1!C1724)</f>
        <v>4919</v>
      </c>
      <c r="D1742">
        <f>IF(VIPcric_1!D1724="","",VIPcric_1!D1724)</f>
        <v>85.2</v>
      </c>
      <c r="E1742" t="str">
        <f>IF(VIPcric_1!E1724="","",VIPcric_1!E1724)</f>
        <v/>
      </c>
      <c r="F1742" t="str">
        <f>IF(VIPcric_1!F1724="","",VIPcric_1!F1724)</f>
        <v/>
      </c>
      <c r="G1742" t="str">
        <f>IF(VIPcric_1!G1724="","",VIPcric_1!G1724)</f>
        <v/>
      </c>
      <c r="H1742" t="str">
        <f>IF(VIPcric_1!H1724="","",VIPcric_1!H1724)</f>
        <v/>
      </c>
      <c r="I1742" t="str">
        <f>IF(VIPcric_1!M1724="","",VIPcric_1!M1724)</f>
        <v>CRIC-海东地区-市场监测.商品房市场.项目累计.库存.xlsx</v>
      </c>
    </row>
    <row r="1743" spans="1:9">
      <c r="A1743" t="str">
        <f>IF(VIPcric_1!A1725="","",VIPcric_1!A1725)</f>
        <v/>
      </c>
      <c r="B1743" t="str">
        <f>IF(VIPcric_1!B1725="","",VIPcric_1!B1725)</f>
        <v/>
      </c>
      <c r="C1743" t="str">
        <f>IF(VIPcric_1!C1725="","",VIPcric_1!C1725)</f>
        <v/>
      </c>
      <c r="D1743" t="str">
        <f>IF(VIPcric_1!D1725="","",VIPcric_1!D1725)</f>
        <v/>
      </c>
      <c r="E1743" t="str">
        <f>IF(VIPcric_1!E1725="","",VIPcric_1!E1725)</f>
        <v/>
      </c>
      <c r="F1743" t="str">
        <f>IF(VIPcric_1!F1725="","",VIPcric_1!F1725)</f>
        <v/>
      </c>
      <c r="G1743" t="str">
        <f>IF(VIPcric_1!G1725="","",VIPcric_1!G1725)</f>
        <v/>
      </c>
      <c r="H1743" t="str">
        <f>IF(VIPcric_1!H1725="","",VIPcric_1!H1725)</f>
        <v/>
      </c>
      <c r="I1743" t="str">
        <f>IF(VIPcric_1!M1725="","",VIPcric_1!M1725)</f>
        <v/>
      </c>
    </row>
    <row r="1744" spans="1:9">
      <c r="A1744" t="str">
        <f>IF(VIPcric_1!A1726="","",VIPcric_1!A1726)</f>
        <v/>
      </c>
      <c r="B1744" t="str">
        <f>IF(VIPcric_1!B1726="","",VIPcric_1!B1726)</f>
        <v/>
      </c>
      <c r="C1744" t="str">
        <f>IF(VIPcric_1!C1726="","",VIPcric_1!C1726)</f>
        <v/>
      </c>
      <c r="D1744" t="str">
        <f>IF(VIPcric_1!D1726="","",VIPcric_1!D1726)</f>
        <v/>
      </c>
      <c r="E1744" t="str">
        <f>IF(VIPcric_1!E1726="","",VIPcric_1!E1726)</f>
        <v/>
      </c>
      <c r="F1744" t="str">
        <f>IF(VIPcric_1!F1726="","",VIPcric_1!F1726)</f>
        <v/>
      </c>
      <c r="G1744" t="str">
        <f>IF(VIPcric_1!G1726="","",VIPcric_1!G1726)</f>
        <v/>
      </c>
      <c r="H1744" t="str">
        <f>IF(VIPcric_1!H1726="","",VIPcric_1!H1726)</f>
        <v/>
      </c>
      <c r="I1744" t="str">
        <f>IF(VIPcric_1!M1726="","",VIPcric_1!M1726)</f>
        <v>CRIC-海北藏族自治州-市场监测.商品房市场.项目累计.供求.xlsx</v>
      </c>
    </row>
    <row r="1745" spans="1:9">
      <c r="A1745" t="str">
        <f>IF(VIPcric_1!A1727="","",VIPcric_1!A1727)</f>
        <v>时间(年)</v>
      </c>
      <c r="B1745" t="str">
        <f>IF(VIPcric_1!B1727="","",VIPcric_1!B1727)</f>
        <v>供应面积(㎡)</v>
      </c>
      <c r="C1745" t="str">
        <f>IF(VIPcric_1!C1727="","",VIPcric_1!C1727)</f>
        <v>供应套数(套)</v>
      </c>
      <c r="D1745" t="str">
        <f>IF(VIPcric_1!D1727="","",VIPcric_1!D1727)</f>
        <v>成交面积(㎡)</v>
      </c>
      <c r="E1745" t="str">
        <f>IF(VIPcric_1!E1727="","",VIPcric_1!E1727)</f>
        <v>成交套数(套)</v>
      </c>
      <c r="F1745" t="str">
        <f>IF(VIPcric_1!F1727="","",VIPcric_1!F1727)</f>
        <v>成交均价(元/㎡)</v>
      </c>
      <c r="G1745" t="str">
        <f>IF(VIPcric_1!G1727="","",VIPcric_1!G1727)</f>
        <v>成交金额(元)</v>
      </c>
      <c r="H1745" t="str">
        <f>IF(VIPcric_1!H1727="","",VIPcric_1!H1727)</f>
        <v>供求比</v>
      </c>
      <c r="I1745" t="str">
        <f>IF(VIPcric_1!M1727="","",VIPcric_1!M1727)</f>
        <v>CRIC-海北藏族自治州-市场监测.商品房市场.项目累计.供求.xlsx</v>
      </c>
    </row>
    <row r="1746" spans="1:9">
      <c r="A1746" t="str">
        <f>IF(VIPcric_1!A1728="","",VIPcric_1!A1728)</f>
        <v>2023年</v>
      </c>
      <c r="B1746">
        <f>IF(VIPcric_1!B1728="","",VIPcric_1!B1728)</f>
        <v>77174</v>
      </c>
      <c r="C1746">
        <f>IF(VIPcric_1!C1728="","",VIPcric_1!C1728)</f>
        <v>639</v>
      </c>
      <c r="D1746">
        <f>IF(VIPcric_1!D1728="","",VIPcric_1!D1728)</f>
        <v>67474</v>
      </c>
      <c r="E1746">
        <f>IF(VIPcric_1!E1728="","",VIPcric_1!E1728)</f>
        <v>568</v>
      </c>
      <c r="F1746">
        <f>IF(VIPcric_1!F1728="","",VIPcric_1!F1728)</f>
        <v>4989</v>
      </c>
      <c r="G1746">
        <f>IF(VIPcric_1!G1728="","",VIPcric_1!G1728)</f>
        <v>336627689</v>
      </c>
      <c r="H1746">
        <f>IF(VIPcric_1!H1728="","",VIPcric_1!H1728)</f>
        <v>1.1399999999999999</v>
      </c>
      <c r="I1746" t="str">
        <f>IF(VIPcric_1!M1728="","",VIPcric_1!M1728)</f>
        <v>CRIC-海北藏族自治州-市场监测.商品房市场.项目累计.供求.xlsx</v>
      </c>
    </row>
    <row r="1747" spans="1:9">
      <c r="A1747" t="str">
        <f>IF(VIPcric_1!A1729="","",VIPcric_1!A1729)</f>
        <v>2022年</v>
      </c>
      <c r="B1747">
        <f>IF(VIPcric_1!B1729="","",VIPcric_1!B1729)</f>
        <v>56881</v>
      </c>
      <c r="C1747">
        <f>IF(VIPcric_1!C1729="","",VIPcric_1!C1729)</f>
        <v>462</v>
      </c>
      <c r="D1747">
        <f>IF(VIPcric_1!D1729="","",VIPcric_1!D1729)</f>
        <v>10859</v>
      </c>
      <c r="E1747">
        <f>IF(VIPcric_1!E1729="","",VIPcric_1!E1729)</f>
        <v>90</v>
      </c>
      <c r="F1747">
        <f>IF(VIPcric_1!F1729="","",VIPcric_1!F1729)</f>
        <v>5087</v>
      </c>
      <c r="G1747">
        <f>IF(VIPcric_1!G1729="","",VIPcric_1!G1729)</f>
        <v>55240621</v>
      </c>
      <c r="H1747">
        <f>IF(VIPcric_1!H1729="","",VIPcric_1!H1729)</f>
        <v>5.24</v>
      </c>
      <c r="I1747" t="str">
        <f>IF(VIPcric_1!M1729="","",VIPcric_1!M1729)</f>
        <v>CRIC-海北藏族自治州-市场监测.商品房市场.项目累计.供求.xlsx</v>
      </c>
    </row>
    <row r="1748" spans="1:9">
      <c r="A1748" t="str">
        <f>IF(VIPcric_1!A1730="","",VIPcric_1!A1730)</f>
        <v>2021年</v>
      </c>
      <c r="B1748">
        <f>IF(VIPcric_1!B1730="","",VIPcric_1!B1730)</f>
        <v>83405</v>
      </c>
      <c r="C1748">
        <f>IF(VIPcric_1!C1730="","",VIPcric_1!C1730)</f>
        <v>654</v>
      </c>
      <c r="D1748">
        <f>IF(VIPcric_1!D1730="","",VIPcric_1!D1730)</f>
        <v>0</v>
      </c>
      <c r="E1748">
        <f>IF(VIPcric_1!E1730="","",VIPcric_1!E1730)</f>
        <v>0</v>
      </c>
      <c r="F1748">
        <f>IF(VIPcric_1!F1730="","",VIPcric_1!F1730)</f>
        <v>0</v>
      </c>
      <c r="G1748">
        <f>IF(VIPcric_1!G1730="","",VIPcric_1!G1730)</f>
        <v>0</v>
      </c>
      <c r="H1748">
        <f>IF(VIPcric_1!H1730="","",VIPcric_1!H1730)</f>
        <v>0</v>
      </c>
      <c r="I1748" t="str">
        <f>IF(VIPcric_1!M1730="","",VIPcric_1!M1730)</f>
        <v>CRIC-海北藏族自治州-市场监测.商品房市场.项目累计.供求.xlsx</v>
      </c>
    </row>
    <row r="1749" spans="1:9">
      <c r="A1749" t="str">
        <f>IF(VIPcric_1!A1731="","",VIPcric_1!A1731)</f>
        <v>2020年</v>
      </c>
      <c r="B1749">
        <f>IF(VIPcric_1!B1731="","",VIPcric_1!B1731)</f>
        <v>64708</v>
      </c>
      <c r="C1749">
        <f>IF(VIPcric_1!C1731="","",VIPcric_1!C1731)</f>
        <v>526</v>
      </c>
      <c r="D1749">
        <f>IF(VIPcric_1!D1731="","",VIPcric_1!D1731)</f>
        <v>0</v>
      </c>
      <c r="E1749">
        <f>IF(VIPcric_1!E1731="","",VIPcric_1!E1731)</f>
        <v>0</v>
      </c>
      <c r="F1749">
        <f>IF(VIPcric_1!F1731="","",VIPcric_1!F1731)</f>
        <v>0</v>
      </c>
      <c r="G1749">
        <f>IF(VIPcric_1!G1731="","",VIPcric_1!G1731)</f>
        <v>0</v>
      </c>
      <c r="H1749">
        <f>IF(VIPcric_1!H1731="","",VIPcric_1!H1731)</f>
        <v>0</v>
      </c>
      <c r="I1749" t="str">
        <f>IF(VIPcric_1!M1731="","",VIPcric_1!M1731)</f>
        <v>CRIC-海北藏族自治州-市场监测.商品房市场.项目累计.供求.xlsx</v>
      </c>
    </row>
    <row r="1750" spans="1:9">
      <c r="A1750" t="str">
        <f>IF(VIPcric_1!A1732="","",VIPcric_1!A1732)</f>
        <v>2019年</v>
      </c>
      <c r="B1750">
        <f>IF(VIPcric_1!B1732="","",VIPcric_1!B1732)</f>
        <v>153463</v>
      </c>
      <c r="C1750">
        <f>IF(VIPcric_1!C1732="","",VIPcric_1!C1732)</f>
        <v>1276</v>
      </c>
      <c r="D1750">
        <f>IF(VIPcric_1!D1732="","",VIPcric_1!D1732)</f>
        <v>0</v>
      </c>
      <c r="E1750">
        <f>IF(VIPcric_1!E1732="","",VIPcric_1!E1732)</f>
        <v>0</v>
      </c>
      <c r="F1750">
        <f>IF(VIPcric_1!F1732="","",VIPcric_1!F1732)</f>
        <v>0</v>
      </c>
      <c r="G1750">
        <f>IF(VIPcric_1!G1732="","",VIPcric_1!G1732)</f>
        <v>0</v>
      </c>
      <c r="H1750">
        <f>IF(VIPcric_1!H1732="","",VIPcric_1!H1732)</f>
        <v>0</v>
      </c>
      <c r="I1750" t="str">
        <f>IF(VIPcric_1!M1732="","",VIPcric_1!M1732)</f>
        <v>CRIC-海北藏族自治州-市场监测.商品房市场.项目累计.供求.xlsx</v>
      </c>
    </row>
    <row r="1751" spans="1:9">
      <c r="A1751" t="str">
        <f>IF(VIPcric_1!A1733="","",VIPcric_1!A1733)</f>
        <v>汇总</v>
      </c>
      <c r="B1751">
        <f>IF(VIPcric_1!B1733="","",VIPcric_1!B1733)</f>
        <v>435631</v>
      </c>
      <c r="C1751">
        <f>IF(VIPcric_1!C1733="","",VIPcric_1!C1733)</f>
        <v>3557</v>
      </c>
      <c r="D1751">
        <f>IF(VIPcric_1!D1733="","",VIPcric_1!D1733)</f>
        <v>78334</v>
      </c>
      <c r="E1751">
        <f>IF(VIPcric_1!E1733="","",VIPcric_1!E1733)</f>
        <v>658</v>
      </c>
      <c r="F1751">
        <f>IF(VIPcric_1!F1733="","",VIPcric_1!F1733)</f>
        <v>5003</v>
      </c>
      <c r="G1751">
        <f>IF(VIPcric_1!G1733="","",VIPcric_1!G1733)</f>
        <v>391868310</v>
      </c>
      <c r="H1751">
        <f>IF(VIPcric_1!H1733="","",VIPcric_1!H1733)</f>
        <v>5.56</v>
      </c>
      <c r="I1751" t="str">
        <f>IF(VIPcric_1!M1733="","",VIPcric_1!M1733)</f>
        <v>CRIC-海北藏族自治州-市场监测.商品房市场.项目累计.供求.xlsx</v>
      </c>
    </row>
    <row r="1752" spans="1:9">
      <c r="A1752" t="str">
        <f>IF(VIPcric_1!A1734="","",VIPcric_1!A1734)</f>
        <v/>
      </c>
      <c r="B1752" t="str">
        <f>IF(VIPcric_1!B1734="","",VIPcric_1!B1734)</f>
        <v/>
      </c>
      <c r="C1752" t="str">
        <f>IF(VIPcric_1!C1734="","",VIPcric_1!C1734)</f>
        <v/>
      </c>
      <c r="D1752" t="str">
        <f>IF(VIPcric_1!D1734="","",VIPcric_1!D1734)</f>
        <v/>
      </c>
      <c r="E1752" t="str">
        <f>IF(VIPcric_1!E1734="","",VIPcric_1!E1734)</f>
        <v/>
      </c>
      <c r="F1752" t="str">
        <f>IF(VIPcric_1!F1734="","",VIPcric_1!F1734)</f>
        <v/>
      </c>
      <c r="G1752" t="str">
        <f>IF(VIPcric_1!G1734="","",VIPcric_1!G1734)</f>
        <v/>
      </c>
      <c r="H1752" t="str">
        <f>IF(VIPcric_1!H1734="","",VIPcric_1!H1734)</f>
        <v/>
      </c>
      <c r="I1752" t="str">
        <f>IF(VIPcric_1!M1734="","",VIPcric_1!M1734)</f>
        <v/>
      </c>
    </row>
    <row r="1753" spans="1:9">
      <c r="A1753" t="str">
        <f>IF(VIPcric_1!A1735="","",VIPcric_1!A1735)</f>
        <v/>
      </c>
      <c r="B1753" t="str">
        <f>IF(VIPcric_1!B1735="","",VIPcric_1!B1735)</f>
        <v/>
      </c>
      <c r="C1753" t="str">
        <f>IF(VIPcric_1!C1735="","",VIPcric_1!C1735)</f>
        <v/>
      </c>
      <c r="D1753" t="str">
        <f>IF(VIPcric_1!D1735="","",VIPcric_1!D1735)</f>
        <v/>
      </c>
      <c r="E1753" t="str">
        <f>IF(VIPcric_1!E1735="","",VIPcric_1!E1735)</f>
        <v/>
      </c>
      <c r="F1753" t="str">
        <f>IF(VIPcric_1!F1735="","",VIPcric_1!F1735)</f>
        <v/>
      </c>
      <c r="G1753" t="str">
        <f>IF(VIPcric_1!G1735="","",VIPcric_1!G1735)</f>
        <v/>
      </c>
      <c r="H1753" t="str">
        <f>IF(VIPcric_1!H1735="","",VIPcric_1!H1735)</f>
        <v/>
      </c>
      <c r="I1753" t="str">
        <f>IF(VIPcric_1!M1735="","",VIPcric_1!M1735)</f>
        <v>CRIC-海北藏族自治州-市场监测.商品房市场.项目累计.库存.xlsx</v>
      </c>
    </row>
    <row r="1754" spans="1:9">
      <c r="A1754" t="str">
        <f>IF(VIPcric_1!A1736="","",VIPcric_1!A1736)</f>
        <v>时间(年)</v>
      </c>
      <c r="B1754" t="str">
        <f>IF(VIPcric_1!B1736="","",VIPcric_1!B1736)</f>
        <v>库存面积(㎡)</v>
      </c>
      <c r="C1754" t="str">
        <f>IF(VIPcric_1!C1736="","",VIPcric_1!C1736)</f>
        <v>库存套数(套)</v>
      </c>
      <c r="D1754" t="str">
        <f>IF(VIPcric_1!D1736="","",VIPcric_1!D1736)</f>
        <v>去化周期12'(月)</v>
      </c>
      <c r="E1754" t="str">
        <f>IF(VIPcric_1!E1736="","",VIPcric_1!E1736)</f>
        <v>去化周期24'(月)</v>
      </c>
      <c r="F1754" t="str">
        <f>IF(VIPcric_1!F1736="","",VIPcric_1!F1736)</f>
        <v/>
      </c>
      <c r="G1754" t="str">
        <f>IF(VIPcric_1!G1736="","",VIPcric_1!G1736)</f>
        <v/>
      </c>
      <c r="H1754" t="str">
        <f>IF(VIPcric_1!H1736="","",VIPcric_1!H1736)</f>
        <v/>
      </c>
      <c r="I1754" t="str">
        <f>IF(VIPcric_1!M1736="","",VIPcric_1!M1736)</f>
        <v>CRIC-海北藏族自治州-市场监测.商品房市场.项目累计.库存.xlsx</v>
      </c>
    </row>
    <row r="1755" spans="1:9">
      <c r="A1755" t="str">
        <f>IF(VIPcric_1!A1737="","",VIPcric_1!A1737)</f>
        <v>2023年</v>
      </c>
      <c r="B1755">
        <f>IF(VIPcric_1!B1737="","",VIPcric_1!B1737)</f>
        <v>124692</v>
      </c>
      <c r="C1755">
        <f>IF(VIPcric_1!C1737="","",VIPcric_1!C1737)</f>
        <v>992</v>
      </c>
      <c r="D1755">
        <f>IF(VIPcric_1!D1737="","",VIPcric_1!D1737)</f>
        <v>22.2</v>
      </c>
      <c r="E1755">
        <f>IF(VIPcric_1!E1737="","",VIPcric_1!E1737)</f>
        <v>38.200000000000003</v>
      </c>
      <c r="F1755" t="str">
        <f>IF(VIPcric_1!F1737="","",VIPcric_1!F1737)</f>
        <v/>
      </c>
      <c r="G1755" t="str">
        <f>IF(VIPcric_1!G1737="","",VIPcric_1!G1737)</f>
        <v/>
      </c>
      <c r="H1755" t="str">
        <f>IF(VIPcric_1!H1737="","",VIPcric_1!H1737)</f>
        <v/>
      </c>
      <c r="I1755" t="str">
        <f>IF(VIPcric_1!M1737="","",VIPcric_1!M1737)</f>
        <v>CRIC-海北藏族自治州-市场监测.商品房市场.项目累计.库存.xlsx</v>
      </c>
    </row>
    <row r="1756" spans="1:9">
      <c r="A1756" t="str">
        <f>IF(VIPcric_1!A1738="","",VIPcric_1!A1738)</f>
        <v>2022年</v>
      </c>
      <c r="B1756">
        <f>IF(VIPcric_1!B1738="","",VIPcric_1!B1738)</f>
        <v>113904</v>
      </c>
      <c r="C1756">
        <f>IF(VIPcric_1!C1738="","",VIPcric_1!C1738)</f>
        <v>912</v>
      </c>
      <c r="D1756">
        <f>IF(VIPcric_1!D1738="","",VIPcric_1!D1738)</f>
        <v>125.9</v>
      </c>
      <c r="E1756">
        <f>IF(VIPcric_1!E1738="","",VIPcric_1!E1738)</f>
        <v>251.7</v>
      </c>
      <c r="F1756" t="str">
        <f>IF(VIPcric_1!F1738="","",VIPcric_1!F1738)</f>
        <v/>
      </c>
      <c r="G1756" t="str">
        <f>IF(VIPcric_1!G1738="","",VIPcric_1!G1738)</f>
        <v/>
      </c>
      <c r="H1756" t="str">
        <f>IF(VIPcric_1!H1738="","",VIPcric_1!H1738)</f>
        <v/>
      </c>
      <c r="I1756" t="str">
        <f>IF(VIPcric_1!M1738="","",VIPcric_1!M1738)</f>
        <v>CRIC-海北藏族自治州-市场监测.商品房市场.项目累计.库存.xlsx</v>
      </c>
    </row>
    <row r="1757" spans="1:9">
      <c r="A1757" t="str">
        <f>IF(VIPcric_1!A1739="","",VIPcric_1!A1739)</f>
        <v/>
      </c>
      <c r="B1757" t="str">
        <f>IF(VIPcric_1!B1739="","",VIPcric_1!B1739)</f>
        <v/>
      </c>
      <c r="C1757" t="str">
        <f>IF(VIPcric_1!C1739="","",VIPcric_1!C1739)</f>
        <v/>
      </c>
      <c r="D1757" t="str">
        <f>IF(VIPcric_1!D1739="","",VIPcric_1!D1739)</f>
        <v/>
      </c>
      <c r="E1757" t="str">
        <f>IF(VIPcric_1!E1739="","",VIPcric_1!E1739)</f>
        <v/>
      </c>
      <c r="F1757" t="str">
        <f>IF(VIPcric_1!F1739="","",VIPcric_1!F1739)</f>
        <v/>
      </c>
      <c r="G1757" t="str">
        <f>IF(VIPcric_1!G1739="","",VIPcric_1!G1739)</f>
        <v/>
      </c>
      <c r="H1757" t="str">
        <f>IF(VIPcric_1!H1739="","",VIPcric_1!H1739)</f>
        <v/>
      </c>
      <c r="I1757" t="str">
        <f>IF(VIPcric_1!M1739="","",VIPcric_1!M1739)</f>
        <v/>
      </c>
    </row>
    <row r="1758" spans="1:9">
      <c r="A1758" t="str">
        <f>IF(VIPcric_1!A1740="","",VIPcric_1!A1740)</f>
        <v/>
      </c>
      <c r="B1758" t="str">
        <f>IF(VIPcric_1!B1740="","",VIPcric_1!B1740)</f>
        <v/>
      </c>
      <c r="C1758" t="str">
        <f>IF(VIPcric_1!C1740="","",VIPcric_1!C1740)</f>
        <v/>
      </c>
      <c r="D1758" t="str">
        <f>IF(VIPcric_1!D1740="","",VIPcric_1!D1740)</f>
        <v/>
      </c>
      <c r="E1758" t="str">
        <f>IF(VIPcric_1!E1740="","",VIPcric_1!E1740)</f>
        <v/>
      </c>
      <c r="F1758" t="str">
        <f>IF(VIPcric_1!F1740="","",VIPcric_1!F1740)</f>
        <v/>
      </c>
      <c r="G1758" t="str">
        <f>IF(VIPcric_1!G1740="","",VIPcric_1!G1740)</f>
        <v/>
      </c>
      <c r="H1758" t="str">
        <f>IF(VIPcric_1!H1740="","",VIPcric_1!H1740)</f>
        <v/>
      </c>
      <c r="I1758" t="str">
        <f>IF(VIPcric_1!M1740="","",VIPcric_1!M1740)</f>
        <v>CRIC-海南藏族自治州-市场监测.商品房市场.项目累计.供求.xlsx</v>
      </c>
    </row>
    <row r="1759" spans="1:9">
      <c r="A1759" t="str">
        <f>IF(VIPcric_1!A1741="","",VIPcric_1!A1741)</f>
        <v>时间(年)</v>
      </c>
      <c r="B1759" t="str">
        <f>IF(VIPcric_1!B1741="","",VIPcric_1!B1741)</f>
        <v>供应面积(㎡)</v>
      </c>
      <c r="C1759" t="str">
        <f>IF(VIPcric_1!C1741="","",VIPcric_1!C1741)</f>
        <v>供应套数(套)</v>
      </c>
      <c r="D1759" t="str">
        <f>IF(VIPcric_1!D1741="","",VIPcric_1!D1741)</f>
        <v>成交面积(㎡)</v>
      </c>
      <c r="E1759" t="str">
        <f>IF(VIPcric_1!E1741="","",VIPcric_1!E1741)</f>
        <v>成交套数(套)</v>
      </c>
      <c r="F1759" t="str">
        <f>IF(VIPcric_1!F1741="","",VIPcric_1!F1741)</f>
        <v>成交均价(元/㎡)</v>
      </c>
      <c r="G1759" t="str">
        <f>IF(VIPcric_1!G1741="","",VIPcric_1!G1741)</f>
        <v>成交金额(元)</v>
      </c>
      <c r="H1759" t="str">
        <f>IF(VIPcric_1!H1741="","",VIPcric_1!H1741)</f>
        <v>供求比</v>
      </c>
      <c r="I1759" t="str">
        <f>IF(VIPcric_1!M1741="","",VIPcric_1!M1741)</f>
        <v>CRIC-海南藏族自治州-市场监测.商品房市场.项目累计.供求.xlsx</v>
      </c>
    </row>
    <row r="1760" spans="1:9">
      <c r="A1760" t="str">
        <f>IF(VIPcric_1!A1742="","",VIPcric_1!A1742)</f>
        <v>2023年</v>
      </c>
      <c r="B1760">
        <f>IF(VIPcric_1!B1742="","",VIPcric_1!B1742)</f>
        <v>247611</v>
      </c>
      <c r="C1760">
        <f>IF(VIPcric_1!C1742="","",VIPcric_1!C1742)</f>
        <v>1943</v>
      </c>
      <c r="D1760">
        <f>IF(VIPcric_1!D1742="","",VIPcric_1!D1742)</f>
        <v>148643</v>
      </c>
      <c r="E1760">
        <f>IF(VIPcric_1!E1742="","",VIPcric_1!E1742)</f>
        <v>1117</v>
      </c>
      <c r="F1760">
        <f>IF(VIPcric_1!F1742="","",VIPcric_1!F1742)</f>
        <v>6309</v>
      </c>
      <c r="G1760">
        <f>IF(VIPcric_1!G1742="","",VIPcric_1!G1742)</f>
        <v>937732423</v>
      </c>
      <c r="H1760">
        <f>IF(VIPcric_1!H1742="","",VIPcric_1!H1742)</f>
        <v>1.67</v>
      </c>
      <c r="I1760" t="str">
        <f>IF(VIPcric_1!M1742="","",VIPcric_1!M1742)</f>
        <v>CRIC-海南藏族自治州-市场监测.商品房市场.项目累计.供求.xlsx</v>
      </c>
    </row>
    <row r="1761" spans="1:9">
      <c r="A1761" t="str">
        <f>IF(VIPcric_1!A1743="","",VIPcric_1!A1743)</f>
        <v>2022年</v>
      </c>
      <c r="B1761">
        <f>IF(VIPcric_1!B1743="","",VIPcric_1!B1743)</f>
        <v>120907</v>
      </c>
      <c r="C1761">
        <f>IF(VIPcric_1!C1743="","",VIPcric_1!C1743)</f>
        <v>965</v>
      </c>
      <c r="D1761">
        <f>IF(VIPcric_1!D1743="","",VIPcric_1!D1743)</f>
        <v>12171</v>
      </c>
      <c r="E1761">
        <f>IF(VIPcric_1!E1743="","",VIPcric_1!E1743)</f>
        <v>93</v>
      </c>
      <c r="F1761">
        <f>IF(VIPcric_1!F1743="","",VIPcric_1!F1743)</f>
        <v>5890</v>
      </c>
      <c r="G1761">
        <f>IF(VIPcric_1!G1743="","",VIPcric_1!G1743)</f>
        <v>71686939</v>
      </c>
      <c r="H1761">
        <f>IF(VIPcric_1!H1743="","",VIPcric_1!H1743)</f>
        <v>9.93</v>
      </c>
      <c r="I1761" t="str">
        <f>IF(VIPcric_1!M1743="","",VIPcric_1!M1743)</f>
        <v>CRIC-海南藏族自治州-市场监测.商品房市场.项目累计.供求.xlsx</v>
      </c>
    </row>
    <row r="1762" spans="1:9">
      <c r="A1762" t="str">
        <f>IF(VIPcric_1!A1744="","",VIPcric_1!A1744)</f>
        <v>2021年</v>
      </c>
      <c r="B1762">
        <f>IF(VIPcric_1!B1744="","",VIPcric_1!B1744)</f>
        <v>55111</v>
      </c>
      <c r="C1762">
        <f>IF(VIPcric_1!C1744="","",VIPcric_1!C1744)</f>
        <v>417</v>
      </c>
      <c r="D1762">
        <f>IF(VIPcric_1!D1744="","",VIPcric_1!D1744)</f>
        <v>0</v>
      </c>
      <c r="E1762">
        <f>IF(VIPcric_1!E1744="","",VIPcric_1!E1744)</f>
        <v>0</v>
      </c>
      <c r="F1762">
        <f>IF(VIPcric_1!F1744="","",VIPcric_1!F1744)</f>
        <v>0</v>
      </c>
      <c r="G1762">
        <f>IF(VIPcric_1!G1744="","",VIPcric_1!G1744)</f>
        <v>0</v>
      </c>
      <c r="H1762">
        <f>IF(VIPcric_1!H1744="","",VIPcric_1!H1744)</f>
        <v>0</v>
      </c>
      <c r="I1762" t="str">
        <f>IF(VIPcric_1!M1744="","",VIPcric_1!M1744)</f>
        <v>CRIC-海南藏族自治州-市场监测.商品房市场.项目累计.供求.xlsx</v>
      </c>
    </row>
    <row r="1763" spans="1:9">
      <c r="A1763" t="str">
        <f>IF(VIPcric_1!A1745="","",VIPcric_1!A1745)</f>
        <v>2020年</v>
      </c>
      <c r="B1763">
        <f>IF(VIPcric_1!B1745="","",VIPcric_1!B1745)</f>
        <v>326106</v>
      </c>
      <c r="C1763">
        <f>IF(VIPcric_1!C1745="","",VIPcric_1!C1745)</f>
        <v>2643</v>
      </c>
      <c r="D1763">
        <f>IF(VIPcric_1!D1745="","",VIPcric_1!D1745)</f>
        <v>0</v>
      </c>
      <c r="E1763">
        <f>IF(VIPcric_1!E1745="","",VIPcric_1!E1745)</f>
        <v>0</v>
      </c>
      <c r="F1763">
        <f>IF(VIPcric_1!F1745="","",VIPcric_1!F1745)</f>
        <v>0</v>
      </c>
      <c r="G1763">
        <f>IF(VIPcric_1!G1745="","",VIPcric_1!G1745)</f>
        <v>0</v>
      </c>
      <c r="H1763">
        <f>IF(VIPcric_1!H1745="","",VIPcric_1!H1745)</f>
        <v>0</v>
      </c>
      <c r="I1763" t="str">
        <f>IF(VIPcric_1!M1745="","",VIPcric_1!M1745)</f>
        <v>CRIC-海南藏族自治州-市场监测.商品房市场.项目累计.供求.xlsx</v>
      </c>
    </row>
    <row r="1764" spans="1:9">
      <c r="A1764" t="str">
        <f>IF(VIPcric_1!A1746="","",VIPcric_1!A1746)</f>
        <v>2019年</v>
      </c>
      <c r="B1764">
        <f>IF(VIPcric_1!B1746="","",VIPcric_1!B1746)</f>
        <v>228592</v>
      </c>
      <c r="C1764">
        <f>IF(VIPcric_1!C1746="","",VIPcric_1!C1746)</f>
        <v>1731</v>
      </c>
      <c r="D1764">
        <f>IF(VIPcric_1!D1746="","",VIPcric_1!D1746)</f>
        <v>0</v>
      </c>
      <c r="E1764">
        <f>IF(VIPcric_1!E1746="","",VIPcric_1!E1746)</f>
        <v>0</v>
      </c>
      <c r="F1764">
        <f>IF(VIPcric_1!F1746="","",VIPcric_1!F1746)</f>
        <v>0</v>
      </c>
      <c r="G1764">
        <f>IF(VIPcric_1!G1746="","",VIPcric_1!G1746)</f>
        <v>0</v>
      </c>
      <c r="H1764">
        <f>IF(VIPcric_1!H1746="","",VIPcric_1!H1746)</f>
        <v>0</v>
      </c>
      <c r="I1764" t="str">
        <f>IF(VIPcric_1!M1746="","",VIPcric_1!M1746)</f>
        <v>CRIC-海南藏族自治州-市场监测.商品房市场.项目累计.供求.xlsx</v>
      </c>
    </row>
    <row r="1765" spans="1:9">
      <c r="A1765" t="str">
        <f>IF(VIPcric_1!A1747="","",VIPcric_1!A1747)</f>
        <v>汇总</v>
      </c>
      <c r="B1765">
        <f>IF(VIPcric_1!B1747="","",VIPcric_1!B1747)</f>
        <v>978328</v>
      </c>
      <c r="C1765">
        <f>IF(VIPcric_1!C1747="","",VIPcric_1!C1747)</f>
        <v>7699</v>
      </c>
      <c r="D1765">
        <f>IF(VIPcric_1!D1747="","",VIPcric_1!D1747)</f>
        <v>160814</v>
      </c>
      <c r="E1765">
        <f>IF(VIPcric_1!E1747="","",VIPcric_1!E1747)</f>
        <v>1210</v>
      </c>
      <c r="F1765">
        <f>IF(VIPcric_1!F1747="","",VIPcric_1!F1747)</f>
        <v>6277</v>
      </c>
      <c r="G1765">
        <f>IF(VIPcric_1!G1747="","",VIPcric_1!G1747)</f>
        <v>1009419362</v>
      </c>
      <c r="H1765">
        <f>IF(VIPcric_1!H1747="","",VIPcric_1!H1747)</f>
        <v>6.08</v>
      </c>
      <c r="I1765" t="str">
        <f>IF(VIPcric_1!M1747="","",VIPcric_1!M1747)</f>
        <v>CRIC-海南藏族自治州-市场监测.商品房市场.项目累计.供求.xlsx</v>
      </c>
    </row>
    <row r="1766" spans="1:9">
      <c r="A1766" t="str">
        <f>IF(VIPcric_1!A1748="","",VIPcric_1!A1748)</f>
        <v/>
      </c>
      <c r="B1766" t="str">
        <f>IF(VIPcric_1!B1748="","",VIPcric_1!B1748)</f>
        <v/>
      </c>
      <c r="C1766" t="str">
        <f>IF(VIPcric_1!C1748="","",VIPcric_1!C1748)</f>
        <v/>
      </c>
      <c r="D1766" t="str">
        <f>IF(VIPcric_1!D1748="","",VIPcric_1!D1748)</f>
        <v/>
      </c>
      <c r="E1766" t="str">
        <f>IF(VIPcric_1!E1748="","",VIPcric_1!E1748)</f>
        <v/>
      </c>
      <c r="F1766" t="str">
        <f>IF(VIPcric_1!F1748="","",VIPcric_1!F1748)</f>
        <v/>
      </c>
      <c r="G1766" t="str">
        <f>IF(VIPcric_1!G1748="","",VIPcric_1!G1748)</f>
        <v/>
      </c>
      <c r="H1766" t="str">
        <f>IF(VIPcric_1!H1748="","",VIPcric_1!H1748)</f>
        <v/>
      </c>
      <c r="I1766" t="str">
        <f>IF(VIPcric_1!M1748="","",VIPcric_1!M1748)</f>
        <v/>
      </c>
    </row>
    <row r="1767" spans="1:9">
      <c r="A1767" t="str">
        <f>IF(VIPcric_1!A1749="","",VIPcric_1!A1749)</f>
        <v/>
      </c>
      <c r="B1767" t="str">
        <f>IF(VIPcric_1!B1749="","",VIPcric_1!B1749)</f>
        <v/>
      </c>
      <c r="C1767" t="str">
        <f>IF(VIPcric_1!C1749="","",VIPcric_1!C1749)</f>
        <v/>
      </c>
      <c r="D1767" t="str">
        <f>IF(VIPcric_1!D1749="","",VIPcric_1!D1749)</f>
        <v/>
      </c>
      <c r="E1767" t="str">
        <f>IF(VIPcric_1!E1749="","",VIPcric_1!E1749)</f>
        <v/>
      </c>
      <c r="F1767" t="str">
        <f>IF(VIPcric_1!F1749="","",VIPcric_1!F1749)</f>
        <v/>
      </c>
      <c r="G1767" t="str">
        <f>IF(VIPcric_1!G1749="","",VIPcric_1!G1749)</f>
        <v/>
      </c>
      <c r="H1767" t="str">
        <f>IF(VIPcric_1!H1749="","",VIPcric_1!H1749)</f>
        <v/>
      </c>
      <c r="I1767" t="str">
        <f>IF(VIPcric_1!M1749="","",VIPcric_1!M1749)</f>
        <v>CRIC-海南藏族自治州-市场监测.商品房市场.项目累计.库存.xlsx</v>
      </c>
    </row>
    <row r="1768" spans="1:9">
      <c r="A1768" t="str">
        <f>IF(VIPcric_1!A1750="","",VIPcric_1!A1750)</f>
        <v>时间(年)</v>
      </c>
      <c r="B1768" t="str">
        <f>IF(VIPcric_1!B1750="","",VIPcric_1!B1750)</f>
        <v>库存面积(㎡)</v>
      </c>
      <c r="C1768" t="str">
        <f>IF(VIPcric_1!C1750="","",VIPcric_1!C1750)</f>
        <v>库存套数(套)</v>
      </c>
      <c r="D1768" t="str">
        <f>IF(VIPcric_1!D1750="","",VIPcric_1!D1750)</f>
        <v>去化周期12'(月)</v>
      </c>
      <c r="E1768" t="str">
        <f>IF(VIPcric_1!E1750="","",VIPcric_1!E1750)</f>
        <v/>
      </c>
      <c r="F1768" t="str">
        <f>IF(VIPcric_1!F1750="","",VIPcric_1!F1750)</f>
        <v/>
      </c>
      <c r="G1768" t="str">
        <f>IF(VIPcric_1!G1750="","",VIPcric_1!G1750)</f>
        <v/>
      </c>
      <c r="H1768" t="str">
        <f>IF(VIPcric_1!H1750="","",VIPcric_1!H1750)</f>
        <v/>
      </c>
      <c r="I1768" t="str">
        <f>IF(VIPcric_1!M1750="","",VIPcric_1!M1750)</f>
        <v>CRIC-海南藏族自治州-市场监测.商品房市场.项目累计.库存.xlsx</v>
      </c>
    </row>
    <row r="1769" spans="1:9">
      <c r="A1769" t="str">
        <f>IF(VIPcric_1!A1751="","",VIPcric_1!A1751)</f>
        <v>2023年</v>
      </c>
      <c r="B1769">
        <f>IF(VIPcric_1!B1751="","",VIPcric_1!B1751)</f>
        <v>351511</v>
      </c>
      <c r="C1769">
        <f>IF(VIPcric_1!C1751="","",VIPcric_1!C1751)</f>
        <v>2816</v>
      </c>
      <c r="D1769">
        <f>IF(VIPcric_1!D1751="","",VIPcric_1!D1751)</f>
        <v>28.4</v>
      </c>
      <c r="E1769" t="str">
        <f>IF(VIPcric_1!E1751="","",VIPcric_1!E1751)</f>
        <v/>
      </c>
      <c r="F1769" t="str">
        <f>IF(VIPcric_1!F1751="","",VIPcric_1!F1751)</f>
        <v/>
      </c>
      <c r="G1769" t="str">
        <f>IF(VIPcric_1!G1751="","",VIPcric_1!G1751)</f>
        <v/>
      </c>
      <c r="H1769" t="str">
        <f>IF(VIPcric_1!H1751="","",VIPcric_1!H1751)</f>
        <v/>
      </c>
      <c r="I1769" t="str">
        <f>IF(VIPcric_1!M1751="","",VIPcric_1!M1751)</f>
        <v>CRIC-海南藏族自治州-市场监测.商品房市场.项目累计.库存.xlsx</v>
      </c>
    </row>
    <row r="1770" spans="1:9">
      <c r="A1770" t="str">
        <f>IF(VIPcric_1!A1752="","",VIPcric_1!A1752)</f>
        <v>2022年</v>
      </c>
      <c r="B1770">
        <f>IF(VIPcric_1!B1752="","",VIPcric_1!B1752)</f>
        <v>246751</v>
      </c>
      <c r="C1770">
        <f>IF(VIPcric_1!C1752="","",VIPcric_1!C1752)</f>
        <v>1975</v>
      </c>
      <c r="D1770">
        <f>IF(VIPcric_1!D1752="","",VIPcric_1!D1752)</f>
        <v>243.3</v>
      </c>
      <c r="E1770" t="str">
        <f>IF(VIPcric_1!E1752="","",VIPcric_1!E1752)</f>
        <v/>
      </c>
      <c r="F1770" t="str">
        <f>IF(VIPcric_1!F1752="","",VIPcric_1!F1752)</f>
        <v/>
      </c>
      <c r="G1770" t="str">
        <f>IF(VIPcric_1!G1752="","",VIPcric_1!G1752)</f>
        <v/>
      </c>
      <c r="H1770" t="str">
        <f>IF(VIPcric_1!H1752="","",VIPcric_1!H1752)</f>
        <v/>
      </c>
      <c r="I1770" t="str">
        <f>IF(VIPcric_1!M1752="","",VIPcric_1!M1752)</f>
        <v>CRIC-海南藏族自治州-市场监测.商品房市场.项目累计.库存.xlsx</v>
      </c>
    </row>
    <row r="1771" spans="1:9">
      <c r="A1771" t="str">
        <f>IF(VIPcric_1!A1753="","",VIPcric_1!A1753)</f>
        <v/>
      </c>
      <c r="B1771" t="str">
        <f>IF(VIPcric_1!B1753="","",VIPcric_1!B1753)</f>
        <v/>
      </c>
      <c r="C1771" t="str">
        <f>IF(VIPcric_1!C1753="","",VIPcric_1!C1753)</f>
        <v/>
      </c>
      <c r="D1771" t="str">
        <f>IF(VIPcric_1!D1753="","",VIPcric_1!D1753)</f>
        <v/>
      </c>
      <c r="E1771" t="str">
        <f>IF(VIPcric_1!E1753="","",VIPcric_1!E1753)</f>
        <v/>
      </c>
      <c r="F1771" t="str">
        <f>IF(VIPcric_1!F1753="","",VIPcric_1!F1753)</f>
        <v/>
      </c>
      <c r="G1771" t="str">
        <f>IF(VIPcric_1!G1753="","",VIPcric_1!G1753)</f>
        <v/>
      </c>
      <c r="H1771" t="str">
        <f>IF(VIPcric_1!H1753="","",VIPcric_1!H1753)</f>
        <v/>
      </c>
      <c r="I1771" t="str">
        <f>IF(VIPcric_1!M1753="","",VIPcric_1!M1753)</f>
        <v/>
      </c>
    </row>
    <row r="1772" spans="1:9">
      <c r="A1772" t="str">
        <f>IF(VIPcric_1!A1754="","",VIPcric_1!A1754)</f>
        <v/>
      </c>
      <c r="B1772" t="str">
        <f>IF(VIPcric_1!B1754="","",VIPcric_1!B1754)</f>
        <v/>
      </c>
      <c r="C1772" t="str">
        <f>IF(VIPcric_1!C1754="","",VIPcric_1!C1754)</f>
        <v/>
      </c>
      <c r="D1772" t="str">
        <f>IF(VIPcric_1!D1754="","",VIPcric_1!D1754)</f>
        <v/>
      </c>
      <c r="E1772" t="str">
        <f>IF(VIPcric_1!E1754="","",VIPcric_1!E1754)</f>
        <v/>
      </c>
      <c r="F1772" t="str">
        <f>IF(VIPcric_1!F1754="","",VIPcric_1!F1754)</f>
        <v/>
      </c>
      <c r="G1772" t="str">
        <f>IF(VIPcric_1!G1754="","",VIPcric_1!G1754)</f>
        <v/>
      </c>
      <c r="H1772" t="str">
        <f>IF(VIPcric_1!H1754="","",VIPcric_1!H1754)</f>
        <v/>
      </c>
      <c r="I1772" t="str">
        <f>IF(VIPcric_1!M1754="","",VIPcric_1!M1754)</f>
        <v>CRIC-海口-市场监测.商品房市场.项目累计.供求.xlsx</v>
      </c>
    </row>
    <row r="1773" spans="1:9">
      <c r="A1773" t="str">
        <f>IF(VIPcric_1!A1755="","",VIPcric_1!A1755)</f>
        <v>时间(年)</v>
      </c>
      <c r="B1773" t="str">
        <f>IF(VIPcric_1!B1755="","",VIPcric_1!B1755)</f>
        <v>供应面积(㎡)</v>
      </c>
      <c r="C1773" t="str">
        <f>IF(VIPcric_1!C1755="","",VIPcric_1!C1755)</f>
        <v>供应套数(套)</v>
      </c>
      <c r="D1773" t="str">
        <f>IF(VIPcric_1!D1755="","",VIPcric_1!D1755)</f>
        <v>成交面积(㎡)</v>
      </c>
      <c r="E1773" t="str">
        <f>IF(VIPcric_1!E1755="","",VIPcric_1!E1755)</f>
        <v>成交套数(套)</v>
      </c>
      <c r="F1773" t="str">
        <f>IF(VIPcric_1!F1755="","",VIPcric_1!F1755)</f>
        <v>成交均价(元/㎡)</v>
      </c>
      <c r="G1773" t="str">
        <f>IF(VIPcric_1!G1755="","",VIPcric_1!G1755)</f>
        <v>成交金额(元)</v>
      </c>
      <c r="H1773" t="str">
        <f>IF(VIPcric_1!H1755="","",VIPcric_1!H1755)</f>
        <v>供求比</v>
      </c>
      <c r="I1773" t="str">
        <f>IF(VIPcric_1!M1755="","",VIPcric_1!M1755)</f>
        <v>CRIC-海口-市场监测.商品房市场.项目累计.供求.xlsx</v>
      </c>
    </row>
    <row r="1774" spans="1:9">
      <c r="A1774" t="str">
        <f>IF(VIPcric_1!A1756="","",VIPcric_1!A1756)</f>
        <v>2023年</v>
      </c>
      <c r="B1774">
        <f>IF(VIPcric_1!B1756="","",VIPcric_1!B1756)</f>
        <v>3173230</v>
      </c>
      <c r="C1774">
        <f>IF(VIPcric_1!C1756="","",VIPcric_1!C1756)</f>
        <v>27232</v>
      </c>
      <c r="D1774">
        <f>IF(VIPcric_1!D1756="","",VIPcric_1!D1756)</f>
        <v>2496968</v>
      </c>
      <c r="E1774">
        <f>IF(VIPcric_1!E1756="","",VIPcric_1!E1756)</f>
        <v>20688</v>
      </c>
      <c r="F1774">
        <f>IF(VIPcric_1!F1756="","",VIPcric_1!F1756)</f>
        <v>18307</v>
      </c>
      <c r="G1774">
        <f>IF(VIPcric_1!G1756="","",VIPcric_1!G1756)</f>
        <v>45711349195</v>
      </c>
      <c r="H1774">
        <f>IF(VIPcric_1!H1756="","",VIPcric_1!H1756)</f>
        <v>1.27</v>
      </c>
      <c r="I1774" t="str">
        <f>IF(VIPcric_1!M1756="","",VIPcric_1!M1756)</f>
        <v>CRIC-海口-市场监测.商品房市场.项目累计.供求.xlsx</v>
      </c>
    </row>
    <row r="1775" spans="1:9">
      <c r="A1775" t="str">
        <f>IF(VIPcric_1!A1757="","",VIPcric_1!A1757)</f>
        <v>2022年</v>
      </c>
      <c r="B1775">
        <f>IF(VIPcric_1!B1757="","",VIPcric_1!B1757)</f>
        <v>2698845</v>
      </c>
      <c r="C1775">
        <f>IF(VIPcric_1!C1757="","",VIPcric_1!C1757)</f>
        <v>24383</v>
      </c>
      <c r="D1775">
        <f>IF(VIPcric_1!D1757="","",VIPcric_1!D1757)</f>
        <v>2456263</v>
      </c>
      <c r="E1775">
        <f>IF(VIPcric_1!E1757="","",VIPcric_1!E1757)</f>
        <v>21668</v>
      </c>
      <c r="F1775">
        <f>IF(VIPcric_1!F1757="","",VIPcric_1!F1757)</f>
        <v>17422</v>
      </c>
      <c r="G1775">
        <f>IF(VIPcric_1!G1757="","",VIPcric_1!G1757)</f>
        <v>42793051207</v>
      </c>
      <c r="H1775">
        <f>IF(VIPcric_1!H1757="","",VIPcric_1!H1757)</f>
        <v>1.1000000000000001</v>
      </c>
      <c r="I1775" t="str">
        <f>IF(VIPcric_1!M1757="","",VIPcric_1!M1757)</f>
        <v>CRIC-海口-市场监测.商品房市场.项目累计.供求.xlsx</v>
      </c>
    </row>
    <row r="1776" spans="1:9">
      <c r="A1776" t="str">
        <f>IF(VIPcric_1!A1758="","",VIPcric_1!A1758)</f>
        <v>2021年</v>
      </c>
      <c r="B1776">
        <f>IF(VIPcric_1!B1758="","",VIPcric_1!B1758)</f>
        <v>4193651</v>
      </c>
      <c r="C1776">
        <f>IF(VIPcric_1!C1758="","",VIPcric_1!C1758)</f>
        <v>36319</v>
      </c>
      <c r="D1776">
        <f>IF(VIPcric_1!D1758="","",VIPcric_1!D1758)</f>
        <v>4183147</v>
      </c>
      <c r="E1776">
        <f>IF(VIPcric_1!E1758="","",VIPcric_1!E1758)</f>
        <v>38336</v>
      </c>
      <c r="F1776">
        <f>IF(VIPcric_1!F1758="","",VIPcric_1!F1758)</f>
        <v>17371</v>
      </c>
      <c r="G1776">
        <f>IF(VIPcric_1!G1758="","",VIPcric_1!G1758)</f>
        <v>72665864223</v>
      </c>
      <c r="H1776">
        <f>IF(VIPcric_1!H1758="","",VIPcric_1!H1758)</f>
        <v>1</v>
      </c>
      <c r="I1776" t="str">
        <f>IF(VIPcric_1!M1758="","",VIPcric_1!M1758)</f>
        <v>CRIC-海口-市场监测.商品房市场.项目累计.供求.xlsx</v>
      </c>
    </row>
    <row r="1777" spans="1:9">
      <c r="A1777" t="str">
        <f>IF(VIPcric_1!A1759="","",VIPcric_1!A1759)</f>
        <v>2020年</v>
      </c>
      <c r="B1777">
        <f>IF(VIPcric_1!B1759="","",VIPcric_1!B1759)</f>
        <v>3144503</v>
      </c>
      <c r="C1777">
        <f>IF(VIPcric_1!C1759="","",VIPcric_1!C1759)</f>
        <v>30657</v>
      </c>
      <c r="D1777">
        <f>IF(VIPcric_1!D1759="","",VIPcric_1!D1759)</f>
        <v>3842533</v>
      </c>
      <c r="E1777">
        <f>IF(VIPcric_1!E1759="","",VIPcric_1!E1759)</f>
        <v>36625</v>
      </c>
      <c r="F1777">
        <f>IF(VIPcric_1!F1759="","",VIPcric_1!F1759)</f>
        <v>17212</v>
      </c>
      <c r="G1777">
        <f>IF(VIPcric_1!G1759="","",VIPcric_1!G1759)</f>
        <v>66136382726</v>
      </c>
      <c r="H1777">
        <f>IF(VIPcric_1!H1759="","",VIPcric_1!H1759)</f>
        <v>0.82</v>
      </c>
      <c r="I1777" t="str">
        <f>IF(VIPcric_1!M1759="","",VIPcric_1!M1759)</f>
        <v>CRIC-海口-市场监测.商品房市场.项目累计.供求.xlsx</v>
      </c>
    </row>
    <row r="1778" spans="1:9">
      <c r="A1778" t="str">
        <f>IF(VIPcric_1!A1760="","",VIPcric_1!A1760)</f>
        <v>2019年</v>
      </c>
      <c r="B1778">
        <f>IF(VIPcric_1!B1760="","",VIPcric_1!B1760)</f>
        <v>3531767</v>
      </c>
      <c r="C1778">
        <f>IF(VIPcric_1!C1760="","",VIPcric_1!C1760)</f>
        <v>33276</v>
      </c>
      <c r="D1778">
        <f>IF(VIPcric_1!D1760="","",VIPcric_1!D1760)</f>
        <v>4264740</v>
      </c>
      <c r="E1778">
        <f>IF(VIPcric_1!E1760="","",VIPcric_1!E1760)</f>
        <v>41003</v>
      </c>
      <c r="F1778">
        <f>IF(VIPcric_1!F1760="","",VIPcric_1!F1760)</f>
        <v>16296</v>
      </c>
      <c r="G1778">
        <f>IF(VIPcric_1!G1760="","",VIPcric_1!G1760)</f>
        <v>69498751839</v>
      </c>
      <c r="H1778">
        <f>IF(VIPcric_1!H1760="","",VIPcric_1!H1760)</f>
        <v>0.83</v>
      </c>
      <c r="I1778" t="str">
        <f>IF(VIPcric_1!M1760="","",VIPcric_1!M1760)</f>
        <v>CRIC-海口-市场监测.商品房市场.项目累计.供求.xlsx</v>
      </c>
    </row>
    <row r="1779" spans="1:9">
      <c r="A1779" t="str">
        <f>IF(VIPcric_1!A1761="","",VIPcric_1!A1761)</f>
        <v>汇总</v>
      </c>
      <c r="B1779">
        <f>IF(VIPcric_1!B1761="","",VIPcric_1!B1761)</f>
        <v>16741996</v>
      </c>
      <c r="C1779">
        <f>IF(VIPcric_1!C1761="","",VIPcric_1!C1761)</f>
        <v>151867</v>
      </c>
      <c r="D1779">
        <f>IF(VIPcric_1!D1761="","",VIPcric_1!D1761)</f>
        <v>17243650</v>
      </c>
      <c r="E1779">
        <f>IF(VIPcric_1!E1761="","",VIPcric_1!E1761)</f>
        <v>158320</v>
      </c>
      <c r="F1779">
        <f>IF(VIPcric_1!F1761="","",VIPcric_1!F1761)</f>
        <v>17212</v>
      </c>
      <c r="G1779">
        <f>IF(VIPcric_1!G1761="","",VIPcric_1!G1761)</f>
        <v>296805399190</v>
      </c>
      <c r="H1779">
        <f>IF(VIPcric_1!H1761="","",VIPcric_1!H1761)</f>
        <v>0.97</v>
      </c>
      <c r="I1779" t="str">
        <f>IF(VIPcric_1!M1761="","",VIPcric_1!M1761)</f>
        <v>CRIC-海口-市场监测.商品房市场.项目累计.供求.xlsx</v>
      </c>
    </row>
    <row r="1780" spans="1:9">
      <c r="A1780" t="str">
        <f>IF(VIPcric_1!A1762="","",VIPcric_1!A1762)</f>
        <v/>
      </c>
      <c r="B1780" t="str">
        <f>IF(VIPcric_1!B1762="","",VIPcric_1!B1762)</f>
        <v/>
      </c>
      <c r="C1780" t="str">
        <f>IF(VIPcric_1!C1762="","",VIPcric_1!C1762)</f>
        <v/>
      </c>
      <c r="D1780" t="str">
        <f>IF(VIPcric_1!D1762="","",VIPcric_1!D1762)</f>
        <v/>
      </c>
      <c r="E1780" t="str">
        <f>IF(VIPcric_1!E1762="","",VIPcric_1!E1762)</f>
        <v/>
      </c>
      <c r="F1780" t="str">
        <f>IF(VIPcric_1!F1762="","",VIPcric_1!F1762)</f>
        <v/>
      </c>
      <c r="G1780" t="str">
        <f>IF(VIPcric_1!G1762="","",VIPcric_1!G1762)</f>
        <v/>
      </c>
      <c r="H1780" t="str">
        <f>IF(VIPcric_1!H1762="","",VIPcric_1!H1762)</f>
        <v/>
      </c>
      <c r="I1780" t="str">
        <f>IF(VIPcric_1!M1762="","",VIPcric_1!M1762)</f>
        <v/>
      </c>
    </row>
    <row r="1781" spans="1:9">
      <c r="A1781" t="str">
        <f>IF(VIPcric_1!A1763="","",VIPcric_1!A1763)</f>
        <v/>
      </c>
      <c r="B1781" t="str">
        <f>IF(VIPcric_1!B1763="","",VIPcric_1!B1763)</f>
        <v/>
      </c>
      <c r="C1781" t="str">
        <f>IF(VIPcric_1!C1763="","",VIPcric_1!C1763)</f>
        <v/>
      </c>
      <c r="D1781" t="str">
        <f>IF(VIPcric_1!D1763="","",VIPcric_1!D1763)</f>
        <v/>
      </c>
      <c r="E1781" t="str">
        <f>IF(VIPcric_1!E1763="","",VIPcric_1!E1763)</f>
        <v/>
      </c>
      <c r="F1781" t="str">
        <f>IF(VIPcric_1!F1763="","",VIPcric_1!F1763)</f>
        <v/>
      </c>
      <c r="G1781" t="str">
        <f>IF(VIPcric_1!G1763="","",VIPcric_1!G1763)</f>
        <v/>
      </c>
      <c r="H1781" t="str">
        <f>IF(VIPcric_1!H1763="","",VIPcric_1!H1763)</f>
        <v/>
      </c>
      <c r="I1781" t="str">
        <f>IF(VIPcric_1!M1763="","",VIPcric_1!M1763)</f>
        <v>CRIC-海口-市场监测.商品房市场.项目累计.库存.xlsx</v>
      </c>
    </row>
    <row r="1782" spans="1:9">
      <c r="A1782" t="str">
        <f>IF(VIPcric_1!A1764="","",VIPcric_1!A1764)</f>
        <v>时间(年)</v>
      </c>
      <c r="B1782" t="str">
        <f>IF(VIPcric_1!B1764="","",VIPcric_1!B1764)</f>
        <v>库存面积(㎡)</v>
      </c>
      <c r="C1782" t="str">
        <f>IF(VIPcric_1!C1764="","",VIPcric_1!C1764)</f>
        <v>库存套数(套)</v>
      </c>
      <c r="D1782" t="str">
        <f>IF(VIPcric_1!D1764="","",VIPcric_1!D1764)</f>
        <v>去化周期12'(月)</v>
      </c>
      <c r="E1782" t="str">
        <f>IF(VIPcric_1!E1764="","",VIPcric_1!E1764)</f>
        <v/>
      </c>
      <c r="F1782" t="str">
        <f>IF(VIPcric_1!F1764="","",VIPcric_1!F1764)</f>
        <v/>
      </c>
      <c r="G1782" t="str">
        <f>IF(VIPcric_1!G1764="","",VIPcric_1!G1764)</f>
        <v/>
      </c>
      <c r="H1782" t="str">
        <f>IF(VIPcric_1!H1764="","",VIPcric_1!H1764)</f>
        <v/>
      </c>
      <c r="I1782" t="str">
        <f>IF(VIPcric_1!M1764="","",VIPcric_1!M1764)</f>
        <v>CRIC-海口-市场监测.商品房市场.项目累计.库存.xlsx</v>
      </c>
    </row>
    <row r="1783" spans="1:9">
      <c r="A1783" t="str">
        <f>IF(VIPcric_1!A1765="","",VIPcric_1!A1765)</f>
        <v>2023年</v>
      </c>
      <c r="B1783">
        <f>IF(VIPcric_1!B1765="","",VIPcric_1!B1765)</f>
        <v>4042394</v>
      </c>
      <c r="C1783">
        <f>IF(VIPcric_1!C1765="","",VIPcric_1!C1765)</f>
        <v>38193</v>
      </c>
      <c r="D1783">
        <f>IF(VIPcric_1!D1765="","",VIPcric_1!D1765)</f>
        <v>19.399999999999999</v>
      </c>
      <c r="E1783" t="str">
        <f>IF(VIPcric_1!E1765="","",VIPcric_1!E1765)</f>
        <v/>
      </c>
      <c r="F1783" t="str">
        <f>IF(VIPcric_1!F1765="","",VIPcric_1!F1765)</f>
        <v/>
      </c>
      <c r="G1783" t="str">
        <f>IF(VIPcric_1!G1765="","",VIPcric_1!G1765)</f>
        <v/>
      </c>
      <c r="H1783" t="str">
        <f>IF(VIPcric_1!H1765="","",VIPcric_1!H1765)</f>
        <v/>
      </c>
      <c r="I1783" t="str">
        <f>IF(VIPcric_1!M1765="","",VIPcric_1!M1765)</f>
        <v>CRIC-海口-市场监测.商品房市场.项目累计.库存.xlsx</v>
      </c>
    </row>
    <row r="1784" spans="1:9">
      <c r="A1784" t="str">
        <f>IF(VIPcric_1!A1766="","",VIPcric_1!A1766)</f>
        <v>2022年</v>
      </c>
      <c r="B1784">
        <f>IF(VIPcric_1!B1766="","",VIPcric_1!B1766)</f>
        <v>3575076</v>
      </c>
      <c r="C1784">
        <f>IF(VIPcric_1!C1766="","",VIPcric_1!C1766)</f>
        <v>34611</v>
      </c>
      <c r="D1784">
        <f>IF(VIPcric_1!D1766="","",VIPcric_1!D1766)</f>
        <v>17.5</v>
      </c>
      <c r="E1784" t="str">
        <f>IF(VIPcric_1!E1766="","",VIPcric_1!E1766)</f>
        <v/>
      </c>
      <c r="F1784" t="str">
        <f>IF(VIPcric_1!F1766="","",VIPcric_1!F1766)</f>
        <v/>
      </c>
      <c r="G1784" t="str">
        <f>IF(VIPcric_1!G1766="","",VIPcric_1!G1766)</f>
        <v/>
      </c>
      <c r="H1784" t="str">
        <f>IF(VIPcric_1!H1766="","",VIPcric_1!H1766)</f>
        <v/>
      </c>
      <c r="I1784" t="str">
        <f>IF(VIPcric_1!M1766="","",VIPcric_1!M1766)</f>
        <v>CRIC-海口-市场监测.商品房市场.项目累计.库存.xlsx</v>
      </c>
    </row>
    <row r="1785" spans="1:9">
      <c r="A1785" t="str">
        <f>IF(VIPcric_1!A1767="","",VIPcric_1!A1767)</f>
        <v>2021年</v>
      </c>
      <c r="B1785">
        <f>IF(VIPcric_1!B1767="","",VIPcric_1!B1767)</f>
        <v>2515184</v>
      </c>
      <c r="C1785">
        <f>IF(VIPcric_1!C1767="","",VIPcric_1!C1767)</f>
        <v>26199</v>
      </c>
      <c r="D1785">
        <f>IF(VIPcric_1!D1767="","",VIPcric_1!D1767)</f>
        <v>7.2</v>
      </c>
      <c r="E1785" t="str">
        <f>IF(VIPcric_1!E1767="","",VIPcric_1!E1767)</f>
        <v/>
      </c>
      <c r="F1785" t="str">
        <f>IF(VIPcric_1!F1767="","",VIPcric_1!F1767)</f>
        <v/>
      </c>
      <c r="G1785" t="str">
        <f>IF(VIPcric_1!G1767="","",VIPcric_1!G1767)</f>
        <v/>
      </c>
      <c r="H1785" t="str">
        <f>IF(VIPcric_1!H1767="","",VIPcric_1!H1767)</f>
        <v/>
      </c>
      <c r="I1785" t="str">
        <f>IF(VIPcric_1!M1767="","",VIPcric_1!M1767)</f>
        <v>CRIC-海口-市场监测.商品房市场.项目累计.库存.xlsx</v>
      </c>
    </row>
    <row r="1786" spans="1:9">
      <c r="A1786" t="str">
        <f>IF(VIPcric_1!A1768="","",VIPcric_1!A1768)</f>
        <v/>
      </c>
      <c r="B1786" t="str">
        <f>IF(VIPcric_1!B1768="","",VIPcric_1!B1768)</f>
        <v/>
      </c>
      <c r="C1786" t="str">
        <f>IF(VIPcric_1!C1768="","",VIPcric_1!C1768)</f>
        <v/>
      </c>
      <c r="D1786" t="str">
        <f>IF(VIPcric_1!D1768="","",VIPcric_1!D1768)</f>
        <v/>
      </c>
      <c r="E1786" t="str">
        <f>IF(VIPcric_1!E1768="","",VIPcric_1!E1768)</f>
        <v/>
      </c>
      <c r="F1786" t="str">
        <f>IF(VIPcric_1!F1768="","",VIPcric_1!F1768)</f>
        <v/>
      </c>
      <c r="G1786" t="str">
        <f>IF(VIPcric_1!G1768="","",VIPcric_1!G1768)</f>
        <v/>
      </c>
      <c r="H1786" t="str">
        <f>IF(VIPcric_1!H1768="","",VIPcric_1!H1768)</f>
        <v/>
      </c>
      <c r="I1786" t="str">
        <f>IF(VIPcric_1!M1768="","",VIPcric_1!M1768)</f>
        <v/>
      </c>
    </row>
    <row r="1787" spans="1:9">
      <c r="A1787" t="str">
        <f>IF(VIPcric_1!A1769="","",VIPcric_1!A1769)</f>
        <v/>
      </c>
      <c r="B1787" t="str">
        <f>IF(VIPcric_1!B1769="","",VIPcric_1!B1769)</f>
        <v/>
      </c>
      <c r="C1787" t="str">
        <f>IF(VIPcric_1!C1769="","",VIPcric_1!C1769)</f>
        <v/>
      </c>
      <c r="D1787" t="str">
        <f>IF(VIPcric_1!D1769="","",VIPcric_1!D1769)</f>
        <v/>
      </c>
      <c r="E1787" t="str">
        <f>IF(VIPcric_1!E1769="","",VIPcric_1!E1769)</f>
        <v/>
      </c>
      <c r="F1787" t="str">
        <f>IF(VIPcric_1!F1769="","",VIPcric_1!F1769)</f>
        <v/>
      </c>
      <c r="G1787" t="str">
        <f>IF(VIPcric_1!G1769="","",VIPcric_1!G1769)</f>
        <v/>
      </c>
      <c r="H1787" t="str">
        <f>IF(VIPcric_1!H1769="","",VIPcric_1!H1769)</f>
        <v/>
      </c>
      <c r="I1787" t="str">
        <f>IF(VIPcric_1!M1769="","",VIPcric_1!M1769)</f>
        <v>CRIC-海宁-市场监测.商品房市场.项目累计.供求.xlsx</v>
      </c>
    </row>
    <row r="1788" spans="1:9">
      <c r="A1788" t="str">
        <f>IF(VIPcric_1!A1770="","",VIPcric_1!A1770)</f>
        <v>时间(年)</v>
      </c>
      <c r="B1788" t="str">
        <f>IF(VIPcric_1!B1770="","",VIPcric_1!B1770)</f>
        <v>供应面积(㎡)</v>
      </c>
      <c r="C1788" t="str">
        <f>IF(VIPcric_1!C1770="","",VIPcric_1!C1770)</f>
        <v>供应套数(套)</v>
      </c>
      <c r="D1788" t="str">
        <f>IF(VIPcric_1!D1770="","",VIPcric_1!D1770)</f>
        <v>成交面积(㎡)</v>
      </c>
      <c r="E1788" t="str">
        <f>IF(VIPcric_1!E1770="","",VIPcric_1!E1770)</f>
        <v>成交套数(套)</v>
      </c>
      <c r="F1788" t="str">
        <f>IF(VIPcric_1!F1770="","",VIPcric_1!F1770)</f>
        <v>成交均价(元/㎡)</v>
      </c>
      <c r="G1788" t="str">
        <f>IF(VIPcric_1!G1770="","",VIPcric_1!G1770)</f>
        <v>成交金额(元)</v>
      </c>
      <c r="H1788" t="str">
        <f>IF(VIPcric_1!H1770="","",VIPcric_1!H1770)</f>
        <v>供求比</v>
      </c>
      <c r="I1788" t="str">
        <f>IF(VIPcric_1!M1770="","",VIPcric_1!M1770)</f>
        <v>CRIC-海宁-市场监测.商品房市场.项目累计.供求.xlsx</v>
      </c>
    </row>
    <row r="1789" spans="1:9">
      <c r="A1789" t="str">
        <f>IF(VIPcric_1!A1771="","",VIPcric_1!A1771)</f>
        <v>2023年</v>
      </c>
      <c r="B1789">
        <f>IF(VIPcric_1!B1771="","",VIPcric_1!B1771)</f>
        <v>251822</v>
      </c>
      <c r="C1789">
        <f>IF(VIPcric_1!C1771="","",VIPcric_1!C1771)</f>
        <v>2244</v>
      </c>
      <c r="D1789">
        <f>IF(VIPcric_1!D1771="","",VIPcric_1!D1771)</f>
        <v>162993</v>
      </c>
      <c r="E1789">
        <f>IF(VIPcric_1!E1771="","",VIPcric_1!E1771)</f>
        <v>1526</v>
      </c>
      <c r="F1789">
        <f>IF(VIPcric_1!F1771="","",VIPcric_1!F1771)</f>
        <v>19706</v>
      </c>
      <c r="G1789">
        <f>IF(VIPcric_1!G1771="","",VIPcric_1!G1771)</f>
        <v>3211890482</v>
      </c>
      <c r="H1789">
        <f>IF(VIPcric_1!H1771="","",VIPcric_1!H1771)</f>
        <v>1.54</v>
      </c>
      <c r="I1789" t="str">
        <f>IF(VIPcric_1!M1771="","",VIPcric_1!M1771)</f>
        <v>CRIC-海宁-市场监测.商品房市场.项目累计.供求.xlsx</v>
      </c>
    </row>
    <row r="1790" spans="1:9">
      <c r="A1790" t="str">
        <f>IF(VIPcric_1!A1772="","",VIPcric_1!A1772)</f>
        <v>2022年</v>
      </c>
      <c r="B1790">
        <f>IF(VIPcric_1!B1772="","",VIPcric_1!B1772)</f>
        <v>780755</v>
      </c>
      <c r="C1790">
        <f>IF(VIPcric_1!C1772="","",VIPcric_1!C1772)</f>
        <v>6956</v>
      </c>
      <c r="D1790">
        <f>IF(VIPcric_1!D1772="","",VIPcric_1!D1772)</f>
        <v>731576</v>
      </c>
      <c r="E1790">
        <f>IF(VIPcric_1!E1772="","",VIPcric_1!E1772)</f>
        <v>6765</v>
      </c>
      <c r="F1790">
        <f>IF(VIPcric_1!F1772="","",VIPcric_1!F1772)</f>
        <v>19538</v>
      </c>
      <c r="G1790">
        <f>IF(VIPcric_1!G1772="","",VIPcric_1!G1772)</f>
        <v>14293393652</v>
      </c>
      <c r="H1790">
        <f>IF(VIPcric_1!H1772="","",VIPcric_1!H1772)</f>
        <v>1.07</v>
      </c>
      <c r="I1790" t="str">
        <f>IF(VIPcric_1!M1772="","",VIPcric_1!M1772)</f>
        <v>CRIC-海宁-市场监测.商品房市场.项目累计.供求.xlsx</v>
      </c>
    </row>
    <row r="1791" spans="1:9">
      <c r="A1791" t="str">
        <f>IF(VIPcric_1!A1773="","",VIPcric_1!A1773)</f>
        <v>2021年</v>
      </c>
      <c r="B1791">
        <f>IF(VIPcric_1!B1773="","",VIPcric_1!B1773)</f>
        <v>1094410</v>
      </c>
      <c r="C1791">
        <f>IF(VIPcric_1!C1773="","",VIPcric_1!C1773)</f>
        <v>9583</v>
      </c>
      <c r="D1791">
        <f>IF(VIPcric_1!D1773="","",VIPcric_1!D1773)</f>
        <v>1326137</v>
      </c>
      <c r="E1791">
        <f>IF(VIPcric_1!E1773="","",VIPcric_1!E1773)</f>
        <v>12604</v>
      </c>
      <c r="F1791">
        <f>IF(VIPcric_1!F1773="","",VIPcric_1!F1773)</f>
        <v>18732</v>
      </c>
      <c r="G1791">
        <f>IF(VIPcric_1!G1773="","",VIPcric_1!G1773)</f>
        <v>24841567648</v>
      </c>
      <c r="H1791">
        <f>IF(VIPcric_1!H1773="","",VIPcric_1!H1773)</f>
        <v>0.83</v>
      </c>
      <c r="I1791" t="str">
        <f>IF(VIPcric_1!M1773="","",VIPcric_1!M1773)</f>
        <v>CRIC-海宁-市场监测.商品房市场.项目累计.供求.xlsx</v>
      </c>
    </row>
    <row r="1792" spans="1:9">
      <c r="A1792" t="str">
        <f>IF(VIPcric_1!A1774="","",VIPcric_1!A1774)</f>
        <v>2020年</v>
      </c>
      <c r="B1792">
        <f>IF(VIPcric_1!B1774="","",VIPcric_1!B1774)</f>
        <v>1673435</v>
      </c>
      <c r="C1792">
        <f>IF(VIPcric_1!C1774="","",VIPcric_1!C1774)</f>
        <v>15959</v>
      </c>
      <c r="D1792">
        <f>IF(VIPcric_1!D1774="","",VIPcric_1!D1774)</f>
        <v>1559662</v>
      </c>
      <c r="E1792">
        <f>IF(VIPcric_1!E1774="","",VIPcric_1!E1774)</f>
        <v>14835</v>
      </c>
      <c r="F1792">
        <f>IF(VIPcric_1!F1774="","",VIPcric_1!F1774)</f>
        <v>17847</v>
      </c>
      <c r="G1792">
        <f>IF(VIPcric_1!G1774="","",VIPcric_1!G1774)</f>
        <v>27834600393</v>
      </c>
      <c r="H1792">
        <f>IF(VIPcric_1!H1774="","",VIPcric_1!H1774)</f>
        <v>1.07</v>
      </c>
      <c r="I1792" t="str">
        <f>IF(VIPcric_1!M1774="","",VIPcric_1!M1774)</f>
        <v>CRIC-海宁-市场监测.商品房市场.项目累计.供求.xlsx</v>
      </c>
    </row>
    <row r="1793" spans="1:9">
      <c r="A1793" t="str">
        <f>IF(VIPcric_1!A1775="","",VIPcric_1!A1775)</f>
        <v>2019年</v>
      </c>
      <c r="B1793">
        <f>IF(VIPcric_1!B1775="","",VIPcric_1!B1775)</f>
        <v>0</v>
      </c>
      <c r="C1793">
        <f>IF(VIPcric_1!C1775="","",VIPcric_1!C1775)</f>
        <v>0</v>
      </c>
      <c r="D1793">
        <f>IF(VIPcric_1!D1775="","",VIPcric_1!D1775)</f>
        <v>0</v>
      </c>
      <c r="E1793">
        <f>IF(VIPcric_1!E1775="","",VIPcric_1!E1775)</f>
        <v>0</v>
      </c>
      <c r="F1793">
        <f>IF(VIPcric_1!F1775="","",VIPcric_1!F1775)</f>
        <v>0</v>
      </c>
      <c r="G1793">
        <f>IF(VIPcric_1!G1775="","",VIPcric_1!G1775)</f>
        <v>0</v>
      </c>
      <c r="H1793">
        <f>IF(VIPcric_1!H1775="","",VIPcric_1!H1775)</f>
        <v>0</v>
      </c>
      <c r="I1793" t="str">
        <f>IF(VIPcric_1!M1775="","",VIPcric_1!M1775)</f>
        <v>CRIC-海宁-市场监测.商品房市场.项目累计.供求.xlsx</v>
      </c>
    </row>
    <row r="1794" spans="1:9">
      <c r="A1794" t="str">
        <f>IF(VIPcric_1!A1776="","",VIPcric_1!A1776)</f>
        <v>2018年</v>
      </c>
      <c r="B1794">
        <f>IF(VIPcric_1!B1776="","",VIPcric_1!B1776)</f>
        <v>2323135</v>
      </c>
      <c r="C1794">
        <f>IF(VIPcric_1!C1776="","",VIPcric_1!C1776)</f>
        <v>23090</v>
      </c>
      <c r="D1794">
        <f>IF(VIPcric_1!D1776="","",VIPcric_1!D1776)</f>
        <v>1694240</v>
      </c>
      <c r="E1794">
        <f>IF(VIPcric_1!E1776="","",VIPcric_1!E1776)</f>
        <v>16315</v>
      </c>
      <c r="F1794">
        <f>IF(VIPcric_1!F1776="","",VIPcric_1!F1776)</f>
        <v>15309</v>
      </c>
      <c r="G1794">
        <f>IF(VIPcric_1!G1776="","",VIPcric_1!G1776)</f>
        <v>25936278835</v>
      </c>
      <c r="H1794">
        <f>IF(VIPcric_1!H1776="","",VIPcric_1!H1776)</f>
        <v>1.37</v>
      </c>
      <c r="I1794" t="str">
        <f>IF(VIPcric_1!M1776="","",VIPcric_1!M1776)</f>
        <v>CRIC-海宁-市场监测.商品房市场.项目累计.供求.xlsx</v>
      </c>
    </row>
    <row r="1795" spans="1:9">
      <c r="A1795" t="str">
        <f>IF(VIPcric_1!A1777="","",VIPcric_1!A1777)</f>
        <v>汇总</v>
      </c>
      <c r="B1795">
        <f>IF(VIPcric_1!B1777="","",VIPcric_1!B1777)</f>
        <v>6123557</v>
      </c>
      <c r="C1795">
        <f>IF(VIPcric_1!C1777="","",VIPcric_1!C1777)</f>
        <v>57832</v>
      </c>
      <c r="D1795">
        <f>IF(VIPcric_1!D1777="","",VIPcric_1!D1777)</f>
        <v>5474607</v>
      </c>
      <c r="E1795">
        <f>IF(VIPcric_1!E1777="","",VIPcric_1!E1777)</f>
        <v>52045</v>
      </c>
      <c r="F1795">
        <f>IF(VIPcric_1!F1777="","",VIPcric_1!F1777)</f>
        <v>17557</v>
      </c>
      <c r="G1795">
        <f>IF(VIPcric_1!G1777="","",VIPcric_1!G1777)</f>
        <v>96117731009</v>
      </c>
      <c r="H1795">
        <f>IF(VIPcric_1!H1777="","",VIPcric_1!H1777)</f>
        <v>1.1200000000000001</v>
      </c>
      <c r="I1795" t="str">
        <f>IF(VIPcric_1!M1777="","",VIPcric_1!M1777)</f>
        <v>CRIC-海宁-市场监测.商品房市场.项目累计.供求.xlsx</v>
      </c>
    </row>
    <row r="1796" spans="1:9">
      <c r="A1796" t="str">
        <f>IF(VIPcric_1!A1778="","",VIPcric_1!A1778)</f>
        <v/>
      </c>
      <c r="B1796" t="str">
        <f>IF(VIPcric_1!B1778="","",VIPcric_1!B1778)</f>
        <v/>
      </c>
      <c r="C1796" t="str">
        <f>IF(VIPcric_1!C1778="","",VIPcric_1!C1778)</f>
        <v/>
      </c>
      <c r="D1796" t="str">
        <f>IF(VIPcric_1!D1778="","",VIPcric_1!D1778)</f>
        <v/>
      </c>
      <c r="E1796" t="str">
        <f>IF(VIPcric_1!E1778="","",VIPcric_1!E1778)</f>
        <v/>
      </c>
      <c r="F1796" t="str">
        <f>IF(VIPcric_1!F1778="","",VIPcric_1!F1778)</f>
        <v/>
      </c>
      <c r="G1796" t="str">
        <f>IF(VIPcric_1!G1778="","",VIPcric_1!G1778)</f>
        <v/>
      </c>
      <c r="H1796" t="str">
        <f>IF(VIPcric_1!H1778="","",VIPcric_1!H1778)</f>
        <v/>
      </c>
      <c r="I1796" t="str">
        <f>IF(VIPcric_1!M1778="","",VIPcric_1!M1778)</f>
        <v/>
      </c>
    </row>
    <row r="1797" spans="1:9">
      <c r="A1797" t="str">
        <f>IF(VIPcric_1!A1779="","",VIPcric_1!A1779)</f>
        <v/>
      </c>
      <c r="B1797" t="str">
        <f>IF(VIPcric_1!B1779="","",VIPcric_1!B1779)</f>
        <v/>
      </c>
      <c r="C1797" t="str">
        <f>IF(VIPcric_1!C1779="","",VIPcric_1!C1779)</f>
        <v/>
      </c>
      <c r="D1797" t="str">
        <f>IF(VIPcric_1!D1779="","",VIPcric_1!D1779)</f>
        <v/>
      </c>
      <c r="E1797" t="str">
        <f>IF(VIPcric_1!E1779="","",VIPcric_1!E1779)</f>
        <v/>
      </c>
      <c r="F1797" t="str">
        <f>IF(VIPcric_1!F1779="","",VIPcric_1!F1779)</f>
        <v/>
      </c>
      <c r="G1797" t="str">
        <f>IF(VIPcric_1!G1779="","",VIPcric_1!G1779)</f>
        <v/>
      </c>
      <c r="H1797" t="str">
        <f>IF(VIPcric_1!H1779="","",VIPcric_1!H1779)</f>
        <v/>
      </c>
      <c r="I1797" t="str">
        <f>IF(VIPcric_1!M1779="","",VIPcric_1!M1779)</f>
        <v>CRIC-海宁-市场监测.商品房市场.项目累计.库存.xlsx</v>
      </c>
    </row>
    <row r="1798" spans="1:9">
      <c r="A1798" t="str">
        <f>IF(VIPcric_1!A1780="","",VIPcric_1!A1780)</f>
        <v>时间(年)</v>
      </c>
      <c r="B1798" t="str">
        <f>IF(VIPcric_1!B1780="","",VIPcric_1!B1780)</f>
        <v>库存面积(㎡)</v>
      </c>
      <c r="C1798" t="str">
        <f>IF(VIPcric_1!C1780="","",VIPcric_1!C1780)</f>
        <v>库存套数(套)</v>
      </c>
      <c r="D1798" t="str">
        <f>IF(VIPcric_1!D1780="","",VIPcric_1!D1780)</f>
        <v>去化周期12'(月)</v>
      </c>
      <c r="E1798" t="str">
        <f>IF(VIPcric_1!E1780="","",VIPcric_1!E1780)</f>
        <v/>
      </c>
      <c r="F1798" t="str">
        <f>IF(VIPcric_1!F1780="","",VIPcric_1!F1780)</f>
        <v/>
      </c>
      <c r="G1798" t="str">
        <f>IF(VIPcric_1!G1780="","",VIPcric_1!G1780)</f>
        <v/>
      </c>
      <c r="H1798" t="str">
        <f>IF(VIPcric_1!H1780="","",VIPcric_1!H1780)</f>
        <v/>
      </c>
      <c r="I1798" t="str">
        <f>IF(VIPcric_1!M1780="","",VIPcric_1!M1780)</f>
        <v>CRIC-海宁-市场监测.商品房市场.项目累计.库存.xlsx</v>
      </c>
    </row>
    <row r="1799" spans="1:9">
      <c r="A1799" t="str">
        <f>IF(VIPcric_1!A1781="","",VIPcric_1!A1781)</f>
        <v>2023年</v>
      </c>
      <c r="B1799">
        <f>IF(VIPcric_1!B1781="","",VIPcric_1!B1781)</f>
        <v>1394235</v>
      </c>
      <c r="C1799">
        <f>IF(VIPcric_1!C1781="","",VIPcric_1!C1781)</f>
        <v>12606</v>
      </c>
      <c r="D1799">
        <f>IF(VIPcric_1!D1781="","",VIPcric_1!D1781)</f>
        <v>39.200000000000003</v>
      </c>
      <c r="E1799" t="str">
        <f>IF(VIPcric_1!E1781="","",VIPcric_1!E1781)</f>
        <v/>
      </c>
      <c r="F1799" t="str">
        <f>IF(VIPcric_1!F1781="","",VIPcric_1!F1781)</f>
        <v/>
      </c>
      <c r="G1799" t="str">
        <f>IF(VIPcric_1!G1781="","",VIPcric_1!G1781)</f>
        <v/>
      </c>
      <c r="H1799" t="str">
        <f>IF(VIPcric_1!H1781="","",VIPcric_1!H1781)</f>
        <v/>
      </c>
      <c r="I1799" t="str">
        <f>IF(VIPcric_1!M1781="","",VIPcric_1!M1781)</f>
        <v>CRIC-海宁-市场监测.商品房市场.项目累计.库存.xlsx</v>
      </c>
    </row>
    <row r="1800" spans="1:9">
      <c r="A1800" t="str">
        <f>IF(VIPcric_1!A1782="","",VIPcric_1!A1782)</f>
        <v>2022年</v>
      </c>
      <c r="B1800">
        <f>IF(VIPcric_1!B1782="","",VIPcric_1!B1782)</f>
        <v>1329730</v>
      </c>
      <c r="C1800">
        <f>IF(VIPcric_1!C1782="","",VIPcric_1!C1782)</f>
        <v>12017</v>
      </c>
      <c r="D1800">
        <f>IF(VIPcric_1!D1782="","",VIPcric_1!D1782)</f>
        <v>21.8</v>
      </c>
      <c r="E1800" t="str">
        <f>IF(VIPcric_1!E1782="","",VIPcric_1!E1782)</f>
        <v/>
      </c>
      <c r="F1800" t="str">
        <f>IF(VIPcric_1!F1782="","",VIPcric_1!F1782)</f>
        <v/>
      </c>
      <c r="G1800" t="str">
        <f>IF(VIPcric_1!G1782="","",VIPcric_1!G1782)</f>
        <v/>
      </c>
      <c r="H1800" t="str">
        <f>IF(VIPcric_1!H1782="","",VIPcric_1!H1782)</f>
        <v/>
      </c>
      <c r="I1800" t="str">
        <f>IF(VIPcric_1!M1782="","",VIPcric_1!M1782)</f>
        <v>CRIC-海宁-市场监测.商品房市场.项目累计.库存.xlsx</v>
      </c>
    </row>
    <row r="1801" spans="1:9">
      <c r="A1801" t="str">
        <f>IF(VIPcric_1!A1783="","",VIPcric_1!A1783)</f>
        <v>2021年</v>
      </c>
      <c r="B1801">
        <f>IF(VIPcric_1!B1783="","",VIPcric_1!B1783)</f>
        <v>1141356</v>
      </c>
      <c r="C1801">
        <f>IF(VIPcric_1!C1783="","",VIPcric_1!C1783)</f>
        <v>10862</v>
      </c>
      <c r="D1801">
        <f>IF(VIPcric_1!D1783="","",VIPcric_1!D1783)</f>
        <v>10.3</v>
      </c>
      <c r="E1801" t="str">
        <f>IF(VIPcric_1!E1783="","",VIPcric_1!E1783)</f>
        <v/>
      </c>
      <c r="F1801" t="str">
        <f>IF(VIPcric_1!F1783="","",VIPcric_1!F1783)</f>
        <v/>
      </c>
      <c r="G1801" t="str">
        <f>IF(VIPcric_1!G1783="","",VIPcric_1!G1783)</f>
        <v/>
      </c>
      <c r="H1801" t="str">
        <f>IF(VIPcric_1!H1783="","",VIPcric_1!H1783)</f>
        <v/>
      </c>
      <c r="I1801" t="str">
        <f>IF(VIPcric_1!M1783="","",VIPcric_1!M1783)</f>
        <v>CRIC-海宁-市场监测.商品房市场.项目累计.库存.xlsx</v>
      </c>
    </row>
    <row r="1802" spans="1:9">
      <c r="A1802" t="str">
        <f>IF(VIPcric_1!A1784="","",VIPcric_1!A1784)</f>
        <v>2020年</v>
      </c>
      <c r="B1802">
        <f>IF(VIPcric_1!B1784="","",VIPcric_1!B1784)</f>
        <v>1352551</v>
      </c>
      <c r="C1802">
        <f>IF(VIPcric_1!C1784="","",VIPcric_1!C1784)</f>
        <v>13719</v>
      </c>
      <c r="D1802">
        <f>IF(VIPcric_1!D1784="","",VIPcric_1!D1784)</f>
        <v>10.4</v>
      </c>
      <c r="E1802" t="str">
        <f>IF(VIPcric_1!E1784="","",VIPcric_1!E1784)</f>
        <v/>
      </c>
      <c r="F1802" t="str">
        <f>IF(VIPcric_1!F1784="","",VIPcric_1!F1784)</f>
        <v/>
      </c>
      <c r="G1802" t="str">
        <f>IF(VIPcric_1!G1784="","",VIPcric_1!G1784)</f>
        <v/>
      </c>
      <c r="H1802" t="str">
        <f>IF(VIPcric_1!H1784="","",VIPcric_1!H1784)</f>
        <v/>
      </c>
      <c r="I1802" t="str">
        <f>IF(VIPcric_1!M1784="","",VIPcric_1!M1784)</f>
        <v>CRIC-海宁-市场监测.商品房市场.项目累计.库存.xlsx</v>
      </c>
    </row>
    <row r="1803" spans="1:9">
      <c r="A1803" t="str">
        <f>IF(VIPcric_1!A1785="","",VIPcric_1!A1785)</f>
        <v>2019年</v>
      </c>
      <c r="B1803">
        <f>IF(VIPcric_1!B1785="","",VIPcric_1!B1785)</f>
        <v>0</v>
      </c>
      <c r="C1803">
        <f>IF(VIPcric_1!C1785="","",VIPcric_1!C1785)</f>
        <v>0</v>
      </c>
      <c r="D1803">
        <f>IF(VIPcric_1!D1785="","",VIPcric_1!D1785)</f>
        <v>0</v>
      </c>
      <c r="E1803" t="str">
        <f>IF(VIPcric_1!E1785="","",VIPcric_1!E1785)</f>
        <v/>
      </c>
      <c r="F1803" t="str">
        <f>IF(VIPcric_1!F1785="","",VIPcric_1!F1785)</f>
        <v/>
      </c>
      <c r="G1803" t="str">
        <f>IF(VIPcric_1!G1785="","",VIPcric_1!G1785)</f>
        <v/>
      </c>
      <c r="H1803" t="str">
        <f>IF(VIPcric_1!H1785="","",VIPcric_1!H1785)</f>
        <v/>
      </c>
      <c r="I1803" t="str">
        <f>IF(VIPcric_1!M1785="","",VIPcric_1!M1785)</f>
        <v>CRIC-海宁-市场监测.商品房市场.项目累计.库存.xlsx</v>
      </c>
    </row>
    <row r="1804" spans="1:9">
      <c r="A1804" t="str">
        <f>IF(VIPcric_1!A1786="","",VIPcric_1!A1786)</f>
        <v>2018年</v>
      </c>
      <c r="B1804">
        <f>IF(VIPcric_1!B1786="","",VIPcric_1!B1786)</f>
        <v>0</v>
      </c>
      <c r="C1804">
        <f>IF(VIPcric_1!C1786="","",VIPcric_1!C1786)</f>
        <v>0</v>
      </c>
      <c r="D1804">
        <f>IF(VIPcric_1!D1786="","",VIPcric_1!D1786)</f>
        <v>0</v>
      </c>
      <c r="E1804" t="str">
        <f>IF(VIPcric_1!E1786="","",VIPcric_1!E1786)</f>
        <v/>
      </c>
      <c r="F1804" t="str">
        <f>IF(VIPcric_1!F1786="","",VIPcric_1!F1786)</f>
        <v/>
      </c>
      <c r="G1804" t="str">
        <f>IF(VIPcric_1!G1786="","",VIPcric_1!G1786)</f>
        <v/>
      </c>
      <c r="H1804" t="str">
        <f>IF(VIPcric_1!H1786="","",VIPcric_1!H1786)</f>
        <v/>
      </c>
      <c r="I1804" t="str">
        <f>IF(VIPcric_1!M1786="","",VIPcric_1!M1786)</f>
        <v>CRIC-海宁-市场监测.商品房市场.项目累计.库存.xlsx</v>
      </c>
    </row>
    <row r="1805" spans="1:9">
      <c r="A1805" t="str">
        <f>IF(VIPcric_1!A1787="","",VIPcric_1!A1787)</f>
        <v/>
      </c>
      <c r="B1805" t="str">
        <f>IF(VIPcric_1!B1787="","",VIPcric_1!B1787)</f>
        <v/>
      </c>
      <c r="C1805" t="str">
        <f>IF(VIPcric_1!C1787="","",VIPcric_1!C1787)</f>
        <v/>
      </c>
      <c r="D1805" t="str">
        <f>IF(VIPcric_1!D1787="","",VIPcric_1!D1787)</f>
        <v/>
      </c>
      <c r="E1805" t="str">
        <f>IF(VIPcric_1!E1787="","",VIPcric_1!E1787)</f>
        <v/>
      </c>
      <c r="F1805" t="str">
        <f>IF(VIPcric_1!F1787="","",VIPcric_1!F1787)</f>
        <v/>
      </c>
      <c r="G1805" t="str">
        <f>IF(VIPcric_1!G1787="","",VIPcric_1!G1787)</f>
        <v/>
      </c>
      <c r="H1805" t="str">
        <f>IF(VIPcric_1!H1787="","",VIPcric_1!H1787)</f>
        <v/>
      </c>
      <c r="I1805" t="str">
        <f>IF(VIPcric_1!M1787="","",VIPcric_1!M1787)</f>
        <v/>
      </c>
    </row>
    <row r="1806" spans="1:9">
      <c r="A1806" t="str">
        <f>IF(VIPcric_1!A1788="","",VIPcric_1!A1788)</f>
        <v/>
      </c>
      <c r="B1806" t="str">
        <f>IF(VIPcric_1!B1788="","",VIPcric_1!B1788)</f>
        <v/>
      </c>
      <c r="C1806" t="str">
        <f>IF(VIPcric_1!C1788="","",VIPcric_1!C1788)</f>
        <v/>
      </c>
      <c r="D1806" t="str">
        <f>IF(VIPcric_1!D1788="","",VIPcric_1!D1788)</f>
        <v/>
      </c>
      <c r="E1806" t="str">
        <f>IF(VIPcric_1!E1788="","",VIPcric_1!E1788)</f>
        <v/>
      </c>
      <c r="F1806" t="str">
        <f>IF(VIPcric_1!F1788="","",VIPcric_1!F1788)</f>
        <v/>
      </c>
      <c r="G1806" t="str">
        <f>IF(VIPcric_1!G1788="","",VIPcric_1!G1788)</f>
        <v/>
      </c>
      <c r="H1806" t="str">
        <f>IF(VIPcric_1!H1788="","",VIPcric_1!H1788)</f>
        <v/>
      </c>
      <c r="I1806" t="str">
        <f>IF(VIPcric_1!M1788="","",VIPcric_1!M1788)</f>
        <v>CRIC-海西蒙古族藏族自治州-市场监测.商品房市场.项目累计.供求.xlsx</v>
      </c>
    </row>
    <row r="1807" spans="1:9">
      <c r="A1807" t="str">
        <f>IF(VIPcric_1!A1789="","",VIPcric_1!A1789)</f>
        <v>时间(年)</v>
      </c>
      <c r="B1807" t="str">
        <f>IF(VIPcric_1!B1789="","",VIPcric_1!B1789)</f>
        <v>供应面积(㎡)</v>
      </c>
      <c r="C1807" t="str">
        <f>IF(VIPcric_1!C1789="","",VIPcric_1!C1789)</f>
        <v>供应套数(套)</v>
      </c>
      <c r="D1807" t="str">
        <f>IF(VIPcric_1!D1789="","",VIPcric_1!D1789)</f>
        <v>成交面积(㎡)</v>
      </c>
      <c r="E1807" t="str">
        <f>IF(VIPcric_1!E1789="","",VIPcric_1!E1789)</f>
        <v>成交套数(套)</v>
      </c>
      <c r="F1807" t="str">
        <f>IF(VIPcric_1!F1789="","",VIPcric_1!F1789)</f>
        <v>成交均价(元/㎡)</v>
      </c>
      <c r="G1807" t="str">
        <f>IF(VIPcric_1!G1789="","",VIPcric_1!G1789)</f>
        <v>成交金额(元)</v>
      </c>
      <c r="H1807" t="str">
        <f>IF(VIPcric_1!H1789="","",VIPcric_1!H1789)</f>
        <v>供求比</v>
      </c>
      <c r="I1807" t="str">
        <f>IF(VIPcric_1!M1789="","",VIPcric_1!M1789)</f>
        <v>CRIC-海西蒙古族藏族自治州-市场监测.商品房市场.项目累计.供求.xlsx</v>
      </c>
    </row>
    <row r="1808" spans="1:9">
      <c r="A1808" t="str">
        <f>IF(VIPcric_1!A1790="","",VIPcric_1!A1790)</f>
        <v>2023年</v>
      </c>
      <c r="B1808">
        <f>IF(VIPcric_1!B1790="","",VIPcric_1!B1790)</f>
        <v>140719</v>
      </c>
      <c r="C1808">
        <f>IF(VIPcric_1!C1790="","",VIPcric_1!C1790)</f>
        <v>1097</v>
      </c>
      <c r="D1808">
        <f>IF(VIPcric_1!D1790="","",VIPcric_1!D1790)</f>
        <v>138511</v>
      </c>
      <c r="E1808">
        <f>IF(VIPcric_1!E1790="","",VIPcric_1!E1790)</f>
        <v>1130</v>
      </c>
      <c r="F1808">
        <f>IF(VIPcric_1!F1790="","",VIPcric_1!F1790)</f>
        <v>5456</v>
      </c>
      <c r="G1808">
        <f>IF(VIPcric_1!G1790="","",VIPcric_1!G1790)</f>
        <v>755735961</v>
      </c>
      <c r="H1808">
        <f>IF(VIPcric_1!H1790="","",VIPcric_1!H1790)</f>
        <v>1.02</v>
      </c>
      <c r="I1808" t="str">
        <f>IF(VIPcric_1!M1790="","",VIPcric_1!M1790)</f>
        <v>CRIC-海西蒙古族藏族自治州-市场监测.商品房市场.项目累计.供求.xlsx</v>
      </c>
    </row>
    <row r="1809" spans="1:9">
      <c r="A1809" t="str">
        <f>IF(VIPcric_1!A1791="","",VIPcric_1!A1791)</f>
        <v>2022年</v>
      </c>
      <c r="B1809">
        <f>IF(VIPcric_1!B1791="","",VIPcric_1!B1791)</f>
        <v>65250</v>
      </c>
      <c r="C1809">
        <f>IF(VIPcric_1!C1791="","",VIPcric_1!C1791)</f>
        <v>495</v>
      </c>
      <c r="D1809">
        <f>IF(VIPcric_1!D1791="","",VIPcric_1!D1791)</f>
        <v>18845</v>
      </c>
      <c r="E1809">
        <f>IF(VIPcric_1!E1791="","",VIPcric_1!E1791)</f>
        <v>159</v>
      </c>
      <c r="F1809">
        <f>IF(VIPcric_1!F1791="","",VIPcric_1!F1791)</f>
        <v>5948</v>
      </c>
      <c r="G1809">
        <f>IF(VIPcric_1!G1791="","",VIPcric_1!G1791)</f>
        <v>112086457</v>
      </c>
      <c r="H1809">
        <f>IF(VIPcric_1!H1791="","",VIPcric_1!H1791)</f>
        <v>3.46</v>
      </c>
      <c r="I1809" t="str">
        <f>IF(VIPcric_1!M1791="","",VIPcric_1!M1791)</f>
        <v>CRIC-海西蒙古族藏族自治州-市场监测.商品房市场.项目累计.供求.xlsx</v>
      </c>
    </row>
    <row r="1810" spans="1:9">
      <c r="A1810" t="str">
        <f>IF(VIPcric_1!A1792="","",VIPcric_1!A1792)</f>
        <v>2021年</v>
      </c>
      <c r="B1810">
        <f>IF(VIPcric_1!B1792="","",VIPcric_1!B1792)</f>
        <v>301777</v>
      </c>
      <c r="C1810">
        <f>IF(VIPcric_1!C1792="","",VIPcric_1!C1792)</f>
        <v>2555</v>
      </c>
      <c r="D1810">
        <f>IF(VIPcric_1!D1792="","",VIPcric_1!D1792)</f>
        <v>0</v>
      </c>
      <c r="E1810">
        <f>IF(VIPcric_1!E1792="","",VIPcric_1!E1792)</f>
        <v>0</v>
      </c>
      <c r="F1810">
        <f>IF(VIPcric_1!F1792="","",VIPcric_1!F1792)</f>
        <v>0</v>
      </c>
      <c r="G1810">
        <f>IF(VIPcric_1!G1792="","",VIPcric_1!G1792)</f>
        <v>0</v>
      </c>
      <c r="H1810">
        <f>IF(VIPcric_1!H1792="","",VIPcric_1!H1792)</f>
        <v>0</v>
      </c>
      <c r="I1810" t="str">
        <f>IF(VIPcric_1!M1792="","",VIPcric_1!M1792)</f>
        <v>CRIC-海西蒙古族藏族自治州-市场监测.商品房市场.项目累计.供求.xlsx</v>
      </c>
    </row>
    <row r="1811" spans="1:9">
      <c r="A1811" t="str">
        <f>IF(VIPcric_1!A1793="","",VIPcric_1!A1793)</f>
        <v>2020年</v>
      </c>
      <c r="B1811">
        <f>IF(VIPcric_1!B1793="","",VIPcric_1!B1793)</f>
        <v>252495</v>
      </c>
      <c r="C1811">
        <f>IF(VIPcric_1!C1793="","",VIPcric_1!C1793)</f>
        <v>1982</v>
      </c>
      <c r="D1811">
        <f>IF(VIPcric_1!D1793="","",VIPcric_1!D1793)</f>
        <v>0</v>
      </c>
      <c r="E1811">
        <f>IF(VIPcric_1!E1793="","",VIPcric_1!E1793)</f>
        <v>0</v>
      </c>
      <c r="F1811">
        <f>IF(VIPcric_1!F1793="","",VIPcric_1!F1793)</f>
        <v>0</v>
      </c>
      <c r="G1811">
        <f>IF(VIPcric_1!G1793="","",VIPcric_1!G1793)</f>
        <v>0</v>
      </c>
      <c r="H1811">
        <f>IF(VIPcric_1!H1793="","",VIPcric_1!H1793)</f>
        <v>0</v>
      </c>
      <c r="I1811" t="str">
        <f>IF(VIPcric_1!M1793="","",VIPcric_1!M1793)</f>
        <v>CRIC-海西蒙古族藏族自治州-市场监测.商品房市场.项目累计.供求.xlsx</v>
      </c>
    </row>
    <row r="1812" spans="1:9">
      <c r="A1812" t="str">
        <f>IF(VIPcric_1!A1794="","",VIPcric_1!A1794)</f>
        <v>2019年</v>
      </c>
      <c r="B1812">
        <f>IF(VIPcric_1!B1794="","",VIPcric_1!B1794)</f>
        <v>187145</v>
      </c>
      <c r="C1812">
        <f>IF(VIPcric_1!C1794="","",VIPcric_1!C1794)</f>
        <v>1702</v>
      </c>
      <c r="D1812">
        <f>IF(VIPcric_1!D1794="","",VIPcric_1!D1794)</f>
        <v>0</v>
      </c>
      <c r="E1812">
        <f>IF(VIPcric_1!E1794="","",VIPcric_1!E1794)</f>
        <v>0</v>
      </c>
      <c r="F1812">
        <f>IF(VIPcric_1!F1794="","",VIPcric_1!F1794)</f>
        <v>0</v>
      </c>
      <c r="G1812">
        <f>IF(VIPcric_1!G1794="","",VIPcric_1!G1794)</f>
        <v>0</v>
      </c>
      <c r="H1812">
        <f>IF(VIPcric_1!H1794="","",VIPcric_1!H1794)</f>
        <v>0</v>
      </c>
      <c r="I1812" t="str">
        <f>IF(VIPcric_1!M1794="","",VIPcric_1!M1794)</f>
        <v>CRIC-海西蒙古族藏族自治州-市场监测.商品房市场.项目累计.供求.xlsx</v>
      </c>
    </row>
    <row r="1813" spans="1:9">
      <c r="A1813" t="str">
        <f>IF(VIPcric_1!A1795="","",VIPcric_1!A1795)</f>
        <v>汇总</v>
      </c>
      <c r="B1813">
        <f>IF(VIPcric_1!B1795="","",VIPcric_1!B1795)</f>
        <v>947387</v>
      </c>
      <c r="C1813">
        <f>IF(VIPcric_1!C1795="","",VIPcric_1!C1795)</f>
        <v>7831</v>
      </c>
      <c r="D1813">
        <f>IF(VIPcric_1!D1795="","",VIPcric_1!D1795)</f>
        <v>157357</v>
      </c>
      <c r="E1813">
        <f>IF(VIPcric_1!E1795="","",VIPcric_1!E1795)</f>
        <v>1289</v>
      </c>
      <c r="F1813">
        <f>IF(VIPcric_1!F1795="","",VIPcric_1!F1795)</f>
        <v>5515</v>
      </c>
      <c r="G1813">
        <f>IF(VIPcric_1!G1795="","",VIPcric_1!G1795)</f>
        <v>867822417</v>
      </c>
      <c r="H1813">
        <f>IF(VIPcric_1!H1795="","",VIPcric_1!H1795)</f>
        <v>6.02</v>
      </c>
      <c r="I1813" t="str">
        <f>IF(VIPcric_1!M1795="","",VIPcric_1!M1795)</f>
        <v>CRIC-海西蒙古族藏族自治州-市场监测.商品房市场.项目累计.供求.xlsx</v>
      </c>
    </row>
    <row r="1814" spans="1:9">
      <c r="A1814" t="str">
        <f>IF(VIPcric_1!A1796="","",VIPcric_1!A1796)</f>
        <v/>
      </c>
      <c r="B1814" t="str">
        <f>IF(VIPcric_1!B1796="","",VIPcric_1!B1796)</f>
        <v/>
      </c>
      <c r="C1814" t="str">
        <f>IF(VIPcric_1!C1796="","",VIPcric_1!C1796)</f>
        <v/>
      </c>
      <c r="D1814" t="str">
        <f>IF(VIPcric_1!D1796="","",VIPcric_1!D1796)</f>
        <v/>
      </c>
      <c r="E1814" t="str">
        <f>IF(VIPcric_1!E1796="","",VIPcric_1!E1796)</f>
        <v/>
      </c>
      <c r="F1814" t="str">
        <f>IF(VIPcric_1!F1796="","",VIPcric_1!F1796)</f>
        <v/>
      </c>
      <c r="G1814" t="str">
        <f>IF(VIPcric_1!G1796="","",VIPcric_1!G1796)</f>
        <v/>
      </c>
      <c r="H1814" t="str">
        <f>IF(VIPcric_1!H1796="","",VIPcric_1!H1796)</f>
        <v/>
      </c>
      <c r="I1814" t="str">
        <f>IF(VIPcric_1!M1796="","",VIPcric_1!M1796)</f>
        <v/>
      </c>
    </row>
    <row r="1815" spans="1:9">
      <c r="A1815" t="str">
        <f>IF(VIPcric_1!A1797="","",VIPcric_1!A1797)</f>
        <v/>
      </c>
      <c r="B1815" t="str">
        <f>IF(VIPcric_1!B1797="","",VIPcric_1!B1797)</f>
        <v/>
      </c>
      <c r="C1815" t="str">
        <f>IF(VIPcric_1!C1797="","",VIPcric_1!C1797)</f>
        <v/>
      </c>
      <c r="D1815" t="str">
        <f>IF(VIPcric_1!D1797="","",VIPcric_1!D1797)</f>
        <v/>
      </c>
      <c r="E1815" t="str">
        <f>IF(VIPcric_1!E1797="","",VIPcric_1!E1797)</f>
        <v/>
      </c>
      <c r="F1815" t="str">
        <f>IF(VIPcric_1!F1797="","",VIPcric_1!F1797)</f>
        <v/>
      </c>
      <c r="G1815" t="str">
        <f>IF(VIPcric_1!G1797="","",VIPcric_1!G1797)</f>
        <v/>
      </c>
      <c r="H1815" t="str">
        <f>IF(VIPcric_1!H1797="","",VIPcric_1!H1797)</f>
        <v/>
      </c>
      <c r="I1815" t="str">
        <f>IF(VIPcric_1!M1797="","",VIPcric_1!M1797)</f>
        <v>CRIC-海西蒙古族藏族自治州-市场监测.商品房市场.项目累计.库存.xlsx</v>
      </c>
    </row>
    <row r="1816" spans="1:9">
      <c r="A1816" t="str">
        <f>IF(VIPcric_1!A1798="","",VIPcric_1!A1798)</f>
        <v>时间(年)</v>
      </c>
      <c r="B1816" t="str">
        <f>IF(VIPcric_1!B1798="","",VIPcric_1!B1798)</f>
        <v>库存面积(㎡)</v>
      </c>
      <c r="C1816" t="str">
        <f>IF(VIPcric_1!C1798="","",VIPcric_1!C1798)</f>
        <v>库存套数(套)</v>
      </c>
      <c r="D1816" t="str">
        <f>IF(VIPcric_1!D1798="","",VIPcric_1!D1798)</f>
        <v>去化周期12'(月)</v>
      </c>
      <c r="E1816" t="str">
        <f>IF(VIPcric_1!E1798="","",VIPcric_1!E1798)</f>
        <v/>
      </c>
      <c r="F1816" t="str">
        <f>IF(VIPcric_1!F1798="","",VIPcric_1!F1798)</f>
        <v/>
      </c>
      <c r="G1816" t="str">
        <f>IF(VIPcric_1!G1798="","",VIPcric_1!G1798)</f>
        <v/>
      </c>
      <c r="H1816" t="str">
        <f>IF(VIPcric_1!H1798="","",VIPcric_1!H1798)</f>
        <v/>
      </c>
      <c r="I1816" t="str">
        <f>IF(VIPcric_1!M1798="","",VIPcric_1!M1798)</f>
        <v>CRIC-海西蒙古族藏族自治州-市场监测.商品房市场.项目累计.库存.xlsx</v>
      </c>
    </row>
    <row r="1817" spans="1:9">
      <c r="A1817" t="str">
        <f>IF(VIPcric_1!A1799="","",VIPcric_1!A1799)</f>
        <v>2023年</v>
      </c>
      <c r="B1817">
        <f>IF(VIPcric_1!B1799="","",VIPcric_1!B1799)</f>
        <v>286456</v>
      </c>
      <c r="C1817">
        <f>IF(VIPcric_1!C1799="","",VIPcric_1!C1799)</f>
        <v>2362</v>
      </c>
      <c r="D1817">
        <f>IF(VIPcric_1!D1799="","",VIPcric_1!D1799)</f>
        <v>24.8</v>
      </c>
      <c r="E1817" t="str">
        <f>IF(VIPcric_1!E1799="","",VIPcric_1!E1799)</f>
        <v/>
      </c>
      <c r="F1817" t="str">
        <f>IF(VIPcric_1!F1799="","",VIPcric_1!F1799)</f>
        <v/>
      </c>
      <c r="G1817" t="str">
        <f>IF(VIPcric_1!G1799="","",VIPcric_1!G1799)</f>
        <v/>
      </c>
      <c r="H1817" t="str">
        <f>IF(VIPcric_1!H1799="","",VIPcric_1!H1799)</f>
        <v/>
      </c>
      <c r="I1817" t="str">
        <f>IF(VIPcric_1!M1799="","",VIPcric_1!M1799)</f>
        <v>CRIC-海西蒙古族藏族自治州-市场监测.商品房市场.项目累计.库存.xlsx</v>
      </c>
    </row>
    <row r="1818" spans="1:9">
      <c r="A1818" t="str">
        <f>IF(VIPcric_1!A1800="","",VIPcric_1!A1800)</f>
        <v>2022年</v>
      </c>
      <c r="B1818">
        <f>IF(VIPcric_1!B1800="","",VIPcric_1!B1800)</f>
        <v>309707</v>
      </c>
      <c r="C1818">
        <f>IF(VIPcric_1!C1800="","",VIPcric_1!C1800)</f>
        <v>2636</v>
      </c>
      <c r="D1818">
        <f>IF(VIPcric_1!D1800="","",VIPcric_1!D1800)</f>
        <v>197.2</v>
      </c>
      <c r="E1818" t="str">
        <f>IF(VIPcric_1!E1800="","",VIPcric_1!E1800)</f>
        <v/>
      </c>
      <c r="F1818" t="str">
        <f>IF(VIPcric_1!F1800="","",VIPcric_1!F1800)</f>
        <v/>
      </c>
      <c r="G1818" t="str">
        <f>IF(VIPcric_1!G1800="","",VIPcric_1!G1800)</f>
        <v/>
      </c>
      <c r="H1818" t="str">
        <f>IF(VIPcric_1!H1800="","",VIPcric_1!H1800)</f>
        <v/>
      </c>
      <c r="I1818" t="str">
        <f>IF(VIPcric_1!M1800="","",VIPcric_1!M1800)</f>
        <v>CRIC-海西蒙古族藏族自治州-市场监测.商品房市场.项目累计.库存.xlsx</v>
      </c>
    </row>
    <row r="1819" spans="1:9">
      <c r="A1819" t="str">
        <f>IF(VIPcric_1!A1801="","",VIPcric_1!A1801)</f>
        <v/>
      </c>
      <c r="B1819" t="str">
        <f>IF(VIPcric_1!B1801="","",VIPcric_1!B1801)</f>
        <v/>
      </c>
      <c r="C1819" t="str">
        <f>IF(VIPcric_1!C1801="","",VIPcric_1!C1801)</f>
        <v/>
      </c>
      <c r="D1819" t="str">
        <f>IF(VIPcric_1!D1801="","",VIPcric_1!D1801)</f>
        <v/>
      </c>
      <c r="E1819" t="str">
        <f>IF(VIPcric_1!E1801="","",VIPcric_1!E1801)</f>
        <v/>
      </c>
      <c r="F1819" t="str">
        <f>IF(VIPcric_1!F1801="","",VIPcric_1!F1801)</f>
        <v/>
      </c>
      <c r="G1819" t="str">
        <f>IF(VIPcric_1!G1801="","",VIPcric_1!G1801)</f>
        <v/>
      </c>
      <c r="H1819" t="str">
        <f>IF(VIPcric_1!H1801="","",VIPcric_1!H1801)</f>
        <v/>
      </c>
      <c r="I1819" t="str">
        <f>IF(VIPcric_1!M1801="","",VIPcric_1!M1801)</f>
        <v/>
      </c>
    </row>
    <row r="1820" spans="1:9">
      <c r="A1820" t="str">
        <f>IF(VIPcric_1!A1802="","",VIPcric_1!A1802)</f>
        <v/>
      </c>
      <c r="B1820" t="str">
        <f>IF(VIPcric_1!B1802="","",VIPcric_1!B1802)</f>
        <v/>
      </c>
      <c r="C1820" t="str">
        <f>IF(VIPcric_1!C1802="","",VIPcric_1!C1802)</f>
        <v/>
      </c>
      <c r="D1820" t="str">
        <f>IF(VIPcric_1!D1802="","",VIPcric_1!D1802)</f>
        <v/>
      </c>
      <c r="E1820" t="str">
        <f>IF(VIPcric_1!E1802="","",VIPcric_1!E1802)</f>
        <v/>
      </c>
      <c r="F1820" t="str">
        <f>IF(VIPcric_1!F1802="","",VIPcric_1!F1802)</f>
        <v/>
      </c>
      <c r="G1820" t="str">
        <f>IF(VIPcric_1!G1802="","",VIPcric_1!G1802)</f>
        <v/>
      </c>
      <c r="H1820" t="str">
        <f>IF(VIPcric_1!H1802="","",VIPcric_1!H1802)</f>
        <v/>
      </c>
      <c r="I1820" t="str">
        <f>IF(VIPcric_1!M1802="","",VIPcric_1!M1802)</f>
        <v>CRIC-淄博-市场监测.商品房市场.项目累计.供求.xlsx</v>
      </c>
    </row>
    <row r="1821" spans="1:9">
      <c r="A1821" t="str">
        <f>IF(VIPcric_1!A1803="","",VIPcric_1!A1803)</f>
        <v>时间(年)</v>
      </c>
      <c r="B1821" t="str">
        <f>IF(VIPcric_1!B1803="","",VIPcric_1!B1803)</f>
        <v>供应面积(㎡)</v>
      </c>
      <c r="C1821" t="str">
        <f>IF(VIPcric_1!C1803="","",VIPcric_1!C1803)</f>
        <v>供应套数(套)</v>
      </c>
      <c r="D1821" t="str">
        <f>IF(VIPcric_1!D1803="","",VIPcric_1!D1803)</f>
        <v>成交面积(㎡)</v>
      </c>
      <c r="E1821" t="str">
        <f>IF(VIPcric_1!E1803="","",VIPcric_1!E1803)</f>
        <v>成交套数(套)</v>
      </c>
      <c r="F1821" t="str">
        <f>IF(VIPcric_1!F1803="","",VIPcric_1!F1803)</f>
        <v>成交均价(元/㎡)</v>
      </c>
      <c r="G1821" t="str">
        <f>IF(VIPcric_1!G1803="","",VIPcric_1!G1803)</f>
        <v>成交金额(元)</v>
      </c>
      <c r="H1821" t="str">
        <f>IF(VIPcric_1!H1803="","",VIPcric_1!H1803)</f>
        <v>供求比</v>
      </c>
      <c r="I1821" t="str">
        <f>IF(VIPcric_1!M1803="","",VIPcric_1!M1803)</f>
        <v>CRIC-淄博-市场监测.商品房市场.项目累计.供求.xlsx</v>
      </c>
    </row>
    <row r="1822" spans="1:9">
      <c r="A1822" t="str">
        <f>IF(VIPcric_1!A1804="","",VIPcric_1!A1804)</f>
        <v>2024年</v>
      </c>
      <c r="B1822">
        <f>IF(VIPcric_1!B1804="","",VIPcric_1!B1804)</f>
        <v>111534</v>
      </c>
      <c r="C1822">
        <f>IF(VIPcric_1!C1804="","",VIPcric_1!C1804)</f>
        <v>745</v>
      </c>
      <c r="D1822">
        <f>IF(VIPcric_1!D1804="","",VIPcric_1!D1804)</f>
        <v>233417</v>
      </c>
      <c r="E1822">
        <f>IF(VIPcric_1!E1804="","",VIPcric_1!E1804)</f>
        <v>1825</v>
      </c>
      <c r="F1822">
        <f>IF(VIPcric_1!F1804="","",VIPcric_1!F1804)</f>
        <v>8601</v>
      </c>
      <c r="G1822">
        <f>IF(VIPcric_1!G1804="","",VIPcric_1!G1804)</f>
        <v>2007704660</v>
      </c>
      <c r="H1822">
        <f>IF(VIPcric_1!H1804="","",VIPcric_1!H1804)</f>
        <v>0.48</v>
      </c>
      <c r="I1822" t="str">
        <f>IF(VIPcric_1!M1804="","",VIPcric_1!M1804)</f>
        <v>CRIC-淄博-市场监测.商品房市场.项目累计.供求.xlsx</v>
      </c>
    </row>
    <row r="1823" spans="1:9">
      <c r="A1823" t="str">
        <f>IF(VIPcric_1!A1805="","",VIPcric_1!A1805)</f>
        <v>2023年</v>
      </c>
      <c r="B1823">
        <f>IF(VIPcric_1!B1805="","",VIPcric_1!B1805)</f>
        <v>2765160</v>
      </c>
      <c r="C1823">
        <f>IF(VIPcric_1!C1805="","",VIPcric_1!C1805)</f>
        <v>20682</v>
      </c>
      <c r="D1823">
        <f>IF(VIPcric_1!D1805="","",VIPcric_1!D1805)</f>
        <v>3133097</v>
      </c>
      <c r="E1823">
        <f>IF(VIPcric_1!E1805="","",VIPcric_1!E1805)</f>
        <v>24346</v>
      </c>
      <c r="F1823">
        <f>IF(VIPcric_1!F1805="","",VIPcric_1!F1805)</f>
        <v>8077</v>
      </c>
      <c r="G1823">
        <f>IF(VIPcric_1!G1805="","",VIPcric_1!G1805)</f>
        <v>25305576560</v>
      </c>
      <c r="H1823">
        <f>IF(VIPcric_1!H1805="","",VIPcric_1!H1805)</f>
        <v>0.88</v>
      </c>
      <c r="I1823" t="str">
        <f>IF(VIPcric_1!M1805="","",VIPcric_1!M1805)</f>
        <v>CRIC-淄博-市场监测.商品房市场.项目累计.供求.xlsx</v>
      </c>
    </row>
    <row r="1824" spans="1:9">
      <c r="A1824" t="str">
        <f>IF(VIPcric_1!A1806="","",VIPcric_1!A1806)</f>
        <v>2022年</v>
      </c>
      <c r="B1824">
        <f>IF(VIPcric_1!B1806="","",VIPcric_1!B1806)</f>
        <v>2708590</v>
      </c>
      <c r="C1824">
        <f>IF(VIPcric_1!C1806="","",VIPcric_1!C1806)</f>
        <v>20465</v>
      </c>
      <c r="D1824">
        <f>IF(VIPcric_1!D1806="","",VIPcric_1!D1806)</f>
        <v>2997918</v>
      </c>
      <c r="E1824">
        <f>IF(VIPcric_1!E1806="","",VIPcric_1!E1806)</f>
        <v>23227</v>
      </c>
      <c r="F1824">
        <f>IF(VIPcric_1!F1806="","",VIPcric_1!F1806)</f>
        <v>8456</v>
      </c>
      <c r="G1824">
        <f>IF(VIPcric_1!G1806="","",VIPcric_1!G1806)</f>
        <v>25349359254</v>
      </c>
      <c r="H1824">
        <f>IF(VIPcric_1!H1806="","",VIPcric_1!H1806)</f>
        <v>0.9</v>
      </c>
      <c r="I1824" t="str">
        <f>IF(VIPcric_1!M1806="","",VIPcric_1!M1806)</f>
        <v>CRIC-淄博-市场监测.商品房市场.项目累计.供求.xlsx</v>
      </c>
    </row>
    <row r="1825" spans="1:9">
      <c r="A1825" t="str">
        <f>IF(VIPcric_1!A1807="","",VIPcric_1!A1807)</f>
        <v>2021年</v>
      </c>
      <c r="B1825">
        <f>IF(VIPcric_1!B1807="","",VIPcric_1!B1807)</f>
        <v>4563832</v>
      </c>
      <c r="C1825">
        <f>IF(VIPcric_1!C1807="","",VIPcric_1!C1807)</f>
        <v>36863</v>
      </c>
      <c r="D1825">
        <f>IF(VIPcric_1!D1807="","",VIPcric_1!D1807)</f>
        <v>4695263</v>
      </c>
      <c r="E1825">
        <f>IF(VIPcric_1!E1807="","",VIPcric_1!E1807)</f>
        <v>36602</v>
      </c>
      <c r="F1825">
        <f>IF(VIPcric_1!F1807="","",VIPcric_1!F1807)</f>
        <v>8316</v>
      </c>
      <c r="G1825">
        <f>IF(VIPcric_1!G1807="","",VIPcric_1!G1807)</f>
        <v>39045133515</v>
      </c>
      <c r="H1825">
        <f>IF(VIPcric_1!H1807="","",VIPcric_1!H1807)</f>
        <v>0.97</v>
      </c>
      <c r="I1825" t="str">
        <f>IF(VIPcric_1!M1807="","",VIPcric_1!M1807)</f>
        <v>CRIC-淄博-市场监测.商品房市场.项目累计.供求.xlsx</v>
      </c>
    </row>
    <row r="1826" spans="1:9">
      <c r="A1826" t="str">
        <f>IF(VIPcric_1!A1808="","",VIPcric_1!A1808)</f>
        <v>2020年</v>
      </c>
      <c r="B1826">
        <f>IF(VIPcric_1!B1808="","",VIPcric_1!B1808)</f>
        <v>5137998</v>
      </c>
      <c r="C1826">
        <f>IF(VIPcric_1!C1808="","",VIPcric_1!C1808)</f>
        <v>39925</v>
      </c>
      <c r="D1826">
        <f>IF(VIPcric_1!D1808="","",VIPcric_1!D1808)</f>
        <v>5677686</v>
      </c>
      <c r="E1826">
        <f>IF(VIPcric_1!E1808="","",VIPcric_1!E1808)</f>
        <v>44778</v>
      </c>
      <c r="F1826">
        <f>IF(VIPcric_1!F1808="","",VIPcric_1!F1808)</f>
        <v>8707</v>
      </c>
      <c r="G1826">
        <f>IF(VIPcric_1!G1808="","",VIPcric_1!G1808)</f>
        <v>49436421467</v>
      </c>
      <c r="H1826">
        <f>IF(VIPcric_1!H1808="","",VIPcric_1!H1808)</f>
        <v>0.9</v>
      </c>
      <c r="I1826" t="str">
        <f>IF(VIPcric_1!M1808="","",VIPcric_1!M1808)</f>
        <v>CRIC-淄博-市场监测.商品房市场.项目累计.供求.xlsx</v>
      </c>
    </row>
    <row r="1827" spans="1:9">
      <c r="A1827" t="str">
        <f>IF(VIPcric_1!A1809="","",VIPcric_1!A1809)</f>
        <v>2019年</v>
      </c>
      <c r="B1827">
        <f>IF(VIPcric_1!B1809="","",VIPcric_1!B1809)</f>
        <v>5992417</v>
      </c>
      <c r="C1827">
        <f>IF(VIPcric_1!C1809="","",VIPcric_1!C1809)</f>
        <v>45735</v>
      </c>
      <c r="D1827">
        <f>IF(VIPcric_1!D1809="","",VIPcric_1!D1809)</f>
        <v>5422329</v>
      </c>
      <c r="E1827">
        <f>IF(VIPcric_1!E1809="","",VIPcric_1!E1809)</f>
        <v>43064</v>
      </c>
      <c r="F1827">
        <f>IF(VIPcric_1!F1809="","",VIPcric_1!F1809)</f>
        <v>8494</v>
      </c>
      <c r="G1827">
        <f>IF(VIPcric_1!G1809="","",VIPcric_1!G1809)</f>
        <v>46058917696</v>
      </c>
      <c r="H1827">
        <f>IF(VIPcric_1!H1809="","",VIPcric_1!H1809)</f>
        <v>1.1100000000000001</v>
      </c>
      <c r="I1827" t="str">
        <f>IF(VIPcric_1!M1809="","",VIPcric_1!M1809)</f>
        <v>CRIC-淄博-市场监测.商品房市场.项目累计.供求.xlsx</v>
      </c>
    </row>
    <row r="1828" spans="1:9">
      <c r="A1828" t="str">
        <f>IF(VIPcric_1!A1810="","",VIPcric_1!A1810)</f>
        <v>汇总</v>
      </c>
      <c r="B1828">
        <f>IF(VIPcric_1!B1810="","",VIPcric_1!B1810)</f>
        <v>21279531</v>
      </c>
      <c r="C1828">
        <f>IF(VIPcric_1!C1810="","",VIPcric_1!C1810)</f>
        <v>164415</v>
      </c>
      <c r="D1828">
        <f>IF(VIPcric_1!D1810="","",VIPcric_1!D1810)</f>
        <v>22159712</v>
      </c>
      <c r="E1828">
        <f>IF(VIPcric_1!E1810="","",VIPcric_1!E1810)</f>
        <v>173842</v>
      </c>
      <c r="F1828">
        <f>IF(VIPcric_1!F1810="","",VIPcric_1!F1810)</f>
        <v>8448</v>
      </c>
      <c r="G1828">
        <f>IF(VIPcric_1!G1810="","",VIPcric_1!G1810)</f>
        <v>187203113152</v>
      </c>
      <c r="H1828">
        <f>IF(VIPcric_1!H1810="","",VIPcric_1!H1810)</f>
        <v>0.96</v>
      </c>
      <c r="I1828" t="str">
        <f>IF(VIPcric_1!M1810="","",VIPcric_1!M1810)</f>
        <v>CRIC-淄博-市场监测.商品房市场.项目累计.供求.xlsx</v>
      </c>
    </row>
    <row r="1829" spans="1:9">
      <c r="A1829" t="str">
        <f>IF(VIPcric_1!A1811="","",VIPcric_1!A1811)</f>
        <v/>
      </c>
      <c r="B1829" t="str">
        <f>IF(VIPcric_1!B1811="","",VIPcric_1!B1811)</f>
        <v/>
      </c>
      <c r="C1829" t="str">
        <f>IF(VIPcric_1!C1811="","",VIPcric_1!C1811)</f>
        <v/>
      </c>
      <c r="D1829" t="str">
        <f>IF(VIPcric_1!D1811="","",VIPcric_1!D1811)</f>
        <v/>
      </c>
      <c r="E1829" t="str">
        <f>IF(VIPcric_1!E1811="","",VIPcric_1!E1811)</f>
        <v/>
      </c>
      <c r="F1829" t="str">
        <f>IF(VIPcric_1!F1811="","",VIPcric_1!F1811)</f>
        <v/>
      </c>
      <c r="G1829" t="str">
        <f>IF(VIPcric_1!G1811="","",VIPcric_1!G1811)</f>
        <v/>
      </c>
      <c r="H1829" t="str">
        <f>IF(VIPcric_1!H1811="","",VIPcric_1!H1811)</f>
        <v/>
      </c>
      <c r="I1829" t="str">
        <f>IF(VIPcric_1!M1811="","",VIPcric_1!M1811)</f>
        <v/>
      </c>
    </row>
    <row r="1830" spans="1:9">
      <c r="A1830" t="str">
        <f>IF(VIPcric_1!A1812="","",VIPcric_1!A1812)</f>
        <v/>
      </c>
      <c r="B1830" t="str">
        <f>IF(VIPcric_1!B1812="","",VIPcric_1!B1812)</f>
        <v/>
      </c>
      <c r="C1830" t="str">
        <f>IF(VIPcric_1!C1812="","",VIPcric_1!C1812)</f>
        <v/>
      </c>
      <c r="D1830" t="str">
        <f>IF(VIPcric_1!D1812="","",VIPcric_1!D1812)</f>
        <v/>
      </c>
      <c r="E1830" t="str">
        <f>IF(VIPcric_1!E1812="","",VIPcric_1!E1812)</f>
        <v/>
      </c>
      <c r="F1830" t="str">
        <f>IF(VIPcric_1!F1812="","",VIPcric_1!F1812)</f>
        <v/>
      </c>
      <c r="G1830" t="str">
        <f>IF(VIPcric_1!G1812="","",VIPcric_1!G1812)</f>
        <v/>
      </c>
      <c r="H1830" t="str">
        <f>IF(VIPcric_1!H1812="","",VIPcric_1!H1812)</f>
        <v/>
      </c>
      <c r="I1830" t="str">
        <f>IF(VIPcric_1!M1812="","",VIPcric_1!M1812)</f>
        <v>CRIC-淄博-市场监测.商品房市场.项目累计.库存.xlsx</v>
      </c>
    </row>
    <row r="1831" spans="1:9">
      <c r="A1831" t="str">
        <f>IF(VIPcric_1!A1813="","",VIPcric_1!A1813)</f>
        <v>时间(年)</v>
      </c>
      <c r="B1831" t="str">
        <f>IF(VIPcric_1!B1813="","",VIPcric_1!B1813)</f>
        <v>库存面积(㎡)</v>
      </c>
      <c r="C1831" t="str">
        <f>IF(VIPcric_1!C1813="","",VIPcric_1!C1813)</f>
        <v>库存套数(套)</v>
      </c>
      <c r="D1831" t="str">
        <f>IF(VIPcric_1!D1813="","",VIPcric_1!D1813)</f>
        <v>去化周期12'(月)</v>
      </c>
      <c r="E1831" t="str">
        <f>IF(VIPcric_1!E1813="","",VIPcric_1!E1813)</f>
        <v>去化周期24'(月)</v>
      </c>
      <c r="F1831" t="str">
        <f>IF(VIPcric_1!F1813="","",VIPcric_1!F1813)</f>
        <v/>
      </c>
      <c r="G1831" t="str">
        <f>IF(VIPcric_1!G1813="","",VIPcric_1!G1813)</f>
        <v/>
      </c>
      <c r="H1831" t="str">
        <f>IF(VIPcric_1!H1813="","",VIPcric_1!H1813)</f>
        <v/>
      </c>
      <c r="I1831" t="str">
        <f>IF(VIPcric_1!M1813="","",VIPcric_1!M1813)</f>
        <v>CRIC-淄博-市场监测.商品房市场.项目累计.库存.xlsx</v>
      </c>
    </row>
    <row r="1832" spans="1:9">
      <c r="A1832" t="str">
        <f>IF(VIPcric_1!A1814="","",VIPcric_1!A1814)</f>
        <v>2024年</v>
      </c>
      <c r="B1832">
        <f>IF(VIPcric_1!B1814="","",VIPcric_1!B1814)</f>
        <v>8219975</v>
      </c>
      <c r="C1832">
        <f>IF(VIPcric_1!C1814="","",VIPcric_1!C1814)</f>
        <v>65908</v>
      </c>
      <c r="D1832">
        <f>IF(VIPcric_1!D1814="","",VIPcric_1!D1814)</f>
        <v>30.8</v>
      </c>
      <c r="E1832">
        <f>IF(VIPcric_1!E1814="","",VIPcric_1!E1814)</f>
        <v>32.4</v>
      </c>
      <c r="F1832" t="str">
        <f>IF(VIPcric_1!F1814="","",VIPcric_1!F1814)</f>
        <v/>
      </c>
      <c r="G1832" t="str">
        <f>IF(VIPcric_1!G1814="","",VIPcric_1!G1814)</f>
        <v/>
      </c>
      <c r="H1832" t="str">
        <f>IF(VIPcric_1!H1814="","",VIPcric_1!H1814)</f>
        <v/>
      </c>
      <c r="I1832" t="str">
        <f>IF(VIPcric_1!M1814="","",VIPcric_1!M1814)</f>
        <v>CRIC-淄博-市场监测.商品房市场.项目累计.库存.xlsx</v>
      </c>
    </row>
    <row r="1833" spans="1:9">
      <c r="A1833" t="str">
        <f>IF(VIPcric_1!A1815="","",VIPcric_1!A1815)</f>
        <v>2023年</v>
      </c>
      <c r="B1833">
        <f>IF(VIPcric_1!B1815="","",VIPcric_1!B1815)</f>
        <v>8316754</v>
      </c>
      <c r="C1833">
        <f>IF(VIPcric_1!C1815="","",VIPcric_1!C1815)</f>
        <v>66768</v>
      </c>
      <c r="D1833">
        <f>IF(VIPcric_1!D1815="","",VIPcric_1!D1815)</f>
        <v>31.9</v>
      </c>
      <c r="E1833">
        <f>IF(VIPcric_1!E1815="","",VIPcric_1!E1815)</f>
        <v>32.6</v>
      </c>
      <c r="F1833" t="str">
        <f>IF(VIPcric_1!F1815="","",VIPcric_1!F1815)</f>
        <v/>
      </c>
      <c r="G1833" t="str">
        <f>IF(VIPcric_1!G1815="","",VIPcric_1!G1815)</f>
        <v/>
      </c>
      <c r="H1833" t="str">
        <f>IF(VIPcric_1!H1815="","",VIPcric_1!H1815)</f>
        <v/>
      </c>
      <c r="I1833" t="str">
        <f>IF(VIPcric_1!M1815="","",VIPcric_1!M1815)</f>
        <v>CRIC-淄博-市场监测.商品房市场.项目累计.库存.xlsx</v>
      </c>
    </row>
    <row r="1834" spans="1:9">
      <c r="A1834" t="str">
        <f>IF(VIPcric_1!A1816="","",VIPcric_1!A1816)</f>
        <v>2022年</v>
      </c>
      <c r="B1834">
        <f>IF(VIPcric_1!B1816="","",VIPcric_1!B1816)</f>
        <v>8058151</v>
      </c>
      <c r="C1834">
        <f>IF(VIPcric_1!C1816="","",VIPcric_1!C1816)</f>
        <v>64367</v>
      </c>
      <c r="D1834">
        <f>IF(VIPcric_1!D1816="","",VIPcric_1!D1816)</f>
        <v>32.299999999999997</v>
      </c>
      <c r="E1834">
        <f>IF(VIPcric_1!E1816="","",VIPcric_1!E1816)</f>
        <v>25.1</v>
      </c>
      <c r="F1834" t="str">
        <f>IF(VIPcric_1!F1816="","",VIPcric_1!F1816)</f>
        <v/>
      </c>
      <c r="G1834" t="str">
        <f>IF(VIPcric_1!G1816="","",VIPcric_1!G1816)</f>
        <v/>
      </c>
      <c r="H1834" t="str">
        <f>IF(VIPcric_1!H1816="","",VIPcric_1!H1816)</f>
        <v/>
      </c>
      <c r="I1834" t="str">
        <f>IF(VIPcric_1!M1816="","",VIPcric_1!M1816)</f>
        <v>CRIC-淄博-市场监测.商品房市场.项目累计.库存.xlsx</v>
      </c>
    </row>
    <row r="1835" spans="1:9">
      <c r="A1835" t="str">
        <f>IF(VIPcric_1!A1817="","",VIPcric_1!A1817)</f>
        <v>2021年</v>
      </c>
      <c r="B1835">
        <f>IF(VIPcric_1!B1817="","",VIPcric_1!B1817)</f>
        <v>7302963</v>
      </c>
      <c r="C1835">
        <f>IF(VIPcric_1!C1817="","",VIPcric_1!C1817)</f>
        <v>59438</v>
      </c>
      <c r="D1835">
        <f>IF(VIPcric_1!D1817="","",VIPcric_1!D1817)</f>
        <v>18.7</v>
      </c>
      <c r="E1835">
        <f>IF(VIPcric_1!E1817="","",VIPcric_1!E1817)</f>
        <v>16.899999999999999</v>
      </c>
      <c r="F1835" t="str">
        <f>IF(VIPcric_1!F1817="","",VIPcric_1!F1817)</f>
        <v/>
      </c>
      <c r="G1835" t="str">
        <f>IF(VIPcric_1!G1817="","",VIPcric_1!G1817)</f>
        <v/>
      </c>
      <c r="H1835" t="str">
        <f>IF(VIPcric_1!H1817="","",VIPcric_1!H1817)</f>
        <v/>
      </c>
      <c r="I1835" t="str">
        <f>IF(VIPcric_1!M1817="","",VIPcric_1!M1817)</f>
        <v>CRIC-淄博-市场监测.商品房市场.项目累计.库存.xlsx</v>
      </c>
    </row>
    <row r="1836" spans="1:9">
      <c r="A1836" t="str">
        <f>IF(VIPcric_1!A1818="","",VIPcric_1!A1818)</f>
        <v>2020年</v>
      </c>
      <c r="B1836">
        <f>IF(VIPcric_1!B1818="","",VIPcric_1!B1818)</f>
        <v>6724714</v>
      </c>
      <c r="C1836">
        <f>IF(VIPcric_1!C1818="","",VIPcric_1!C1818)</f>
        <v>53160</v>
      </c>
      <c r="D1836">
        <f>IF(VIPcric_1!D1818="","",VIPcric_1!D1818)</f>
        <v>14.2</v>
      </c>
      <c r="E1836">
        <f>IF(VIPcric_1!E1818="","",VIPcric_1!E1818)</f>
        <v>14.5</v>
      </c>
      <c r="F1836" t="str">
        <f>IF(VIPcric_1!F1818="","",VIPcric_1!F1818)</f>
        <v/>
      </c>
      <c r="G1836" t="str">
        <f>IF(VIPcric_1!G1818="","",VIPcric_1!G1818)</f>
        <v/>
      </c>
      <c r="H1836" t="str">
        <f>IF(VIPcric_1!H1818="","",VIPcric_1!H1818)</f>
        <v/>
      </c>
      <c r="I1836" t="str">
        <f>IF(VIPcric_1!M1818="","",VIPcric_1!M1818)</f>
        <v>CRIC-淄博-市场监测.商品房市场.项目累计.库存.xlsx</v>
      </c>
    </row>
    <row r="1837" spans="1:9">
      <c r="A1837" t="str">
        <f>IF(VIPcric_1!A1819="","",VIPcric_1!A1819)</f>
        <v>2019年</v>
      </c>
      <c r="B1837">
        <f>IF(VIPcric_1!B1819="","",VIPcric_1!B1819)</f>
        <v>5040795</v>
      </c>
      <c r="C1837">
        <f>IF(VIPcric_1!C1819="","",VIPcric_1!C1819)</f>
        <v>39930</v>
      </c>
      <c r="D1837">
        <f>IF(VIPcric_1!D1819="","",VIPcric_1!D1819)</f>
        <v>11.2</v>
      </c>
      <c r="E1837">
        <f>IF(VIPcric_1!E1819="","",VIPcric_1!E1819)</f>
        <v>20.3</v>
      </c>
      <c r="F1837" t="str">
        <f>IF(VIPcric_1!F1819="","",VIPcric_1!F1819)</f>
        <v/>
      </c>
      <c r="G1837" t="str">
        <f>IF(VIPcric_1!G1819="","",VIPcric_1!G1819)</f>
        <v/>
      </c>
      <c r="H1837" t="str">
        <f>IF(VIPcric_1!H1819="","",VIPcric_1!H1819)</f>
        <v/>
      </c>
      <c r="I1837" t="str">
        <f>IF(VIPcric_1!M1819="","",VIPcric_1!M1819)</f>
        <v>CRIC-淄博-市场监测.商品房市场.项目累计.库存.xlsx</v>
      </c>
    </row>
    <row r="1838" spans="1:9">
      <c r="A1838" t="str">
        <f>IF(VIPcric_1!A1820="","",VIPcric_1!A1820)</f>
        <v/>
      </c>
      <c r="B1838" t="str">
        <f>IF(VIPcric_1!B1820="","",VIPcric_1!B1820)</f>
        <v/>
      </c>
      <c r="C1838" t="str">
        <f>IF(VIPcric_1!C1820="","",VIPcric_1!C1820)</f>
        <v/>
      </c>
      <c r="D1838" t="str">
        <f>IF(VIPcric_1!D1820="","",VIPcric_1!D1820)</f>
        <v/>
      </c>
      <c r="E1838" t="str">
        <f>IF(VIPcric_1!E1820="","",VIPcric_1!E1820)</f>
        <v/>
      </c>
      <c r="F1838" t="str">
        <f>IF(VIPcric_1!F1820="","",VIPcric_1!F1820)</f>
        <v/>
      </c>
      <c r="G1838" t="str">
        <f>IF(VIPcric_1!G1820="","",VIPcric_1!G1820)</f>
        <v/>
      </c>
      <c r="H1838" t="str">
        <f>IF(VIPcric_1!H1820="","",VIPcric_1!H1820)</f>
        <v/>
      </c>
      <c r="I1838" t="str">
        <f>IF(VIPcric_1!M1820="","",VIPcric_1!M1820)</f>
        <v/>
      </c>
    </row>
    <row r="1839" spans="1:9">
      <c r="A1839" t="str">
        <f>IF(VIPcric_1!A1821="","",VIPcric_1!A1821)</f>
        <v/>
      </c>
      <c r="B1839" t="str">
        <f>IF(VIPcric_1!B1821="","",VIPcric_1!B1821)</f>
        <v/>
      </c>
      <c r="C1839" t="str">
        <f>IF(VIPcric_1!C1821="","",VIPcric_1!C1821)</f>
        <v/>
      </c>
      <c r="D1839" t="str">
        <f>IF(VIPcric_1!D1821="","",VIPcric_1!D1821)</f>
        <v/>
      </c>
      <c r="E1839" t="str">
        <f>IF(VIPcric_1!E1821="","",VIPcric_1!E1821)</f>
        <v/>
      </c>
      <c r="F1839" t="str">
        <f>IF(VIPcric_1!F1821="","",VIPcric_1!F1821)</f>
        <v/>
      </c>
      <c r="G1839" t="str">
        <f>IF(VIPcric_1!G1821="","",VIPcric_1!G1821)</f>
        <v/>
      </c>
      <c r="H1839" t="str">
        <f>IF(VIPcric_1!H1821="","",VIPcric_1!H1821)</f>
        <v/>
      </c>
      <c r="I1839" t="str">
        <f>IF(VIPcric_1!M1821="","",VIPcric_1!M1821)</f>
        <v>CRIC-淮北-市场监测.商品房市场.项目累计.供求.xlsx</v>
      </c>
    </row>
    <row r="1840" spans="1:9">
      <c r="A1840" t="str">
        <f>IF(VIPcric_1!A1822="","",VIPcric_1!A1822)</f>
        <v>时间(年)</v>
      </c>
      <c r="B1840" t="str">
        <f>IF(VIPcric_1!B1822="","",VIPcric_1!B1822)</f>
        <v>供应面积(㎡)</v>
      </c>
      <c r="C1840" t="str">
        <f>IF(VIPcric_1!C1822="","",VIPcric_1!C1822)</f>
        <v>供应套数(套)</v>
      </c>
      <c r="D1840" t="str">
        <f>IF(VIPcric_1!D1822="","",VIPcric_1!D1822)</f>
        <v>成交面积(㎡)</v>
      </c>
      <c r="E1840" t="str">
        <f>IF(VIPcric_1!E1822="","",VIPcric_1!E1822)</f>
        <v>成交套数(套)</v>
      </c>
      <c r="F1840" t="str">
        <f>IF(VIPcric_1!F1822="","",VIPcric_1!F1822)</f>
        <v>成交均价(元/㎡)</v>
      </c>
      <c r="G1840" t="str">
        <f>IF(VIPcric_1!G1822="","",VIPcric_1!G1822)</f>
        <v>成交金额(元)</v>
      </c>
      <c r="H1840" t="str">
        <f>IF(VIPcric_1!H1822="","",VIPcric_1!H1822)</f>
        <v>供求比</v>
      </c>
      <c r="I1840" t="str">
        <f>IF(VIPcric_1!M1822="","",VIPcric_1!M1822)</f>
        <v>CRIC-淮北-市场监测.商品房市场.项目累计.供求.xlsx</v>
      </c>
    </row>
    <row r="1841" spans="1:9">
      <c r="A1841" t="str">
        <f>IF(VIPcric_1!A1823="","",VIPcric_1!A1823)</f>
        <v>2023年</v>
      </c>
      <c r="B1841">
        <f>IF(VIPcric_1!B1823="","",VIPcric_1!B1823)</f>
        <v>930100</v>
      </c>
      <c r="C1841">
        <f>IF(VIPcric_1!C1823="","",VIPcric_1!C1823)</f>
        <v>8062</v>
      </c>
      <c r="D1841">
        <f>IF(VIPcric_1!D1823="","",VIPcric_1!D1823)</f>
        <v>749342</v>
      </c>
      <c r="E1841">
        <f>IF(VIPcric_1!E1823="","",VIPcric_1!E1823)</f>
        <v>6454</v>
      </c>
      <c r="F1841">
        <f>IF(VIPcric_1!F1823="","",VIPcric_1!F1823)</f>
        <v>8130</v>
      </c>
      <c r="G1841">
        <f>IF(VIPcric_1!G1823="","",VIPcric_1!G1823)</f>
        <v>6091851156</v>
      </c>
      <c r="H1841">
        <f>IF(VIPcric_1!H1823="","",VIPcric_1!H1823)</f>
        <v>1.24</v>
      </c>
      <c r="I1841" t="str">
        <f>IF(VIPcric_1!M1823="","",VIPcric_1!M1823)</f>
        <v>CRIC-淮北-市场监测.商品房市场.项目累计.供求.xlsx</v>
      </c>
    </row>
    <row r="1842" spans="1:9">
      <c r="A1842" t="str">
        <f>IF(VIPcric_1!A1824="","",VIPcric_1!A1824)</f>
        <v>2022年</v>
      </c>
      <c r="B1842">
        <f>IF(VIPcric_1!B1824="","",VIPcric_1!B1824)</f>
        <v>614888</v>
      </c>
      <c r="C1842">
        <f>IF(VIPcric_1!C1824="","",VIPcric_1!C1824)</f>
        <v>5229</v>
      </c>
      <c r="D1842">
        <f>IF(VIPcric_1!D1824="","",VIPcric_1!D1824)</f>
        <v>779736</v>
      </c>
      <c r="E1842">
        <f>IF(VIPcric_1!E1824="","",VIPcric_1!E1824)</f>
        <v>6766</v>
      </c>
      <c r="F1842">
        <f>IF(VIPcric_1!F1824="","",VIPcric_1!F1824)</f>
        <v>7785</v>
      </c>
      <c r="G1842">
        <f>IF(VIPcric_1!G1824="","",VIPcric_1!G1824)</f>
        <v>6070341293</v>
      </c>
      <c r="H1842">
        <f>IF(VIPcric_1!H1824="","",VIPcric_1!H1824)</f>
        <v>0.79</v>
      </c>
      <c r="I1842" t="str">
        <f>IF(VIPcric_1!M1824="","",VIPcric_1!M1824)</f>
        <v>CRIC-淮北-市场监测.商品房市场.项目累计.供求.xlsx</v>
      </c>
    </row>
    <row r="1843" spans="1:9">
      <c r="A1843" t="str">
        <f>IF(VIPcric_1!A1825="","",VIPcric_1!A1825)</f>
        <v>2021年</v>
      </c>
      <c r="B1843">
        <f>IF(VIPcric_1!B1825="","",VIPcric_1!B1825)</f>
        <v>1811423</v>
      </c>
      <c r="C1843">
        <f>IF(VIPcric_1!C1825="","",VIPcric_1!C1825)</f>
        <v>15971</v>
      </c>
      <c r="D1843">
        <f>IF(VIPcric_1!D1825="","",VIPcric_1!D1825)</f>
        <v>1568079</v>
      </c>
      <c r="E1843">
        <f>IF(VIPcric_1!E1825="","",VIPcric_1!E1825)</f>
        <v>13799</v>
      </c>
      <c r="F1843">
        <f>IF(VIPcric_1!F1825="","",VIPcric_1!F1825)</f>
        <v>9561</v>
      </c>
      <c r="G1843">
        <f>IF(VIPcric_1!G1825="","",VIPcric_1!G1825)</f>
        <v>14993028126</v>
      </c>
      <c r="H1843">
        <f>IF(VIPcric_1!H1825="","",VIPcric_1!H1825)</f>
        <v>1.1599999999999999</v>
      </c>
      <c r="I1843" t="str">
        <f>IF(VIPcric_1!M1825="","",VIPcric_1!M1825)</f>
        <v>CRIC-淮北-市场监测.商品房市场.项目累计.供求.xlsx</v>
      </c>
    </row>
    <row r="1844" spans="1:9">
      <c r="A1844" t="str">
        <f>IF(VIPcric_1!A1826="","",VIPcric_1!A1826)</f>
        <v>2020年</v>
      </c>
      <c r="B1844">
        <f>IF(VIPcric_1!B1826="","",VIPcric_1!B1826)</f>
        <v>2013110</v>
      </c>
      <c r="C1844">
        <f>IF(VIPcric_1!C1826="","",VIPcric_1!C1826)</f>
        <v>17579</v>
      </c>
      <c r="D1844">
        <f>IF(VIPcric_1!D1826="","",VIPcric_1!D1826)</f>
        <v>1769213</v>
      </c>
      <c r="E1844">
        <f>IF(VIPcric_1!E1826="","",VIPcric_1!E1826)</f>
        <v>15306</v>
      </c>
      <c r="F1844">
        <f>IF(VIPcric_1!F1826="","",VIPcric_1!F1826)</f>
        <v>8332</v>
      </c>
      <c r="G1844">
        <f>IF(VIPcric_1!G1826="","",VIPcric_1!G1826)</f>
        <v>14740266587</v>
      </c>
      <c r="H1844">
        <f>IF(VIPcric_1!H1826="","",VIPcric_1!H1826)</f>
        <v>1.1399999999999999</v>
      </c>
      <c r="I1844" t="str">
        <f>IF(VIPcric_1!M1826="","",VIPcric_1!M1826)</f>
        <v>CRIC-淮北-市场监测.商品房市场.项目累计.供求.xlsx</v>
      </c>
    </row>
    <row r="1845" spans="1:9">
      <c r="A1845" t="str">
        <f>IF(VIPcric_1!A1827="","",VIPcric_1!A1827)</f>
        <v>2019年</v>
      </c>
      <c r="B1845">
        <f>IF(VIPcric_1!B1827="","",VIPcric_1!B1827)</f>
        <v>1827664</v>
      </c>
      <c r="C1845">
        <f>IF(VIPcric_1!C1827="","",VIPcric_1!C1827)</f>
        <v>15933</v>
      </c>
      <c r="D1845">
        <f>IF(VIPcric_1!D1827="","",VIPcric_1!D1827)</f>
        <v>1390397</v>
      </c>
      <c r="E1845">
        <f>IF(VIPcric_1!E1827="","",VIPcric_1!E1827)</f>
        <v>11835</v>
      </c>
      <c r="F1845">
        <f>IF(VIPcric_1!F1827="","",VIPcric_1!F1827)</f>
        <v>7367</v>
      </c>
      <c r="G1845">
        <f>IF(VIPcric_1!G1827="","",VIPcric_1!G1827)</f>
        <v>10243478516</v>
      </c>
      <c r="H1845">
        <f>IF(VIPcric_1!H1827="","",VIPcric_1!H1827)</f>
        <v>1.31</v>
      </c>
      <c r="I1845" t="str">
        <f>IF(VIPcric_1!M1827="","",VIPcric_1!M1827)</f>
        <v>CRIC-淮北-市场监测.商品房市场.项目累计.供求.xlsx</v>
      </c>
    </row>
    <row r="1846" spans="1:9">
      <c r="A1846" t="str">
        <f>IF(VIPcric_1!A1828="","",VIPcric_1!A1828)</f>
        <v>汇总</v>
      </c>
      <c r="B1846">
        <f>IF(VIPcric_1!B1828="","",VIPcric_1!B1828)</f>
        <v>7197185</v>
      </c>
      <c r="C1846">
        <f>IF(VIPcric_1!C1828="","",VIPcric_1!C1828)</f>
        <v>62774</v>
      </c>
      <c r="D1846">
        <f>IF(VIPcric_1!D1828="","",VIPcric_1!D1828)</f>
        <v>6256767</v>
      </c>
      <c r="E1846">
        <f>IF(VIPcric_1!E1828="","",VIPcric_1!E1828)</f>
        <v>54160</v>
      </c>
      <c r="F1846">
        <f>IF(VIPcric_1!F1828="","",VIPcric_1!F1828)</f>
        <v>8333</v>
      </c>
      <c r="G1846">
        <f>IF(VIPcric_1!G1828="","",VIPcric_1!G1828)</f>
        <v>52138965678</v>
      </c>
      <c r="H1846">
        <f>IF(VIPcric_1!H1828="","",VIPcric_1!H1828)</f>
        <v>1.1499999999999999</v>
      </c>
      <c r="I1846" t="str">
        <f>IF(VIPcric_1!M1828="","",VIPcric_1!M1828)</f>
        <v>CRIC-淮北-市场监测.商品房市场.项目累计.供求.xlsx</v>
      </c>
    </row>
    <row r="1847" spans="1:9">
      <c r="A1847" t="str">
        <f>IF(VIPcric_1!A1829="","",VIPcric_1!A1829)</f>
        <v/>
      </c>
      <c r="B1847" t="str">
        <f>IF(VIPcric_1!B1829="","",VIPcric_1!B1829)</f>
        <v/>
      </c>
      <c r="C1847" t="str">
        <f>IF(VIPcric_1!C1829="","",VIPcric_1!C1829)</f>
        <v/>
      </c>
      <c r="D1847" t="str">
        <f>IF(VIPcric_1!D1829="","",VIPcric_1!D1829)</f>
        <v/>
      </c>
      <c r="E1847" t="str">
        <f>IF(VIPcric_1!E1829="","",VIPcric_1!E1829)</f>
        <v/>
      </c>
      <c r="F1847" t="str">
        <f>IF(VIPcric_1!F1829="","",VIPcric_1!F1829)</f>
        <v/>
      </c>
      <c r="G1847" t="str">
        <f>IF(VIPcric_1!G1829="","",VIPcric_1!G1829)</f>
        <v/>
      </c>
      <c r="H1847" t="str">
        <f>IF(VIPcric_1!H1829="","",VIPcric_1!H1829)</f>
        <v/>
      </c>
      <c r="I1847" t="str">
        <f>IF(VIPcric_1!M1829="","",VIPcric_1!M1829)</f>
        <v/>
      </c>
    </row>
    <row r="1848" spans="1:9">
      <c r="A1848" t="str">
        <f>IF(VIPcric_1!A1830="","",VIPcric_1!A1830)</f>
        <v/>
      </c>
      <c r="B1848" t="str">
        <f>IF(VIPcric_1!B1830="","",VIPcric_1!B1830)</f>
        <v/>
      </c>
      <c r="C1848" t="str">
        <f>IF(VIPcric_1!C1830="","",VIPcric_1!C1830)</f>
        <v/>
      </c>
      <c r="D1848" t="str">
        <f>IF(VIPcric_1!D1830="","",VIPcric_1!D1830)</f>
        <v/>
      </c>
      <c r="E1848" t="str">
        <f>IF(VIPcric_1!E1830="","",VIPcric_1!E1830)</f>
        <v/>
      </c>
      <c r="F1848" t="str">
        <f>IF(VIPcric_1!F1830="","",VIPcric_1!F1830)</f>
        <v/>
      </c>
      <c r="G1848" t="str">
        <f>IF(VIPcric_1!G1830="","",VIPcric_1!G1830)</f>
        <v/>
      </c>
      <c r="H1848" t="str">
        <f>IF(VIPcric_1!H1830="","",VIPcric_1!H1830)</f>
        <v/>
      </c>
      <c r="I1848" t="str">
        <f>IF(VIPcric_1!M1830="","",VIPcric_1!M1830)</f>
        <v>CRIC-淮北-市场监测.商品房市场.项目累计.库存.xlsx</v>
      </c>
    </row>
    <row r="1849" spans="1:9">
      <c r="A1849" t="str">
        <f>IF(VIPcric_1!A1831="","",VIPcric_1!A1831)</f>
        <v>时间(年)</v>
      </c>
      <c r="B1849" t="str">
        <f>IF(VIPcric_1!B1831="","",VIPcric_1!B1831)</f>
        <v>库存面积(㎡)</v>
      </c>
      <c r="C1849" t="str">
        <f>IF(VIPcric_1!C1831="","",VIPcric_1!C1831)</f>
        <v>库存套数(套)</v>
      </c>
      <c r="D1849" t="str">
        <f>IF(VIPcric_1!D1831="","",VIPcric_1!D1831)</f>
        <v>去化周期12'(月)</v>
      </c>
      <c r="E1849" t="str">
        <f>IF(VIPcric_1!E1831="","",VIPcric_1!E1831)</f>
        <v/>
      </c>
      <c r="F1849" t="str">
        <f>IF(VIPcric_1!F1831="","",VIPcric_1!F1831)</f>
        <v/>
      </c>
      <c r="G1849" t="str">
        <f>IF(VIPcric_1!G1831="","",VIPcric_1!G1831)</f>
        <v/>
      </c>
      <c r="H1849" t="str">
        <f>IF(VIPcric_1!H1831="","",VIPcric_1!H1831)</f>
        <v/>
      </c>
      <c r="I1849" t="str">
        <f>IF(VIPcric_1!M1831="","",VIPcric_1!M1831)</f>
        <v>CRIC-淮北-市场监测.商品房市场.项目累计.库存.xlsx</v>
      </c>
    </row>
    <row r="1850" spans="1:9">
      <c r="A1850" t="str">
        <f>IF(VIPcric_1!A1832="","",VIPcric_1!A1832)</f>
        <v>2023年</v>
      </c>
      <c r="B1850">
        <f>IF(VIPcric_1!B1832="","",VIPcric_1!B1832)</f>
        <v>1530112</v>
      </c>
      <c r="C1850">
        <f>IF(VIPcric_1!C1832="","",VIPcric_1!C1832)</f>
        <v>13427</v>
      </c>
      <c r="D1850">
        <f>IF(VIPcric_1!D1832="","",VIPcric_1!D1832)</f>
        <v>24.5</v>
      </c>
      <c r="E1850" t="str">
        <f>IF(VIPcric_1!E1832="","",VIPcric_1!E1832)</f>
        <v/>
      </c>
      <c r="F1850" t="str">
        <f>IF(VIPcric_1!F1832="","",VIPcric_1!F1832)</f>
        <v/>
      </c>
      <c r="G1850" t="str">
        <f>IF(VIPcric_1!G1832="","",VIPcric_1!G1832)</f>
        <v/>
      </c>
      <c r="H1850" t="str">
        <f>IF(VIPcric_1!H1832="","",VIPcric_1!H1832)</f>
        <v/>
      </c>
      <c r="I1850" t="str">
        <f>IF(VIPcric_1!M1832="","",VIPcric_1!M1832)</f>
        <v>CRIC-淮北-市场监测.商品房市场.项目累计.库存.xlsx</v>
      </c>
    </row>
    <row r="1851" spans="1:9">
      <c r="A1851" t="str">
        <f>IF(VIPcric_1!A1833="","",VIPcric_1!A1833)</f>
        <v>2022年</v>
      </c>
      <c r="B1851">
        <f>IF(VIPcric_1!B1833="","",VIPcric_1!B1833)</f>
        <v>1200544</v>
      </c>
      <c r="C1851">
        <f>IF(VIPcric_1!C1833="","",VIPcric_1!C1833)</f>
        <v>10652</v>
      </c>
      <c r="D1851">
        <f>IF(VIPcric_1!D1833="","",VIPcric_1!D1833)</f>
        <v>18.5</v>
      </c>
      <c r="E1851" t="str">
        <f>IF(VIPcric_1!E1833="","",VIPcric_1!E1833)</f>
        <v/>
      </c>
      <c r="F1851" t="str">
        <f>IF(VIPcric_1!F1833="","",VIPcric_1!F1833)</f>
        <v/>
      </c>
      <c r="G1851" t="str">
        <f>IF(VIPcric_1!G1833="","",VIPcric_1!G1833)</f>
        <v/>
      </c>
      <c r="H1851" t="str">
        <f>IF(VIPcric_1!H1833="","",VIPcric_1!H1833)</f>
        <v/>
      </c>
      <c r="I1851" t="str">
        <f>IF(VIPcric_1!M1833="","",VIPcric_1!M1833)</f>
        <v>CRIC-淮北-市场监测.商品房市场.项目累计.库存.xlsx</v>
      </c>
    </row>
    <row r="1852" spans="1:9">
      <c r="A1852" t="str">
        <f>IF(VIPcric_1!A1834="","",VIPcric_1!A1834)</f>
        <v>2021年</v>
      </c>
      <c r="B1852">
        <f>IF(VIPcric_1!B1834="","",VIPcric_1!B1834)</f>
        <v>1677473</v>
      </c>
      <c r="C1852">
        <f>IF(VIPcric_1!C1834="","",VIPcric_1!C1834)</f>
        <v>15068</v>
      </c>
      <c r="D1852">
        <f>IF(VIPcric_1!D1834="","",VIPcric_1!D1834)</f>
        <v>12.8</v>
      </c>
      <c r="E1852" t="str">
        <f>IF(VIPcric_1!E1834="","",VIPcric_1!E1834)</f>
        <v/>
      </c>
      <c r="F1852" t="str">
        <f>IF(VIPcric_1!F1834="","",VIPcric_1!F1834)</f>
        <v/>
      </c>
      <c r="G1852" t="str">
        <f>IF(VIPcric_1!G1834="","",VIPcric_1!G1834)</f>
        <v/>
      </c>
      <c r="H1852" t="str">
        <f>IF(VIPcric_1!H1834="","",VIPcric_1!H1834)</f>
        <v/>
      </c>
      <c r="I1852" t="str">
        <f>IF(VIPcric_1!M1834="","",VIPcric_1!M1834)</f>
        <v>CRIC-淮北-市场监测.商品房市场.项目累计.库存.xlsx</v>
      </c>
    </row>
    <row r="1853" spans="1:9">
      <c r="A1853" t="str">
        <f>IF(VIPcric_1!A1835="","",VIPcric_1!A1835)</f>
        <v>2020年</v>
      </c>
      <c r="B1853">
        <f>IF(VIPcric_1!B1835="","",VIPcric_1!B1835)</f>
        <v>1670053</v>
      </c>
      <c r="C1853">
        <f>IF(VIPcric_1!C1835="","",VIPcric_1!C1835)</f>
        <v>15107</v>
      </c>
      <c r="D1853">
        <f>IF(VIPcric_1!D1835="","",VIPcric_1!D1835)</f>
        <v>11.3</v>
      </c>
      <c r="E1853" t="str">
        <f>IF(VIPcric_1!E1835="","",VIPcric_1!E1835)</f>
        <v/>
      </c>
      <c r="F1853" t="str">
        <f>IF(VIPcric_1!F1835="","",VIPcric_1!F1835)</f>
        <v/>
      </c>
      <c r="G1853" t="str">
        <f>IF(VIPcric_1!G1835="","",VIPcric_1!G1835)</f>
        <v/>
      </c>
      <c r="H1853" t="str">
        <f>IF(VIPcric_1!H1835="","",VIPcric_1!H1835)</f>
        <v/>
      </c>
      <c r="I1853" t="str">
        <f>IF(VIPcric_1!M1835="","",VIPcric_1!M1835)</f>
        <v>CRIC-淮北-市场监测.商品房市场.项目累计.库存.xlsx</v>
      </c>
    </row>
    <row r="1854" spans="1:9">
      <c r="A1854" t="str">
        <f>IF(VIPcric_1!A1836="","",VIPcric_1!A1836)</f>
        <v/>
      </c>
      <c r="B1854" t="str">
        <f>IF(VIPcric_1!B1836="","",VIPcric_1!B1836)</f>
        <v/>
      </c>
      <c r="C1854" t="str">
        <f>IF(VIPcric_1!C1836="","",VIPcric_1!C1836)</f>
        <v/>
      </c>
      <c r="D1854" t="str">
        <f>IF(VIPcric_1!D1836="","",VIPcric_1!D1836)</f>
        <v/>
      </c>
      <c r="E1854" t="str">
        <f>IF(VIPcric_1!E1836="","",VIPcric_1!E1836)</f>
        <v/>
      </c>
      <c r="F1854" t="str">
        <f>IF(VIPcric_1!F1836="","",VIPcric_1!F1836)</f>
        <v/>
      </c>
      <c r="G1854" t="str">
        <f>IF(VIPcric_1!G1836="","",VIPcric_1!G1836)</f>
        <v/>
      </c>
      <c r="H1854" t="str">
        <f>IF(VIPcric_1!H1836="","",VIPcric_1!H1836)</f>
        <v/>
      </c>
      <c r="I1854" t="str">
        <f>IF(VIPcric_1!M1836="","",VIPcric_1!M1836)</f>
        <v/>
      </c>
    </row>
    <row r="1855" spans="1:9">
      <c r="A1855" t="str">
        <f>IF(VIPcric_1!A1837="","",VIPcric_1!A1837)</f>
        <v/>
      </c>
      <c r="B1855" t="str">
        <f>IF(VIPcric_1!B1837="","",VIPcric_1!B1837)</f>
        <v/>
      </c>
      <c r="C1855" t="str">
        <f>IF(VIPcric_1!C1837="","",VIPcric_1!C1837)</f>
        <v/>
      </c>
      <c r="D1855" t="str">
        <f>IF(VIPcric_1!D1837="","",VIPcric_1!D1837)</f>
        <v/>
      </c>
      <c r="E1855" t="str">
        <f>IF(VIPcric_1!E1837="","",VIPcric_1!E1837)</f>
        <v/>
      </c>
      <c r="F1855" t="str">
        <f>IF(VIPcric_1!F1837="","",VIPcric_1!F1837)</f>
        <v/>
      </c>
      <c r="G1855" t="str">
        <f>IF(VIPcric_1!G1837="","",VIPcric_1!G1837)</f>
        <v/>
      </c>
      <c r="H1855" t="str">
        <f>IF(VIPcric_1!H1837="","",VIPcric_1!H1837)</f>
        <v/>
      </c>
      <c r="I1855" t="str">
        <f>IF(VIPcric_1!M1837="","",VIPcric_1!M1837)</f>
        <v>CRIC-淮南-市场监测.商品房市场.项目累计.供求.xlsx</v>
      </c>
    </row>
    <row r="1856" spans="1:9">
      <c r="A1856" t="str">
        <f>IF(VIPcric_1!A1838="","",VIPcric_1!A1838)</f>
        <v>时间(年)</v>
      </c>
      <c r="B1856" t="str">
        <f>IF(VIPcric_1!B1838="","",VIPcric_1!B1838)</f>
        <v>供应面积(㎡)</v>
      </c>
      <c r="C1856" t="str">
        <f>IF(VIPcric_1!C1838="","",VIPcric_1!C1838)</f>
        <v>供应套数(套)</v>
      </c>
      <c r="D1856" t="str">
        <f>IF(VIPcric_1!D1838="","",VIPcric_1!D1838)</f>
        <v>成交面积(㎡)</v>
      </c>
      <c r="E1856" t="str">
        <f>IF(VIPcric_1!E1838="","",VIPcric_1!E1838)</f>
        <v>成交套数(套)</v>
      </c>
      <c r="F1856" t="str">
        <f>IF(VIPcric_1!F1838="","",VIPcric_1!F1838)</f>
        <v>成交均价(元/㎡)</v>
      </c>
      <c r="G1856" t="str">
        <f>IF(VIPcric_1!G1838="","",VIPcric_1!G1838)</f>
        <v>成交金额(元)</v>
      </c>
      <c r="H1856" t="str">
        <f>IF(VIPcric_1!H1838="","",VIPcric_1!H1838)</f>
        <v>供求比</v>
      </c>
      <c r="I1856" t="str">
        <f>IF(VIPcric_1!M1838="","",VIPcric_1!M1838)</f>
        <v>CRIC-淮南-市场监测.商品房市场.项目累计.供求.xlsx</v>
      </c>
    </row>
    <row r="1857" spans="1:9">
      <c r="A1857" t="str">
        <f>IF(VIPcric_1!A1839="","",VIPcric_1!A1839)</f>
        <v>2023年</v>
      </c>
      <c r="B1857">
        <f>IF(VIPcric_1!B1839="","",VIPcric_1!B1839)</f>
        <v>936782</v>
      </c>
      <c r="C1857">
        <f>IF(VIPcric_1!C1839="","",VIPcric_1!C1839)</f>
        <v>8209</v>
      </c>
      <c r="D1857">
        <f>IF(VIPcric_1!D1839="","",VIPcric_1!D1839)</f>
        <v>1023714</v>
      </c>
      <c r="E1857">
        <f>IF(VIPcric_1!E1839="","",VIPcric_1!E1839)</f>
        <v>8995</v>
      </c>
      <c r="F1857">
        <f>IF(VIPcric_1!F1839="","",VIPcric_1!F1839)</f>
        <v>6791</v>
      </c>
      <c r="G1857">
        <f>IF(VIPcric_1!G1839="","",VIPcric_1!G1839)</f>
        <v>6952248543</v>
      </c>
      <c r="H1857">
        <f>IF(VIPcric_1!H1839="","",VIPcric_1!H1839)</f>
        <v>0.92</v>
      </c>
      <c r="I1857" t="str">
        <f>IF(VIPcric_1!M1839="","",VIPcric_1!M1839)</f>
        <v>CRIC-淮南-市场监测.商品房市场.项目累计.供求.xlsx</v>
      </c>
    </row>
    <row r="1858" spans="1:9">
      <c r="A1858" t="str">
        <f>IF(VIPcric_1!A1840="","",VIPcric_1!A1840)</f>
        <v>2022年</v>
      </c>
      <c r="B1858">
        <f>IF(VIPcric_1!B1840="","",VIPcric_1!B1840)</f>
        <v>1174160</v>
      </c>
      <c r="C1858">
        <f>IF(VIPcric_1!C1840="","",VIPcric_1!C1840)</f>
        <v>10249</v>
      </c>
      <c r="D1858">
        <f>IF(VIPcric_1!D1840="","",VIPcric_1!D1840)</f>
        <v>1096247</v>
      </c>
      <c r="E1858">
        <f>IF(VIPcric_1!E1840="","",VIPcric_1!E1840)</f>
        <v>9650</v>
      </c>
      <c r="F1858">
        <f>IF(VIPcric_1!F1840="","",VIPcric_1!F1840)</f>
        <v>7044</v>
      </c>
      <c r="G1858">
        <f>IF(VIPcric_1!G1840="","",VIPcric_1!G1840)</f>
        <v>7722182277</v>
      </c>
      <c r="H1858">
        <f>IF(VIPcric_1!H1840="","",VIPcric_1!H1840)</f>
        <v>1.07</v>
      </c>
      <c r="I1858" t="str">
        <f>IF(VIPcric_1!M1840="","",VIPcric_1!M1840)</f>
        <v>CRIC-淮南-市场监测.商品房市场.项目累计.供求.xlsx</v>
      </c>
    </row>
    <row r="1859" spans="1:9">
      <c r="A1859" t="str">
        <f>IF(VIPcric_1!A1841="","",VIPcric_1!A1841)</f>
        <v>2021年</v>
      </c>
      <c r="B1859">
        <f>IF(VIPcric_1!B1841="","",VIPcric_1!B1841)</f>
        <v>1288082</v>
      </c>
      <c r="C1859">
        <f>IF(VIPcric_1!C1841="","",VIPcric_1!C1841)</f>
        <v>11223</v>
      </c>
      <c r="D1859">
        <f>IF(VIPcric_1!D1841="","",VIPcric_1!D1841)</f>
        <v>1885147</v>
      </c>
      <c r="E1859">
        <f>IF(VIPcric_1!E1841="","",VIPcric_1!E1841)</f>
        <v>16582</v>
      </c>
      <c r="F1859">
        <f>IF(VIPcric_1!F1841="","",VIPcric_1!F1841)</f>
        <v>6720</v>
      </c>
      <c r="G1859">
        <f>IF(VIPcric_1!G1841="","",VIPcric_1!G1841)</f>
        <v>12668724200</v>
      </c>
      <c r="H1859">
        <f>IF(VIPcric_1!H1841="","",VIPcric_1!H1841)</f>
        <v>0.68</v>
      </c>
      <c r="I1859" t="str">
        <f>IF(VIPcric_1!M1841="","",VIPcric_1!M1841)</f>
        <v>CRIC-淮南-市场监测.商品房市场.项目累计.供求.xlsx</v>
      </c>
    </row>
    <row r="1860" spans="1:9">
      <c r="A1860" t="str">
        <f>IF(VIPcric_1!A1842="","",VIPcric_1!A1842)</f>
        <v>2020年</v>
      </c>
      <c r="B1860">
        <f>IF(VIPcric_1!B1842="","",VIPcric_1!B1842)</f>
        <v>1694987</v>
      </c>
      <c r="C1860">
        <f>IF(VIPcric_1!C1842="","",VIPcric_1!C1842)</f>
        <v>14808</v>
      </c>
      <c r="D1860">
        <f>IF(VIPcric_1!D1842="","",VIPcric_1!D1842)</f>
        <v>2110949</v>
      </c>
      <c r="E1860">
        <f>IF(VIPcric_1!E1842="","",VIPcric_1!E1842)</f>
        <v>19242</v>
      </c>
      <c r="F1860">
        <f>IF(VIPcric_1!F1842="","",VIPcric_1!F1842)</f>
        <v>6530</v>
      </c>
      <c r="G1860">
        <f>IF(VIPcric_1!G1842="","",VIPcric_1!G1842)</f>
        <v>13784573675</v>
      </c>
      <c r="H1860">
        <f>IF(VIPcric_1!H1842="","",VIPcric_1!H1842)</f>
        <v>0.8</v>
      </c>
      <c r="I1860" t="str">
        <f>IF(VIPcric_1!M1842="","",VIPcric_1!M1842)</f>
        <v>CRIC-淮南-市场监测.商品房市场.项目累计.供求.xlsx</v>
      </c>
    </row>
    <row r="1861" spans="1:9">
      <c r="A1861" t="str">
        <f>IF(VIPcric_1!A1843="","",VIPcric_1!A1843)</f>
        <v>2019年</v>
      </c>
      <c r="B1861">
        <f>IF(VIPcric_1!B1843="","",VIPcric_1!B1843)</f>
        <v>2427094</v>
      </c>
      <c r="C1861">
        <f>IF(VIPcric_1!C1843="","",VIPcric_1!C1843)</f>
        <v>20557</v>
      </c>
      <c r="D1861">
        <f>IF(VIPcric_1!D1843="","",VIPcric_1!D1843)</f>
        <v>2345401</v>
      </c>
      <c r="E1861">
        <f>IF(VIPcric_1!E1843="","",VIPcric_1!E1843)</f>
        <v>21938</v>
      </c>
      <c r="F1861">
        <f>IF(VIPcric_1!F1843="","",VIPcric_1!F1843)</f>
        <v>6361</v>
      </c>
      <c r="G1861">
        <f>IF(VIPcric_1!G1843="","",VIPcric_1!G1843)</f>
        <v>14918553186</v>
      </c>
      <c r="H1861">
        <f>IF(VIPcric_1!H1843="","",VIPcric_1!H1843)</f>
        <v>1.03</v>
      </c>
      <c r="I1861" t="str">
        <f>IF(VIPcric_1!M1843="","",VIPcric_1!M1843)</f>
        <v>CRIC-淮南-市场监测.商品房市场.项目累计.供求.xlsx</v>
      </c>
    </row>
    <row r="1862" spans="1:9">
      <c r="A1862" t="str">
        <f>IF(VIPcric_1!A1844="","",VIPcric_1!A1844)</f>
        <v>汇总</v>
      </c>
      <c r="B1862">
        <f>IF(VIPcric_1!B1844="","",VIPcric_1!B1844)</f>
        <v>7521105</v>
      </c>
      <c r="C1862">
        <f>IF(VIPcric_1!C1844="","",VIPcric_1!C1844)</f>
        <v>65046</v>
      </c>
      <c r="D1862">
        <f>IF(VIPcric_1!D1844="","",VIPcric_1!D1844)</f>
        <v>8461457</v>
      </c>
      <c r="E1862">
        <f>IF(VIPcric_1!E1844="","",VIPcric_1!E1844)</f>
        <v>76407</v>
      </c>
      <c r="F1862">
        <f>IF(VIPcric_1!F1844="","",VIPcric_1!F1844)</f>
        <v>6624</v>
      </c>
      <c r="G1862">
        <f>IF(VIPcric_1!G1844="","",VIPcric_1!G1844)</f>
        <v>56046281880</v>
      </c>
      <c r="H1862">
        <f>IF(VIPcric_1!H1844="","",VIPcric_1!H1844)</f>
        <v>0.89</v>
      </c>
      <c r="I1862" t="str">
        <f>IF(VIPcric_1!M1844="","",VIPcric_1!M1844)</f>
        <v>CRIC-淮南-市场监测.商品房市场.项目累计.供求.xlsx</v>
      </c>
    </row>
    <row r="1863" spans="1:9">
      <c r="A1863" t="str">
        <f>IF(VIPcric_1!A1845="","",VIPcric_1!A1845)</f>
        <v/>
      </c>
      <c r="B1863" t="str">
        <f>IF(VIPcric_1!B1845="","",VIPcric_1!B1845)</f>
        <v/>
      </c>
      <c r="C1863" t="str">
        <f>IF(VIPcric_1!C1845="","",VIPcric_1!C1845)</f>
        <v/>
      </c>
      <c r="D1863" t="str">
        <f>IF(VIPcric_1!D1845="","",VIPcric_1!D1845)</f>
        <v/>
      </c>
      <c r="E1863" t="str">
        <f>IF(VIPcric_1!E1845="","",VIPcric_1!E1845)</f>
        <v/>
      </c>
      <c r="F1863" t="str">
        <f>IF(VIPcric_1!F1845="","",VIPcric_1!F1845)</f>
        <v/>
      </c>
      <c r="G1863" t="str">
        <f>IF(VIPcric_1!G1845="","",VIPcric_1!G1845)</f>
        <v/>
      </c>
      <c r="H1863" t="str">
        <f>IF(VIPcric_1!H1845="","",VIPcric_1!H1845)</f>
        <v/>
      </c>
      <c r="I1863" t="str">
        <f>IF(VIPcric_1!M1845="","",VIPcric_1!M1845)</f>
        <v/>
      </c>
    </row>
    <row r="1864" spans="1:9">
      <c r="A1864" t="str">
        <f>IF(VIPcric_1!A1846="","",VIPcric_1!A1846)</f>
        <v/>
      </c>
      <c r="B1864" t="str">
        <f>IF(VIPcric_1!B1846="","",VIPcric_1!B1846)</f>
        <v/>
      </c>
      <c r="C1864" t="str">
        <f>IF(VIPcric_1!C1846="","",VIPcric_1!C1846)</f>
        <v/>
      </c>
      <c r="D1864" t="str">
        <f>IF(VIPcric_1!D1846="","",VIPcric_1!D1846)</f>
        <v/>
      </c>
      <c r="E1864" t="str">
        <f>IF(VIPcric_1!E1846="","",VIPcric_1!E1846)</f>
        <v/>
      </c>
      <c r="F1864" t="str">
        <f>IF(VIPcric_1!F1846="","",VIPcric_1!F1846)</f>
        <v/>
      </c>
      <c r="G1864" t="str">
        <f>IF(VIPcric_1!G1846="","",VIPcric_1!G1846)</f>
        <v/>
      </c>
      <c r="H1864" t="str">
        <f>IF(VIPcric_1!H1846="","",VIPcric_1!H1846)</f>
        <v/>
      </c>
      <c r="I1864" t="str">
        <f>IF(VIPcric_1!M1846="","",VIPcric_1!M1846)</f>
        <v>CRIC-淮南-市场监测.商品房市场.项目累计.库存.xlsx</v>
      </c>
    </row>
    <row r="1865" spans="1:9">
      <c r="A1865" t="str">
        <f>IF(VIPcric_1!A1847="","",VIPcric_1!A1847)</f>
        <v>时间(年)</v>
      </c>
      <c r="B1865" t="str">
        <f>IF(VIPcric_1!B1847="","",VIPcric_1!B1847)</f>
        <v>库存面积(㎡)</v>
      </c>
      <c r="C1865" t="str">
        <f>IF(VIPcric_1!C1847="","",VIPcric_1!C1847)</f>
        <v>库存套数(套)</v>
      </c>
      <c r="D1865" t="str">
        <f>IF(VIPcric_1!D1847="","",VIPcric_1!D1847)</f>
        <v>去化周期12'(月)</v>
      </c>
      <c r="E1865" t="str">
        <f>IF(VIPcric_1!E1847="","",VIPcric_1!E1847)</f>
        <v/>
      </c>
      <c r="F1865" t="str">
        <f>IF(VIPcric_1!F1847="","",VIPcric_1!F1847)</f>
        <v/>
      </c>
      <c r="G1865" t="str">
        <f>IF(VIPcric_1!G1847="","",VIPcric_1!G1847)</f>
        <v/>
      </c>
      <c r="H1865" t="str">
        <f>IF(VIPcric_1!H1847="","",VIPcric_1!H1847)</f>
        <v/>
      </c>
      <c r="I1865" t="str">
        <f>IF(VIPcric_1!M1847="","",VIPcric_1!M1847)</f>
        <v>CRIC-淮南-市场监测.商品房市场.项目累计.库存.xlsx</v>
      </c>
    </row>
    <row r="1866" spans="1:9">
      <c r="A1866" t="str">
        <f>IF(VIPcric_1!A1848="","",VIPcric_1!A1848)</f>
        <v>2023年</v>
      </c>
      <c r="B1866">
        <f>IF(VIPcric_1!B1848="","",VIPcric_1!B1848)</f>
        <v>1353448</v>
      </c>
      <c r="C1866">
        <f>IF(VIPcric_1!C1848="","",VIPcric_1!C1848)</f>
        <v>12226</v>
      </c>
      <c r="D1866">
        <f>IF(VIPcric_1!D1848="","",VIPcric_1!D1848)</f>
        <v>15.9</v>
      </c>
      <c r="E1866" t="str">
        <f>IF(VIPcric_1!E1848="","",VIPcric_1!E1848)</f>
        <v/>
      </c>
      <c r="F1866" t="str">
        <f>IF(VIPcric_1!F1848="","",VIPcric_1!F1848)</f>
        <v/>
      </c>
      <c r="G1866" t="str">
        <f>IF(VIPcric_1!G1848="","",VIPcric_1!G1848)</f>
        <v/>
      </c>
      <c r="H1866" t="str">
        <f>IF(VIPcric_1!H1848="","",VIPcric_1!H1848)</f>
        <v/>
      </c>
      <c r="I1866" t="str">
        <f>IF(VIPcric_1!M1848="","",VIPcric_1!M1848)</f>
        <v>CRIC-淮南-市场监测.商品房市场.项目累计.库存.xlsx</v>
      </c>
    </row>
    <row r="1867" spans="1:9">
      <c r="A1867" t="str">
        <f>IF(VIPcric_1!A1849="","",VIPcric_1!A1849)</f>
        <v>2022年</v>
      </c>
      <c r="B1867">
        <f>IF(VIPcric_1!B1849="","",VIPcric_1!B1849)</f>
        <v>1314904</v>
      </c>
      <c r="C1867">
        <f>IF(VIPcric_1!C1849="","",VIPcric_1!C1849)</f>
        <v>11885</v>
      </c>
      <c r="D1867">
        <f>IF(VIPcric_1!D1849="","",VIPcric_1!D1849)</f>
        <v>14.4</v>
      </c>
      <c r="E1867" t="str">
        <f>IF(VIPcric_1!E1849="","",VIPcric_1!E1849)</f>
        <v/>
      </c>
      <c r="F1867" t="str">
        <f>IF(VIPcric_1!F1849="","",VIPcric_1!F1849)</f>
        <v/>
      </c>
      <c r="G1867" t="str">
        <f>IF(VIPcric_1!G1849="","",VIPcric_1!G1849)</f>
        <v/>
      </c>
      <c r="H1867" t="str">
        <f>IF(VIPcric_1!H1849="","",VIPcric_1!H1849)</f>
        <v/>
      </c>
      <c r="I1867" t="str">
        <f>IF(VIPcric_1!M1849="","",VIPcric_1!M1849)</f>
        <v>CRIC-淮南-市场监测.商品房市场.项目累计.库存.xlsx</v>
      </c>
    </row>
    <row r="1868" spans="1:9">
      <c r="A1868" t="str">
        <f>IF(VIPcric_1!A1850="","",VIPcric_1!A1850)</f>
        <v>2021年</v>
      </c>
      <c r="B1868">
        <f>IF(VIPcric_1!B1850="","",VIPcric_1!B1850)</f>
        <v>1337734</v>
      </c>
      <c r="C1868">
        <f>IF(VIPcric_1!C1850="","",VIPcric_1!C1850)</f>
        <v>12180</v>
      </c>
      <c r="D1868">
        <f>IF(VIPcric_1!D1850="","",VIPcric_1!D1850)</f>
        <v>8.5</v>
      </c>
      <c r="E1868" t="str">
        <f>IF(VIPcric_1!E1850="","",VIPcric_1!E1850)</f>
        <v/>
      </c>
      <c r="F1868" t="str">
        <f>IF(VIPcric_1!F1850="","",VIPcric_1!F1850)</f>
        <v/>
      </c>
      <c r="G1868" t="str">
        <f>IF(VIPcric_1!G1850="","",VIPcric_1!G1850)</f>
        <v/>
      </c>
      <c r="H1868" t="str">
        <f>IF(VIPcric_1!H1850="","",VIPcric_1!H1850)</f>
        <v/>
      </c>
      <c r="I1868" t="str">
        <f>IF(VIPcric_1!M1850="","",VIPcric_1!M1850)</f>
        <v>CRIC-淮南-市场监测.商品房市场.项目累计.库存.xlsx</v>
      </c>
    </row>
    <row r="1869" spans="1:9">
      <c r="A1869" t="str">
        <f>IF(VIPcric_1!A1851="","",VIPcric_1!A1851)</f>
        <v>2020年</v>
      </c>
      <c r="B1869">
        <f>IF(VIPcric_1!B1851="","",VIPcric_1!B1851)</f>
        <v>1937888</v>
      </c>
      <c r="C1869">
        <f>IF(VIPcric_1!C1851="","",VIPcric_1!C1851)</f>
        <v>17141</v>
      </c>
      <c r="D1869">
        <f>IF(VIPcric_1!D1851="","",VIPcric_1!D1851)</f>
        <v>11</v>
      </c>
      <c r="E1869" t="str">
        <f>IF(VIPcric_1!E1851="","",VIPcric_1!E1851)</f>
        <v/>
      </c>
      <c r="F1869" t="str">
        <f>IF(VIPcric_1!F1851="","",VIPcric_1!F1851)</f>
        <v/>
      </c>
      <c r="G1869" t="str">
        <f>IF(VIPcric_1!G1851="","",VIPcric_1!G1851)</f>
        <v/>
      </c>
      <c r="H1869" t="str">
        <f>IF(VIPcric_1!H1851="","",VIPcric_1!H1851)</f>
        <v/>
      </c>
      <c r="I1869" t="str">
        <f>IF(VIPcric_1!M1851="","",VIPcric_1!M1851)</f>
        <v>CRIC-淮南-市场监测.商品房市场.项目累计.库存.xlsx</v>
      </c>
    </row>
    <row r="1870" spans="1:9">
      <c r="A1870" t="str">
        <f>IF(VIPcric_1!A1852="","",VIPcric_1!A1852)</f>
        <v>2019年</v>
      </c>
      <c r="B1870">
        <f>IF(VIPcric_1!B1852="","",VIPcric_1!B1852)</f>
        <v>1460358</v>
      </c>
      <c r="C1870">
        <f>IF(VIPcric_1!C1852="","",VIPcric_1!C1852)</f>
        <v>12856</v>
      </c>
      <c r="D1870">
        <f>IF(VIPcric_1!D1852="","",VIPcric_1!D1852)</f>
        <v>7.5</v>
      </c>
      <c r="E1870" t="str">
        <f>IF(VIPcric_1!E1852="","",VIPcric_1!E1852)</f>
        <v/>
      </c>
      <c r="F1870" t="str">
        <f>IF(VIPcric_1!F1852="","",VIPcric_1!F1852)</f>
        <v/>
      </c>
      <c r="G1870" t="str">
        <f>IF(VIPcric_1!G1852="","",VIPcric_1!G1852)</f>
        <v/>
      </c>
      <c r="H1870" t="str">
        <f>IF(VIPcric_1!H1852="","",VIPcric_1!H1852)</f>
        <v/>
      </c>
      <c r="I1870" t="str">
        <f>IF(VIPcric_1!M1852="","",VIPcric_1!M1852)</f>
        <v>CRIC-淮南-市场监测.商品房市场.项目累计.库存.xlsx</v>
      </c>
    </row>
    <row r="1871" spans="1:9">
      <c r="A1871" t="str">
        <f>IF(VIPcric_1!A1853="","",VIPcric_1!A1853)</f>
        <v/>
      </c>
      <c r="B1871" t="str">
        <f>IF(VIPcric_1!B1853="","",VIPcric_1!B1853)</f>
        <v/>
      </c>
      <c r="C1871" t="str">
        <f>IF(VIPcric_1!C1853="","",VIPcric_1!C1853)</f>
        <v/>
      </c>
      <c r="D1871" t="str">
        <f>IF(VIPcric_1!D1853="","",VIPcric_1!D1853)</f>
        <v/>
      </c>
      <c r="E1871" t="str">
        <f>IF(VIPcric_1!E1853="","",VIPcric_1!E1853)</f>
        <v/>
      </c>
      <c r="F1871" t="s">
        <v>857</v>
      </c>
      <c r="G1871" t="str">
        <f>IF(VIPcric_1!G1853="","",VIPcric_1!G1853)</f>
        <v/>
      </c>
      <c r="H1871" t="str">
        <f>IF(VIPcric_1!H1853="","",VIPcric_1!H1853)</f>
        <v/>
      </c>
      <c r="I1871" t="str">
        <f>IF(VIPcric_1!M1853="","",VIPcric_1!M1853)</f>
        <v/>
      </c>
    </row>
    <row r="1872" spans="1:9">
      <c r="A1872" t="str">
        <f>IF(VIPcric_1!A1854="","",VIPcric_1!A1854)</f>
        <v/>
      </c>
      <c r="B1872" t="str">
        <f>IF(VIPcric_1!B1854="","",VIPcric_1!B1854)</f>
        <v/>
      </c>
      <c r="C1872" t="str">
        <f>IF(VIPcric_1!C1854="","",VIPcric_1!C1854)</f>
        <v/>
      </c>
      <c r="D1872" t="str">
        <f>IF(VIPcric_1!D1854="","",VIPcric_1!D1854)</f>
        <v/>
      </c>
      <c r="E1872" t="str">
        <f>IF(VIPcric_1!E1854="","",VIPcric_1!E1854)</f>
        <v/>
      </c>
      <c r="F1872" s="22">
        <f>C1874/E1874*12</f>
        <v>10.112691466083152</v>
      </c>
      <c r="G1872" t="str">
        <f>IF(VIPcric_1!G1854="","",VIPcric_1!G1854)</f>
        <v/>
      </c>
      <c r="H1872" t="str">
        <f>IF(VIPcric_1!H1854="","",VIPcric_1!H1854)</f>
        <v/>
      </c>
      <c r="I1872" t="str">
        <f>IF(VIPcric_1!M1854="","",VIPcric_1!M1854)</f>
        <v>CRIC-淮安-市场监测.商品房市场.项目累计.供求.xlsx</v>
      </c>
    </row>
    <row r="1873" spans="1:9">
      <c r="A1873" t="str">
        <f>IF(VIPcric_1!A1855="","",VIPcric_1!A1855)</f>
        <v>时间(年)</v>
      </c>
      <c r="B1873" t="str">
        <f>IF(VIPcric_1!B1855="","",VIPcric_1!B1855)</f>
        <v>供应面积(㎡)</v>
      </c>
      <c r="C1873" t="str">
        <f>IF(VIPcric_1!C1855="","",VIPcric_1!C1855)</f>
        <v>供应套数(套)</v>
      </c>
      <c r="D1873" t="str">
        <f>IF(VIPcric_1!D1855="","",VIPcric_1!D1855)</f>
        <v>成交面积(㎡)</v>
      </c>
      <c r="E1873" t="str">
        <f>IF(VIPcric_1!E1855="","",VIPcric_1!E1855)</f>
        <v>成交套数(套)</v>
      </c>
      <c r="F1873" t="str">
        <f>IF(VIPcric_1!F1855="","",VIPcric_1!F1855)</f>
        <v>成交均价(元/㎡)</v>
      </c>
      <c r="G1873" t="str">
        <f>IF(VIPcric_1!G1855="","",VIPcric_1!G1855)</f>
        <v>成交金额(元)</v>
      </c>
      <c r="H1873" t="str">
        <f>IF(VIPcric_1!H1855="","",VIPcric_1!H1855)</f>
        <v>供求比</v>
      </c>
      <c r="I1873" t="str">
        <f>IF(VIPcric_1!M1855="","",VIPcric_1!M1855)</f>
        <v>CRIC-淮安-市场监测.商品房市场.项目累计.供求.xlsx</v>
      </c>
    </row>
    <row r="1874" spans="1:9">
      <c r="A1874" t="str">
        <f>IF(VIPcric_1!A1856="","",VIPcric_1!A1856)</f>
        <v>2023年</v>
      </c>
      <c r="B1874">
        <f>IF(VIPcric_1!B1856="","",VIPcric_1!B1856)</f>
        <v>1118049</v>
      </c>
      <c r="C1874">
        <f>IF(VIPcric_1!C1856="","",VIPcric_1!C1856)</f>
        <v>9243</v>
      </c>
      <c r="D1874">
        <f>IF(VIPcric_1!D1856="","",VIPcric_1!D1856)</f>
        <v>1309443</v>
      </c>
      <c r="E1874">
        <f>IF(VIPcric_1!E1856="","",VIPcric_1!E1856)</f>
        <v>10968</v>
      </c>
      <c r="F1874">
        <f>IF(VIPcric_1!F1856="","",VIPcric_1!F1856)</f>
        <v>10302</v>
      </c>
      <c r="G1874">
        <f>IF(VIPcric_1!G1856="","",VIPcric_1!G1856)</f>
        <v>13489240792</v>
      </c>
      <c r="H1874">
        <f>IF(VIPcric_1!H1856="","",VIPcric_1!H1856)</f>
        <v>0.85</v>
      </c>
      <c r="I1874" t="str">
        <f>IF(VIPcric_1!M1856="","",VIPcric_1!M1856)</f>
        <v>CRIC-淮安-市场监测.商品房市场.项目累计.供求.xlsx</v>
      </c>
    </row>
    <row r="1875" spans="1:9">
      <c r="A1875" t="str">
        <f>IF(VIPcric_1!A1857="","",VIPcric_1!A1857)</f>
        <v>2022年</v>
      </c>
      <c r="B1875">
        <f>IF(VIPcric_1!B1857="","",VIPcric_1!B1857)</f>
        <v>1906907</v>
      </c>
      <c r="C1875">
        <f>IF(VIPcric_1!C1857="","",VIPcric_1!C1857)</f>
        <v>15218</v>
      </c>
      <c r="D1875">
        <f>IF(VIPcric_1!D1857="","",VIPcric_1!D1857)</f>
        <v>1614526</v>
      </c>
      <c r="E1875">
        <f>IF(VIPcric_1!E1857="","",VIPcric_1!E1857)</f>
        <v>13629</v>
      </c>
      <c r="F1875">
        <f>IF(VIPcric_1!F1857="","",VIPcric_1!F1857)</f>
        <v>10511</v>
      </c>
      <c r="G1875">
        <f>IF(VIPcric_1!G1857="","",VIPcric_1!G1857)</f>
        <v>16970779305</v>
      </c>
      <c r="H1875">
        <f>IF(VIPcric_1!H1857="","",VIPcric_1!H1857)</f>
        <v>1.18</v>
      </c>
      <c r="I1875" t="str">
        <f>IF(VIPcric_1!M1857="","",VIPcric_1!M1857)</f>
        <v>CRIC-淮安-市场监测.商品房市场.项目累计.供求.xlsx</v>
      </c>
    </row>
    <row r="1876" spans="1:9">
      <c r="A1876" t="str">
        <f>IF(VIPcric_1!A1858="","",VIPcric_1!A1858)</f>
        <v>2021年</v>
      </c>
      <c r="B1876">
        <f>IF(VIPcric_1!B1858="","",VIPcric_1!B1858)</f>
        <v>3995686</v>
      </c>
      <c r="C1876">
        <f>IF(VIPcric_1!C1858="","",VIPcric_1!C1858)</f>
        <v>33492</v>
      </c>
      <c r="D1876">
        <f>IF(VIPcric_1!D1858="","",VIPcric_1!D1858)</f>
        <v>3008320</v>
      </c>
      <c r="E1876">
        <f>IF(VIPcric_1!E1858="","",VIPcric_1!E1858)</f>
        <v>25329</v>
      </c>
      <c r="F1876">
        <f>IF(VIPcric_1!F1858="","",VIPcric_1!F1858)</f>
        <v>10216</v>
      </c>
      <c r="G1876">
        <f>IF(VIPcric_1!G1858="","",VIPcric_1!G1858)</f>
        <v>30732774796</v>
      </c>
      <c r="H1876">
        <f>IF(VIPcric_1!H1858="","",VIPcric_1!H1858)</f>
        <v>1.33</v>
      </c>
      <c r="I1876" t="str">
        <f>IF(VIPcric_1!M1858="","",VIPcric_1!M1858)</f>
        <v>CRIC-淮安-市场监测.商品房市场.项目累计.供求.xlsx</v>
      </c>
    </row>
    <row r="1877" spans="1:9">
      <c r="A1877" t="str">
        <f>IF(VIPcric_1!A1859="","",VIPcric_1!A1859)</f>
        <v>2020年</v>
      </c>
      <c r="B1877">
        <f>IF(VIPcric_1!B1859="","",VIPcric_1!B1859)</f>
        <v>3090406</v>
      </c>
      <c r="C1877">
        <f>IF(VIPcric_1!C1859="","",VIPcric_1!C1859)</f>
        <v>25786</v>
      </c>
      <c r="D1877">
        <f>IF(VIPcric_1!D1859="","",VIPcric_1!D1859)</f>
        <v>4563280</v>
      </c>
      <c r="E1877">
        <f>IF(VIPcric_1!E1859="","",VIPcric_1!E1859)</f>
        <v>37501</v>
      </c>
      <c r="F1877">
        <f>IF(VIPcric_1!F1859="","",VIPcric_1!F1859)</f>
        <v>9420</v>
      </c>
      <c r="G1877">
        <f>IF(VIPcric_1!G1859="","",VIPcric_1!G1859)</f>
        <v>42987374754</v>
      </c>
      <c r="H1877">
        <f>IF(VIPcric_1!H1859="","",VIPcric_1!H1859)</f>
        <v>0.68</v>
      </c>
      <c r="I1877" t="str">
        <f>IF(VIPcric_1!M1859="","",VIPcric_1!M1859)</f>
        <v>CRIC-淮安-市场监测.商品房市场.项目累计.供求.xlsx</v>
      </c>
    </row>
    <row r="1878" spans="1:9">
      <c r="A1878" t="str">
        <f>IF(VIPcric_1!A1860="","",VIPcric_1!A1860)</f>
        <v>2019年</v>
      </c>
      <c r="B1878">
        <f>IF(VIPcric_1!B1860="","",VIPcric_1!B1860)</f>
        <v>4154585</v>
      </c>
      <c r="C1878">
        <f>IF(VIPcric_1!C1860="","",VIPcric_1!C1860)</f>
        <v>34866</v>
      </c>
      <c r="D1878">
        <f>IF(VIPcric_1!D1860="","",VIPcric_1!D1860)</f>
        <v>4111676</v>
      </c>
      <c r="E1878">
        <f>IF(VIPcric_1!E1860="","",VIPcric_1!E1860)</f>
        <v>35241</v>
      </c>
      <c r="F1878">
        <f>IF(VIPcric_1!F1860="","",VIPcric_1!F1860)</f>
        <v>7640</v>
      </c>
      <c r="G1878">
        <f>IF(VIPcric_1!G1860="","",VIPcric_1!G1860)</f>
        <v>31412528004</v>
      </c>
      <c r="H1878">
        <f>IF(VIPcric_1!H1860="","",VIPcric_1!H1860)</f>
        <v>1.01</v>
      </c>
      <c r="I1878" t="str">
        <f>IF(VIPcric_1!M1860="","",VIPcric_1!M1860)</f>
        <v>CRIC-淮安-市场监测.商品房市场.项目累计.供求.xlsx</v>
      </c>
    </row>
    <row r="1879" spans="1:9">
      <c r="A1879" t="str">
        <f>IF(VIPcric_1!A1861="","",VIPcric_1!A1861)</f>
        <v>汇总</v>
      </c>
      <c r="B1879">
        <f>IF(VIPcric_1!B1861="","",VIPcric_1!B1861)</f>
        <v>14265634</v>
      </c>
      <c r="C1879">
        <f>IF(VIPcric_1!C1861="","",VIPcric_1!C1861)</f>
        <v>118605</v>
      </c>
      <c r="D1879">
        <f>IF(VIPcric_1!D1861="","",VIPcric_1!D1861)</f>
        <v>14607245</v>
      </c>
      <c r="E1879">
        <f>IF(VIPcric_1!E1861="","",VIPcric_1!E1861)</f>
        <v>122668</v>
      </c>
      <c r="F1879">
        <f>IF(VIPcric_1!F1861="","",VIPcric_1!F1861)</f>
        <v>9283</v>
      </c>
      <c r="G1879">
        <f>IF(VIPcric_1!G1861="","",VIPcric_1!G1861)</f>
        <v>135592697651</v>
      </c>
      <c r="H1879">
        <f>IF(VIPcric_1!H1861="","",VIPcric_1!H1861)</f>
        <v>0.98</v>
      </c>
      <c r="I1879" t="str">
        <f>IF(VIPcric_1!M1861="","",VIPcric_1!M1861)</f>
        <v>CRIC-淮安-市场监测.商品房市场.项目累计.供求.xlsx</v>
      </c>
    </row>
    <row r="1880" spans="1:9">
      <c r="A1880" t="str">
        <f>IF(VIPcric_1!A1862="","",VIPcric_1!A1862)</f>
        <v/>
      </c>
      <c r="B1880" t="str">
        <f>IF(VIPcric_1!B1862="","",VIPcric_1!B1862)</f>
        <v/>
      </c>
      <c r="C1880" t="str">
        <f>IF(VIPcric_1!C1862="","",VIPcric_1!C1862)</f>
        <v/>
      </c>
      <c r="D1880" t="str">
        <f>IF(VIPcric_1!D1862="","",VIPcric_1!D1862)</f>
        <v/>
      </c>
      <c r="E1880" t="str">
        <f>IF(VIPcric_1!E1862="","",VIPcric_1!E1862)</f>
        <v/>
      </c>
      <c r="F1880" t="str">
        <f>IF(VIPcric_1!F1862="","",VIPcric_1!F1862)</f>
        <v/>
      </c>
      <c r="G1880" t="str">
        <f>IF(VIPcric_1!G1862="","",VIPcric_1!G1862)</f>
        <v/>
      </c>
      <c r="H1880" t="str">
        <f>IF(VIPcric_1!H1862="","",VIPcric_1!H1862)</f>
        <v/>
      </c>
      <c r="I1880" t="str">
        <f>IF(VIPcric_1!M1862="","",VIPcric_1!M1862)</f>
        <v/>
      </c>
    </row>
    <row r="1881" spans="1:9">
      <c r="A1881" t="str">
        <f>IF(VIPcric_1!A1863="","",VIPcric_1!A1863)</f>
        <v/>
      </c>
      <c r="B1881" t="str">
        <f>IF(VIPcric_1!B1863="","",VIPcric_1!B1863)</f>
        <v/>
      </c>
      <c r="C1881" t="str">
        <f>IF(VIPcric_1!C1863="","",VIPcric_1!C1863)</f>
        <v/>
      </c>
      <c r="D1881" t="str">
        <f>IF(VIPcric_1!D1863="","",VIPcric_1!D1863)</f>
        <v/>
      </c>
      <c r="E1881" t="str">
        <f>IF(VIPcric_1!E1863="","",VIPcric_1!E1863)</f>
        <v/>
      </c>
      <c r="F1881" t="str">
        <f>IF(VIPcric_1!F1863="","",VIPcric_1!F1863)</f>
        <v/>
      </c>
      <c r="G1881" t="str">
        <f>IF(VIPcric_1!G1863="","",VIPcric_1!G1863)</f>
        <v/>
      </c>
      <c r="H1881" t="str">
        <f>IF(VIPcric_1!H1863="","",VIPcric_1!H1863)</f>
        <v/>
      </c>
      <c r="I1881" t="str">
        <f>IF(VIPcric_1!M1863="","",VIPcric_1!M1863)</f>
        <v>CRIC-深圳-市场监测.商品房市场.项目累计.供求.xlsx</v>
      </c>
    </row>
    <row r="1882" spans="1:9">
      <c r="A1882" t="str">
        <f>IF(VIPcric_1!A1864="","",VIPcric_1!A1864)</f>
        <v>时间(年)</v>
      </c>
      <c r="B1882" t="str">
        <f>IF(VIPcric_1!B1864="","",VIPcric_1!B1864)</f>
        <v>供应面积(㎡)</v>
      </c>
      <c r="C1882" t="str">
        <f>IF(VIPcric_1!C1864="","",VIPcric_1!C1864)</f>
        <v>供应套数(套)</v>
      </c>
      <c r="D1882" t="str">
        <f>IF(VIPcric_1!D1864="","",VIPcric_1!D1864)</f>
        <v>成交面积(㎡)</v>
      </c>
      <c r="E1882" t="str">
        <f>IF(VIPcric_1!E1864="","",VIPcric_1!E1864)</f>
        <v>成交套数(套)</v>
      </c>
      <c r="F1882" t="str">
        <f>IF(VIPcric_1!F1864="","",VIPcric_1!F1864)</f>
        <v>成交均价(元/㎡)</v>
      </c>
      <c r="G1882" t="str">
        <f>IF(VIPcric_1!G1864="","",VIPcric_1!G1864)</f>
        <v>成交金额(元)</v>
      </c>
      <c r="H1882" t="str">
        <f>IF(VIPcric_1!H1864="","",VIPcric_1!H1864)</f>
        <v>供求比</v>
      </c>
      <c r="I1882" t="str">
        <f>IF(VIPcric_1!M1864="","",VIPcric_1!M1864)</f>
        <v>CRIC-深圳-市场监测.商品房市场.项目累计.供求.xlsx</v>
      </c>
    </row>
    <row r="1883" spans="1:9">
      <c r="A1883" t="str">
        <f>IF(VIPcric_1!A1865="","",VIPcric_1!A1865)</f>
        <v>2023年</v>
      </c>
      <c r="B1883">
        <f>IF(VIPcric_1!B1865="","",VIPcric_1!B1865)</f>
        <v>5852050</v>
      </c>
      <c r="C1883">
        <f>IF(VIPcric_1!C1865="","",VIPcric_1!C1865)</f>
        <v>57415</v>
      </c>
      <c r="D1883">
        <f>IF(VIPcric_1!D1865="","",VIPcric_1!D1865)</f>
        <v>3654180</v>
      </c>
      <c r="E1883">
        <f>IF(VIPcric_1!E1865="","",VIPcric_1!E1865)</f>
        <v>35430</v>
      </c>
      <c r="F1883">
        <f>IF(VIPcric_1!F1865="","",VIPcric_1!F1865)</f>
        <v>63675</v>
      </c>
      <c r="G1883">
        <f>IF(VIPcric_1!G1865="","",VIPcric_1!G1865)</f>
        <v>232679689590</v>
      </c>
      <c r="H1883">
        <f>IF(VIPcric_1!H1865="","",VIPcric_1!H1865)</f>
        <v>1.6</v>
      </c>
      <c r="I1883" t="str">
        <f>IF(VIPcric_1!M1865="","",VIPcric_1!M1865)</f>
        <v>CRIC-深圳-市场监测.商品房市场.项目累计.供求.xlsx</v>
      </c>
    </row>
    <row r="1884" spans="1:9">
      <c r="A1884" t="str">
        <f>IF(VIPcric_1!A1866="","",VIPcric_1!A1866)</f>
        <v>2022年</v>
      </c>
      <c r="B1884">
        <f>IF(VIPcric_1!B1866="","",VIPcric_1!B1866)</f>
        <v>4456985</v>
      </c>
      <c r="C1884">
        <f>IF(VIPcric_1!C1866="","",VIPcric_1!C1866)</f>
        <v>44158</v>
      </c>
      <c r="D1884">
        <f>IF(VIPcric_1!D1866="","",VIPcric_1!D1866)</f>
        <v>3504000</v>
      </c>
      <c r="E1884">
        <f>IF(VIPcric_1!E1866="","",VIPcric_1!E1866)</f>
        <v>33632</v>
      </c>
      <c r="F1884">
        <f>IF(VIPcric_1!F1866="","",VIPcric_1!F1866)</f>
        <v>69029</v>
      </c>
      <c r="G1884">
        <f>IF(VIPcric_1!G1866="","",VIPcric_1!G1866)</f>
        <v>241877919318</v>
      </c>
      <c r="H1884">
        <f>IF(VIPcric_1!H1866="","",VIPcric_1!H1866)</f>
        <v>1.27</v>
      </c>
      <c r="I1884" t="str">
        <f>IF(VIPcric_1!M1866="","",VIPcric_1!M1866)</f>
        <v>CRIC-深圳-市场监测.商品房市场.项目累计.供求.xlsx</v>
      </c>
    </row>
    <row r="1885" spans="1:9">
      <c r="A1885" t="str">
        <f>IF(VIPcric_1!A1867="","",VIPcric_1!A1867)</f>
        <v>2021年</v>
      </c>
      <c r="B1885">
        <f>IF(VIPcric_1!B1867="","",VIPcric_1!B1867)</f>
        <v>5880795</v>
      </c>
      <c r="C1885">
        <f>IF(VIPcric_1!C1867="","",VIPcric_1!C1867)</f>
        <v>57652</v>
      </c>
      <c r="D1885">
        <f>IF(VIPcric_1!D1867="","",VIPcric_1!D1867)</f>
        <v>5136964</v>
      </c>
      <c r="E1885">
        <f>IF(VIPcric_1!E1867="","",VIPcric_1!E1867)</f>
        <v>51547</v>
      </c>
      <c r="F1885">
        <f>IF(VIPcric_1!F1867="","",VIPcric_1!F1867)</f>
        <v>61801</v>
      </c>
      <c r="G1885">
        <f>IF(VIPcric_1!G1867="","",VIPcric_1!G1867)</f>
        <v>317471128909</v>
      </c>
      <c r="H1885">
        <f>IF(VIPcric_1!H1867="","",VIPcric_1!H1867)</f>
        <v>1.1399999999999999</v>
      </c>
      <c r="I1885" t="str">
        <f>IF(VIPcric_1!M1867="","",VIPcric_1!M1867)</f>
        <v>CRIC-深圳-市场监测.商品房市场.项目累计.供求.xlsx</v>
      </c>
    </row>
    <row r="1886" spans="1:9">
      <c r="A1886" t="str">
        <f>IF(VIPcric_1!A1868="","",VIPcric_1!A1868)</f>
        <v>2020年</v>
      </c>
      <c r="B1886">
        <f>IF(VIPcric_1!B1868="","",VIPcric_1!B1868)</f>
        <v>5123438</v>
      </c>
      <c r="C1886">
        <f>IF(VIPcric_1!C1868="","",VIPcric_1!C1868)</f>
        <v>52390</v>
      </c>
      <c r="D1886">
        <f>IF(VIPcric_1!D1868="","",VIPcric_1!D1868)</f>
        <v>4399510</v>
      </c>
      <c r="E1886">
        <f>IF(VIPcric_1!E1868="","",VIPcric_1!E1868)</f>
        <v>44189</v>
      </c>
      <c r="F1886">
        <f>IF(VIPcric_1!F1868="","",VIPcric_1!F1868)</f>
        <v>54171</v>
      </c>
      <c r="G1886">
        <f>IF(VIPcric_1!G1868="","",VIPcric_1!G1868)</f>
        <v>238327850610</v>
      </c>
      <c r="H1886">
        <f>IF(VIPcric_1!H1868="","",VIPcric_1!H1868)</f>
        <v>1.1599999999999999</v>
      </c>
      <c r="I1886" t="str">
        <f>IF(VIPcric_1!M1868="","",VIPcric_1!M1868)</f>
        <v>CRIC-深圳-市场监测.商品房市场.项目累计.供求.xlsx</v>
      </c>
    </row>
    <row r="1887" spans="1:9">
      <c r="A1887" t="str">
        <f>IF(VIPcric_1!A1869="","",VIPcric_1!A1869)</f>
        <v>2019年</v>
      </c>
      <c r="B1887">
        <f>IF(VIPcric_1!B1869="","",VIPcric_1!B1869)</f>
        <v>4473431</v>
      </c>
      <c r="C1887">
        <f>IF(VIPcric_1!C1869="","",VIPcric_1!C1869)</f>
        <v>43532</v>
      </c>
      <c r="D1887">
        <f>IF(VIPcric_1!D1869="","",VIPcric_1!D1869)</f>
        <v>3695029</v>
      </c>
      <c r="E1887">
        <f>IF(VIPcric_1!E1869="","",VIPcric_1!E1869)</f>
        <v>37477</v>
      </c>
      <c r="F1887">
        <f>IF(VIPcric_1!F1869="","",VIPcric_1!F1869)</f>
        <v>56026</v>
      </c>
      <c r="G1887">
        <f>IF(VIPcric_1!G1869="","",VIPcric_1!G1869)</f>
        <v>207019434714</v>
      </c>
      <c r="H1887">
        <f>IF(VIPcric_1!H1869="","",VIPcric_1!H1869)</f>
        <v>1.21</v>
      </c>
      <c r="I1887" t="str">
        <f>IF(VIPcric_1!M1869="","",VIPcric_1!M1869)</f>
        <v>CRIC-深圳-市场监测.商品房市场.项目累计.供求.xlsx</v>
      </c>
    </row>
    <row r="1888" spans="1:9">
      <c r="A1888" t="str">
        <f>IF(VIPcric_1!A1870="","",VIPcric_1!A1870)</f>
        <v>汇总</v>
      </c>
      <c r="B1888">
        <f>IF(VIPcric_1!B1870="","",VIPcric_1!B1870)</f>
        <v>25786700</v>
      </c>
      <c r="C1888">
        <f>IF(VIPcric_1!C1870="","",VIPcric_1!C1870)</f>
        <v>255147</v>
      </c>
      <c r="D1888">
        <f>IF(VIPcric_1!D1870="","",VIPcric_1!D1870)</f>
        <v>20389683</v>
      </c>
      <c r="E1888">
        <f>IF(VIPcric_1!E1870="","",VIPcric_1!E1870)</f>
        <v>202275</v>
      </c>
      <c r="F1888">
        <f>IF(VIPcric_1!F1870="","",VIPcric_1!F1870)</f>
        <v>60686</v>
      </c>
      <c r="G1888">
        <f>IF(VIPcric_1!G1870="","",VIPcric_1!G1870)</f>
        <v>1237376023140</v>
      </c>
      <c r="H1888">
        <f>IF(VIPcric_1!H1870="","",VIPcric_1!H1870)</f>
        <v>1.26</v>
      </c>
      <c r="I1888" t="str">
        <f>IF(VIPcric_1!M1870="","",VIPcric_1!M1870)</f>
        <v>CRIC-深圳-市场监测.商品房市场.项目累计.供求.xlsx</v>
      </c>
    </row>
    <row r="1889" spans="1:9">
      <c r="A1889" t="str">
        <f>IF(VIPcric_1!A1871="","",VIPcric_1!A1871)</f>
        <v/>
      </c>
      <c r="B1889" t="str">
        <f>IF(VIPcric_1!B1871="","",VIPcric_1!B1871)</f>
        <v/>
      </c>
      <c r="C1889" t="str">
        <f>IF(VIPcric_1!C1871="","",VIPcric_1!C1871)</f>
        <v/>
      </c>
      <c r="D1889" t="str">
        <f>IF(VIPcric_1!D1871="","",VIPcric_1!D1871)</f>
        <v/>
      </c>
      <c r="E1889" t="str">
        <f>IF(VIPcric_1!E1871="","",VIPcric_1!E1871)</f>
        <v/>
      </c>
      <c r="F1889" t="str">
        <f>IF(VIPcric_1!F1871="","",VIPcric_1!F1871)</f>
        <v/>
      </c>
      <c r="G1889" t="str">
        <f>IF(VIPcric_1!G1871="","",VIPcric_1!G1871)</f>
        <v/>
      </c>
      <c r="H1889" t="str">
        <f>IF(VIPcric_1!H1871="","",VIPcric_1!H1871)</f>
        <v/>
      </c>
      <c r="I1889" t="str">
        <f>IF(VIPcric_1!M1871="","",VIPcric_1!M1871)</f>
        <v/>
      </c>
    </row>
    <row r="1890" spans="1:9">
      <c r="A1890" t="str">
        <f>IF(VIPcric_1!A1872="","",VIPcric_1!A1872)</f>
        <v/>
      </c>
      <c r="B1890" t="str">
        <f>IF(VIPcric_1!B1872="","",VIPcric_1!B1872)</f>
        <v/>
      </c>
      <c r="C1890" t="str">
        <f>IF(VIPcric_1!C1872="","",VIPcric_1!C1872)</f>
        <v/>
      </c>
      <c r="D1890" t="str">
        <f>IF(VIPcric_1!D1872="","",VIPcric_1!D1872)</f>
        <v/>
      </c>
      <c r="E1890" t="str">
        <f>IF(VIPcric_1!E1872="","",VIPcric_1!E1872)</f>
        <v/>
      </c>
      <c r="F1890" t="str">
        <f>IF(VIPcric_1!F1872="","",VIPcric_1!F1872)</f>
        <v/>
      </c>
      <c r="G1890" t="str">
        <f>IF(VIPcric_1!G1872="","",VIPcric_1!G1872)</f>
        <v/>
      </c>
      <c r="H1890" t="str">
        <f>IF(VIPcric_1!H1872="","",VIPcric_1!H1872)</f>
        <v/>
      </c>
      <c r="I1890" t="str">
        <f>IF(VIPcric_1!M1872="","",VIPcric_1!M1872)</f>
        <v>CRIC-深圳-市场监测.商品房市场.项目累计.库存.xlsx</v>
      </c>
    </row>
    <row r="1891" spans="1:9">
      <c r="A1891" t="str">
        <f>IF(VIPcric_1!A1873="","",VIPcric_1!A1873)</f>
        <v>时间(年)</v>
      </c>
      <c r="B1891" t="str">
        <f>IF(VIPcric_1!B1873="","",VIPcric_1!B1873)</f>
        <v>库存面积(㎡)</v>
      </c>
      <c r="C1891" t="str">
        <f>IF(VIPcric_1!C1873="","",VIPcric_1!C1873)</f>
        <v>库存套数(套)</v>
      </c>
      <c r="D1891" t="str">
        <f>IF(VIPcric_1!D1873="","",VIPcric_1!D1873)</f>
        <v>去化周期12'(月)</v>
      </c>
      <c r="E1891" t="str">
        <f>IF(VIPcric_1!E1873="","",VIPcric_1!E1873)</f>
        <v/>
      </c>
      <c r="F1891" t="str">
        <f>IF(VIPcric_1!F1873="","",VIPcric_1!F1873)</f>
        <v/>
      </c>
      <c r="G1891" t="str">
        <f>IF(VIPcric_1!G1873="","",VIPcric_1!G1873)</f>
        <v/>
      </c>
      <c r="H1891" t="str">
        <f>IF(VIPcric_1!H1873="","",VIPcric_1!H1873)</f>
        <v/>
      </c>
      <c r="I1891" t="str">
        <f>IF(VIPcric_1!M1873="","",VIPcric_1!M1873)</f>
        <v>CRIC-深圳-市场监测.商品房市场.项目累计.库存.xlsx</v>
      </c>
    </row>
    <row r="1892" spans="1:9">
      <c r="A1892" t="str">
        <f>IF(VIPcric_1!A1874="","",VIPcric_1!A1874)</f>
        <v>2023年</v>
      </c>
      <c r="B1892">
        <f>IF(VIPcric_1!B1874="","",VIPcric_1!B1874)</f>
        <v>7145382</v>
      </c>
      <c r="C1892">
        <f>IF(VIPcric_1!C1874="","",VIPcric_1!C1874)</f>
        <v>71182</v>
      </c>
      <c r="D1892">
        <f>IF(VIPcric_1!D1874="","",VIPcric_1!D1874)</f>
        <v>23.5</v>
      </c>
      <c r="E1892" t="str">
        <f>IF(VIPcric_1!E1874="","",VIPcric_1!E1874)</f>
        <v/>
      </c>
      <c r="F1892" t="str">
        <f>IF(VIPcric_1!F1874="","",VIPcric_1!F1874)</f>
        <v/>
      </c>
      <c r="G1892" t="str">
        <f>IF(VIPcric_1!G1874="","",VIPcric_1!G1874)</f>
        <v/>
      </c>
      <c r="H1892" t="str">
        <f>IF(VIPcric_1!H1874="","",VIPcric_1!H1874)</f>
        <v/>
      </c>
      <c r="I1892" t="str">
        <f>IF(VIPcric_1!M1874="","",VIPcric_1!M1874)</f>
        <v>CRIC-深圳-市场监测.商品房市场.项目累计.库存.xlsx</v>
      </c>
    </row>
    <row r="1893" spans="1:9">
      <c r="A1893" t="str">
        <f>IF(VIPcric_1!A1875="","",VIPcric_1!A1875)</f>
        <v>2022年</v>
      </c>
      <c r="B1893">
        <f>IF(VIPcric_1!B1875="","",VIPcric_1!B1875)</f>
        <v>5603710</v>
      </c>
      <c r="C1893">
        <f>IF(VIPcric_1!C1875="","",VIPcric_1!C1875)</f>
        <v>55347</v>
      </c>
      <c r="D1893">
        <f>IF(VIPcric_1!D1875="","",VIPcric_1!D1875)</f>
        <v>19.2</v>
      </c>
      <c r="E1893" t="str">
        <f>IF(VIPcric_1!E1875="","",VIPcric_1!E1875)</f>
        <v/>
      </c>
      <c r="F1893" t="str">
        <f>IF(VIPcric_1!F1875="","",VIPcric_1!F1875)</f>
        <v/>
      </c>
      <c r="G1893" t="str">
        <f>IF(VIPcric_1!G1875="","",VIPcric_1!G1875)</f>
        <v/>
      </c>
      <c r="H1893" t="str">
        <f>IF(VIPcric_1!H1875="","",VIPcric_1!H1875)</f>
        <v/>
      </c>
      <c r="I1893" t="str">
        <f>IF(VIPcric_1!M1875="","",VIPcric_1!M1875)</f>
        <v>CRIC-深圳-市场监测.商品房市场.项目累计.库存.xlsx</v>
      </c>
    </row>
    <row r="1894" spans="1:9">
      <c r="A1894" t="str">
        <f>IF(VIPcric_1!A1876="","",VIPcric_1!A1876)</f>
        <v>2021年</v>
      </c>
      <c r="B1894">
        <f>IF(VIPcric_1!B1876="","",VIPcric_1!B1876)</f>
        <v>3089050</v>
      </c>
      <c r="C1894">
        <f>IF(VIPcric_1!C1876="","",VIPcric_1!C1876)</f>
        <v>30732</v>
      </c>
      <c r="D1894">
        <f>IF(VIPcric_1!D1876="","",VIPcric_1!D1876)</f>
        <v>7.2</v>
      </c>
      <c r="E1894" t="str">
        <f>IF(VIPcric_1!E1876="","",VIPcric_1!E1876)</f>
        <v/>
      </c>
      <c r="F1894" t="str">
        <f>IF(VIPcric_1!F1876="","",VIPcric_1!F1876)</f>
        <v/>
      </c>
      <c r="G1894" t="str">
        <f>IF(VIPcric_1!G1876="","",VIPcric_1!G1876)</f>
        <v/>
      </c>
      <c r="H1894" t="str">
        <f>IF(VIPcric_1!H1876="","",VIPcric_1!H1876)</f>
        <v/>
      </c>
      <c r="I1894" t="str">
        <f>IF(VIPcric_1!M1876="","",VIPcric_1!M1876)</f>
        <v>CRIC-深圳-市场监测.商品房市场.项目累计.库存.xlsx</v>
      </c>
    </row>
    <row r="1895" spans="1:9">
      <c r="A1895" t="str">
        <f>IF(VIPcric_1!A1877="","",VIPcric_1!A1877)</f>
        <v>2020年</v>
      </c>
      <c r="B1895">
        <f>IF(VIPcric_1!B1877="","",VIPcric_1!B1877)</f>
        <v>2986465</v>
      </c>
      <c r="C1895">
        <f>IF(VIPcric_1!C1877="","",VIPcric_1!C1877)</f>
        <v>29890</v>
      </c>
      <c r="D1895">
        <f>IF(VIPcric_1!D1877="","",VIPcric_1!D1877)</f>
        <v>8.1</v>
      </c>
      <c r="E1895" t="str">
        <f>IF(VIPcric_1!E1877="","",VIPcric_1!E1877)</f>
        <v/>
      </c>
      <c r="F1895" t="str">
        <f>IF(VIPcric_1!F1877="","",VIPcric_1!F1877)</f>
        <v/>
      </c>
      <c r="G1895" t="str">
        <f>IF(VIPcric_1!G1877="","",VIPcric_1!G1877)</f>
        <v/>
      </c>
      <c r="H1895" t="str">
        <f>IF(VIPcric_1!H1877="","",VIPcric_1!H1877)</f>
        <v/>
      </c>
      <c r="I1895" t="str">
        <f>IF(VIPcric_1!M1877="","",VIPcric_1!M1877)</f>
        <v>CRIC-深圳-市场监测.商品房市场.项目累计.库存.xlsx</v>
      </c>
    </row>
    <row r="1896" spans="1:9">
      <c r="A1896" t="str">
        <f>IF(VIPcric_1!A1878="","",VIPcric_1!A1878)</f>
        <v>2019年</v>
      </c>
      <c r="B1896">
        <f>IF(VIPcric_1!B1878="","",VIPcric_1!B1878)</f>
        <v>3047128</v>
      </c>
      <c r="C1896">
        <f>IF(VIPcric_1!C1878="","",VIPcric_1!C1878)</f>
        <v>29790</v>
      </c>
      <c r="D1896">
        <f>IF(VIPcric_1!D1878="","",VIPcric_1!D1878)</f>
        <v>9.9</v>
      </c>
      <c r="E1896" t="str">
        <f>IF(VIPcric_1!E1878="","",VIPcric_1!E1878)</f>
        <v/>
      </c>
      <c r="F1896" t="str">
        <f>IF(VIPcric_1!F1878="","",VIPcric_1!F1878)</f>
        <v/>
      </c>
      <c r="G1896" t="str">
        <f>IF(VIPcric_1!G1878="","",VIPcric_1!G1878)</f>
        <v/>
      </c>
      <c r="H1896" t="str">
        <f>IF(VIPcric_1!H1878="","",VIPcric_1!H1878)</f>
        <v/>
      </c>
      <c r="I1896" t="str">
        <f>IF(VIPcric_1!M1878="","",VIPcric_1!M1878)</f>
        <v>CRIC-深圳-市场监测.商品房市场.项目累计.库存.xlsx</v>
      </c>
    </row>
    <row r="1897" spans="1:9">
      <c r="A1897" t="str">
        <f>IF(VIPcric_1!A1879="","",VIPcric_1!A1879)</f>
        <v/>
      </c>
      <c r="B1897" t="str">
        <f>IF(VIPcric_1!B1879="","",VIPcric_1!B1879)</f>
        <v/>
      </c>
      <c r="C1897" t="str">
        <f>IF(VIPcric_1!C1879="","",VIPcric_1!C1879)</f>
        <v/>
      </c>
      <c r="D1897" t="str">
        <f>IF(VIPcric_1!D1879="","",VIPcric_1!D1879)</f>
        <v/>
      </c>
      <c r="E1897" t="str">
        <f>IF(VIPcric_1!E1879="","",VIPcric_1!E1879)</f>
        <v/>
      </c>
      <c r="F1897" t="s">
        <v>857</v>
      </c>
      <c r="G1897" t="str">
        <f>IF(VIPcric_1!G1879="","",VIPcric_1!G1879)</f>
        <v/>
      </c>
      <c r="H1897" t="str">
        <f>IF(VIPcric_1!H1879="","",VIPcric_1!H1879)</f>
        <v/>
      </c>
      <c r="I1897" t="str">
        <f>IF(VIPcric_1!M1879="","",VIPcric_1!M1879)</f>
        <v/>
      </c>
    </row>
    <row r="1898" spans="1:9">
      <c r="A1898" t="str">
        <f>IF(VIPcric_1!A1880="","",VIPcric_1!A1880)</f>
        <v/>
      </c>
      <c r="B1898" t="str">
        <f>IF(VIPcric_1!B1880="","",VIPcric_1!B1880)</f>
        <v/>
      </c>
      <c r="C1898" t="str">
        <f>IF(VIPcric_1!C1880="","",VIPcric_1!C1880)</f>
        <v/>
      </c>
      <c r="D1898" t="str">
        <f>IF(VIPcric_1!D1880="","",VIPcric_1!D1880)</f>
        <v/>
      </c>
      <c r="E1898" t="str">
        <f>IF(VIPcric_1!E1880="","",VIPcric_1!E1880)</f>
        <v/>
      </c>
      <c r="F1898" s="22">
        <f>C1906/E1905*12</f>
        <v>14.4945295404814</v>
      </c>
      <c r="G1898" t="str">
        <f>IF(VIPcric_1!G1880="","",VIPcric_1!G1880)</f>
        <v/>
      </c>
      <c r="H1898" t="str">
        <f>IF(VIPcric_1!H1880="","",VIPcric_1!H1880)</f>
        <v/>
      </c>
      <c r="I1898" t="str">
        <f>IF(VIPcric_1!M1880="","",VIPcric_1!M1880)</f>
        <v>CRIC-淳安-市场监测.商品房市场.项目累计.供求.xlsx</v>
      </c>
    </row>
    <row r="1899" spans="1:9">
      <c r="A1899" t="str">
        <f>IF(VIPcric_1!A1881="","",VIPcric_1!A1881)</f>
        <v>时间(年)</v>
      </c>
      <c r="B1899" t="str">
        <f>IF(VIPcric_1!B1881="","",VIPcric_1!B1881)</f>
        <v>供应面积(㎡)</v>
      </c>
      <c r="C1899" t="str">
        <f>IF(VIPcric_1!C1881="","",VIPcric_1!C1881)</f>
        <v>供应套数(套)</v>
      </c>
      <c r="D1899" t="str">
        <f>IF(VIPcric_1!D1881="","",VIPcric_1!D1881)</f>
        <v>成交面积(㎡)</v>
      </c>
      <c r="E1899" t="str">
        <f>IF(VIPcric_1!E1881="","",VIPcric_1!E1881)</f>
        <v>成交套数(套)</v>
      </c>
      <c r="F1899" t="str">
        <f>IF(VIPcric_1!F1881="","",VIPcric_1!F1881)</f>
        <v>成交均价(元/㎡)</v>
      </c>
      <c r="G1899" t="str">
        <f>IF(VIPcric_1!G1881="","",VIPcric_1!G1881)</f>
        <v>成交金额(元)</v>
      </c>
      <c r="H1899" t="str">
        <f>IF(VIPcric_1!H1881="","",VIPcric_1!H1881)</f>
        <v>供求比</v>
      </c>
      <c r="I1899" t="str">
        <f>IF(VIPcric_1!M1881="","",VIPcric_1!M1881)</f>
        <v>CRIC-淳安-市场监测.商品房市场.项目累计.供求.xlsx</v>
      </c>
    </row>
    <row r="1900" spans="1:9">
      <c r="A1900" t="str">
        <f>IF(VIPcric_1!A1882="","",VIPcric_1!A1882)</f>
        <v>2023年</v>
      </c>
      <c r="B1900">
        <f>IF(VIPcric_1!B1882="","",VIPcric_1!B1882)</f>
        <v>0</v>
      </c>
      <c r="C1900">
        <f>IF(VIPcric_1!C1882="","",VIPcric_1!C1882)</f>
        <v>0</v>
      </c>
      <c r="D1900">
        <f>IF(VIPcric_1!D1882="","",VIPcric_1!D1882)</f>
        <v>1942</v>
      </c>
      <c r="E1900">
        <f>IF(VIPcric_1!E1882="","",VIPcric_1!E1882)</f>
        <v>22</v>
      </c>
      <c r="F1900">
        <f>IF(VIPcric_1!F1882="","",VIPcric_1!F1882)</f>
        <v>13188</v>
      </c>
      <c r="G1900">
        <f>IF(VIPcric_1!G1882="","",VIPcric_1!G1882)</f>
        <v>25614470</v>
      </c>
      <c r="H1900">
        <f>IF(VIPcric_1!H1882="","",VIPcric_1!H1882)</f>
        <v>0</v>
      </c>
      <c r="I1900" t="str">
        <f>IF(VIPcric_1!M1882="","",VIPcric_1!M1882)</f>
        <v>CRIC-淳安-市场监测.商品房市场.项目累计.供求.xlsx</v>
      </c>
    </row>
    <row r="1901" spans="1:9">
      <c r="A1901" t="str">
        <f>IF(VIPcric_1!A1883="","",VIPcric_1!A1883)</f>
        <v>2022年</v>
      </c>
      <c r="B1901">
        <f>IF(VIPcric_1!B1883="","",VIPcric_1!B1883)</f>
        <v>0</v>
      </c>
      <c r="C1901">
        <f>IF(VIPcric_1!C1883="","",VIPcric_1!C1883)</f>
        <v>0</v>
      </c>
      <c r="D1901">
        <f>IF(VIPcric_1!D1883="","",VIPcric_1!D1883)</f>
        <v>12986</v>
      </c>
      <c r="E1901">
        <f>IF(VIPcric_1!E1883="","",VIPcric_1!E1883)</f>
        <v>139</v>
      </c>
      <c r="F1901">
        <f>IF(VIPcric_1!F1883="","",VIPcric_1!F1883)</f>
        <v>17410</v>
      </c>
      <c r="G1901">
        <f>IF(VIPcric_1!G1883="","",VIPcric_1!G1883)</f>
        <v>226083963</v>
      </c>
      <c r="H1901">
        <f>IF(VIPcric_1!H1883="","",VIPcric_1!H1883)</f>
        <v>0</v>
      </c>
      <c r="I1901" t="str">
        <f>IF(VIPcric_1!M1883="","",VIPcric_1!M1883)</f>
        <v>CRIC-淳安-市场监测.商品房市场.项目累计.供求.xlsx</v>
      </c>
    </row>
    <row r="1902" spans="1:9">
      <c r="A1902" t="str">
        <f>IF(VIPcric_1!A1884="","",VIPcric_1!A1884)</f>
        <v>2021年</v>
      </c>
      <c r="B1902">
        <f>IF(VIPcric_1!B1884="","",VIPcric_1!B1884)</f>
        <v>0</v>
      </c>
      <c r="C1902">
        <f>IF(VIPcric_1!C1884="","",VIPcric_1!C1884)</f>
        <v>0</v>
      </c>
      <c r="D1902">
        <f>IF(VIPcric_1!D1884="","",VIPcric_1!D1884)</f>
        <v>49055</v>
      </c>
      <c r="E1902">
        <f>IF(VIPcric_1!E1884="","",VIPcric_1!E1884)</f>
        <v>453</v>
      </c>
      <c r="F1902">
        <f>IF(VIPcric_1!F1884="","",VIPcric_1!F1884)</f>
        <v>17658</v>
      </c>
      <c r="G1902">
        <f>IF(VIPcric_1!G1884="","",VIPcric_1!G1884)</f>
        <v>866220958</v>
      </c>
      <c r="H1902">
        <f>IF(VIPcric_1!H1884="","",VIPcric_1!H1884)</f>
        <v>0</v>
      </c>
      <c r="I1902" t="str">
        <f>IF(VIPcric_1!M1884="","",VIPcric_1!M1884)</f>
        <v>CRIC-淳安-市场监测.商品房市场.项目累计.供求.xlsx</v>
      </c>
    </row>
    <row r="1903" spans="1:9">
      <c r="A1903" t="str">
        <f>IF(VIPcric_1!A1885="","",VIPcric_1!A1885)</f>
        <v>2020年</v>
      </c>
      <c r="B1903">
        <f>IF(VIPcric_1!B1885="","",VIPcric_1!B1885)</f>
        <v>0</v>
      </c>
      <c r="C1903">
        <f>IF(VIPcric_1!C1885="","",VIPcric_1!C1885)</f>
        <v>0</v>
      </c>
      <c r="D1903">
        <f>IF(VIPcric_1!D1885="","",VIPcric_1!D1885)</f>
        <v>34436</v>
      </c>
      <c r="E1903">
        <f>IF(VIPcric_1!E1885="","",VIPcric_1!E1885)</f>
        <v>296</v>
      </c>
      <c r="F1903">
        <f>IF(VIPcric_1!F1885="","",VIPcric_1!F1885)</f>
        <v>18212</v>
      </c>
      <c r="G1903">
        <f>IF(VIPcric_1!G1885="","",VIPcric_1!G1885)</f>
        <v>627158256</v>
      </c>
      <c r="H1903">
        <f>IF(VIPcric_1!H1885="","",VIPcric_1!H1885)</f>
        <v>0</v>
      </c>
      <c r="I1903" t="str">
        <f>IF(VIPcric_1!M1885="","",VIPcric_1!M1885)</f>
        <v>CRIC-淳安-市场监测.商品房市场.项目累计.供求.xlsx</v>
      </c>
    </row>
    <row r="1904" spans="1:9">
      <c r="A1904" t="str">
        <f>IF(VIPcric_1!A1886="","",VIPcric_1!A1886)</f>
        <v>2019年</v>
      </c>
      <c r="B1904">
        <f>IF(VIPcric_1!B1886="","",VIPcric_1!B1886)</f>
        <v>108996</v>
      </c>
      <c r="C1904">
        <f>IF(VIPcric_1!C1886="","",VIPcric_1!C1886)</f>
        <v>960</v>
      </c>
      <c r="D1904">
        <f>IF(VIPcric_1!D1886="","",VIPcric_1!D1886)</f>
        <v>0</v>
      </c>
      <c r="E1904">
        <f>IF(VIPcric_1!E1886="","",VIPcric_1!E1886)</f>
        <v>0</v>
      </c>
      <c r="F1904">
        <f>IF(VIPcric_1!F1886="","",VIPcric_1!F1886)</f>
        <v>0</v>
      </c>
      <c r="G1904">
        <f>IF(VIPcric_1!G1886="","",VIPcric_1!G1886)</f>
        <v>0</v>
      </c>
      <c r="H1904">
        <f>IF(VIPcric_1!H1886="","",VIPcric_1!H1886)</f>
        <v>0</v>
      </c>
      <c r="I1904" t="str">
        <f>IF(VIPcric_1!M1886="","",VIPcric_1!M1886)</f>
        <v>CRIC-淳安-市场监测.商品房市场.项目累计.供求.xlsx</v>
      </c>
    </row>
    <row r="1905" spans="1:9">
      <c r="A1905" t="str">
        <f>IF(VIPcric_1!A1887="","",VIPcric_1!A1887)</f>
        <v>2018年</v>
      </c>
      <c r="B1905">
        <f>IF(VIPcric_1!B1887="","",VIPcric_1!B1887)</f>
        <v>305547</v>
      </c>
      <c r="C1905">
        <f>IF(VIPcric_1!C1887="","",VIPcric_1!C1887)</f>
        <v>2904</v>
      </c>
      <c r="D1905">
        <f>IF(VIPcric_1!D1887="","",VIPcric_1!D1887)</f>
        <v>348960</v>
      </c>
      <c r="E1905">
        <f>IF(VIPcric_1!E1887="","",VIPcric_1!E1887)</f>
        <v>3199</v>
      </c>
      <c r="F1905">
        <f>IF(VIPcric_1!F1887="","",VIPcric_1!F1887)</f>
        <v>12982</v>
      </c>
      <c r="G1905">
        <f>IF(VIPcric_1!G1887="","",VIPcric_1!G1887)</f>
        <v>4530067358</v>
      </c>
      <c r="H1905">
        <f>IF(VIPcric_1!H1887="","",VIPcric_1!H1887)</f>
        <v>0.88</v>
      </c>
      <c r="I1905" t="str">
        <f>IF(VIPcric_1!M1887="","",VIPcric_1!M1887)</f>
        <v>CRIC-淳安-市场监测.商品房市场.项目累计.供求.xlsx</v>
      </c>
    </row>
    <row r="1906" spans="1:9">
      <c r="A1906" t="str">
        <f>IF(VIPcric_1!A1888="","",VIPcric_1!A1888)</f>
        <v>汇总</v>
      </c>
      <c r="B1906">
        <f>IF(VIPcric_1!B1888="","",VIPcric_1!B1888)</f>
        <v>414542</v>
      </c>
      <c r="C1906">
        <f>IF(VIPcric_1!C1888="","",VIPcric_1!C1888)</f>
        <v>3864</v>
      </c>
      <c r="D1906">
        <f>IF(VIPcric_1!D1888="","",VIPcric_1!D1888)</f>
        <v>447380</v>
      </c>
      <c r="E1906">
        <f>IF(VIPcric_1!E1888="","",VIPcric_1!E1888)</f>
        <v>4109</v>
      </c>
      <c r="F1906">
        <f>IF(VIPcric_1!F1888="","",VIPcric_1!F1888)</f>
        <v>14026</v>
      </c>
      <c r="G1906">
        <f>IF(VIPcric_1!G1888="","",VIPcric_1!G1888)</f>
        <v>6275145006</v>
      </c>
      <c r="H1906">
        <f>IF(VIPcric_1!H1888="","",VIPcric_1!H1888)</f>
        <v>0.93</v>
      </c>
      <c r="I1906" t="str">
        <f>IF(VIPcric_1!M1888="","",VIPcric_1!M1888)</f>
        <v>CRIC-淳安-市场监测.商品房市场.项目累计.供求.xlsx</v>
      </c>
    </row>
    <row r="1907" spans="1:9">
      <c r="A1907" t="str">
        <f>IF(VIPcric_1!A1889="","",VIPcric_1!A1889)</f>
        <v/>
      </c>
      <c r="B1907" t="str">
        <f>IF(VIPcric_1!B1889="","",VIPcric_1!B1889)</f>
        <v/>
      </c>
      <c r="C1907" t="str">
        <f>IF(VIPcric_1!C1889="","",VIPcric_1!C1889)</f>
        <v/>
      </c>
      <c r="D1907" t="str">
        <f>IF(VIPcric_1!D1889="","",VIPcric_1!D1889)</f>
        <v/>
      </c>
      <c r="E1907" t="str">
        <f>IF(VIPcric_1!E1889="","",VIPcric_1!E1889)</f>
        <v/>
      </c>
      <c r="F1907" t="str">
        <f>IF(VIPcric_1!F1889="","",VIPcric_1!F1889)</f>
        <v/>
      </c>
      <c r="G1907" t="str">
        <f>IF(VIPcric_1!G1889="","",VIPcric_1!G1889)</f>
        <v/>
      </c>
      <c r="H1907" t="str">
        <f>IF(VIPcric_1!H1889="","",VIPcric_1!H1889)</f>
        <v/>
      </c>
      <c r="I1907" t="str">
        <f>IF(VIPcric_1!M1889="","",VIPcric_1!M1889)</f>
        <v/>
      </c>
    </row>
    <row r="1908" spans="1:9">
      <c r="A1908" t="str">
        <f>IF(VIPcric_1!A1890="","",VIPcric_1!A1890)</f>
        <v/>
      </c>
      <c r="B1908" t="str">
        <f>IF(VIPcric_1!B1890="","",VIPcric_1!B1890)</f>
        <v/>
      </c>
      <c r="C1908" t="str">
        <f>IF(VIPcric_1!C1890="","",VIPcric_1!C1890)</f>
        <v/>
      </c>
      <c r="D1908" t="str">
        <f>IF(VIPcric_1!D1890="","",VIPcric_1!D1890)</f>
        <v/>
      </c>
      <c r="E1908" t="str">
        <f>IF(VIPcric_1!E1890="","",VIPcric_1!E1890)</f>
        <v/>
      </c>
      <c r="F1908" t="str">
        <f>IF(VIPcric_1!F1890="","",VIPcric_1!F1890)</f>
        <v/>
      </c>
      <c r="G1908" t="str">
        <f>IF(VIPcric_1!G1890="","",VIPcric_1!G1890)</f>
        <v/>
      </c>
      <c r="H1908" t="str">
        <f>IF(VIPcric_1!H1890="","",VIPcric_1!H1890)</f>
        <v/>
      </c>
      <c r="I1908" t="str">
        <f>IF(VIPcric_1!M1890="","",VIPcric_1!M1890)</f>
        <v>CRIC-清远-市场监测.商品房市场.项目累计.供求.xlsx</v>
      </c>
    </row>
    <row r="1909" spans="1:9">
      <c r="A1909" t="str">
        <f>IF(VIPcric_1!A1891="","",VIPcric_1!A1891)</f>
        <v>时间(年)</v>
      </c>
      <c r="B1909" t="str">
        <f>IF(VIPcric_1!B1891="","",VIPcric_1!B1891)</f>
        <v>供应面积(㎡)</v>
      </c>
      <c r="C1909" t="str">
        <f>IF(VIPcric_1!C1891="","",VIPcric_1!C1891)</f>
        <v>供应套数(套)</v>
      </c>
      <c r="D1909" t="str">
        <f>IF(VIPcric_1!D1891="","",VIPcric_1!D1891)</f>
        <v>成交面积(㎡)</v>
      </c>
      <c r="E1909" t="str">
        <f>IF(VIPcric_1!E1891="","",VIPcric_1!E1891)</f>
        <v>成交套数(套)</v>
      </c>
      <c r="F1909" t="str">
        <f>IF(VIPcric_1!F1891="","",VIPcric_1!F1891)</f>
        <v>成交均价(元/㎡)</v>
      </c>
      <c r="G1909" t="str">
        <f>IF(VIPcric_1!G1891="","",VIPcric_1!G1891)</f>
        <v>成交金额(元)</v>
      </c>
      <c r="H1909" t="str">
        <f>IF(VIPcric_1!H1891="","",VIPcric_1!H1891)</f>
        <v>供求比</v>
      </c>
      <c r="I1909" t="str">
        <f>IF(VIPcric_1!M1891="","",VIPcric_1!M1891)</f>
        <v>CRIC-清远-市场监测.商品房市场.项目累计.供求.xlsx</v>
      </c>
    </row>
    <row r="1910" spans="1:9">
      <c r="A1910" t="str">
        <f>IF(VIPcric_1!A1892="","",VIPcric_1!A1892)</f>
        <v>2023年</v>
      </c>
      <c r="B1910">
        <f>IF(VIPcric_1!B1892="","",VIPcric_1!B1892)</f>
        <v>2328460</v>
      </c>
      <c r="C1910">
        <f>IF(VIPcric_1!C1892="","",VIPcric_1!C1892)</f>
        <v>21306</v>
      </c>
      <c r="D1910">
        <f>IF(VIPcric_1!D1892="","",VIPcric_1!D1892)</f>
        <v>3321795</v>
      </c>
      <c r="E1910">
        <f>IF(VIPcric_1!E1892="","",VIPcric_1!E1892)</f>
        <v>30301</v>
      </c>
      <c r="F1910">
        <f>IF(VIPcric_1!F1892="","",VIPcric_1!F1892)</f>
        <v>6925</v>
      </c>
      <c r="G1910">
        <f>IF(VIPcric_1!G1892="","",VIPcric_1!G1892)</f>
        <v>23002640507</v>
      </c>
      <c r="H1910">
        <f>IF(VIPcric_1!H1892="","",VIPcric_1!H1892)</f>
        <v>0.7</v>
      </c>
      <c r="I1910" t="str">
        <f>IF(VIPcric_1!M1892="","",VIPcric_1!M1892)</f>
        <v>CRIC-清远-市场监测.商品房市场.项目累计.供求.xlsx</v>
      </c>
    </row>
    <row r="1911" spans="1:9">
      <c r="A1911" t="str">
        <f>IF(VIPcric_1!A1893="","",VIPcric_1!A1893)</f>
        <v>2022年</v>
      </c>
      <c r="B1911">
        <f>IF(VIPcric_1!B1893="","",VIPcric_1!B1893)</f>
        <v>2898886</v>
      </c>
      <c r="C1911">
        <f>IF(VIPcric_1!C1893="","",VIPcric_1!C1893)</f>
        <v>26855</v>
      </c>
      <c r="D1911">
        <f>IF(VIPcric_1!D1893="","",VIPcric_1!D1893)</f>
        <v>4396043</v>
      </c>
      <c r="E1911">
        <f>IF(VIPcric_1!E1893="","",VIPcric_1!E1893)</f>
        <v>40325</v>
      </c>
      <c r="F1911">
        <f>IF(VIPcric_1!F1893="","",VIPcric_1!F1893)</f>
        <v>7104</v>
      </c>
      <c r="G1911">
        <f>IF(VIPcric_1!G1893="","",VIPcric_1!G1893)</f>
        <v>31227559836</v>
      </c>
      <c r="H1911">
        <f>IF(VIPcric_1!H1893="","",VIPcric_1!H1893)</f>
        <v>0.66</v>
      </c>
      <c r="I1911" t="str">
        <f>IF(VIPcric_1!M1893="","",VIPcric_1!M1893)</f>
        <v>CRIC-清远-市场监测.商品房市场.项目累计.供求.xlsx</v>
      </c>
    </row>
    <row r="1912" spans="1:9">
      <c r="A1912" t="str">
        <f>IF(VIPcric_1!A1894="","",VIPcric_1!A1894)</f>
        <v>2021年</v>
      </c>
      <c r="B1912">
        <f>IF(VIPcric_1!B1894="","",VIPcric_1!B1894)</f>
        <v>5478757</v>
      </c>
      <c r="C1912">
        <f>IF(VIPcric_1!C1894="","",VIPcric_1!C1894)</f>
        <v>53797</v>
      </c>
      <c r="D1912">
        <f>IF(VIPcric_1!D1894="","",VIPcric_1!D1894)</f>
        <v>7836184</v>
      </c>
      <c r="E1912">
        <f>IF(VIPcric_1!E1894="","",VIPcric_1!E1894)</f>
        <v>71761</v>
      </c>
      <c r="F1912">
        <f>IF(VIPcric_1!F1894="","",VIPcric_1!F1894)</f>
        <v>7502</v>
      </c>
      <c r="G1912">
        <f>IF(VIPcric_1!G1894="","",VIPcric_1!G1894)</f>
        <v>58786089658</v>
      </c>
      <c r="H1912">
        <f>IF(VIPcric_1!H1894="","",VIPcric_1!H1894)</f>
        <v>0.7</v>
      </c>
      <c r="I1912" t="str">
        <f>IF(VIPcric_1!M1894="","",VIPcric_1!M1894)</f>
        <v>CRIC-清远-市场监测.商品房市场.项目累计.供求.xlsx</v>
      </c>
    </row>
    <row r="1913" spans="1:9">
      <c r="A1913" t="str">
        <f>IF(VIPcric_1!A1895="","",VIPcric_1!A1895)</f>
        <v>2020年</v>
      </c>
      <c r="B1913">
        <f>IF(VIPcric_1!B1895="","",VIPcric_1!B1895)</f>
        <v>6899191</v>
      </c>
      <c r="C1913">
        <f>IF(VIPcric_1!C1895="","",VIPcric_1!C1895)</f>
        <v>65341</v>
      </c>
      <c r="D1913">
        <f>IF(VIPcric_1!D1895="","",VIPcric_1!D1895)</f>
        <v>7005307</v>
      </c>
      <c r="E1913">
        <f>IF(VIPcric_1!E1895="","",VIPcric_1!E1895)</f>
        <v>65067</v>
      </c>
      <c r="F1913">
        <f>IF(VIPcric_1!F1895="","",VIPcric_1!F1895)</f>
        <v>7855</v>
      </c>
      <c r="G1913">
        <f>IF(VIPcric_1!G1895="","",VIPcric_1!G1895)</f>
        <v>55027003574</v>
      </c>
      <c r="H1913">
        <f>IF(VIPcric_1!H1895="","",VIPcric_1!H1895)</f>
        <v>0.98</v>
      </c>
      <c r="I1913" t="str">
        <f>IF(VIPcric_1!M1895="","",VIPcric_1!M1895)</f>
        <v>CRIC-清远-市场监测.商品房市场.项目累计.供求.xlsx</v>
      </c>
    </row>
    <row r="1914" spans="1:9">
      <c r="A1914" t="str">
        <f>IF(VIPcric_1!A1896="","",VIPcric_1!A1896)</f>
        <v>2019年</v>
      </c>
      <c r="B1914">
        <f>IF(VIPcric_1!B1896="","",VIPcric_1!B1896)</f>
        <v>7276725</v>
      </c>
      <c r="C1914">
        <f>IF(VIPcric_1!C1896="","",VIPcric_1!C1896)</f>
        <v>69008</v>
      </c>
      <c r="D1914">
        <f>IF(VIPcric_1!D1896="","",VIPcric_1!D1896)</f>
        <v>5841849</v>
      </c>
      <c r="E1914">
        <f>IF(VIPcric_1!E1896="","",VIPcric_1!E1896)</f>
        <v>53958</v>
      </c>
      <c r="F1914">
        <f>IF(VIPcric_1!F1896="","",VIPcric_1!F1896)</f>
        <v>8366</v>
      </c>
      <c r="G1914">
        <f>IF(VIPcric_1!G1896="","",VIPcric_1!G1896)</f>
        <v>48870884162</v>
      </c>
      <c r="H1914">
        <f>IF(VIPcric_1!H1896="","",VIPcric_1!H1896)</f>
        <v>1.25</v>
      </c>
      <c r="I1914" t="str">
        <f>IF(VIPcric_1!M1896="","",VIPcric_1!M1896)</f>
        <v>CRIC-清远-市场监测.商品房市场.项目累计.供求.xlsx</v>
      </c>
    </row>
    <row r="1915" spans="1:9">
      <c r="A1915" t="str">
        <f>IF(VIPcric_1!A1897="","",VIPcric_1!A1897)</f>
        <v>汇总</v>
      </c>
      <c r="B1915">
        <f>IF(VIPcric_1!B1897="","",VIPcric_1!B1897)</f>
        <v>24882019</v>
      </c>
      <c r="C1915">
        <f>IF(VIPcric_1!C1897="","",VIPcric_1!C1897)</f>
        <v>236307</v>
      </c>
      <c r="D1915">
        <f>IF(VIPcric_1!D1897="","",VIPcric_1!D1897)</f>
        <v>28401178</v>
      </c>
      <c r="E1915">
        <f>IF(VIPcric_1!E1897="","",VIPcric_1!E1897)</f>
        <v>261412</v>
      </c>
      <c r="F1915">
        <f>IF(VIPcric_1!F1897="","",VIPcric_1!F1897)</f>
        <v>7638</v>
      </c>
      <c r="G1915">
        <f>IF(VIPcric_1!G1897="","",VIPcric_1!G1897)</f>
        <v>216914177736</v>
      </c>
      <c r="H1915">
        <f>IF(VIPcric_1!H1897="","",VIPcric_1!H1897)</f>
        <v>0.88</v>
      </c>
      <c r="I1915" t="str">
        <f>IF(VIPcric_1!M1897="","",VIPcric_1!M1897)</f>
        <v>CRIC-清远-市场监测.商品房市场.项目累计.供求.xlsx</v>
      </c>
    </row>
    <row r="1916" spans="1:9">
      <c r="A1916" t="str">
        <f>IF(VIPcric_1!A1898="","",VIPcric_1!A1898)</f>
        <v/>
      </c>
      <c r="B1916" t="str">
        <f>IF(VIPcric_1!B1898="","",VIPcric_1!B1898)</f>
        <v/>
      </c>
      <c r="C1916" t="str">
        <f>IF(VIPcric_1!C1898="","",VIPcric_1!C1898)</f>
        <v/>
      </c>
      <c r="D1916" t="str">
        <f>IF(VIPcric_1!D1898="","",VIPcric_1!D1898)</f>
        <v/>
      </c>
      <c r="E1916" t="str">
        <f>IF(VIPcric_1!E1898="","",VIPcric_1!E1898)</f>
        <v/>
      </c>
      <c r="F1916" t="str">
        <f>IF(VIPcric_1!F1898="","",VIPcric_1!F1898)</f>
        <v/>
      </c>
      <c r="G1916" t="str">
        <f>IF(VIPcric_1!G1898="","",VIPcric_1!G1898)</f>
        <v/>
      </c>
      <c r="H1916" t="str">
        <f>IF(VIPcric_1!H1898="","",VIPcric_1!H1898)</f>
        <v/>
      </c>
      <c r="I1916" t="str">
        <f>IF(VIPcric_1!M1898="","",VIPcric_1!M1898)</f>
        <v/>
      </c>
    </row>
    <row r="1917" spans="1:9">
      <c r="A1917" t="str">
        <f>IF(VIPcric_1!A1899="","",VIPcric_1!A1899)</f>
        <v/>
      </c>
      <c r="B1917" t="str">
        <f>IF(VIPcric_1!B1899="","",VIPcric_1!B1899)</f>
        <v/>
      </c>
      <c r="C1917" t="str">
        <f>IF(VIPcric_1!C1899="","",VIPcric_1!C1899)</f>
        <v/>
      </c>
      <c r="D1917" t="str">
        <f>IF(VIPcric_1!D1899="","",VIPcric_1!D1899)</f>
        <v/>
      </c>
      <c r="E1917" t="str">
        <f>IF(VIPcric_1!E1899="","",VIPcric_1!E1899)</f>
        <v/>
      </c>
      <c r="F1917" t="str">
        <f>IF(VIPcric_1!F1899="","",VIPcric_1!F1899)</f>
        <v/>
      </c>
      <c r="G1917" t="str">
        <f>IF(VIPcric_1!G1899="","",VIPcric_1!G1899)</f>
        <v/>
      </c>
      <c r="H1917" t="str">
        <f>IF(VIPcric_1!H1899="","",VIPcric_1!H1899)</f>
        <v/>
      </c>
      <c r="I1917" t="str">
        <f>IF(VIPcric_1!M1899="","",VIPcric_1!M1899)</f>
        <v>CRIC-清远-市场监测.商品房市场.项目累计.库存.xlsx</v>
      </c>
    </row>
    <row r="1918" spans="1:9">
      <c r="A1918" t="str">
        <f>IF(VIPcric_1!A1900="","",VIPcric_1!A1900)</f>
        <v>时间(年)</v>
      </c>
      <c r="B1918" t="str">
        <f>IF(VIPcric_1!B1900="","",VIPcric_1!B1900)</f>
        <v>库存面积(㎡)</v>
      </c>
      <c r="C1918" t="str">
        <f>IF(VIPcric_1!C1900="","",VIPcric_1!C1900)</f>
        <v>库存套数(套)</v>
      </c>
      <c r="D1918" t="str">
        <f>IF(VIPcric_1!D1900="","",VIPcric_1!D1900)</f>
        <v>去化周期12'(月)</v>
      </c>
      <c r="E1918" t="str">
        <f>IF(VIPcric_1!E1900="","",VIPcric_1!E1900)</f>
        <v/>
      </c>
      <c r="F1918" t="str">
        <f>IF(VIPcric_1!F1900="","",VIPcric_1!F1900)</f>
        <v/>
      </c>
      <c r="G1918" t="str">
        <f>IF(VIPcric_1!G1900="","",VIPcric_1!G1900)</f>
        <v/>
      </c>
      <c r="H1918" t="str">
        <f>IF(VIPcric_1!H1900="","",VIPcric_1!H1900)</f>
        <v/>
      </c>
      <c r="I1918" t="str">
        <f>IF(VIPcric_1!M1900="","",VIPcric_1!M1900)</f>
        <v>CRIC-清远-市场监测.商品房市场.项目累计.库存.xlsx</v>
      </c>
    </row>
    <row r="1919" spans="1:9">
      <c r="A1919" t="str">
        <f>IF(VIPcric_1!A1901="","",VIPcric_1!A1901)</f>
        <v>2024年</v>
      </c>
      <c r="B1919">
        <f>IF(VIPcric_1!B1901="","",VIPcric_1!B1901)</f>
        <v>6257036</v>
      </c>
      <c r="C1919">
        <f>IF(VIPcric_1!C1901="","",VIPcric_1!C1901)</f>
        <v>55386</v>
      </c>
      <c r="D1919">
        <f>IF(VIPcric_1!D1901="","",VIPcric_1!D1901)</f>
        <v>22.8</v>
      </c>
      <c r="E1919" t="str">
        <f>IF(VIPcric_1!E1901="","",VIPcric_1!E1901)</f>
        <v/>
      </c>
      <c r="F1919" t="str">
        <f>IF(VIPcric_1!F1901="","",VIPcric_1!F1901)</f>
        <v/>
      </c>
      <c r="G1919" t="str">
        <f>IF(VIPcric_1!G1901="","",VIPcric_1!G1901)</f>
        <v/>
      </c>
      <c r="H1919" t="str">
        <f>IF(VIPcric_1!H1901="","",VIPcric_1!H1901)</f>
        <v/>
      </c>
      <c r="I1919" t="str">
        <f>IF(VIPcric_1!M1901="","",VIPcric_1!M1901)</f>
        <v>CRIC-清远-市场监测.商品房市场.项目累计.库存.xlsx</v>
      </c>
    </row>
    <row r="1920" spans="1:9">
      <c r="A1920" t="str">
        <f>IF(VIPcric_1!A1902="","",VIPcric_1!A1902)</f>
        <v>2023年</v>
      </c>
      <c r="B1920">
        <f>IF(VIPcric_1!B1902="","",VIPcric_1!B1902)</f>
        <v>6211463</v>
      </c>
      <c r="C1920">
        <f>IF(VIPcric_1!C1902="","",VIPcric_1!C1902)</f>
        <v>54854</v>
      </c>
      <c r="D1920">
        <f>IF(VIPcric_1!D1902="","",VIPcric_1!D1902)</f>
        <v>22.4</v>
      </c>
      <c r="E1920" t="str">
        <f>IF(VIPcric_1!E1902="","",VIPcric_1!E1902)</f>
        <v/>
      </c>
      <c r="F1920" t="str">
        <f>IF(VIPcric_1!F1902="","",VIPcric_1!F1902)</f>
        <v/>
      </c>
      <c r="G1920" t="str">
        <f>IF(VIPcric_1!G1902="","",VIPcric_1!G1902)</f>
        <v/>
      </c>
      <c r="H1920" t="str">
        <f>IF(VIPcric_1!H1902="","",VIPcric_1!H1902)</f>
        <v/>
      </c>
      <c r="I1920" t="str">
        <f>IF(VIPcric_1!M1902="","",VIPcric_1!M1902)</f>
        <v>CRIC-清远-市场监测.商品房市场.项目累计.库存.xlsx</v>
      </c>
    </row>
    <row r="1921" spans="1:9">
      <c r="A1921" t="str">
        <f>IF(VIPcric_1!A1903="","",VIPcric_1!A1903)</f>
        <v>2022年</v>
      </c>
      <c r="B1921">
        <f>IF(VIPcric_1!B1903="","",VIPcric_1!B1903)</f>
        <v>7112263</v>
      </c>
      <c r="C1921">
        <f>IF(VIPcric_1!C1903="","",VIPcric_1!C1903)</f>
        <v>63148</v>
      </c>
      <c r="D1921">
        <f>IF(VIPcric_1!D1903="","",VIPcric_1!D1903)</f>
        <v>19.399999999999999</v>
      </c>
      <c r="E1921" t="str">
        <f>IF(VIPcric_1!E1903="","",VIPcric_1!E1903)</f>
        <v/>
      </c>
      <c r="F1921" t="str">
        <f>IF(VIPcric_1!F1903="","",VIPcric_1!F1903)</f>
        <v/>
      </c>
      <c r="G1921" t="str">
        <f>IF(VIPcric_1!G1903="","",VIPcric_1!G1903)</f>
        <v/>
      </c>
      <c r="H1921" t="str">
        <f>IF(VIPcric_1!H1903="","",VIPcric_1!H1903)</f>
        <v/>
      </c>
      <c r="I1921" t="str">
        <f>IF(VIPcric_1!M1903="","",VIPcric_1!M1903)</f>
        <v>CRIC-清远-市场监测.商品房市场.项目累计.库存.xlsx</v>
      </c>
    </row>
    <row r="1922" spans="1:9">
      <c r="A1922" t="str">
        <f>IF(VIPcric_1!A1904="","",VIPcric_1!A1904)</f>
        <v>2021年</v>
      </c>
      <c r="B1922">
        <f>IF(VIPcric_1!B1904="","",VIPcric_1!B1904)</f>
        <v>5526719</v>
      </c>
      <c r="C1922">
        <f>IF(VIPcric_1!C1904="","",VIPcric_1!C1904)</f>
        <v>51710</v>
      </c>
      <c r="D1922">
        <f>IF(VIPcric_1!D1904="","",VIPcric_1!D1904)</f>
        <v>8.5</v>
      </c>
      <c r="E1922" t="str">
        <f>IF(VIPcric_1!E1904="","",VIPcric_1!E1904)</f>
        <v/>
      </c>
      <c r="F1922" t="str">
        <f>IF(VIPcric_1!F1904="","",VIPcric_1!F1904)</f>
        <v/>
      </c>
      <c r="G1922" t="str">
        <f>IF(VIPcric_1!G1904="","",VIPcric_1!G1904)</f>
        <v/>
      </c>
      <c r="H1922" t="str">
        <f>IF(VIPcric_1!H1904="","",VIPcric_1!H1904)</f>
        <v/>
      </c>
      <c r="I1922" t="str">
        <f>IF(VIPcric_1!M1904="","",VIPcric_1!M1904)</f>
        <v>CRIC-清远-市场监测.商品房市场.项目累计.库存.xlsx</v>
      </c>
    </row>
    <row r="1923" spans="1:9">
      <c r="A1923" t="str">
        <f>IF(VIPcric_1!A1905="","",VIPcric_1!A1905)</f>
        <v>2020年</v>
      </c>
      <c r="B1923">
        <f>IF(VIPcric_1!B1905="","",VIPcric_1!B1905)</f>
        <v>5612698</v>
      </c>
      <c r="C1923">
        <f>IF(VIPcric_1!C1905="","",VIPcric_1!C1905)</f>
        <v>51905</v>
      </c>
      <c r="D1923">
        <f>IF(VIPcric_1!D1905="","",VIPcric_1!D1905)</f>
        <v>9.6</v>
      </c>
      <c r="E1923" t="str">
        <f>IF(VIPcric_1!E1905="","",VIPcric_1!E1905)</f>
        <v/>
      </c>
      <c r="F1923" t="str">
        <f>IF(VIPcric_1!F1905="","",VIPcric_1!F1905)</f>
        <v/>
      </c>
      <c r="G1923" t="str">
        <f>IF(VIPcric_1!G1905="","",VIPcric_1!G1905)</f>
        <v/>
      </c>
      <c r="H1923" t="str">
        <f>IF(VIPcric_1!H1905="","",VIPcric_1!H1905)</f>
        <v/>
      </c>
      <c r="I1923" t="str">
        <f>IF(VIPcric_1!M1905="","",VIPcric_1!M1905)</f>
        <v>CRIC-清远-市场监测.商品房市场.项目累计.库存.xlsx</v>
      </c>
    </row>
    <row r="1924" spans="1:9">
      <c r="A1924" t="str">
        <f>IF(VIPcric_1!A1906="","",VIPcric_1!A1906)</f>
        <v>2019年</v>
      </c>
      <c r="B1924">
        <f>IF(VIPcric_1!B1906="","",VIPcric_1!B1906)</f>
        <v>0</v>
      </c>
      <c r="C1924">
        <f>IF(VIPcric_1!C1906="","",VIPcric_1!C1906)</f>
        <v>0</v>
      </c>
      <c r="D1924">
        <f>IF(VIPcric_1!D1906="","",VIPcric_1!D1906)</f>
        <v>0</v>
      </c>
      <c r="E1924" t="str">
        <f>IF(VIPcric_1!E1906="","",VIPcric_1!E1906)</f>
        <v/>
      </c>
      <c r="F1924" t="str">
        <f>IF(VIPcric_1!F1906="","",VIPcric_1!F1906)</f>
        <v/>
      </c>
      <c r="G1924" t="str">
        <f>IF(VIPcric_1!G1906="","",VIPcric_1!G1906)</f>
        <v/>
      </c>
      <c r="H1924" t="str">
        <f>IF(VIPcric_1!H1906="","",VIPcric_1!H1906)</f>
        <v/>
      </c>
      <c r="I1924" t="str">
        <f>IF(VIPcric_1!M1906="","",VIPcric_1!M1906)</f>
        <v>CRIC-清远-市场监测.商品房市场.项目累计.库存.xlsx</v>
      </c>
    </row>
    <row r="1925" spans="1:9">
      <c r="A1925" t="str">
        <f>IF(VIPcric_1!A1907="","",VIPcric_1!A1907)</f>
        <v/>
      </c>
      <c r="B1925" t="str">
        <f>IF(VIPcric_1!B1907="","",VIPcric_1!B1907)</f>
        <v/>
      </c>
      <c r="C1925" t="str">
        <f>IF(VIPcric_1!C1907="","",VIPcric_1!C1907)</f>
        <v/>
      </c>
      <c r="D1925" t="str">
        <f>IF(VIPcric_1!D1907="","",VIPcric_1!D1907)</f>
        <v/>
      </c>
      <c r="E1925" t="str">
        <f>IF(VIPcric_1!E1907="","",VIPcric_1!E1907)</f>
        <v/>
      </c>
      <c r="F1925" t="str">
        <f>IF(VIPcric_1!F1907="","",VIPcric_1!F1907)</f>
        <v/>
      </c>
      <c r="G1925" t="str">
        <f>IF(VIPcric_1!G1907="","",VIPcric_1!G1907)</f>
        <v/>
      </c>
      <c r="H1925" t="str">
        <f>IF(VIPcric_1!H1907="","",VIPcric_1!H1907)</f>
        <v/>
      </c>
      <c r="I1925" t="str">
        <f>IF(VIPcric_1!M1907="","",VIPcric_1!M1907)</f>
        <v/>
      </c>
    </row>
    <row r="1926" spans="1:9">
      <c r="A1926" t="str">
        <f>IF(VIPcric_1!A1908="","",VIPcric_1!A1908)</f>
        <v/>
      </c>
      <c r="B1926" t="str">
        <f>IF(VIPcric_1!B1908="","",VIPcric_1!B1908)</f>
        <v/>
      </c>
      <c r="C1926" t="str">
        <f>IF(VIPcric_1!C1908="","",VIPcric_1!C1908)</f>
        <v/>
      </c>
      <c r="D1926" t="str">
        <f>IF(VIPcric_1!D1908="","",VIPcric_1!D1908)</f>
        <v/>
      </c>
      <c r="E1926" t="str">
        <f>IF(VIPcric_1!E1908="","",VIPcric_1!E1908)</f>
        <v/>
      </c>
      <c r="F1926" t="str">
        <f>IF(VIPcric_1!F1908="","",VIPcric_1!F1908)</f>
        <v/>
      </c>
      <c r="G1926" t="str">
        <f>IF(VIPcric_1!G1908="","",VIPcric_1!G1908)</f>
        <v/>
      </c>
      <c r="H1926" t="str">
        <f>IF(VIPcric_1!H1908="","",VIPcric_1!H1908)</f>
        <v/>
      </c>
      <c r="I1926" t="str">
        <f>IF(VIPcric_1!M1908="","",VIPcric_1!M1908)</f>
        <v>CRIC-温州-市场监测.商品房市场.项目累计.供求.xlsx</v>
      </c>
    </row>
    <row r="1927" spans="1:9">
      <c r="A1927" t="str">
        <f>IF(VIPcric_1!A1909="","",VIPcric_1!A1909)</f>
        <v>时间(年)</v>
      </c>
      <c r="B1927" t="str">
        <f>IF(VIPcric_1!B1909="","",VIPcric_1!B1909)</f>
        <v>供应面积(㎡)</v>
      </c>
      <c r="C1927" t="str">
        <f>IF(VIPcric_1!C1909="","",VIPcric_1!C1909)</f>
        <v>供应套数(套)</v>
      </c>
      <c r="D1927" t="str">
        <f>IF(VIPcric_1!D1909="","",VIPcric_1!D1909)</f>
        <v>成交面积(㎡)</v>
      </c>
      <c r="E1927" t="str">
        <f>IF(VIPcric_1!E1909="","",VIPcric_1!E1909)</f>
        <v>成交套数(套)</v>
      </c>
      <c r="F1927" t="str">
        <f>IF(VIPcric_1!F1909="","",VIPcric_1!F1909)</f>
        <v>成交均价(元/㎡)</v>
      </c>
      <c r="G1927" t="str">
        <f>IF(VIPcric_1!G1909="","",VIPcric_1!G1909)</f>
        <v>成交金额(元)</v>
      </c>
      <c r="H1927" t="str">
        <f>IF(VIPcric_1!H1909="","",VIPcric_1!H1909)</f>
        <v>供求比</v>
      </c>
      <c r="I1927" t="str">
        <f>IF(VIPcric_1!M1909="","",VIPcric_1!M1909)</f>
        <v>CRIC-温州-市场监测.商品房市场.项目累计.供求.xlsx</v>
      </c>
    </row>
    <row r="1928" spans="1:9">
      <c r="A1928" t="str">
        <f>IF(VIPcric_1!A1910="","",VIPcric_1!A1910)</f>
        <v>2024年</v>
      </c>
      <c r="B1928">
        <f>IF(VIPcric_1!B1910="","",VIPcric_1!B1910)</f>
        <v>434125</v>
      </c>
      <c r="C1928">
        <f>IF(VIPcric_1!C1910="","",VIPcric_1!C1910)</f>
        <v>3621</v>
      </c>
      <c r="D1928">
        <f>IF(VIPcric_1!D1910="","",VIPcric_1!D1910)</f>
        <v>234882</v>
      </c>
      <c r="E1928">
        <f>IF(VIPcric_1!E1910="","",VIPcric_1!E1910)</f>
        <v>1873</v>
      </c>
      <c r="F1928">
        <f>IF(VIPcric_1!F1910="","",VIPcric_1!F1910)</f>
        <v>17191</v>
      </c>
      <c r="G1928">
        <f>IF(VIPcric_1!G1910="","",VIPcric_1!G1910)</f>
        <v>4037768997</v>
      </c>
      <c r="H1928">
        <f>IF(VIPcric_1!H1910="","",VIPcric_1!H1910)</f>
        <v>1.85</v>
      </c>
      <c r="I1928" t="str">
        <f>IF(VIPcric_1!M1910="","",VIPcric_1!M1910)</f>
        <v>CRIC-温州-市场监测.商品房市场.项目累计.供求.xlsx</v>
      </c>
    </row>
    <row r="1929" spans="1:9">
      <c r="A1929" t="str">
        <f>IF(VIPcric_1!A1911="","",VIPcric_1!A1911)</f>
        <v>2023年</v>
      </c>
      <c r="B1929">
        <f>IF(VIPcric_1!B1911="","",VIPcric_1!B1911)</f>
        <v>3724438</v>
      </c>
      <c r="C1929">
        <f>IF(VIPcric_1!C1911="","",VIPcric_1!C1911)</f>
        <v>31498</v>
      </c>
      <c r="D1929">
        <f>IF(VIPcric_1!D1911="","",VIPcric_1!D1911)</f>
        <v>3517324</v>
      </c>
      <c r="E1929">
        <f>IF(VIPcric_1!E1911="","",VIPcric_1!E1911)</f>
        <v>29707</v>
      </c>
      <c r="F1929">
        <f>IF(VIPcric_1!F1911="","",VIPcric_1!F1911)</f>
        <v>18544</v>
      </c>
      <c r="G1929">
        <f>IF(VIPcric_1!G1911="","",VIPcric_1!G1911)</f>
        <v>65225993582</v>
      </c>
      <c r="H1929">
        <f>IF(VIPcric_1!H1911="","",VIPcric_1!H1911)</f>
        <v>1.06</v>
      </c>
      <c r="I1929" t="str">
        <f>IF(VIPcric_1!M1911="","",VIPcric_1!M1911)</f>
        <v>CRIC-温州-市场监测.商品房市场.项目累计.供求.xlsx</v>
      </c>
    </row>
    <row r="1930" spans="1:9">
      <c r="A1930" t="str">
        <f>IF(VIPcric_1!A1912="","",VIPcric_1!A1912)</f>
        <v>2022年</v>
      </c>
      <c r="B1930">
        <f>IF(VIPcric_1!B1912="","",VIPcric_1!B1912)</f>
        <v>3797867</v>
      </c>
      <c r="C1930">
        <f>IF(VIPcric_1!C1912="","",VIPcric_1!C1912)</f>
        <v>32419</v>
      </c>
      <c r="D1930">
        <f>IF(VIPcric_1!D1912="","",VIPcric_1!D1912)</f>
        <v>3964549</v>
      </c>
      <c r="E1930">
        <f>IF(VIPcric_1!E1912="","",VIPcric_1!E1912)</f>
        <v>34264</v>
      </c>
      <c r="F1930">
        <f>IF(VIPcric_1!F1912="","",VIPcric_1!F1912)</f>
        <v>17996</v>
      </c>
      <c r="G1930">
        <f>IF(VIPcric_1!G1912="","",VIPcric_1!G1912)</f>
        <v>71346984659</v>
      </c>
      <c r="H1930">
        <f>IF(VIPcric_1!H1912="","",VIPcric_1!H1912)</f>
        <v>0.96</v>
      </c>
      <c r="I1930" t="str">
        <f>IF(VIPcric_1!M1912="","",VIPcric_1!M1912)</f>
        <v>CRIC-温州-市场监测.商品房市场.项目累计.供求.xlsx</v>
      </c>
    </row>
    <row r="1931" spans="1:9">
      <c r="A1931" t="str">
        <f>IF(VIPcric_1!A1913="","",VIPcric_1!A1913)</f>
        <v>2021年</v>
      </c>
      <c r="B1931">
        <f>IF(VIPcric_1!B1913="","",VIPcric_1!B1913)</f>
        <v>7519546</v>
      </c>
      <c r="C1931">
        <f>IF(VIPcric_1!C1913="","",VIPcric_1!C1913)</f>
        <v>65612</v>
      </c>
      <c r="D1931">
        <f>IF(VIPcric_1!D1913="","",VIPcric_1!D1913)</f>
        <v>7816366</v>
      </c>
      <c r="E1931">
        <f>IF(VIPcric_1!E1913="","",VIPcric_1!E1913)</f>
        <v>67043</v>
      </c>
      <c r="F1931">
        <f>IF(VIPcric_1!F1913="","",VIPcric_1!F1913)</f>
        <v>19463</v>
      </c>
      <c r="G1931">
        <f>IF(VIPcric_1!G1913="","",VIPcric_1!G1913)</f>
        <v>152131204051</v>
      </c>
      <c r="H1931">
        <f>IF(VIPcric_1!H1913="","",VIPcric_1!H1913)</f>
        <v>0.96</v>
      </c>
      <c r="I1931" t="str">
        <f>IF(VIPcric_1!M1913="","",VIPcric_1!M1913)</f>
        <v>CRIC-温州-市场监测.商品房市场.项目累计.供求.xlsx</v>
      </c>
    </row>
    <row r="1932" spans="1:9">
      <c r="A1932" t="str">
        <f>IF(VIPcric_1!A1914="","",VIPcric_1!A1914)</f>
        <v>2020年</v>
      </c>
      <c r="B1932">
        <f>IF(VIPcric_1!B1914="","",VIPcric_1!B1914)</f>
        <v>9275556</v>
      </c>
      <c r="C1932">
        <f>IF(VIPcric_1!C1914="","",VIPcric_1!C1914)</f>
        <v>81418</v>
      </c>
      <c r="D1932">
        <f>IF(VIPcric_1!D1914="","",VIPcric_1!D1914)</f>
        <v>8131780</v>
      </c>
      <c r="E1932">
        <f>IF(VIPcric_1!E1914="","",VIPcric_1!E1914)</f>
        <v>69588</v>
      </c>
      <c r="F1932">
        <f>IF(VIPcric_1!F1914="","",VIPcric_1!F1914)</f>
        <v>18637</v>
      </c>
      <c r="G1932">
        <f>IF(VIPcric_1!G1914="","",VIPcric_1!G1914)</f>
        <v>151553555423</v>
      </c>
      <c r="H1932">
        <f>IF(VIPcric_1!H1914="","",VIPcric_1!H1914)</f>
        <v>1.1399999999999999</v>
      </c>
      <c r="I1932" t="str">
        <f>IF(VIPcric_1!M1914="","",VIPcric_1!M1914)</f>
        <v>CRIC-温州-市场监测.商品房市场.项目累计.供求.xlsx</v>
      </c>
    </row>
    <row r="1933" spans="1:9">
      <c r="A1933" t="str">
        <f>IF(VIPcric_1!A1915="","",VIPcric_1!A1915)</f>
        <v>2019年</v>
      </c>
      <c r="B1933">
        <f>IF(VIPcric_1!B1915="","",VIPcric_1!B1915)</f>
        <v>8414302</v>
      </c>
      <c r="C1933">
        <f>IF(VIPcric_1!C1915="","",VIPcric_1!C1915)</f>
        <v>69171</v>
      </c>
      <c r="D1933">
        <f>IF(VIPcric_1!D1915="","",VIPcric_1!D1915)</f>
        <v>8065113</v>
      </c>
      <c r="E1933">
        <f>IF(VIPcric_1!E1915="","",VIPcric_1!E1915)</f>
        <v>66073</v>
      </c>
      <c r="F1933">
        <f>IF(VIPcric_1!F1915="","",VIPcric_1!F1915)</f>
        <v>17466</v>
      </c>
      <c r="G1933">
        <f>IF(VIPcric_1!G1915="","",VIPcric_1!G1915)</f>
        <v>140866531732</v>
      </c>
      <c r="H1933">
        <f>IF(VIPcric_1!H1915="","",VIPcric_1!H1915)</f>
        <v>1.04</v>
      </c>
      <c r="I1933" t="str">
        <f>IF(VIPcric_1!M1915="","",VIPcric_1!M1915)</f>
        <v>CRIC-温州-市场监测.商品房市场.项目累计.供求.xlsx</v>
      </c>
    </row>
    <row r="1934" spans="1:9">
      <c r="A1934" t="str">
        <f>IF(VIPcric_1!A1916="","",VIPcric_1!A1916)</f>
        <v>汇总</v>
      </c>
      <c r="B1934">
        <f>IF(VIPcric_1!B1916="","",VIPcric_1!B1916)</f>
        <v>33165833</v>
      </c>
      <c r="C1934">
        <f>IF(VIPcric_1!C1916="","",VIPcric_1!C1916)</f>
        <v>283739</v>
      </c>
      <c r="D1934">
        <f>IF(VIPcric_1!D1916="","",VIPcric_1!D1916)</f>
        <v>31730013</v>
      </c>
      <c r="E1934">
        <f>IF(VIPcric_1!E1916="","",VIPcric_1!E1916)</f>
        <v>268548</v>
      </c>
      <c r="F1934">
        <f>IF(VIPcric_1!F1916="","",VIPcric_1!F1916)</f>
        <v>18442</v>
      </c>
      <c r="G1934">
        <f>IF(VIPcric_1!G1916="","",VIPcric_1!G1916)</f>
        <v>585162038444</v>
      </c>
      <c r="H1934">
        <f>IF(VIPcric_1!H1916="","",VIPcric_1!H1916)</f>
        <v>1.05</v>
      </c>
      <c r="I1934" t="str">
        <f>IF(VIPcric_1!M1916="","",VIPcric_1!M1916)</f>
        <v>CRIC-温州-市场监测.商品房市场.项目累计.供求.xlsx</v>
      </c>
    </row>
    <row r="1935" spans="1:9">
      <c r="A1935" t="str">
        <f>IF(VIPcric_1!A1917="","",VIPcric_1!A1917)</f>
        <v/>
      </c>
      <c r="B1935" t="str">
        <f>IF(VIPcric_1!B1917="","",VIPcric_1!B1917)</f>
        <v/>
      </c>
      <c r="C1935" t="str">
        <f>IF(VIPcric_1!C1917="","",VIPcric_1!C1917)</f>
        <v/>
      </c>
      <c r="D1935" t="str">
        <f>IF(VIPcric_1!D1917="","",VIPcric_1!D1917)</f>
        <v/>
      </c>
      <c r="E1935" t="str">
        <f>IF(VIPcric_1!E1917="","",VIPcric_1!E1917)</f>
        <v/>
      </c>
      <c r="F1935" t="str">
        <f>IF(VIPcric_1!F1917="","",VIPcric_1!F1917)</f>
        <v/>
      </c>
      <c r="G1935" t="str">
        <f>IF(VIPcric_1!G1917="","",VIPcric_1!G1917)</f>
        <v/>
      </c>
      <c r="H1935" t="str">
        <f>IF(VIPcric_1!H1917="","",VIPcric_1!H1917)</f>
        <v/>
      </c>
      <c r="I1935" t="str">
        <f>IF(VIPcric_1!M1917="","",VIPcric_1!M1917)</f>
        <v/>
      </c>
    </row>
    <row r="1936" spans="1:9">
      <c r="A1936" t="str">
        <f>IF(VIPcric_1!A1918="","",VIPcric_1!A1918)</f>
        <v/>
      </c>
      <c r="B1936" t="str">
        <f>IF(VIPcric_1!B1918="","",VIPcric_1!B1918)</f>
        <v/>
      </c>
      <c r="C1936" t="str">
        <f>IF(VIPcric_1!C1918="","",VIPcric_1!C1918)</f>
        <v/>
      </c>
      <c r="D1936" t="str">
        <f>IF(VIPcric_1!D1918="","",VIPcric_1!D1918)</f>
        <v/>
      </c>
      <c r="E1936" t="str">
        <f>IF(VIPcric_1!E1918="","",VIPcric_1!E1918)</f>
        <v/>
      </c>
      <c r="F1936" t="str">
        <f>IF(VIPcric_1!F1918="","",VIPcric_1!F1918)</f>
        <v/>
      </c>
      <c r="G1936" t="str">
        <f>IF(VIPcric_1!G1918="","",VIPcric_1!G1918)</f>
        <v/>
      </c>
      <c r="H1936" t="str">
        <f>IF(VIPcric_1!H1918="","",VIPcric_1!H1918)</f>
        <v/>
      </c>
      <c r="I1936" t="str">
        <f>IF(VIPcric_1!M1918="","",VIPcric_1!M1918)</f>
        <v>CRIC-温州-市场监测.商品房市场.项目累计.库存.xlsx</v>
      </c>
    </row>
    <row r="1937" spans="1:9">
      <c r="A1937" t="str">
        <f>IF(VIPcric_1!A1919="","",VIPcric_1!A1919)</f>
        <v>时间(年)</v>
      </c>
      <c r="B1937" t="str">
        <f>IF(VIPcric_1!B1919="","",VIPcric_1!B1919)</f>
        <v>库存面积(㎡)</v>
      </c>
      <c r="C1937" t="str">
        <f>IF(VIPcric_1!C1919="","",VIPcric_1!C1919)</f>
        <v>库存套数(套)</v>
      </c>
      <c r="D1937" t="str">
        <f>IF(VIPcric_1!D1919="","",VIPcric_1!D1919)</f>
        <v>去化周期12'(月)</v>
      </c>
      <c r="E1937" t="str">
        <f>IF(VIPcric_1!E1919="","",VIPcric_1!E1919)</f>
        <v/>
      </c>
      <c r="F1937" t="str">
        <f>IF(VIPcric_1!F1919="","",VIPcric_1!F1919)</f>
        <v/>
      </c>
      <c r="G1937" t="str">
        <f>IF(VIPcric_1!G1919="","",VIPcric_1!G1919)</f>
        <v/>
      </c>
      <c r="H1937" t="str">
        <f>IF(VIPcric_1!H1919="","",VIPcric_1!H1919)</f>
        <v/>
      </c>
      <c r="I1937" t="str">
        <f>IF(VIPcric_1!M1919="","",VIPcric_1!M1919)</f>
        <v>CRIC-温州-市场监测.商品房市场.项目累计.库存.xlsx</v>
      </c>
    </row>
    <row r="1938" spans="1:9">
      <c r="A1938" t="str">
        <f>IF(VIPcric_1!A1920="","",VIPcric_1!A1920)</f>
        <v>2024年</v>
      </c>
      <c r="B1938">
        <f>IF(VIPcric_1!B1920="","",VIPcric_1!B1920)</f>
        <v>6313315</v>
      </c>
      <c r="C1938">
        <f>IF(VIPcric_1!C1920="","",VIPcric_1!C1920)</f>
        <v>52351</v>
      </c>
      <c r="D1938">
        <f>IF(VIPcric_1!D1920="","",VIPcric_1!D1920)</f>
        <v>21.9</v>
      </c>
      <c r="E1938" t="str">
        <f>IF(VIPcric_1!E1920="","",VIPcric_1!E1920)</f>
        <v/>
      </c>
      <c r="F1938" t="str">
        <f>IF(VIPcric_1!F1920="","",VIPcric_1!F1920)</f>
        <v/>
      </c>
      <c r="G1938" t="str">
        <f>IF(VIPcric_1!G1920="","",VIPcric_1!G1920)</f>
        <v/>
      </c>
      <c r="H1938" t="str">
        <f>IF(VIPcric_1!H1920="","",VIPcric_1!H1920)</f>
        <v/>
      </c>
      <c r="I1938" t="str">
        <f>IF(VIPcric_1!M1920="","",VIPcric_1!M1920)</f>
        <v>CRIC-温州-市场监测.商品房市场.项目累计.库存.xlsx</v>
      </c>
    </row>
    <row r="1939" spans="1:9">
      <c r="A1939" t="str">
        <f>IF(VIPcric_1!A1921="","",VIPcric_1!A1921)</f>
        <v>2023年</v>
      </c>
      <c r="B1939">
        <f>IF(VIPcric_1!B1921="","",VIPcric_1!B1921)</f>
        <v>6062552</v>
      </c>
      <c r="C1939">
        <f>IF(VIPcric_1!C1921="","",VIPcric_1!C1921)</f>
        <v>50215</v>
      </c>
      <c r="D1939">
        <f>IF(VIPcric_1!D1921="","",VIPcric_1!D1921)</f>
        <v>20.7</v>
      </c>
      <c r="E1939" t="str">
        <f>IF(VIPcric_1!E1921="","",VIPcric_1!E1921)</f>
        <v/>
      </c>
      <c r="F1939" t="str">
        <f>IF(VIPcric_1!F1921="","",VIPcric_1!F1921)</f>
        <v/>
      </c>
      <c r="G1939" t="str">
        <f>IF(VIPcric_1!G1921="","",VIPcric_1!G1921)</f>
        <v/>
      </c>
      <c r="H1939" t="str">
        <f>IF(VIPcric_1!H1921="","",VIPcric_1!H1921)</f>
        <v/>
      </c>
      <c r="I1939" t="str">
        <f>IF(VIPcric_1!M1921="","",VIPcric_1!M1921)</f>
        <v>CRIC-温州-市场监测.商品房市场.项目累计.库存.xlsx</v>
      </c>
    </row>
    <row r="1940" spans="1:9">
      <c r="A1940" t="str">
        <f>IF(VIPcric_1!A1922="","",VIPcric_1!A1922)</f>
        <v>2022年</v>
      </c>
      <c r="B1940">
        <f>IF(VIPcric_1!B1922="","",VIPcric_1!B1922)</f>
        <v>5549259</v>
      </c>
      <c r="C1940">
        <f>IF(VIPcric_1!C1922="","",VIPcric_1!C1922)</f>
        <v>45581</v>
      </c>
      <c r="D1940">
        <f>IF(VIPcric_1!D1922="","",VIPcric_1!D1922)</f>
        <v>16.8</v>
      </c>
      <c r="E1940" t="str">
        <f>IF(VIPcric_1!E1922="","",VIPcric_1!E1922)</f>
        <v/>
      </c>
      <c r="F1940" t="str">
        <f>IF(VIPcric_1!F1922="","",VIPcric_1!F1922)</f>
        <v/>
      </c>
      <c r="G1940" t="str">
        <f>IF(VIPcric_1!G1922="","",VIPcric_1!G1922)</f>
        <v/>
      </c>
      <c r="H1940" t="str">
        <f>IF(VIPcric_1!H1922="","",VIPcric_1!H1922)</f>
        <v/>
      </c>
      <c r="I1940" t="str">
        <f>IF(VIPcric_1!M1922="","",VIPcric_1!M1922)</f>
        <v>CRIC-温州-市场监测.商品房市场.项目累计.库存.xlsx</v>
      </c>
    </row>
    <row r="1941" spans="1:9">
      <c r="A1941" t="str">
        <f>IF(VIPcric_1!A1923="","",VIPcric_1!A1923)</f>
        <v>2021年</v>
      </c>
      <c r="B1941">
        <f>IF(VIPcric_1!B1923="","",VIPcric_1!B1923)</f>
        <v>5706618</v>
      </c>
      <c r="C1941">
        <f>IF(VIPcric_1!C1923="","",VIPcric_1!C1923)</f>
        <v>47174</v>
      </c>
      <c r="D1941">
        <f>IF(VIPcric_1!D1923="","",VIPcric_1!D1923)</f>
        <v>8.8000000000000007</v>
      </c>
      <c r="E1941" t="str">
        <f>IF(VIPcric_1!E1923="","",VIPcric_1!E1923)</f>
        <v/>
      </c>
      <c r="F1941" t="str">
        <f>IF(VIPcric_1!F1923="","",VIPcric_1!F1923)</f>
        <v/>
      </c>
      <c r="G1941" t="str">
        <f>IF(VIPcric_1!G1923="","",VIPcric_1!G1923)</f>
        <v/>
      </c>
      <c r="H1941" t="str">
        <f>IF(VIPcric_1!H1923="","",VIPcric_1!H1923)</f>
        <v/>
      </c>
      <c r="I1941" t="str">
        <f>IF(VIPcric_1!M1923="","",VIPcric_1!M1923)</f>
        <v>CRIC-温州-市场监测.商品房市场.项目累计.库存.xlsx</v>
      </c>
    </row>
    <row r="1942" spans="1:9">
      <c r="A1942" t="str">
        <f>IF(VIPcric_1!A1924="","",VIPcric_1!A1924)</f>
        <v>2020年</v>
      </c>
      <c r="B1942">
        <f>IF(VIPcric_1!B1924="","",VIPcric_1!B1924)</f>
        <v>6489568</v>
      </c>
      <c r="C1942">
        <f>IF(VIPcric_1!C1924="","",VIPcric_1!C1924)</f>
        <v>52568</v>
      </c>
      <c r="D1942">
        <f>IF(VIPcric_1!D1924="","",VIPcric_1!D1924)</f>
        <v>9.6</v>
      </c>
      <c r="E1942" t="str">
        <f>IF(VIPcric_1!E1924="","",VIPcric_1!E1924)</f>
        <v/>
      </c>
      <c r="F1942" t="str">
        <f>IF(VIPcric_1!F1924="","",VIPcric_1!F1924)</f>
        <v/>
      </c>
      <c r="G1942" t="str">
        <f>IF(VIPcric_1!G1924="","",VIPcric_1!G1924)</f>
        <v/>
      </c>
      <c r="H1942" t="str">
        <f>IF(VIPcric_1!H1924="","",VIPcric_1!H1924)</f>
        <v/>
      </c>
      <c r="I1942" t="str">
        <f>IF(VIPcric_1!M1924="","",VIPcric_1!M1924)</f>
        <v>CRIC-温州-市场监测.商品房市场.项目累计.库存.xlsx</v>
      </c>
    </row>
    <row r="1943" spans="1:9">
      <c r="A1943" t="str">
        <f>IF(VIPcric_1!A1925="","",VIPcric_1!A1925)</f>
        <v>2019年</v>
      </c>
      <c r="B1943">
        <f>IF(VIPcric_1!B1925="","",VIPcric_1!B1925)</f>
        <v>6557948</v>
      </c>
      <c r="C1943">
        <f>IF(VIPcric_1!C1925="","",VIPcric_1!C1925)</f>
        <v>48811</v>
      </c>
      <c r="D1943">
        <f>IF(VIPcric_1!D1925="","",VIPcric_1!D1925)</f>
        <v>9.8000000000000007</v>
      </c>
      <c r="E1943" t="str">
        <f>IF(VIPcric_1!E1925="","",VIPcric_1!E1925)</f>
        <v/>
      </c>
      <c r="F1943" t="str">
        <f>IF(VIPcric_1!F1925="","",VIPcric_1!F1925)</f>
        <v/>
      </c>
      <c r="G1943" t="str">
        <f>IF(VIPcric_1!G1925="","",VIPcric_1!G1925)</f>
        <v/>
      </c>
      <c r="H1943" t="str">
        <f>IF(VIPcric_1!H1925="","",VIPcric_1!H1925)</f>
        <v/>
      </c>
      <c r="I1943" t="str">
        <f>IF(VIPcric_1!M1925="","",VIPcric_1!M1925)</f>
        <v>CRIC-温州-市场监测.商品房市场.项目累计.库存.xlsx</v>
      </c>
    </row>
    <row r="1944" spans="1:9">
      <c r="A1944" t="str">
        <f>IF(VIPcric_1!A1926="","",VIPcric_1!A1926)</f>
        <v/>
      </c>
      <c r="B1944" t="str">
        <f>IF(VIPcric_1!B1926="","",VIPcric_1!B1926)</f>
        <v/>
      </c>
      <c r="C1944" t="str">
        <f>IF(VIPcric_1!C1926="","",VIPcric_1!C1926)</f>
        <v/>
      </c>
      <c r="D1944" t="str">
        <f>IF(VIPcric_1!D1926="","",VIPcric_1!D1926)</f>
        <v/>
      </c>
      <c r="E1944" t="str">
        <f>IF(VIPcric_1!E1926="","",VIPcric_1!E1926)</f>
        <v/>
      </c>
      <c r="F1944" t="str">
        <f>IF(VIPcric_1!F1926="","",VIPcric_1!F1926)</f>
        <v/>
      </c>
      <c r="G1944" t="str">
        <f>IF(VIPcric_1!G1926="","",VIPcric_1!G1926)</f>
        <v/>
      </c>
      <c r="H1944" t="str">
        <f>IF(VIPcric_1!H1926="","",VIPcric_1!H1926)</f>
        <v/>
      </c>
      <c r="I1944" t="str">
        <f>IF(VIPcric_1!M1926="","",VIPcric_1!M1926)</f>
        <v/>
      </c>
    </row>
    <row r="1945" spans="1:9">
      <c r="A1945" t="str">
        <f>IF(VIPcric_1!A1927="","",VIPcric_1!A1927)</f>
        <v/>
      </c>
      <c r="B1945" t="str">
        <f>IF(VIPcric_1!B1927="","",VIPcric_1!B1927)</f>
        <v/>
      </c>
      <c r="C1945" t="str">
        <f>IF(VIPcric_1!C1927="","",VIPcric_1!C1927)</f>
        <v/>
      </c>
      <c r="D1945" t="str">
        <f>IF(VIPcric_1!D1927="","",VIPcric_1!D1927)</f>
        <v/>
      </c>
      <c r="E1945" t="str">
        <f>IF(VIPcric_1!E1927="","",VIPcric_1!E1927)</f>
        <v/>
      </c>
      <c r="F1945" t="str">
        <f>IF(VIPcric_1!F1927="","",VIPcric_1!F1927)</f>
        <v/>
      </c>
      <c r="G1945" t="str">
        <f>IF(VIPcric_1!G1927="","",VIPcric_1!G1927)</f>
        <v/>
      </c>
      <c r="H1945" t="str">
        <f>IF(VIPcric_1!H1927="","",VIPcric_1!H1927)</f>
        <v/>
      </c>
      <c r="I1945" t="str">
        <f>IF(VIPcric_1!M1927="","",VIPcric_1!M1927)</f>
        <v>CRIC-渭南-市场监测.商品房市场.项目累计.供求.xlsx</v>
      </c>
    </row>
    <row r="1946" spans="1:9">
      <c r="A1946" t="str">
        <f>IF(VIPcric_1!A1928="","",VIPcric_1!A1928)</f>
        <v>时间(年)</v>
      </c>
      <c r="B1946" t="str">
        <f>IF(VIPcric_1!B1928="","",VIPcric_1!B1928)</f>
        <v>供应面积(㎡)</v>
      </c>
      <c r="C1946" t="str">
        <f>IF(VIPcric_1!C1928="","",VIPcric_1!C1928)</f>
        <v>供应套数(套)</v>
      </c>
      <c r="D1946" t="str">
        <f>IF(VIPcric_1!D1928="","",VIPcric_1!D1928)</f>
        <v>成交面积(㎡)</v>
      </c>
      <c r="E1946" t="str">
        <f>IF(VIPcric_1!E1928="","",VIPcric_1!E1928)</f>
        <v>成交套数(套)</v>
      </c>
      <c r="F1946" t="str">
        <f>IF(VIPcric_1!F1928="","",VIPcric_1!F1928)</f>
        <v>成交均价(元/㎡)</v>
      </c>
      <c r="G1946" t="str">
        <f>IF(VIPcric_1!G1928="","",VIPcric_1!G1928)</f>
        <v>成交金额(元)</v>
      </c>
      <c r="H1946" t="str">
        <f>IF(VIPcric_1!H1928="","",VIPcric_1!H1928)</f>
        <v>供求比</v>
      </c>
      <c r="I1946" t="str">
        <f>IF(VIPcric_1!M1928="","",VIPcric_1!M1928)</f>
        <v>CRIC-渭南-市场监测.商品房市场.项目累计.供求.xlsx</v>
      </c>
    </row>
    <row r="1947" spans="1:9">
      <c r="A1947" t="str">
        <f>IF(VIPcric_1!A1929="","",VIPcric_1!A1929)</f>
        <v>2023年</v>
      </c>
      <c r="B1947">
        <f>IF(VIPcric_1!B1929="","",VIPcric_1!B1929)</f>
        <v>860302</v>
      </c>
      <c r="C1947">
        <f>IF(VIPcric_1!C1929="","",VIPcric_1!C1929)</f>
        <v>6302</v>
      </c>
      <c r="D1947">
        <f>IF(VIPcric_1!D1929="","",VIPcric_1!D1929)</f>
        <v>847893</v>
      </c>
      <c r="E1947">
        <f>IF(VIPcric_1!E1929="","",VIPcric_1!E1929)</f>
        <v>6813</v>
      </c>
      <c r="F1947">
        <f>IF(VIPcric_1!F1929="","",VIPcric_1!F1929)</f>
        <v>6541</v>
      </c>
      <c r="G1947">
        <f>IF(VIPcric_1!G1929="","",VIPcric_1!G1929)</f>
        <v>5546091118</v>
      </c>
      <c r="H1947">
        <f>IF(VIPcric_1!H1929="","",VIPcric_1!H1929)</f>
        <v>1.01</v>
      </c>
      <c r="I1947" t="str">
        <f>IF(VIPcric_1!M1929="","",VIPcric_1!M1929)</f>
        <v>CRIC-渭南-市场监测.商品房市场.项目累计.供求.xlsx</v>
      </c>
    </row>
    <row r="1948" spans="1:9">
      <c r="A1948" t="str">
        <f>IF(VIPcric_1!A1930="","",VIPcric_1!A1930)</f>
        <v>2022年</v>
      </c>
      <c r="B1948">
        <f>IF(VIPcric_1!B1930="","",VIPcric_1!B1930)</f>
        <v>914005</v>
      </c>
      <c r="C1948">
        <f>IF(VIPcric_1!C1930="","",VIPcric_1!C1930)</f>
        <v>7091</v>
      </c>
      <c r="D1948">
        <f>IF(VIPcric_1!D1930="","",VIPcric_1!D1930)</f>
        <v>1143972</v>
      </c>
      <c r="E1948">
        <f>IF(VIPcric_1!E1930="","",VIPcric_1!E1930)</f>
        <v>9534</v>
      </c>
      <c r="F1948">
        <f>IF(VIPcric_1!F1930="","",VIPcric_1!F1930)</f>
        <v>6318</v>
      </c>
      <c r="G1948">
        <f>IF(VIPcric_1!G1930="","",VIPcric_1!G1930)</f>
        <v>7227400949</v>
      </c>
      <c r="H1948">
        <f>IF(VIPcric_1!H1930="","",VIPcric_1!H1930)</f>
        <v>0.8</v>
      </c>
      <c r="I1948" t="str">
        <f>IF(VIPcric_1!M1930="","",VIPcric_1!M1930)</f>
        <v>CRIC-渭南-市场监测.商品房市场.项目累计.供求.xlsx</v>
      </c>
    </row>
    <row r="1949" spans="1:9">
      <c r="A1949" t="str">
        <f>IF(VIPcric_1!A1931="","",VIPcric_1!A1931)</f>
        <v>2021年</v>
      </c>
      <c r="B1949">
        <f>IF(VIPcric_1!B1931="","",VIPcric_1!B1931)</f>
        <v>1648510</v>
      </c>
      <c r="C1949">
        <f>IF(VIPcric_1!C1931="","",VIPcric_1!C1931)</f>
        <v>13533</v>
      </c>
      <c r="D1949">
        <f>IF(VIPcric_1!D1931="","",VIPcric_1!D1931)</f>
        <v>2034700</v>
      </c>
      <c r="E1949">
        <f>IF(VIPcric_1!E1931="","",VIPcric_1!E1931)</f>
        <v>16476</v>
      </c>
      <c r="F1949">
        <f>IF(VIPcric_1!F1931="","",VIPcric_1!F1931)</f>
        <v>6197</v>
      </c>
      <c r="G1949">
        <f>IF(VIPcric_1!G1931="","",VIPcric_1!G1931)</f>
        <v>12609640611</v>
      </c>
      <c r="H1949">
        <f>IF(VIPcric_1!H1931="","",VIPcric_1!H1931)</f>
        <v>0.81</v>
      </c>
      <c r="I1949" t="str">
        <f>IF(VIPcric_1!M1931="","",VIPcric_1!M1931)</f>
        <v>CRIC-渭南-市场监测.商品房市场.项目累计.供求.xlsx</v>
      </c>
    </row>
    <row r="1950" spans="1:9">
      <c r="A1950" t="str">
        <f>IF(VIPcric_1!A1932="","",VIPcric_1!A1932)</f>
        <v>2020年</v>
      </c>
      <c r="B1950">
        <f>IF(VIPcric_1!B1932="","",VIPcric_1!B1932)</f>
        <v>2899877</v>
      </c>
      <c r="C1950">
        <f>IF(VIPcric_1!C1932="","",VIPcric_1!C1932)</f>
        <v>23862</v>
      </c>
      <c r="D1950">
        <f>IF(VIPcric_1!D1932="","",VIPcric_1!D1932)</f>
        <v>2205364</v>
      </c>
      <c r="E1950">
        <f>IF(VIPcric_1!E1932="","",VIPcric_1!E1932)</f>
        <v>18003</v>
      </c>
      <c r="F1950">
        <f>IF(VIPcric_1!F1932="","",VIPcric_1!F1932)</f>
        <v>6239</v>
      </c>
      <c r="G1950">
        <f>IF(VIPcric_1!G1932="","",VIPcric_1!G1932)</f>
        <v>13759406444</v>
      </c>
      <c r="H1950">
        <f>IF(VIPcric_1!H1932="","",VIPcric_1!H1932)</f>
        <v>1.31</v>
      </c>
      <c r="I1950" t="str">
        <f>IF(VIPcric_1!M1932="","",VIPcric_1!M1932)</f>
        <v>CRIC-渭南-市场监测.商品房市场.项目累计.供求.xlsx</v>
      </c>
    </row>
    <row r="1951" spans="1:9">
      <c r="A1951" t="str">
        <f>IF(VIPcric_1!A1933="","",VIPcric_1!A1933)</f>
        <v>2019年</v>
      </c>
      <c r="B1951">
        <f>IF(VIPcric_1!B1933="","",VIPcric_1!B1933)</f>
        <v>2147597</v>
      </c>
      <c r="C1951">
        <f>IF(VIPcric_1!C1933="","",VIPcric_1!C1933)</f>
        <v>16922</v>
      </c>
      <c r="D1951">
        <f>IF(VIPcric_1!D1933="","",VIPcric_1!D1933)</f>
        <v>100150</v>
      </c>
      <c r="E1951">
        <f>IF(VIPcric_1!E1933="","",VIPcric_1!E1933)</f>
        <v>801</v>
      </c>
      <c r="F1951">
        <f>IF(VIPcric_1!F1933="","",VIPcric_1!F1933)</f>
        <v>6025</v>
      </c>
      <c r="G1951">
        <f>IF(VIPcric_1!G1933="","",VIPcric_1!G1933)</f>
        <v>603365323</v>
      </c>
      <c r="H1951">
        <f>IF(VIPcric_1!H1933="","",VIPcric_1!H1933)</f>
        <v>21.44</v>
      </c>
      <c r="I1951" t="str">
        <f>IF(VIPcric_1!M1933="","",VIPcric_1!M1933)</f>
        <v>CRIC-渭南-市场监测.商品房市场.项目累计.供求.xlsx</v>
      </c>
    </row>
    <row r="1952" spans="1:9">
      <c r="A1952" t="str">
        <f>IF(VIPcric_1!A1934="","",VIPcric_1!A1934)</f>
        <v>汇总</v>
      </c>
      <c r="B1952">
        <f>IF(VIPcric_1!B1934="","",VIPcric_1!B1934)</f>
        <v>8470292</v>
      </c>
      <c r="C1952">
        <f>IF(VIPcric_1!C1934="","",VIPcric_1!C1934)</f>
        <v>67710</v>
      </c>
      <c r="D1952">
        <f>IF(VIPcric_1!D1934="","",VIPcric_1!D1934)</f>
        <v>6332079</v>
      </c>
      <c r="E1952">
        <f>IF(VIPcric_1!E1934="","",VIPcric_1!E1934)</f>
        <v>51627</v>
      </c>
      <c r="F1952">
        <f>IF(VIPcric_1!F1934="","",VIPcric_1!F1934)</f>
        <v>6277</v>
      </c>
      <c r="G1952">
        <f>IF(VIPcric_1!G1934="","",VIPcric_1!G1934)</f>
        <v>39745904445</v>
      </c>
      <c r="H1952">
        <f>IF(VIPcric_1!H1934="","",VIPcric_1!H1934)</f>
        <v>1.34</v>
      </c>
      <c r="I1952" t="str">
        <f>IF(VIPcric_1!M1934="","",VIPcric_1!M1934)</f>
        <v>CRIC-渭南-市场监测.商品房市场.项目累计.供求.xlsx</v>
      </c>
    </row>
    <row r="1953" spans="1:9">
      <c r="A1953" t="str">
        <f>IF(VIPcric_1!A1935="","",VIPcric_1!A1935)</f>
        <v/>
      </c>
      <c r="B1953" t="str">
        <f>IF(VIPcric_1!B1935="","",VIPcric_1!B1935)</f>
        <v/>
      </c>
      <c r="C1953" t="str">
        <f>IF(VIPcric_1!C1935="","",VIPcric_1!C1935)</f>
        <v/>
      </c>
      <c r="D1953" t="str">
        <f>IF(VIPcric_1!D1935="","",VIPcric_1!D1935)</f>
        <v/>
      </c>
      <c r="E1953" t="str">
        <f>IF(VIPcric_1!E1935="","",VIPcric_1!E1935)</f>
        <v/>
      </c>
      <c r="F1953" t="str">
        <f>IF(VIPcric_1!F1935="","",VIPcric_1!F1935)</f>
        <v/>
      </c>
      <c r="G1953" t="str">
        <f>IF(VIPcric_1!G1935="","",VIPcric_1!G1935)</f>
        <v/>
      </c>
      <c r="H1953" t="str">
        <f>IF(VIPcric_1!H1935="","",VIPcric_1!H1935)</f>
        <v/>
      </c>
      <c r="I1953" t="str">
        <f>IF(VIPcric_1!M1935="","",VIPcric_1!M1935)</f>
        <v/>
      </c>
    </row>
    <row r="1954" spans="1:9">
      <c r="A1954" t="str">
        <f>IF(VIPcric_1!A1936="","",VIPcric_1!A1936)</f>
        <v/>
      </c>
      <c r="B1954" t="str">
        <f>IF(VIPcric_1!B1936="","",VIPcric_1!B1936)</f>
        <v/>
      </c>
      <c r="C1954" t="str">
        <f>IF(VIPcric_1!C1936="","",VIPcric_1!C1936)</f>
        <v/>
      </c>
      <c r="D1954" t="str">
        <f>IF(VIPcric_1!D1936="","",VIPcric_1!D1936)</f>
        <v/>
      </c>
      <c r="E1954" t="str">
        <f>IF(VIPcric_1!E1936="","",VIPcric_1!E1936)</f>
        <v/>
      </c>
      <c r="F1954" t="str">
        <f>IF(VIPcric_1!F1936="","",VIPcric_1!F1936)</f>
        <v/>
      </c>
      <c r="G1954" t="str">
        <f>IF(VIPcric_1!G1936="","",VIPcric_1!G1936)</f>
        <v/>
      </c>
      <c r="H1954" t="str">
        <f>IF(VIPcric_1!H1936="","",VIPcric_1!H1936)</f>
        <v/>
      </c>
      <c r="I1954" t="str">
        <f>IF(VIPcric_1!M1936="","",VIPcric_1!M1936)</f>
        <v>CRIC-渭南-市场监测.商品房市场.项目累计.库存.xlsx</v>
      </c>
    </row>
    <row r="1955" spans="1:9">
      <c r="A1955" t="str">
        <f>IF(VIPcric_1!A1937="","",VIPcric_1!A1937)</f>
        <v>时间(年)</v>
      </c>
      <c r="B1955" t="str">
        <f>IF(VIPcric_1!B1937="","",VIPcric_1!B1937)</f>
        <v>库存面积(㎡)</v>
      </c>
      <c r="C1955" t="str">
        <f>IF(VIPcric_1!C1937="","",VIPcric_1!C1937)</f>
        <v>库存套数(套)</v>
      </c>
      <c r="D1955" t="str">
        <f>IF(VIPcric_1!D1937="","",VIPcric_1!D1937)</f>
        <v>去化周期12'(月)</v>
      </c>
      <c r="E1955" t="str">
        <f>IF(VIPcric_1!E1937="","",VIPcric_1!E1937)</f>
        <v/>
      </c>
      <c r="F1955" t="str">
        <f>IF(VIPcric_1!F1937="","",VIPcric_1!F1937)</f>
        <v/>
      </c>
      <c r="G1955" t="str">
        <f>IF(VIPcric_1!G1937="","",VIPcric_1!G1937)</f>
        <v/>
      </c>
      <c r="H1955" t="str">
        <f>IF(VIPcric_1!H1937="","",VIPcric_1!H1937)</f>
        <v/>
      </c>
      <c r="I1955" t="str">
        <f>IF(VIPcric_1!M1937="","",VIPcric_1!M1937)</f>
        <v>CRIC-渭南-市场监测.商品房市场.项目累计.库存.xlsx</v>
      </c>
    </row>
    <row r="1956" spans="1:9">
      <c r="A1956" t="str">
        <f>IF(VIPcric_1!A1938="","",VIPcric_1!A1938)</f>
        <v>2024年</v>
      </c>
      <c r="B1956">
        <f>IF(VIPcric_1!B1938="","",VIPcric_1!B1938)</f>
        <v>3147772</v>
      </c>
      <c r="C1956">
        <f>IF(VIPcric_1!C1938="","",VIPcric_1!C1938)</f>
        <v>24983</v>
      </c>
      <c r="D1956">
        <f>IF(VIPcric_1!D1938="","",VIPcric_1!D1938)</f>
        <v>45.3</v>
      </c>
      <c r="E1956" t="str">
        <f>IF(VIPcric_1!E1938="","",VIPcric_1!E1938)</f>
        <v/>
      </c>
      <c r="F1956" t="str">
        <f>IF(VIPcric_1!F1938="","",VIPcric_1!F1938)</f>
        <v/>
      </c>
      <c r="G1956" t="str">
        <f>IF(VIPcric_1!G1938="","",VIPcric_1!G1938)</f>
        <v/>
      </c>
      <c r="H1956" t="str">
        <f>IF(VIPcric_1!H1938="","",VIPcric_1!H1938)</f>
        <v/>
      </c>
      <c r="I1956" t="str">
        <f>IF(VIPcric_1!M1938="","",VIPcric_1!M1938)</f>
        <v>CRIC-渭南-市场监测.商品房市场.项目累计.库存.xlsx</v>
      </c>
    </row>
    <row r="1957" spans="1:9">
      <c r="A1957" t="str">
        <f>IF(VIPcric_1!A1939="","",VIPcric_1!A1939)</f>
        <v>2023年</v>
      </c>
      <c r="B1957">
        <f>IF(VIPcric_1!B1939="","",VIPcric_1!B1939)</f>
        <v>3092291</v>
      </c>
      <c r="C1957">
        <f>IF(VIPcric_1!C1939="","",VIPcric_1!C1939)</f>
        <v>24564</v>
      </c>
      <c r="D1957">
        <f>IF(VIPcric_1!D1939="","",VIPcric_1!D1939)</f>
        <v>43.8</v>
      </c>
      <c r="E1957" t="str">
        <f>IF(VIPcric_1!E1939="","",VIPcric_1!E1939)</f>
        <v/>
      </c>
      <c r="F1957" t="str">
        <f>IF(VIPcric_1!F1939="","",VIPcric_1!F1939)</f>
        <v/>
      </c>
      <c r="G1957" t="str">
        <f>IF(VIPcric_1!G1939="","",VIPcric_1!G1939)</f>
        <v/>
      </c>
      <c r="H1957" t="str">
        <f>IF(VIPcric_1!H1939="","",VIPcric_1!H1939)</f>
        <v/>
      </c>
      <c r="I1957" t="str">
        <f>IF(VIPcric_1!M1939="","",VIPcric_1!M1939)</f>
        <v>CRIC-渭南-市场监测.商品房市场.项目累计.库存.xlsx</v>
      </c>
    </row>
    <row r="1958" spans="1:9">
      <c r="A1958" t="str">
        <f>IF(VIPcric_1!A1940="","",VIPcric_1!A1940)</f>
        <v>2022年</v>
      </c>
      <c r="B1958">
        <f>IF(VIPcric_1!B1940="","",VIPcric_1!B1940)</f>
        <v>2940747</v>
      </c>
      <c r="C1958">
        <f>IF(VIPcric_1!C1940="","",VIPcric_1!C1940)</f>
        <v>23918</v>
      </c>
      <c r="D1958">
        <f>IF(VIPcric_1!D1940="","",VIPcric_1!D1940)</f>
        <v>30.8</v>
      </c>
      <c r="E1958" t="str">
        <f>IF(VIPcric_1!E1940="","",VIPcric_1!E1940)</f>
        <v/>
      </c>
      <c r="F1958" t="str">
        <f>IF(VIPcric_1!F1940="","",VIPcric_1!F1940)</f>
        <v/>
      </c>
      <c r="G1958" t="str">
        <f>IF(VIPcric_1!G1940="","",VIPcric_1!G1940)</f>
        <v/>
      </c>
      <c r="H1958" t="str">
        <f>IF(VIPcric_1!H1940="","",VIPcric_1!H1940)</f>
        <v/>
      </c>
      <c r="I1958" t="str">
        <f>IF(VIPcric_1!M1940="","",VIPcric_1!M1940)</f>
        <v>CRIC-渭南-市场监测.商品房市场.项目累计.库存.xlsx</v>
      </c>
    </row>
    <row r="1959" spans="1:9">
      <c r="A1959" t="str">
        <f>IF(VIPcric_1!A1941="","",VIPcric_1!A1941)</f>
        <v>2021年</v>
      </c>
      <c r="B1959">
        <f>IF(VIPcric_1!B1941="","",VIPcric_1!B1941)</f>
        <v>2926977</v>
      </c>
      <c r="C1959">
        <f>IF(VIPcric_1!C1941="","",VIPcric_1!C1941)</f>
        <v>24508</v>
      </c>
      <c r="D1959">
        <f>IF(VIPcric_1!D1941="","",VIPcric_1!D1941)</f>
        <v>17.3</v>
      </c>
      <c r="E1959" t="str">
        <f>IF(VIPcric_1!E1941="","",VIPcric_1!E1941)</f>
        <v/>
      </c>
      <c r="F1959" t="str">
        <f>IF(VIPcric_1!F1941="","",VIPcric_1!F1941)</f>
        <v/>
      </c>
      <c r="G1959" t="str">
        <f>IF(VIPcric_1!G1941="","",VIPcric_1!G1941)</f>
        <v/>
      </c>
      <c r="H1959" t="str">
        <f>IF(VIPcric_1!H1941="","",VIPcric_1!H1941)</f>
        <v/>
      </c>
      <c r="I1959" t="str">
        <f>IF(VIPcric_1!M1941="","",VIPcric_1!M1941)</f>
        <v>CRIC-渭南-市场监测.商品房市场.项目累计.库存.xlsx</v>
      </c>
    </row>
    <row r="1960" spans="1:9">
      <c r="A1960" t="str">
        <f>IF(VIPcric_1!A1942="","",VIPcric_1!A1942)</f>
        <v>2020年</v>
      </c>
      <c r="B1960">
        <f>IF(VIPcric_1!B1942="","",VIPcric_1!B1942)</f>
        <v>3360703</v>
      </c>
      <c r="C1960">
        <f>IF(VIPcric_1!C1942="","",VIPcric_1!C1942)</f>
        <v>27804</v>
      </c>
      <c r="D1960">
        <f>IF(VIPcric_1!D1942="","",VIPcric_1!D1942)</f>
        <v>18.3</v>
      </c>
      <c r="E1960" t="str">
        <f>IF(VIPcric_1!E1942="","",VIPcric_1!E1942)</f>
        <v/>
      </c>
      <c r="F1960" t="str">
        <f>IF(VIPcric_1!F1942="","",VIPcric_1!F1942)</f>
        <v/>
      </c>
      <c r="G1960" t="str">
        <f>IF(VIPcric_1!G1942="","",VIPcric_1!G1942)</f>
        <v/>
      </c>
      <c r="H1960" t="str">
        <f>IF(VIPcric_1!H1942="","",VIPcric_1!H1942)</f>
        <v/>
      </c>
      <c r="I1960" t="str">
        <f>IF(VIPcric_1!M1942="","",VIPcric_1!M1942)</f>
        <v>CRIC-渭南-市场监测.商品房市场.项目累计.库存.xlsx</v>
      </c>
    </row>
    <row r="1961" spans="1:9">
      <c r="A1961" t="str">
        <f>IF(VIPcric_1!A1943="","",VIPcric_1!A1943)</f>
        <v>2019年</v>
      </c>
      <c r="B1961">
        <f>IF(VIPcric_1!B1943="","",VIPcric_1!B1943)</f>
        <v>2818866</v>
      </c>
      <c r="C1961">
        <f>IF(VIPcric_1!C1943="","",VIPcric_1!C1943)</f>
        <v>23347</v>
      </c>
      <c r="D1961">
        <f>IF(VIPcric_1!D1943="","",VIPcric_1!D1943)</f>
        <v>337.8</v>
      </c>
      <c r="E1961" t="str">
        <f>IF(VIPcric_1!E1943="","",VIPcric_1!E1943)</f>
        <v/>
      </c>
      <c r="F1961" t="str">
        <f>IF(VIPcric_1!F1943="","",VIPcric_1!F1943)</f>
        <v/>
      </c>
      <c r="G1961" t="str">
        <f>IF(VIPcric_1!G1943="","",VIPcric_1!G1943)</f>
        <v/>
      </c>
      <c r="H1961" t="str">
        <f>IF(VIPcric_1!H1943="","",VIPcric_1!H1943)</f>
        <v/>
      </c>
      <c r="I1961" t="str">
        <f>IF(VIPcric_1!M1943="","",VIPcric_1!M1943)</f>
        <v>CRIC-渭南-市场监测.商品房市场.项目累计.库存.xlsx</v>
      </c>
    </row>
    <row r="1962" spans="1:9">
      <c r="A1962" t="str">
        <f>IF(VIPcric_1!A1944="","",VIPcric_1!A1944)</f>
        <v/>
      </c>
      <c r="B1962" t="str">
        <f>IF(VIPcric_1!B1944="","",VIPcric_1!B1944)</f>
        <v/>
      </c>
      <c r="C1962" t="str">
        <f>IF(VIPcric_1!C1944="","",VIPcric_1!C1944)</f>
        <v/>
      </c>
      <c r="D1962" t="str">
        <f>IF(VIPcric_1!D1944="","",VIPcric_1!D1944)</f>
        <v/>
      </c>
      <c r="E1962" t="str">
        <f>IF(VIPcric_1!E1944="","",VIPcric_1!E1944)</f>
        <v/>
      </c>
      <c r="F1962" t="str">
        <f>IF(VIPcric_1!F1944="","",VIPcric_1!F1944)</f>
        <v/>
      </c>
      <c r="G1962" t="str">
        <f>IF(VIPcric_1!G1944="","",VIPcric_1!G1944)</f>
        <v/>
      </c>
      <c r="H1962" t="str">
        <f>IF(VIPcric_1!H1944="","",VIPcric_1!H1944)</f>
        <v/>
      </c>
      <c r="I1962" t="str">
        <f>IF(VIPcric_1!M1944="","",VIPcric_1!M1944)</f>
        <v/>
      </c>
    </row>
    <row r="1963" spans="1:9">
      <c r="A1963" t="str">
        <f>IF(VIPcric_1!A1945="","",VIPcric_1!A1945)</f>
        <v/>
      </c>
      <c r="B1963" t="str">
        <f>IF(VIPcric_1!B1945="","",VIPcric_1!B1945)</f>
        <v/>
      </c>
      <c r="C1963" t="str">
        <f>IF(VIPcric_1!C1945="","",VIPcric_1!C1945)</f>
        <v/>
      </c>
      <c r="D1963" t="str">
        <f>IF(VIPcric_1!D1945="","",VIPcric_1!D1945)</f>
        <v/>
      </c>
      <c r="E1963" t="str">
        <f>IF(VIPcric_1!E1945="","",VIPcric_1!E1945)</f>
        <v/>
      </c>
      <c r="F1963" t="str">
        <f>IF(VIPcric_1!F1945="","",VIPcric_1!F1945)</f>
        <v/>
      </c>
      <c r="G1963" t="str">
        <f>IF(VIPcric_1!G1945="","",VIPcric_1!G1945)</f>
        <v/>
      </c>
      <c r="H1963" t="str">
        <f>IF(VIPcric_1!H1945="","",VIPcric_1!H1945)</f>
        <v/>
      </c>
      <c r="I1963" t="str">
        <f>IF(VIPcric_1!M1945="","",VIPcric_1!M1945)</f>
        <v>CRIC-湖州-市场监测.商品房市场.项目累计.供求.xlsx</v>
      </c>
    </row>
    <row r="1964" spans="1:9">
      <c r="A1964" t="str">
        <f>IF(VIPcric_1!A1946="","",VIPcric_1!A1946)</f>
        <v>时间(年)</v>
      </c>
      <c r="B1964" t="str">
        <f>IF(VIPcric_1!B1946="","",VIPcric_1!B1946)</f>
        <v>供应面积(㎡)</v>
      </c>
      <c r="C1964" t="str">
        <f>IF(VIPcric_1!C1946="","",VIPcric_1!C1946)</f>
        <v>供应套数(套)</v>
      </c>
      <c r="D1964" t="str">
        <f>IF(VIPcric_1!D1946="","",VIPcric_1!D1946)</f>
        <v>成交面积(㎡)</v>
      </c>
      <c r="E1964" t="str">
        <f>IF(VIPcric_1!E1946="","",VIPcric_1!E1946)</f>
        <v>成交套数(套)</v>
      </c>
      <c r="F1964" t="str">
        <f>IF(VIPcric_1!F1946="","",VIPcric_1!F1946)</f>
        <v>成交均价(元/㎡)</v>
      </c>
      <c r="G1964" t="str">
        <f>IF(VIPcric_1!G1946="","",VIPcric_1!G1946)</f>
        <v>成交金额(元)</v>
      </c>
      <c r="H1964" t="str">
        <f>IF(VIPcric_1!H1946="","",VIPcric_1!H1946)</f>
        <v>供求比</v>
      </c>
      <c r="I1964" t="str">
        <f>IF(VIPcric_1!M1946="","",VIPcric_1!M1946)</f>
        <v>CRIC-湖州-市场监测.商品房市场.项目累计.供求.xlsx</v>
      </c>
    </row>
    <row r="1965" spans="1:9">
      <c r="A1965" t="str">
        <f>IF(VIPcric_1!A1947="","",VIPcric_1!A1947)</f>
        <v>2023年</v>
      </c>
      <c r="B1965">
        <f>IF(VIPcric_1!B1947="","",VIPcric_1!B1947)</f>
        <v>1016036</v>
      </c>
      <c r="C1965">
        <f>IF(VIPcric_1!C1947="","",VIPcric_1!C1947)</f>
        <v>8135</v>
      </c>
      <c r="D1965">
        <f>IF(VIPcric_1!D1947="","",VIPcric_1!D1947)</f>
        <v>1586490</v>
      </c>
      <c r="E1965">
        <f>IF(VIPcric_1!E1947="","",VIPcric_1!E1947)</f>
        <v>14220</v>
      </c>
      <c r="F1965">
        <f>IF(VIPcric_1!F1947="","",VIPcric_1!F1947)</f>
        <v>12743</v>
      </c>
      <c r="G1965">
        <f>IF(VIPcric_1!G1947="","",VIPcric_1!G1947)</f>
        <v>20217281331</v>
      </c>
      <c r="H1965">
        <f>IF(VIPcric_1!H1947="","",VIPcric_1!H1947)</f>
        <v>0.64</v>
      </c>
      <c r="I1965" t="str">
        <f>IF(VIPcric_1!M1947="","",VIPcric_1!M1947)</f>
        <v>CRIC-湖州-市场监测.商品房市场.项目累计.供求.xlsx</v>
      </c>
    </row>
    <row r="1966" spans="1:9">
      <c r="A1966" t="str">
        <f>IF(VIPcric_1!A1948="","",VIPcric_1!A1948)</f>
        <v>2022年</v>
      </c>
      <c r="B1966">
        <f>IF(VIPcric_1!B1948="","",VIPcric_1!B1948)</f>
        <v>2496468</v>
      </c>
      <c r="C1966">
        <f>IF(VIPcric_1!C1948="","",VIPcric_1!C1948)</f>
        <v>20998</v>
      </c>
      <c r="D1966">
        <f>IF(VIPcric_1!D1948="","",VIPcric_1!D1948)</f>
        <v>2587769</v>
      </c>
      <c r="E1966">
        <f>IF(VIPcric_1!E1948="","",VIPcric_1!E1948)</f>
        <v>22850</v>
      </c>
      <c r="F1966">
        <f>IF(VIPcric_1!F1948="","",VIPcric_1!F1948)</f>
        <v>12567</v>
      </c>
      <c r="G1966">
        <f>IF(VIPcric_1!G1948="","",VIPcric_1!G1948)</f>
        <v>32521334492</v>
      </c>
      <c r="H1966">
        <f>IF(VIPcric_1!H1948="","",VIPcric_1!H1948)</f>
        <v>0.96</v>
      </c>
      <c r="I1966" t="str">
        <f>IF(VIPcric_1!M1948="","",VIPcric_1!M1948)</f>
        <v>CRIC-湖州-市场监测.商品房市场.项目累计.供求.xlsx</v>
      </c>
    </row>
    <row r="1967" spans="1:9">
      <c r="A1967" t="str">
        <f>IF(VIPcric_1!A1949="","",VIPcric_1!A1949)</f>
        <v>2021年</v>
      </c>
      <c r="B1967">
        <f>IF(VIPcric_1!B1949="","",VIPcric_1!B1949)</f>
        <v>4610735</v>
      </c>
      <c r="C1967">
        <f>IF(VIPcric_1!C1949="","",VIPcric_1!C1949)</f>
        <v>42602</v>
      </c>
      <c r="D1967">
        <f>IF(VIPcric_1!D1949="","",VIPcric_1!D1949)</f>
        <v>5077543</v>
      </c>
      <c r="E1967">
        <f>IF(VIPcric_1!E1949="","",VIPcric_1!E1949)</f>
        <v>45245</v>
      </c>
      <c r="F1967">
        <f>IF(VIPcric_1!F1949="","",VIPcric_1!F1949)</f>
        <v>12237</v>
      </c>
      <c r="G1967">
        <f>IF(VIPcric_1!G1949="","",VIPcric_1!G1949)</f>
        <v>62133670605</v>
      </c>
      <c r="H1967">
        <f>IF(VIPcric_1!H1949="","",VIPcric_1!H1949)</f>
        <v>0.91</v>
      </c>
      <c r="I1967" t="str">
        <f>IF(VIPcric_1!M1949="","",VIPcric_1!M1949)</f>
        <v>CRIC-湖州-市场监测.商品房市场.项目累计.供求.xlsx</v>
      </c>
    </row>
    <row r="1968" spans="1:9">
      <c r="A1968" t="str">
        <f>IF(VIPcric_1!A1950="","",VIPcric_1!A1950)</f>
        <v>2020年</v>
      </c>
      <c r="B1968">
        <f>IF(VIPcric_1!B1950="","",VIPcric_1!B1950)</f>
        <v>5315044</v>
      </c>
      <c r="C1968">
        <f>IF(VIPcric_1!C1950="","",VIPcric_1!C1950)</f>
        <v>48664</v>
      </c>
      <c r="D1968">
        <f>IF(VIPcric_1!D1950="","",VIPcric_1!D1950)</f>
        <v>5549101</v>
      </c>
      <c r="E1968">
        <f>IF(VIPcric_1!E1950="","",VIPcric_1!E1950)</f>
        <v>48150</v>
      </c>
      <c r="F1968">
        <f>IF(VIPcric_1!F1950="","",VIPcric_1!F1950)</f>
        <v>11848</v>
      </c>
      <c r="G1968">
        <f>IF(VIPcric_1!G1950="","",VIPcric_1!G1950)</f>
        <v>65743428771</v>
      </c>
      <c r="H1968">
        <f>IF(VIPcric_1!H1950="","",VIPcric_1!H1950)</f>
        <v>0.96</v>
      </c>
      <c r="I1968" t="str">
        <f>IF(VIPcric_1!M1950="","",VIPcric_1!M1950)</f>
        <v>CRIC-湖州-市场监测.商品房市场.项目累计.供求.xlsx</v>
      </c>
    </row>
    <row r="1969" spans="1:9">
      <c r="A1969" t="str">
        <f>IF(VIPcric_1!A1951="","",VIPcric_1!A1951)</f>
        <v>2019年</v>
      </c>
      <c r="B1969">
        <f>IF(VIPcric_1!B1951="","",VIPcric_1!B1951)</f>
        <v>5490431</v>
      </c>
      <c r="C1969">
        <f>IF(VIPcric_1!C1951="","",VIPcric_1!C1951)</f>
        <v>48228</v>
      </c>
      <c r="D1969">
        <f>IF(VIPcric_1!D1951="","",VIPcric_1!D1951)</f>
        <v>5175844</v>
      </c>
      <c r="E1969">
        <f>IF(VIPcric_1!E1951="","",VIPcric_1!E1951)</f>
        <v>45500</v>
      </c>
      <c r="F1969">
        <f>IF(VIPcric_1!F1951="","",VIPcric_1!F1951)</f>
        <v>10763</v>
      </c>
      <c r="G1969">
        <f>IF(VIPcric_1!G1951="","",VIPcric_1!G1951)</f>
        <v>55705255748</v>
      </c>
      <c r="H1969">
        <f>IF(VIPcric_1!H1951="","",VIPcric_1!H1951)</f>
        <v>1.06</v>
      </c>
      <c r="I1969" t="str">
        <f>IF(VIPcric_1!M1951="","",VIPcric_1!M1951)</f>
        <v>CRIC-湖州-市场监测.商品房市场.项目累计.供求.xlsx</v>
      </c>
    </row>
    <row r="1970" spans="1:9">
      <c r="A1970" t="str">
        <f>IF(VIPcric_1!A1952="","",VIPcric_1!A1952)</f>
        <v>汇总</v>
      </c>
      <c r="B1970">
        <f>IF(VIPcric_1!B1952="","",VIPcric_1!B1952)</f>
        <v>18928715</v>
      </c>
      <c r="C1970">
        <f>IF(VIPcric_1!C1952="","",VIPcric_1!C1952)</f>
        <v>168627</v>
      </c>
      <c r="D1970">
        <f>IF(VIPcric_1!D1952="","",VIPcric_1!D1952)</f>
        <v>19976748</v>
      </c>
      <c r="E1970">
        <f>IF(VIPcric_1!E1952="","",VIPcric_1!E1952)</f>
        <v>175965</v>
      </c>
      <c r="F1970">
        <f>IF(VIPcric_1!F1952="","",VIPcric_1!F1952)</f>
        <v>11830</v>
      </c>
      <c r="G1970">
        <f>IF(VIPcric_1!G1952="","",VIPcric_1!G1952)</f>
        <v>236320970948</v>
      </c>
      <c r="H1970">
        <f>IF(VIPcric_1!H1952="","",VIPcric_1!H1952)</f>
        <v>0.95</v>
      </c>
      <c r="I1970" t="str">
        <f>IF(VIPcric_1!M1952="","",VIPcric_1!M1952)</f>
        <v>CRIC-湖州-市场监测.商品房市场.项目累计.供求.xlsx</v>
      </c>
    </row>
    <row r="1971" spans="1:9">
      <c r="A1971" t="str">
        <f>IF(VIPcric_1!A1953="","",VIPcric_1!A1953)</f>
        <v/>
      </c>
      <c r="B1971" t="str">
        <f>IF(VIPcric_1!B1953="","",VIPcric_1!B1953)</f>
        <v/>
      </c>
      <c r="C1971" t="str">
        <f>IF(VIPcric_1!C1953="","",VIPcric_1!C1953)</f>
        <v/>
      </c>
      <c r="D1971" t="str">
        <f>IF(VIPcric_1!D1953="","",VIPcric_1!D1953)</f>
        <v/>
      </c>
      <c r="E1971" t="str">
        <f>IF(VIPcric_1!E1953="","",VIPcric_1!E1953)</f>
        <v/>
      </c>
      <c r="F1971" t="str">
        <f>IF(VIPcric_1!F1953="","",VIPcric_1!F1953)</f>
        <v/>
      </c>
      <c r="G1971" t="str">
        <f>IF(VIPcric_1!G1953="","",VIPcric_1!G1953)</f>
        <v/>
      </c>
      <c r="H1971" t="str">
        <f>IF(VIPcric_1!H1953="","",VIPcric_1!H1953)</f>
        <v/>
      </c>
      <c r="I1971" t="str">
        <f>IF(VIPcric_1!M1953="","",VIPcric_1!M1953)</f>
        <v/>
      </c>
    </row>
    <row r="1972" spans="1:9">
      <c r="A1972" t="str">
        <f>IF(VIPcric_1!A1954="","",VIPcric_1!A1954)</f>
        <v/>
      </c>
      <c r="B1972" t="str">
        <f>IF(VIPcric_1!B1954="","",VIPcric_1!B1954)</f>
        <v/>
      </c>
      <c r="C1972" t="str">
        <f>IF(VIPcric_1!C1954="","",VIPcric_1!C1954)</f>
        <v/>
      </c>
      <c r="D1972" t="str">
        <f>IF(VIPcric_1!D1954="","",VIPcric_1!D1954)</f>
        <v/>
      </c>
      <c r="E1972" t="str">
        <f>IF(VIPcric_1!E1954="","",VIPcric_1!E1954)</f>
        <v/>
      </c>
      <c r="F1972" t="str">
        <f>IF(VIPcric_1!F1954="","",VIPcric_1!F1954)</f>
        <v/>
      </c>
      <c r="G1972" t="str">
        <f>IF(VIPcric_1!G1954="","",VIPcric_1!G1954)</f>
        <v/>
      </c>
      <c r="H1972" t="str">
        <f>IF(VIPcric_1!H1954="","",VIPcric_1!H1954)</f>
        <v/>
      </c>
      <c r="I1972" t="str">
        <f>IF(VIPcric_1!M1954="","",VIPcric_1!M1954)</f>
        <v>CRIC-湖州-市场监测.商品房市场.项目累计.库存.xlsx</v>
      </c>
    </row>
    <row r="1973" spans="1:9">
      <c r="A1973" t="str">
        <f>IF(VIPcric_1!A1955="","",VIPcric_1!A1955)</f>
        <v>时间(年)</v>
      </c>
      <c r="B1973" t="str">
        <f>IF(VIPcric_1!B1955="","",VIPcric_1!B1955)</f>
        <v>库存面积(㎡)</v>
      </c>
      <c r="C1973" t="str">
        <f>IF(VIPcric_1!C1955="","",VIPcric_1!C1955)</f>
        <v>库存套数(套)</v>
      </c>
      <c r="D1973" t="str">
        <f>IF(VIPcric_1!D1955="","",VIPcric_1!D1955)</f>
        <v>去化周期12'(月)</v>
      </c>
      <c r="E1973" t="str">
        <f>IF(VIPcric_1!E1955="","",VIPcric_1!E1955)</f>
        <v/>
      </c>
      <c r="F1973" t="str">
        <f>IF(VIPcric_1!F1955="","",VIPcric_1!F1955)</f>
        <v/>
      </c>
      <c r="G1973" t="str">
        <f>IF(VIPcric_1!G1955="","",VIPcric_1!G1955)</f>
        <v/>
      </c>
      <c r="H1973" t="str">
        <f>IF(VIPcric_1!H1955="","",VIPcric_1!H1955)</f>
        <v/>
      </c>
      <c r="I1973" t="str">
        <f>IF(VIPcric_1!M1955="","",VIPcric_1!M1955)</f>
        <v>CRIC-湖州-市场监测.商品房市场.项目累计.库存.xlsx</v>
      </c>
    </row>
    <row r="1974" spans="1:9">
      <c r="A1974" t="str">
        <f>IF(VIPcric_1!A1956="","",VIPcric_1!A1956)</f>
        <v>2023年</v>
      </c>
      <c r="B1974">
        <f>IF(VIPcric_1!B1956="","",VIPcric_1!B1956)</f>
        <v>3103113</v>
      </c>
      <c r="C1974">
        <f>IF(VIPcric_1!C1956="","",VIPcric_1!C1956)</f>
        <v>27596</v>
      </c>
      <c r="D1974">
        <f>IF(VIPcric_1!D1956="","",VIPcric_1!D1956)</f>
        <v>23.5</v>
      </c>
      <c r="E1974" t="str">
        <f>IF(VIPcric_1!E1956="","",VIPcric_1!E1956)</f>
        <v/>
      </c>
      <c r="F1974" t="str">
        <f>IF(VIPcric_1!F1956="","",VIPcric_1!F1956)</f>
        <v/>
      </c>
      <c r="G1974" t="str">
        <f>IF(VIPcric_1!G1956="","",VIPcric_1!G1956)</f>
        <v/>
      </c>
      <c r="H1974" t="str">
        <f>IF(VIPcric_1!H1956="","",VIPcric_1!H1956)</f>
        <v/>
      </c>
      <c r="I1974" t="str">
        <f>IF(VIPcric_1!M1956="","",VIPcric_1!M1956)</f>
        <v>CRIC-湖州-市场监测.商品房市场.项目累计.库存.xlsx</v>
      </c>
    </row>
    <row r="1975" spans="1:9">
      <c r="A1975" t="str">
        <f>IF(VIPcric_1!A1957="","",VIPcric_1!A1957)</f>
        <v>2022年</v>
      </c>
      <c r="B1975">
        <f>IF(VIPcric_1!B1957="","",VIPcric_1!B1957)</f>
        <v>3474633</v>
      </c>
      <c r="C1975">
        <f>IF(VIPcric_1!C1957="","",VIPcric_1!C1957)</f>
        <v>31864</v>
      </c>
      <c r="D1975">
        <f>IF(VIPcric_1!D1957="","",VIPcric_1!D1957)</f>
        <v>16.100000000000001</v>
      </c>
      <c r="E1975" t="str">
        <f>IF(VIPcric_1!E1957="","",VIPcric_1!E1957)</f>
        <v/>
      </c>
      <c r="F1975" t="str">
        <f>IF(VIPcric_1!F1957="","",VIPcric_1!F1957)</f>
        <v/>
      </c>
      <c r="G1975" t="str">
        <f>IF(VIPcric_1!G1957="","",VIPcric_1!G1957)</f>
        <v/>
      </c>
      <c r="H1975" t="str">
        <f>IF(VIPcric_1!H1957="","",VIPcric_1!H1957)</f>
        <v/>
      </c>
      <c r="I1975" t="str">
        <f>IF(VIPcric_1!M1957="","",VIPcric_1!M1957)</f>
        <v>CRIC-湖州-市场监测.商品房市场.项目累计.库存.xlsx</v>
      </c>
    </row>
    <row r="1976" spans="1:9">
      <c r="A1976" t="str">
        <f>IF(VIPcric_1!A1958="","",VIPcric_1!A1958)</f>
        <v>2021年</v>
      </c>
      <c r="B1976">
        <f>IF(VIPcric_1!B1958="","",VIPcric_1!B1958)</f>
        <v>3478330</v>
      </c>
      <c r="C1976">
        <f>IF(VIPcric_1!C1958="","",VIPcric_1!C1958)</f>
        <v>33510</v>
      </c>
      <c r="D1976">
        <f>IF(VIPcric_1!D1958="","",VIPcric_1!D1958)</f>
        <v>8.1999999999999993</v>
      </c>
      <c r="E1976" t="str">
        <f>IF(VIPcric_1!E1958="","",VIPcric_1!E1958)</f>
        <v/>
      </c>
      <c r="F1976" t="str">
        <f>IF(VIPcric_1!F1958="","",VIPcric_1!F1958)</f>
        <v/>
      </c>
      <c r="G1976" t="str">
        <f>IF(VIPcric_1!G1958="","",VIPcric_1!G1958)</f>
        <v/>
      </c>
      <c r="H1976" t="str">
        <f>IF(VIPcric_1!H1958="","",VIPcric_1!H1958)</f>
        <v/>
      </c>
      <c r="I1976" t="str">
        <f>IF(VIPcric_1!M1958="","",VIPcric_1!M1958)</f>
        <v>CRIC-湖州-市场监测.商品房市场.项目累计.库存.xlsx</v>
      </c>
    </row>
    <row r="1977" spans="1:9">
      <c r="A1977" t="str">
        <f>IF(VIPcric_1!A1959="","",VIPcric_1!A1959)</f>
        <v>2020年</v>
      </c>
      <c r="B1977">
        <f>IF(VIPcric_1!B1959="","",VIPcric_1!B1959)</f>
        <v>5168719</v>
      </c>
      <c r="C1977">
        <f>IF(VIPcric_1!C1959="","",VIPcric_1!C1959)</f>
        <v>48759</v>
      </c>
      <c r="D1977">
        <f>IF(VIPcric_1!D1959="","",VIPcric_1!D1959)</f>
        <v>11.2</v>
      </c>
      <c r="E1977" t="str">
        <f>IF(VIPcric_1!E1959="","",VIPcric_1!E1959)</f>
        <v/>
      </c>
      <c r="F1977" t="str">
        <f>IF(VIPcric_1!F1959="","",VIPcric_1!F1959)</f>
        <v/>
      </c>
      <c r="G1977" t="str">
        <f>IF(VIPcric_1!G1959="","",VIPcric_1!G1959)</f>
        <v/>
      </c>
      <c r="H1977" t="str">
        <f>IF(VIPcric_1!H1959="","",VIPcric_1!H1959)</f>
        <v/>
      </c>
      <c r="I1977" t="str">
        <f>IF(VIPcric_1!M1959="","",VIPcric_1!M1959)</f>
        <v>CRIC-湖州-市场监测.商品房市场.项目累计.库存.xlsx</v>
      </c>
    </row>
    <row r="1978" spans="1:9">
      <c r="A1978" t="str">
        <f>IF(VIPcric_1!A1960="","",VIPcric_1!A1960)</f>
        <v>2019年</v>
      </c>
      <c r="B1978">
        <f>IF(VIPcric_1!B1960="","",VIPcric_1!B1960)</f>
        <v>5539307</v>
      </c>
      <c r="C1978">
        <f>IF(VIPcric_1!C1960="","",VIPcric_1!C1960)</f>
        <v>50167</v>
      </c>
      <c r="D1978">
        <f>IF(VIPcric_1!D1960="","",VIPcric_1!D1960)</f>
        <v>12.8</v>
      </c>
      <c r="E1978" t="str">
        <f>IF(VIPcric_1!E1960="","",VIPcric_1!E1960)</f>
        <v/>
      </c>
      <c r="F1978" t="str">
        <f>IF(VIPcric_1!F1960="","",VIPcric_1!F1960)</f>
        <v/>
      </c>
      <c r="G1978" t="str">
        <f>IF(VIPcric_1!G1960="","",VIPcric_1!G1960)</f>
        <v/>
      </c>
      <c r="H1978" t="str">
        <f>IF(VIPcric_1!H1960="","",VIPcric_1!H1960)</f>
        <v/>
      </c>
      <c r="I1978" t="str">
        <f>IF(VIPcric_1!M1960="","",VIPcric_1!M1960)</f>
        <v>CRIC-湖州-市场监测.商品房市场.项目累计.库存.xlsx</v>
      </c>
    </row>
    <row r="1979" spans="1:9">
      <c r="A1979" t="str">
        <f>IF(VIPcric_1!A1961="","",VIPcric_1!A1961)</f>
        <v/>
      </c>
      <c r="B1979" t="str">
        <f>IF(VIPcric_1!B1961="","",VIPcric_1!B1961)</f>
        <v/>
      </c>
      <c r="C1979" t="str">
        <f>IF(VIPcric_1!C1961="","",VIPcric_1!C1961)</f>
        <v/>
      </c>
      <c r="D1979" t="str">
        <f>IF(VIPcric_1!D1961="","",VIPcric_1!D1961)</f>
        <v/>
      </c>
      <c r="E1979" t="str">
        <f>IF(VIPcric_1!E1961="","",VIPcric_1!E1961)</f>
        <v/>
      </c>
      <c r="F1979" t="str">
        <f>IF(VIPcric_1!F1961="","",VIPcric_1!F1961)</f>
        <v/>
      </c>
      <c r="G1979" t="str">
        <f>IF(VIPcric_1!G1961="","",VIPcric_1!G1961)</f>
        <v/>
      </c>
      <c r="H1979" t="str">
        <f>IF(VIPcric_1!H1961="","",VIPcric_1!H1961)</f>
        <v/>
      </c>
      <c r="I1979" t="str">
        <f>IF(VIPcric_1!M1961="","",VIPcric_1!M1961)</f>
        <v/>
      </c>
    </row>
    <row r="1980" spans="1:9">
      <c r="A1980" t="str">
        <f>IF(VIPcric_1!A1962="","",VIPcric_1!A1962)</f>
        <v/>
      </c>
      <c r="B1980" t="str">
        <f>IF(VIPcric_1!B1962="","",VIPcric_1!B1962)</f>
        <v/>
      </c>
      <c r="C1980" t="str">
        <f>IF(VIPcric_1!C1962="","",VIPcric_1!C1962)</f>
        <v/>
      </c>
      <c r="D1980" t="str">
        <f>IF(VIPcric_1!D1962="","",VIPcric_1!D1962)</f>
        <v/>
      </c>
      <c r="E1980" t="str">
        <f>IF(VIPcric_1!E1962="","",VIPcric_1!E1962)</f>
        <v/>
      </c>
      <c r="F1980" t="str">
        <f>IF(VIPcric_1!F1962="","",VIPcric_1!F1962)</f>
        <v/>
      </c>
      <c r="G1980" t="str">
        <f>IF(VIPcric_1!G1962="","",VIPcric_1!G1962)</f>
        <v/>
      </c>
      <c r="H1980" t="str">
        <f>IF(VIPcric_1!H1962="","",VIPcric_1!H1962)</f>
        <v/>
      </c>
      <c r="I1980" t="str">
        <f>IF(VIPcric_1!M1962="","",VIPcric_1!M1962)</f>
        <v>CRIC-滨州-市场监测.商品房市场.项目累计.供求.xlsx</v>
      </c>
    </row>
    <row r="1981" spans="1:9">
      <c r="A1981" t="str">
        <f>IF(VIPcric_1!A1963="","",VIPcric_1!A1963)</f>
        <v>时间(年)</v>
      </c>
      <c r="B1981" t="str">
        <f>IF(VIPcric_1!B1963="","",VIPcric_1!B1963)</f>
        <v>供应面积(㎡)</v>
      </c>
      <c r="C1981" t="str">
        <f>IF(VIPcric_1!C1963="","",VIPcric_1!C1963)</f>
        <v>供应套数(套)</v>
      </c>
      <c r="D1981" t="str">
        <f>IF(VIPcric_1!D1963="","",VIPcric_1!D1963)</f>
        <v>成交面积(㎡)</v>
      </c>
      <c r="E1981" t="str">
        <f>IF(VIPcric_1!E1963="","",VIPcric_1!E1963)</f>
        <v>成交套数(套)</v>
      </c>
      <c r="F1981" t="str">
        <f>IF(VIPcric_1!F1963="","",VIPcric_1!F1963)</f>
        <v>成交均价(元/㎡)</v>
      </c>
      <c r="G1981" t="str">
        <f>IF(VIPcric_1!G1963="","",VIPcric_1!G1963)</f>
        <v>成交金额(元)</v>
      </c>
      <c r="H1981" t="str">
        <f>IF(VIPcric_1!H1963="","",VIPcric_1!H1963)</f>
        <v>供求比</v>
      </c>
      <c r="I1981" t="str">
        <f>IF(VIPcric_1!M1963="","",VIPcric_1!M1963)</f>
        <v>CRIC-滨州-市场监测.商品房市场.项目累计.供求.xlsx</v>
      </c>
    </row>
    <row r="1982" spans="1:9">
      <c r="A1982" t="str">
        <f>IF(VIPcric_1!A1964="","",VIPcric_1!A1964)</f>
        <v>2024年</v>
      </c>
      <c r="B1982">
        <f>IF(VIPcric_1!B1964="","",VIPcric_1!B1964)</f>
        <v>9795</v>
      </c>
      <c r="C1982">
        <f>IF(VIPcric_1!C1964="","",VIPcric_1!C1964)</f>
        <v>70</v>
      </c>
      <c r="D1982">
        <f>IF(VIPcric_1!D1964="","",VIPcric_1!D1964)</f>
        <v>65174</v>
      </c>
      <c r="E1982">
        <f>IF(VIPcric_1!E1964="","",VIPcric_1!E1964)</f>
        <v>459</v>
      </c>
      <c r="F1982">
        <f>IF(VIPcric_1!F1964="","",VIPcric_1!F1964)</f>
        <v>7136</v>
      </c>
      <c r="G1982">
        <f>IF(VIPcric_1!G1964="","",VIPcric_1!G1964)</f>
        <v>465095451</v>
      </c>
      <c r="H1982">
        <f>IF(VIPcric_1!H1964="","",VIPcric_1!H1964)</f>
        <v>0.15</v>
      </c>
      <c r="I1982" t="str">
        <f>IF(VIPcric_1!M1964="","",VIPcric_1!M1964)</f>
        <v>CRIC-滨州-市场监测.商品房市场.项目累计.供求.xlsx</v>
      </c>
    </row>
    <row r="1983" spans="1:9">
      <c r="A1983" t="str">
        <f>IF(VIPcric_1!A1965="","",VIPcric_1!A1965)</f>
        <v>2023年</v>
      </c>
      <c r="B1983">
        <f>IF(VIPcric_1!B1965="","",VIPcric_1!B1965)</f>
        <v>1242848</v>
      </c>
      <c r="C1983">
        <f>IF(VIPcric_1!C1965="","",VIPcric_1!C1965)</f>
        <v>8666</v>
      </c>
      <c r="D1983">
        <f>IF(VIPcric_1!D1965="","",VIPcric_1!D1965)</f>
        <v>1033926</v>
      </c>
      <c r="E1983">
        <f>IF(VIPcric_1!E1965="","",VIPcric_1!E1965)</f>
        <v>7428</v>
      </c>
      <c r="F1983">
        <f>IF(VIPcric_1!F1965="","",VIPcric_1!F1965)</f>
        <v>7199</v>
      </c>
      <c r="G1983">
        <f>IF(VIPcric_1!G1965="","",VIPcric_1!G1965)</f>
        <v>7442808389</v>
      </c>
      <c r="H1983">
        <f>IF(VIPcric_1!H1965="","",VIPcric_1!H1965)</f>
        <v>1.2</v>
      </c>
      <c r="I1983" t="str">
        <f>IF(VIPcric_1!M1965="","",VIPcric_1!M1965)</f>
        <v>CRIC-滨州-市场监测.商品房市场.项目累计.供求.xlsx</v>
      </c>
    </row>
    <row r="1984" spans="1:9">
      <c r="A1984" t="str">
        <f>IF(VIPcric_1!A1966="","",VIPcric_1!A1966)</f>
        <v>2022年</v>
      </c>
      <c r="B1984">
        <f>IF(VIPcric_1!B1966="","",VIPcric_1!B1966)</f>
        <v>1869079</v>
      </c>
      <c r="C1984">
        <f>IF(VIPcric_1!C1966="","",VIPcric_1!C1966)</f>
        <v>13477</v>
      </c>
      <c r="D1984">
        <f>IF(VIPcric_1!D1966="","",VIPcric_1!D1966)</f>
        <v>1158415</v>
      </c>
      <c r="E1984">
        <f>IF(VIPcric_1!E1966="","",VIPcric_1!E1966)</f>
        <v>8749</v>
      </c>
      <c r="F1984">
        <f>IF(VIPcric_1!F1966="","",VIPcric_1!F1966)</f>
        <v>7102</v>
      </c>
      <c r="G1984">
        <f>IF(VIPcric_1!G1966="","",VIPcric_1!G1966)</f>
        <v>8226743845</v>
      </c>
      <c r="H1984">
        <f>IF(VIPcric_1!H1966="","",VIPcric_1!H1966)</f>
        <v>1.61</v>
      </c>
      <c r="I1984" t="str">
        <f>IF(VIPcric_1!M1966="","",VIPcric_1!M1966)</f>
        <v>CRIC-滨州-市场监测.商品房市场.项目累计.供求.xlsx</v>
      </c>
    </row>
    <row r="1985" spans="1:9">
      <c r="A1985" t="str">
        <f>IF(VIPcric_1!A1967="","",VIPcric_1!A1967)</f>
        <v>2021年</v>
      </c>
      <c r="B1985">
        <f>IF(VIPcric_1!B1967="","",VIPcric_1!B1967)</f>
        <v>1528123</v>
      </c>
      <c r="C1985">
        <f>IF(VIPcric_1!C1967="","",VIPcric_1!C1967)</f>
        <v>11733</v>
      </c>
      <c r="D1985">
        <f>IF(VIPcric_1!D1967="","",VIPcric_1!D1967)</f>
        <v>1070640</v>
      </c>
      <c r="E1985">
        <f>IF(VIPcric_1!E1967="","",VIPcric_1!E1967)</f>
        <v>8189</v>
      </c>
      <c r="F1985">
        <f>IF(VIPcric_1!F1967="","",VIPcric_1!F1967)</f>
        <v>7137</v>
      </c>
      <c r="G1985">
        <f>IF(VIPcric_1!G1967="","",VIPcric_1!G1967)</f>
        <v>7641644198</v>
      </c>
      <c r="H1985">
        <f>IF(VIPcric_1!H1967="","",VIPcric_1!H1967)</f>
        <v>1.43</v>
      </c>
      <c r="I1985" t="str">
        <f>IF(VIPcric_1!M1967="","",VIPcric_1!M1967)</f>
        <v>CRIC-滨州-市场监测.商品房市场.项目累计.供求.xlsx</v>
      </c>
    </row>
    <row r="1986" spans="1:9">
      <c r="A1986" t="str">
        <f>IF(VIPcric_1!A1968="","",VIPcric_1!A1968)</f>
        <v>2020年</v>
      </c>
      <c r="B1986">
        <f>IF(VIPcric_1!B1968="","",VIPcric_1!B1968)</f>
        <v>2306046</v>
      </c>
      <c r="C1986">
        <f>IF(VIPcric_1!C1968="","",VIPcric_1!C1968)</f>
        <v>17340</v>
      </c>
      <c r="D1986">
        <f>IF(VIPcric_1!D1968="","",VIPcric_1!D1968)</f>
        <v>0</v>
      </c>
      <c r="E1986">
        <f>IF(VIPcric_1!E1968="","",VIPcric_1!E1968)</f>
        <v>0</v>
      </c>
      <c r="F1986">
        <f>IF(VIPcric_1!F1968="","",VIPcric_1!F1968)</f>
        <v>0</v>
      </c>
      <c r="G1986">
        <f>IF(VIPcric_1!G1968="","",VIPcric_1!G1968)</f>
        <v>0</v>
      </c>
      <c r="H1986">
        <f>IF(VIPcric_1!H1968="","",VIPcric_1!H1968)</f>
        <v>0</v>
      </c>
      <c r="I1986" t="str">
        <f>IF(VIPcric_1!M1968="","",VIPcric_1!M1968)</f>
        <v>CRIC-滨州-市场监测.商品房市场.项目累计.供求.xlsx</v>
      </c>
    </row>
    <row r="1987" spans="1:9">
      <c r="A1987" t="str">
        <f>IF(VIPcric_1!A1969="","",VIPcric_1!A1969)</f>
        <v>2019年</v>
      </c>
      <c r="B1987">
        <f>IF(VIPcric_1!B1969="","",VIPcric_1!B1969)</f>
        <v>1928358</v>
      </c>
      <c r="C1987">
        <f>IF(VIPcric_1!C1969="","",VIPcric_1!C1969)</f>
        <v>14597</v>
      </c>
      <c r="D1987">
        <f>IF(VIPcric_1!D1969="","",VIPcric_1!D1969)</f>
        <v>0</v>
      </c>
      <c r="E1987">
        <f>IF(VIPcric_1!E1969="","",VIPcric_1!E1969)</f>
        <v>0</v>
      </c>
      <c r="F1987">
        <f>IF(VIPcric_1!F1969="","",VIPcric_1!F1969)</f>
        <v>0</v>
      </c>
      <c r="G1987">
        <f>IF(VIPcric_1!G1969="","",VIPcric_1!G1969)</f>
        <v>0</v>
      </c>
      <c r="H1987">
        <f>IF(VIPcric_1!H1969="","",VIPcric_1!H1969)</f>
        <v>0</v>
      </c>
      <c r="I1987" t="str">
        <f>IF(VIPcric_1!M1969="","",VIPcric_1!M1969)</f>
        <v>CRIC-滨州-市场监测.商品房市场.项目累计.供求.xlsx</v>
      </c>
    </row>
    <row r="1988" spans="1:9">
      <c r="A1988" t="str">
        <f>IF(VIPcric_1!A1970="","",VIPcric_1!A1970)</f>
        <v>汇总</v>
      </c>
      <c r="B1988">
        <f>IF(VIPcric_1!B1970="","",VIPcric_1!B1970)</f>
        <v>8884249</v>
      </c>
      <c r="C1988">
        <f>IF(VIPcric_1!C1970="","",VIPcric_1!C1970)</f>
        <v>65883</v>
      </c>
      <c r="D1988">
        <f>IF(VIPcric_1!D1970="","",VIPcric_1!D1970)</f>
        <v>3328155</v>
      </c>
      <c r="E1988">
        <f>IF(VIPcric_1!E1970="","",VIPcric_1!E1970)</f>
        <v>24825</v>
      </c>
      <c r="F1988">
        <f>IF(VIPcric_1!F1970="","",VIPcric_1!F1970)</f>
        <v>7144</v>
      </c>
      <c r="G1988">
        <f>IF(VIPcric_1!G1970="","",VIPcric_1!G1970)</f>
        <v>23776291883</v>
      </c>
      <c r="H1988">
        <f>IF(VIPcric_1!H1970="","",VIPcric_1!H1970)</f>
        <v>2.67</v>
      </c>
      <c r="I1988" t="str">
        <f>IF(VIPcric_1!M1970="","",VIPcric_1!M1970)</f>
        <v>CRIC-滨州-市场监测.商品房市场.项目累计.供求.xlsx</v>
      </c>
    </row>
    <row r="1989" spans="1:9">
      <c r="A1989" t="str">
        <f>IF(VIPcric_1!A1971="","",VIPcric_1!A1971)</f>
        <v/>
      </c>
      <c r="B1989" t="str">
        <f>IF(VIPcric_1!B1971="","",VIPcric_1!B1971)</f>
        <v/>
      </c>
      <c r="C1989" t="str">
        <f>IF(VIPcric_1!C1971="","",VIPcric_1!C1971)</f>
        <v/>
      </c>
      <c r="D1989" t="str">
        <f>IF(VIPcric_1!D1971="","",VIPcric_1!D1971)</f>
        <v/>
      </c>
      <c r="E1989" t="str">
        <f>IF(VIPcric_1!E1971="","",VIPcric_1!E1971)</f>
        <v/>
      </c>
      <c r="F1989" t="str">
        <f>IF(VIPcric_1!F1971="","",VIPcric_1!F1971)</f>
        <v/>
      </c>
      <c r="G1989" t="str">
        <f>IF(VIPcric_1!G1971="","",VIPcric_1!G1971)</f>
        <v/>
      </c>
      <c r="H1989" t="str">
        <f>IF(VIPcric_1!H1971="","",VIPcric_1!H1971)</f>
        <v/>
      </c>
      <c r="I1989" t="str">
        <f>IF(VIPcric_1!M1971="","",VIPcric_1!M1971)</f>
        <v/>
      </c>
    </row>
    <row r="1990" spans="1:9">
      <c r="A1990" t="str">
        <f>IF(VIPcric_1!A1972="","",VIPcric_1!A1972)</f>
        <v/>
      </c>
      <c r="B1990" t="str">
        <f>IF(VIPcric_1!B1972="","",VIPcric_1!B1972)</f>
        <v/>
      </c>
      <c r="C1990" t="str">
        <f>IF(VIPcric_1!C1972="","",VIPcric_1!C1972)</f>
        <v/>
      </c>
      <c r="D1990" t="str">
        <f>IF(VIPcric_1!D1972="","",VIPcric_1!D1972)</f>
        <v/>
      </c>
      <c r="E1990" t="str">
        <f>IF(VIPcric_1!E1972="","",VIPcric_1!E1972)</f>
        <v/>
      </c>
      <c r="F1990" t="str">
        <f>IF(VIPcric_1!F1972="","",VIPcric_1!F1972)</f>
        <v/>
      </c>
      <c r="G1990" t="str">
        <f>IF(VIPcric_1!G1972="","",VIPcric_1!G1972)</f>
        <v/>
      </c>
      <c r="H1990" t="str">
        <f>IF(VIPcric_1!H1972="","",VIPcric_1!H1972)</f>
        <v/>
      </c>
      <c r="I1990" t="str">
        <f>IF(VIPcric_1!M1972="","",VIPcric_1!M1972)</f>
        <v>CRIC-滨州-市场监测.商品房市场.项目累计.库存.xlsx</v>
      </c>
    </row>
    <row r="1991" spans="1:9">
      <c r="A1991" t="str">
        <f>IF(VIPcric_1!A1973="","",VIPcric_1!A1973)</f>
        <v>时间(年)</v>
      </c>
      <c r="B1991" t="str">
        <f>IF(VIPcric_1!B1973="","",VIPcric_1!B1973)</f>
        <v>库存面积(㎡)</v>
      </c>
      <c r="C1991" t="str">
        <f>IF(VIPcric_1!C1973="","",VIPcric_1!C1973)</f>
        <v>库存套数(套)</v>
      </c>
      <c r="D1991" t="str">
        <f>IF(VIPcric_1!D1973="","",VIPcric_1!D1973)</f>
        <v>去化周期12'(月)</v>
      </c>
      <c r="E1991" t="str">
        <f>IF(VIPcric_1!E1973="","",VIPcric_1!E1973)</f>
        <v/>
      </c>
      <c r="F1991" t="str">
        <f>IF(VIPcric_1!F1973="","",VIPcric_1!F1973)</f>
        <v/>
      </c>
      <c r="G1991" t="str">
        <f>IF(VIPcric_1!G1973="","",VIPcric_1!G1973)</f>
        <v/>
      </c>
      <c r="H1991" t="str">
        <f>IF(VIPcric_1!H1973="","",VIPcric_1!H1973)</f>
        <v/>
      </c>
      <c r="I1991" t="str">
        <f>IF(VIPcric_1!M1973="","",VIPcric_1!M1973)</f>
        <v>CRIC-滨州-市场监测.商品房市场.项目累计.库存.xlsx</v>
      </c>
    </row>
    <row r="1992" spans="1:9">
      <c r="A1992" t="str">
        <f>IF(VIPcric_1!A1974="","",VIPcric_1!A1974)</f>
        <v>2024年</v>
      </c>
      <c r="B1992">
        <f>IF(VIPcric_1!B1974="","",VIPcric_1!B1974)</f>
        <v>2554919</v>
      </c>
      <c r="C1992">
        <f>IF(VIPcric_1!C1974="","",VIPcric_1!C1974)</f>
        <v>18525</v>
      </c>
      <c r="D1992">
        <f>IF(VIPcric_1!D1974="","",VIPcric_1!D1974)</f>
        <v>30.3</v>
      </c>
      <c r="E1992" t="str">
        <f>IF(VIPcric_1!E1974="","",VIPcric_1!E1974)</f>
        <v/>
      </c>
      <c r="F1992" t="str">
        <f>IF(VIPcric_1!F1974="","",VIPcric_1!F1974)</f>
        <v/>
      </c>
      <c r="G1992" t="str">
        <f>IF(VIPcric_1!G1974="","",VIPcric_1!G1974)</f>
        <v/>
      </c>
      <c r="H1992" t="str">
        <f>IF(VIPcric_1!H1974="","",VIPcric_1!H1974)</f>
        <v/>
      </c>
      <c r="I1992" t="str">
        <f>IF(VIPcric_1!M1974="","",VIPcric_1!M1974)</f>
        <v>CRIC-滨州-市场监测.商品房市场.项目累计.库存.xlsx</v>
      </c>
    </row>
    <row r="1993" spans="1:9">
      <c r="A1993" t="str">
        <f>IF(VIPcric_1!A1975="","",VIPcric_1!A1975)</f>
        <v>2023年</v>
      </c>
      <c r="B1993">
        <f>IF(VIPcric_1!B1975="","",VIPcric_1!B1975)</f>
        <v>2604336</v>
      </c>
      <c r="C1993">
        <f>IF(VIPcric_1!C1975="","",VIPcric_1!C1975)</f>
        <v>18885</v>
      </c>
      <c r="D1993">
        <f>IF(VIPcric_1!D1975="","",VIPcric_1!D1975)</f>
        <v>30.2</v>
      </c>
      <c r="E1993" t="str">
        <f>IF(VIPcric_1!E1975="","",VIPcric_1!E1975)</f>
        <v/>
      </c>
      <c r="F1993" t="str">
        <f>IF(VIPcric_1!F1975="","",VIPcric_1!F1975)</f>
        <v/>
      </c>
      <c r="G1993" t="str">
        <f>IF(VIPcric_1!G1975="","",VIPcric_1!G1975)</f>
        <v/>
      </c>
      <c r="H1993" t="str">
        <f>IF(VIPcric_1!H1975="","",VIPcric_1!H1975)</f>
        <v/>
      </c>
      <c r="I1993" t="str">
        <f>IF(VIPcric_1!M1975="","",VIPcric_1!M1975)</f>
        <v>CRIC-滨州-市场监测.商品房市场.项目累计.库存.xlsx</v>
      </c>
    </row>
    <row r="1994" spans="1:9">
      <c r="A1994" t="str">
        <f>IF(VIPcric_1!A1976="","",VIPcric_1!A1976)</f>
        <v>2022年</v>
      </c>
      <c r="B1994">
        <f>IF(VIPcric_1!B1976="","",VIPcric_1!B1976)</f>
        <v>2555958</v>
      </c>
      <c r="C1994">
        <f>IF(VIPcric_1!C1976="","",VIPcric_1!C1976)</f>
        <v>18781</v>
      </c>
      <c r="D1994">
        <f>IF(VIPcric_1!D1976="","",VIPcric_1!D1976)</f>
        <v>26.5</v>
      </c>
      <c r="E1994" t="str">
        <f>IF(VIPcric_1!E1976="","",VIPcric_1!E1976)</f>
        <v/>
      </c>
      <c r="F1994" t="str">
        <f>IF(VIPcric_1!F1976="","",VIPcric_1!F1976)</f>
        <v/>
      </c>
      <c r="G1994" t="str">
        <f>IF(VIPcric_1!G1976="","",VIPcric_1!G1976)</f>
        <v/>
      </c>
      <c r="H1994" t="str">
        <f>IF(VIPcric_1!H1976="","",VIPcric_1!H1976)</f>
        <v/>
      </c>
      <c r="I1994" t="str">
        <f>IF(VIPcric_1!M1976="","",VIPcric_1!M1976)</f>
        <v>CRIC-滨州-市场监测.商品房市场.项目累计.库存.xlsx</v>
      </c>
    </row>
    <row r="1995" spans="1:9">
      <c r="A1995" t="str">
        <f>IF(VIPcric_1!A1977="","",VIPcric_1!A1977)</f>
        <v>2021年</v>
      </c>
      <c r="B1995">
        <f>IF(VIPcric_1!B1977="","",VIPcric_1!B1977)</f>
        <v>2013695</v>
      </c>
      <c r="C1995">
        <f>IF(VIPcric_1!C1977="","",VIPcric_1!C1977)</f>
        <v>15321</v>
      </c>
      <c r="D1995">
        <f>IF(VIPcric_1!D1977="","",VIPcric_1!D1977)</f>
        <v>22.6</v>
      </c>
      <c r="E1995" t="str">
        <f>IF(VIPcric_1!E1977="","",VIPcric_1!E1977)</f>
        <v/>
      </c>
      <c r="F1995" t="str">
        <f>IF(VIPcric_1!F1977="","",VIPcric_1!F1977)</f>
        <v/>
      </c>
      <c r="G1995" t="str">
        <f>IF(VIPcric_1!G1977="","",VIPcric_1!G1977)</f>
        <v/>
      </c>
      <c r="H1995" t="str">
        <f>IF(VIPcric_1!H1977="","",VIPcric_1!H1977)</f>
        <v/>
      </c>
      <c r="I1995" t="str">
        <f>IF(VIPcric_1!M1977="","",VIPcric_1!M1977)</f>
        <v>CRIC-滨州-市场监测.商品房市场.项目累计.库存.xlsx</v>
      </c>
    </row>
    <row r="1996" spans="1:9">
      <c r="A1996" t="str">
        <f>IF(VIPcric_1!A1978="","",VIPcric_1!A1978)</f>
        <v/>
      </c>
      <c r="B1996" t="str">
        <f>IF(VIPcric_1!B1978="","",VIPcric_1!B1978)</f>
        <v/>
      </c>
      <c r="C1996" t="str">
        <f>IF(VIPcric_1!C1978="","",VIPcric_1!C1978)</f>
        <v/>
      </c>
      <c r="D1996" t="str">
        <f>IF(VIPcric_1!D1978="","",VIPcric_1!D1978)</f>
        <v/>
      </c>
      <c r="E1996" t="str">
        <f>IF(VIPcric_1!E1978="","",VIPcric_1!E1978)</f>
        <v/>
      </c>
      <c r="F1996" t="str">
        <f>IF(VIPcric_1!F1978="","",VIPcric_1!F1978)</f>
        <v/>
      </c>
      <c r="G1996" t="str">
        <f>IF(VIPcric_1!G1978="","",VIPcric_1!G1978)</f>
        <v/>
      </c>
      <c r="H1996" t="str">
        <f>IF(VIPcric_1!H1978="","",VIPcric_1!H1978)</f>
        <v/>
      </c>
      <c r="I1996" t="str">
        <f>IF(VIPcric_1!M1978="","",VIPcric_1!M1978)</f>
        <v/>
      </c>
    </row>
    <row r="1997" spans="1:9">
      <c r="A1997" t="str">
        <f>IF(VIPcric_1!A1979="","",VIPcric_1!A1979)</f>
        <v/>
      </c>
      <c r="B1997" t="str">
        <f>IF(VIPcric_1!B1979="","",VIPcric_1!B1979)</f>
        <v/>
      </c>
      <c r="C1997" t="str">
        <f>IF(VIPcric_1!C1979="","",VIPcric_1!C1979)</f>
        <v/>
      </c>
      <c r="D1997" t="str">
        <f>IF(VIPcric_1!D1979="","",VIPcric_1!D1979)</f>
        <v/>
      </c>
      <c r="E1997" t="str">
        <f>IF(VIPcric_1!E1979="","",VIPcric_1!E1979)</f>
        <v/>
      </c>
      <c r="F1997" t="str">
        <f>IF(VIPcric_1!F1979="","",VIPcric_1!F1979)</f>
        <v/>
      </c>
      <c r="G1997" t="str">
        <f>IF(VIPcric_1!G1979="","",VIPcric_1!G1979)</f>
        <v/>
      </c>
      <c r="H1997" t="str">
        <f>IF(VIPcric_1!H1979="","",VIPcric_1!H1979)</f>
        <v/>
      </c>
      <c r="I1997" t="str">
        <f>IF(VIPcric_1!M1979="","",VIPcric_1!M1979)</f>
        <v>CRIC-漯河-市场监测.商品房市场.项目累计.供求.xlsx</v>
      </c>
    </row>
    <row r="1998" spans="1:9">
      <c r="A1998" t="str">
        <f>IF(VIPcric_1!A1980="","",VIPcric_1!A1980)</f>
        <v>时间(年)</v>
      </c>
      <c r="B1998" t="str">
        <f>IF(VIPcric_1!B1980="","",VIPcric_1!B1980)</f>
        <v>供应面积(㎡)</v>
      </c>
      <c r="C1998" t="str">
        <f>IF(VIPcric_1!C1980="","",VIPcric_1!C1980)</f>
        <v>供应套数(套)</v>
      </c>
      <c r="D1998" t="str">
        <f>IF(VIPcric_1!D1980="","",VIPcric_1!D1980)</f>
        <v>成交面积(㎡)</v>
      </c>
      <c r="E1998" t="str">
        <f>IF(VIPcric_1!E1980="","",VIPcric_1!E1980)</f>
        <v>成交套数(套)</v>
      </c>
      <c r="F1998" t="str">
        <f>IF(VIPcric_1!F1980="","",VIPcric_1!F1980)</f>
        <v>成交均价(元/㎡)</v>
      </c>
      <c r="G1998" t="str">
        <f>IF(VIPcric_1!G1980="","",VIPcric_1!G1980)</f>
        <v>成交金额(元)</v>
      </c>
      <c r="H1998" t="str">
        <f>IF(VIPcric_1!H1980="","",VIPcric_1!H1980)</f>
        <v>供求比</v>
      </c>
      <c r="I1998" t="str">
        <f>IF(VIPcric_1!M1980="","",VIPcric_1!M1980)</f>
        <v>CRIC-漯河-市场监测.商品房市场.项目累计.供求.xlsx</v>
      </c>
    </row>
    <row r="1999" spans="1:9">
      <c r="A1999" t="str">
        <f>IF(VIPcric_1!A1981="","",VIPcric_1!A1981)</f>
        <v>2023年</v>
      </c>
      <c r="B1999">
        <f>IF(VIPcric_1!B1981="","",VIPcric_1!B1981)</f>
        <v>1329923</v>
      </c>
      <c r="C1999">
        <f>IF(VIPcric_1!C1981="","",VIPcric_1!C1981)</f>
        <v>11286</v>
      </c>
      <c r="D1999">
        <f>IF(VIPcric_1!D1981="","",VIPcric_1!D1981)</f>
        <v>1469251</v>
      </c>
      <c r="E1999">
        <f>IF(VIPcric_1!E1981="","",VIPcric_1!E1981)</f>
        <v>12314</v>
      </c>
      <c r="F1999">
        <f>IF(VIPcric_1!F1981="","",VIPcric_1!F1981)</f>
        <v>6057</v>
      </c>
      <c r="G1999">
        <f>IF(VIPcric_1!G1981="","",VIPcric_1!G1981)</f>
        <v>8899578690</v>
      </c>
      <c r="H1999">
        <f>IF(VIPcric_1!H1981="","",VIPcric_1!H1981)</f>
        <v>0.91</v>
      </c>
      <c r="I1999" t="str">
        <f>IF(VIPcric_1!M1981="","",VIPcric_1!M1981)</f>
        <v>CRIC-漯河-市场监测.商品房市场.项目累计.供求.xlsx</v>
      </c>
    </row>
    <row r="2000" spans="1:9">
      <c r="A2000" t="str">
        <f>IF(VIPcric_1!A1982="","",VIPcric_1!A1982)</f>
        <v>2022年</v>
      </c>
      <c r="B2000">
        <f>IF(VIPcric_1!B1982="","",VIPcric_1!B1982)</f>
        <v>1329085</v>
      </c>
      <c r="C2000">
        <f>IF(VIPcric_1!C1982="","",VIPcric_1!C1982)</f>
        <v>11588</v>
      </c>
      <c r="D2000">
        <f>IF(VIPcric_1!D1982="","",VIPcric_1!D1982)</f>
        <v>1662437</v>
      </c>
      <c r="E2000">
        <f>IF(VIPcric_1!E1982="","",VIPcric_1!E1982)</f>
        <v>14188</v>
      </c>
      <c r="F2000">
        <f>IF(VIPcric_1!F1982="","",VIPcric_1!F1982)</f>
        <v>6081</v>
      </c>
      <c r="G2000">
        <f>IF(VIPcric_1!G1982="","",VIPcric_1!G1982)</f>
        <v>10109562576</v>
      </c>
      <c r="H2000">
        <f>IF(VIPcric_1!H1982="","",VIPcric_1!H1982)</f>
        <v>0.8</v>
      </c>
      <c r="I2000" t="str">
        <f>IF(VIPcric_1!M1982="","",VIPcric_1!M1982)</f>
        <v>CRIC-漯河-市场监测.商品房市场.项目累计.供求.xlsx</v>
      </c>
    </row>
    <row r="2001" spans="1:9">
      <c r="A2001" t="str">
        <f>IF(VIPcric_1!A1983="","",VIPcric_1!A1983)</f>
        <v>2021年</v>
      </c>
      <c r="B2001">
        <f>IF(VIPcric_1!B1983="","",VIPcric_1!B1983)</f>
        <v>8811630</v>
      </c>
      <c r="C2001">
        <f>IF(VIPcric_1!C1983="","",VIPcric_1!C1983)</f>
        <v>74349</v>
      </c>
      <c r="D2001">
        <f>IF(VIPcric_1!D1983="","",VIPcric_1!D1983)</f>
        <v>812908</v>
      </c>
      <c r="E2001">
        <f>IF(VIPcric_1!E1983="","",VIPcric_1!E1983)</f>
        <v>6825</v>
      </c>
      <c r="F2001">
        <f>IF(VIPcric_1!F1983="","",VIPcric_1!F1983)</f>
        <v>6338</v>
      </c>
      <c r="G2001">
        <f>IF(VIPcric_1!G1983="","",VIPcric_1!G1983)</f>
        <v>5152387217</v>
      </c>
      <c r="H2001">
        <f>IF(VIPcric_1!H1983="","",VIPcric_1!H1983)</f>
        <v>10.84</v>
      </c>
      <c r="I2001" t="str">
        <f>IF(VIPcric_1!M1983="","",VIPcric_1!M1983)</f>
        <v>CRIC-漯河-市场监测.商品房市场.项目累计.供求.xlsx</v>
      </c>
    </row>
    <row r="2002" spans="1:9">
      <c r="A2002" t="str">
        <f>IF(VIPcric_1!A1984="","",VIPcric_1!A1984)</f>
        <v>2020年</v>
      </c>
      <c r="B2002">
        <f>IF(VIPcric_1!B1984="","",VIPcric_1!B1984)</f>
        <v>20316</v>
      </c>
      <c r="C2002">
        <f>IF(VIPcric_1!C1984="","",VIPcric_1!C1984)</f>
        <v>170</v>
      </c>
      <c r="D2002">
        <f>IF(VIPcric_1!D1984="","",VIPcric_1!D1984)</f>
        <v>0</v>
      </c>
      <c r="E2002">
        <f>IF(VIPcric_1!E1984="","",VIPcric_1!E1984)</f>
        <v>0</v>
      </c>
      <c r="F2002">
        <f>IF(VIPcric_1!F1984="","",VIPcric_1!F1984)</f>
        <v>0</v>
      </c>
      <c r="G2002">
        <f>IF(VIPcric_1!G1984="","",VIPcric_1!G1984)</f>
        <v>0</v>
      </c>
      <c r="H2002">
        <f>IF(VIPcric_1!H1984="","",VIPcric_1!H1984)</f>
        <v>0</v>
      </c>
      <c r="I2002" t="str">
        <f>IF(VIPcric_1!M1984="","",VIPcric_1!M1984)</f>
        <v>CRIC-漯河-市场监测.商品房市场.项目累计.供求.xlsx</v>
      </c>
    </row>
    <row r="2003" spans="1:9">
      <c r="A2003" t="str">
        <f>IF(VIPcric_1!A1985="","",VIPcric_1!A1985)</f>
        <v>2019年</v>
      </c>
      <c r="B2003">
        <f>IF(VIPcric_1!B1985="","",VIPcric_1!B1985)</f>
        <v>1199225</v>
      </c>
      <c r="C2003">
        <f>IF(VIPcric_1!C1985="","",VIPcric_1!C1985)</f>
        <v>9987</v>
      </c>
      <c r="D2003">
        <f>IF(VIPcric_1!D1985="","",VIPcric_1!D1985)</f>
        <v>0</v>
      </c>
      <c r="E2003">
        <f>IF(VIPcric_1!E1985="","",VIPcric_1!E1985)</f>
        <v>0</v>
      </c>
      <c r="F2003">
        <f>IF(VIPcric_1!F1985="","",VIPcric_1!F1985)</f>
        <v>0</v>
      </c>
      <c r="G2003">
        <f>IF(VIPcric_1!G1985="","",VIPcric_1!G1985)</f>
        <v>0</v>
      </c>
      <c r="H2003">
        <f>IF(VIPcric_1!H1985="","",VIPcric_1!H1985)</f>
        <v>0</v>
      </c>
      <c r="I2003" t="str">
        <f>IF(VIPcric_1!M1985="","",VIPcric_1!M1985)</f>
        <v>CRIC-漯河-市场监测.商品房市场.项目累计.供求.xlsx</v>
      </c>
    </row>
    <row r="2004" spans="1:9">
      <c r="A2004" t="str">
        <f>IF(VIPcric_1!A1986="","",VIPcric_1!A1986)</f>
        <v>汇总</v>
      </c>
      <c r="B2004">
        <f>IF(VIPcric_1!B1986="","",VIPcric_1!B1986)</f>
        <v>12690179</v>
      </c>
      <c r="C2004">
        <f>IF(VIPcric_1!C1986="","",VIPcric_1!C1986)</f>
        <v>107380</v>
      </c>
      <c r="D2004">
        <f>IF(VIPcric_1!D1986="","",VIPcric_1!D1986)</f>
        <v>3944596</v>
      </c>
      <c r="E2004">
        <f>IF(VIPcric_1!E1986="","",VIPcric_1!E1986)</f>
        <v>33327</v>
      </c>
      <c r="F2004">
        <f>IF(VIPcric_1!F1986="","",VIPcric_1!F1986)</f>
        <v>6125</v>
      </c>
      <c r="G2004">
        <f>IF(VIPcric_1!G1986="","",VIPcric_1!G1986)</f>
        <v>24161528482</v>
      </c>
      <c r="H2004">
        <f>IF(VIPcric_1!H1986="","",VIPcric_1!H1986)</f>
        <v>3.22</v>
      </c>
      <c r="I2004" t="str">
        <f>IF(VIPcric_1!M1986="","",VIPcric_1!M1986)</f>
        <v>CRIC-漯河-市场监测.商品房市场.项目累计.供求.xlsx</v>
      </c>
    </row>
    <row r="2005" spans="1:9">
      <c r="A2005" t="str">
        <f>IF(VIPcric_1!A1987="","",VIPcric_1!A1987)</f>
        <v/>
      </c>
      <c r="B2005" t="str">
        <f>IF(VIPcric_1!B1987="","",VIPcric_1!B1987)</f>
        <v/>
      </c>
      <c r="C2005" t="str">
        <f>IF(VIPcric_1!C1987="","",VIPcric_1!C1987)</f>
        <v/>
      </c>
      <c r="D2005" t="str">
        <f>IF(VIPcric_1!D1987="","",VIPcric_1!D1987)</f>
        <v/>
      </c>
      <c r="E2005" t="str">
        <f>IF(VIPcric_1!E1987="","",VIPcric_1!E1987)</f>
        <v/>
      </c>
      <c r="F2005" t="str">
        <f>IF(VIPcric_1!F1987="","",VIPcric_1!F1987)</f>
        <v/>
      </c>
      <c r="G2005" t="str">
        <f>IF(VIPcric_1!G1987="","",VIPcric_1!G1987)</f>
        <v/>
      </c>
      <c r="H2005" t="str">
        <f>IF(VIPcric_1!H1987="","",VIPcric_1!H1987)</f>
        <v/>
      </c>
      <c r="I2005" t="str">
        <f>IF(VIPcric_1!M1987="","",VIPcric_1!M1987)</f>
        <v/>
      </c>
    </row>
    <row r="2006" spans="1:9">
      <c r="A2006" t="str">
        <f>IF(VIPcric_1!A1988="","",VIPcric_1!A1988)</f>
        <v/>
      </c>
      <c r="B2006" t="str">
        <f>IF(VIPcric_1!B1988="","",VIPcric_1!B1988)</f>
        <v/>
      </c>
      <c r="C2006" t="str">
        <f>IF(VIPcric_1!C1988="","",VIPcric_1!C1988)</f>
        <v/>
      </c>
      <c r="D2006" t="str">
        <f>IF(VIPcric_1!D1988="","",VIPcric_1!D1988)</f>
        <v/>
      </c>
      <c r="E2006" t="str">
        <f>IF(VIPcric_1!E1988="","",VIPcric_1!E1988)</f>
        <v/>
      </c>
      <c r="F2006" t="str">
        <f>IF(VIPcric_1!F1988="","",VIPcric_1!F1988)</f>
        <v/>
      </c>
      <c r="G2006" t="str">
        <f>IF(VIPcric_1!G1988="","",VIPcric_1!G1988)</f>
        <v/>
      </c>
      <c r="H2006" t="str">
        <f>IF(VIPcric_1!H1988="","",VIPcric_1!H1988)</f>
        <v/>
      </c>
      <c r="I2006" t="str">
        <f>IF(VIPcric_1!M1988="","",VIPcric_1!M1988)</f>
        <v>CRIC-漯河-市场监测.商品房市场.项目累计.库存.xlsx</v>
      </c>
    </row>
    <row r="2007" spans="1:9">
      <c r="A2007" t="str">
        <f>IF(VIPcric_1!A1989="","",VIPcric_1!A1989)</f>
        <v>时间(年)</v>
      </c>
      <c r="B2007" t="str">
        <f>IF(VIPcric_1!B1989="","",VIPcric_1!B1989)</f>
        <v>库存面积(㎡)</v>
      </c>
      <c r="C2007" t="str">
        <f>IF(VIPcric_1!C1989="","",VIPcric_1!C1989)</f>
        <v>库存套数(套)</v>
      </c>
      <c r="D2007" t="str">
        <f>IF(VIPcric_1!D1989="","",VIPcric_1!D1989)</f>
        <v>去化周期12'(月)</v>
      </c>
      <c r="E2007" t="str">
        <f>IF(VIPcric_1!E1989="","",VIPcric_1!E1989)</f>
        <v>去化周期24'(月)</v>
      </c>
      <c r="F2007" t="str">
        <f>IF(VIPcric_1!F1989="","",VIPcric_1!F1989)</f>
        <v/>
      </c>
      <c r="G2007" t="str">
        <f>IF(VIPcric_1!G1989="","",VIPcric_1!G1989)</f>
        <v/>
      </c>
      <c r="H2007" t="str">
        <f>IF(VIPcric_1!H1989="","",VIPcric_1!H1989)</f>
        <v/>
      </c>
      <c r="I2007" t="str">
        <f>IF(VIPcric_1!M1989="","",VIPcric_1!M1989)</f>
        <v>CRIC-漯河-市场监测.商品房市场.项目累计.库存.xlsx</v>
      </c>
    </row>
    <row r="2008" spans="1:9">
      <c r="A2008" t="str">
        <f>IF(VIPcric_1!A1990="","",VIPcric_1!A1990)</f>
        <v>2024年</v>
      </c>
      <c r="B2008">
        <f>IF(VIPcric_1!B1990="","",VIPcric_1!B1990)</f>
        <v>2655749</v>
      </c>
      <c r="C2008">
        <f>IF(VIPcric_1!C1990="","",VIPcric_1!C1990)</f>
        <v>23028</v>
      </c>
      <c r="D2008">
        <f>IF(VIPcric_1!D1990="","",VIPcric_1!D1990)</f>
        <v>22.8</v>
      </c>
      <c r="E2008">
        <f>IF(VIPcric_1!E1990="","",VIPcric_1!E1990)</f>
        <v>20.8</v>
      </c>
      <c r="F2008" t="str">
        <f>IF(VIPcric_1!F1990="","",VIPcric_1!F1990)</f>
        <v/>
      </c>
      <c r="G2008" t="str">
        <f>IF(VIPcric_1!G1990="","",VIPcric_1!G1990)</f>
        <v/>
      </c>
      <c r="H2008" t="str">
        <f>IF(VIPcric_1!H1990="","",VIPcric_1!H1990)</f>
        <v/>
      </c>
      <c r="I2008" t="str">
        <f>IF(VIPcric_1!M1990="","",VIPcric_1!M1990)</f>
        <v>CRIC-漯河-市场监测.商品房市场.项目累计.库存.xlsx</v>
      </c>
    </row>
    <row r="2009" spans="1:9">
      <c r="A2009" t="str">
        <f>IF(VIPcric_1!A1991="","",VIPcric_1!A1991)</f>
        <v>2023年</v>
      </c>
      <c r="B2009">
        <f>IF(VIPcric_1!B1991="","",VIPcric_1!B1991)</f>
        <v>2647972</v>
      </c>
      <c r="C2009">
        <f>IF(VIPcric_1!C1991="","",VIPcric_1!C1991)</f>
        <v>22928</v>
      </c>
      <c r="D2009">
        <f>IF(VIPcric_1!D1991="","",VIPcric_1!D1991)</f>
        <v>21.6</v>
      </c>
      <c r="E2009">
        <f>IF(VIPcric_1!E1991="","",VIPcric_1!E1991)</f>
        <v>20.3</v>
      </c>
      <c r="F2009" t="str">
        <f>IF(VIPcric_1!F1991="","",VIPcric_1!F1991)</f>
        <v/>
      </c>
      <c r="G2009" t="str">
        <f>IF(VIPcric_1!G1991="","",VIPcric_1!G1991)</f>
        <v/>
      </c>
      <c r="H2009" t="str">
        <f>IF(VIPcric_1!H1991="","",VIPcric_1!H1991)</f>
        <v/>
      </c>
      <c r="I2009" t="str">
        <f>IF(VIPcric_1!M1991="","",VIPcric_1!M1991)</f>
        <v>CRIC-漯河-市场监测.商品房市场.项目累计.库存.xlsx</v>
      </c>
    </row>
    <row r="2010" spans="1:9">
      <c r="A2010" t="str">
        <f>IF(VIPcric_1!A1992="","",VIPcric_1!A1992)</f>
        <v>2022年</v>
      </c>
      <c r="B2010">
        <f>IF(VIPcric_1!B1992="","",VIPcric_1!B1992)</f>
        <v>2719318</v>
      </c>
      <c r="C2010">
        <f>IF(VIPcric_1!C1992="","",VIPcric_1!C1992)</f>
        <v>23333</v>
      </c>
      <c r="D2010">
        <f>IF(VIPcric_1!D1992="","",VIPcric_1!D1992)</f>
        <v>19.600000000000001</v>
      </c>
      <c r="E2010">
        <f>IF(VIPcric_1!E1992="","",VIPcric_1!E1992)</f>
        <v>26.4</v>
      </c>
      <c r="F2010" t="str">
        <f>IF(VIPcric_1!F1992="","",VIPcric_1!F1992)</f>
        <v/>
      </c>
      <c r="G2010" t="str">
        <f>IF(VIPcric_1!G1992="","",VIPcric_1!G1992)</f>
        <v/>
      </c>
      <c r="H2010" t="str">
        <f>IF(VIPcric_1!H1992="","",VIPcric_1!H1992)</f>
        <v/>
      </c>
      <c r="I2010" t="str">
        <f>IF(VIPcric_1!M1992="","",VIPcric_1!M1992)</f>
        <v>CRIC-漯河-市场监测.商品房市场.项目累计.库存.xlsx</v>
      </c>
    </row>
    <row r="2011" spans="1:9">
      <c r="A2011" t="str">
        <f>IF(VIPcric_1!A1993="","",VIPcric_1!A1993)</f>
        <v>2021年</v>
      </c>
      <c r="B2011">
        <f>IF(VIPcric_1!B1993="","",VIPcric_1!B1993)</f>
        <v>3184423</v>
      </c>
      <c r="C2011">
        <f>IF(VIPcric_1!C1993="","",VIPcric_1!C1993)</f>
        <v>27238</v>
      </c>
      <c r="D2011">
        <f>IF(VIPcric_1!D1993="","",VIPcric_1!D1993)</f>
        <v>47</v>
      </c>
      <c r="E2011">
        <f>IF(VIPcric_1!E1993="","",VIPcric_1!E1993)</f>
        <v>94</v>
      </c>
      <c r="F2011" t="str">
        <f>IF(VIPcric_1!F1993="","",VIPcric_1!F1993)</f>
        <v/>
      </c>
      <c r="G2011" t="str">
        <f>IF(VIPcric_1!G1993="","",VIPcric_1!G1993)</f>
        <v/>
      </c>
      <c r="H2011" t="str">
        <f>IF(VIPcric_1!H1993="","",VIPcric_1!H1993)</f>
        <v/>
      </c>
      <c r="I2011" t="str">
        <f>IF(VIPcric_1!M1993="","",VIPcric_1!M1993)</f>
        <v>CRIC-漯河-市场监测.商品房市场.项目累计.库存.xlsx</v>
      </c>
    </row>
    <row r="2012" spans="1:9">
      <c r="A2012" t="str">
        <f>IF(VIPcric_1!A1994="","",VIPcric_1!A1994)</f>
        <v/>
      </c>
      <c r="B2012" t="str">
        <f>IF(VIPcric_1!B1994="","",VIPcric_1!B1994)</f>
        <v/>
      </c>
      <c r="C2012" t="str">
        <f>IF(VIPcric_1!C1994="","",VIPcric_1!C1994)</f>
        <v/>
      </c>
      <c r="D2012" t="str">
        <f>IF(VIPcric_1!D1994="","",VIPcric_1!D1994)</f>
        <v/>
      </c>
      <c r="E2012" t="str">
        <f>IF(VIPcric_1!E1994="","",VIPcric_1!E1994)</f>
        <v/>
      </c>
      <c r="F2012" t="str">
        <f>IF(VIPcric_1!F1994="","",VIPcric_1!F1994)</f>
        <v/>
      </c>
      <c r="G2012" t="str">
        <f>IF(VIPcric_1!G1994="","",VIPcric_1!G1994)</f>
        <v/>
      </c>
      <c r="H2012" t="str">
        <f>IF(VIPcric_1!H1994="","",VIPcric_1!H1994)</f>
        <v/>
      </c>
      <c r="I2012" t="str">
        <f>IF(VIPcric_1!M1994="","",VIPcric_1!M1994)</f>
        <v/>
      </c>
    </row>
    <row r="2013" spans="1:9">
      <c r="A2013" t="str">
        <f>IF(VIPcric_1!A1995="","",VIPcric_1!A1995)</f>
        <v/>
      </c>
      <c r="B2013" t="str">
        <f>IF(VIPcric_1!B1995="","",VIPcric_1!B1995)</f>
        <v/>
      </c>
      <c r="C2013" t="str">
        <f>IF(VIPcric_1!C1995="","",VIPcric_1!C1995)</f>
        <v/>
      </c>
      <c r="D2013" t="str">
        <f>IF(VIPcric_1!D1995="","",VIPcric_1!D1995)</f>
        <v/>
      </c>
      <c r="E2013" t="str">
        <f>IF(VIPcric_1!E1995="","",VIPcric_1!E1995)</f>
        <v/>
      </c>
      <c r="F2013" t="str">
        <f>IF(VIPcric_1!F1995="","",VIPcric_1!F1995)</f>
        <v/>
      </c>
      <c r="G2013" t="str">
        <f>IF(VIPcric_1!G1995="","",VIPcric_1!G1995)</f>
        <v/>
      </c>
      <c r="H2013" t="str">
        <f>IF(VIPcric_1!H1995="","",VIPcric_1!H1995)</f>
        <v/>
      </c>
      <c r="I2013" t="str">
        <f>IF(VIPcric_1!M1995="","",VIPcric_1!M1995)</f>
        <v>CRIC-漳州-市场监测.商品房市场.项目累计.供求.xlsx</v>
      </c>
    </row>
    <row r="2014" spans="1:9">
      <c r="A2014" t="str">
        <f>IF(VIPcric_1!A1996="","",VIPcric_1!A1996)</f>
        <v>时间(年)</v>
      </c>
      <c r="B2014" t="str">
        <f>IF(VIPcric_1!B1996="","",VIPcric_1!B1996)</f>
        <v>供应面积(㎡)</v>
      </c>
      <c r="C2014" t="str">
        <f>IF(VIPcric_1!C1996="","",VIPcric_1!C1996)</f>
        <v>供应套数(套)</v>
      </c>
      <c r="D2014" t="str">
        <f>IF(VIPcric_1!D1996="","",VIPcric_1!D1996)</f>
        <v>成交面积(㎡)</v>
      </c>
      <c r="E2014" t="str">
        <f>IF(VIPcric_1!E1996="","",VIPcric_1!E1996)</f>
        <v>成交套数(套)</v>
      </c>
      <c r="F2014" t="str">
        <f>IF(VIPcric_1!F1996="","",VIPcric_1!F1996)</f>
        <v>成交均价(元/㎡)</v>
      </c>
      <c r="G2014" t="str">
        <f>IF(VIPcric_1!G1996="","",VIPcric_1!G1996)</f>
        <v>成交金额(元)</v>
      </c>
      <c r="H2014" t="str">
        <f>IF(VIPcric_1!H1996="","",VIPcric_1!H1996)</f>
        <v>供求比</v>
      </c>
      <c r="I2014" t="str">
        <f>IF(VIPcric_1!M1996="","",VIPcric_1!M1996)</f>
        <v>CRIC-漳州-市场监测.商品房市场.项目累计.供求.xlsx</v>
      </c>
    </row>
    <row r="2015" spans="1:9">
      <c r="A2015" t="str">
        <f>IF(VIPcric_1!A1997="","",VIPcric_1!A1997)</f>
        <v>2024年</v>
      </c>
      <c r="B2015">
        <f>IF(VIPcric_1!B1997="","",VIPcric_1!B1997)</f>
        <v>72315</v>
      </c>
      <c r="C2015">
        <f>IF(VIPcric_1!C1997="","",VIPcric_1!C1997)</f>
        <v>614</v>
      </c>
      <c r="D2015">
        <f>IF(VIPcric_1!D1997="","",VIPcric_1!D1997)</f>
        <v>24380</v>
      </c>
      <c r="E2015">
        <f>IF(VIPcric_1!E1997="","",VIPcric_1!E1997)</f>
        <v>224</v>
      </c>
      <c r="F2015">
        <f>IF(VIPcric_1!F1997="","",VIPcric_1!F1997)</f>
        <v>11971</v>
      </c>
      <c r="G2015">
        <f>IF(VIPcric_1!G1997="","",VIPcric_1!G1997)</f>
        <v>291859064</v>
      </c>
      <c r="H2015">
        <f>IF(VIPcric_1!H1997="","",VIPcric_1!H1997)</f>
        <v>2.97</v>
      </c>
      <c r="I2015" t="str">
        <f>IF(VIPcric_1!M1997="","",VIPcric_1!M1997)</f>
        <v>CRIC-漳州-市场监测.商品房市场.项目累计.供求.xlsx</v>
      </c>
    </row>
    <row r="2016" spans="1:9">
      <c r="A2016" t="str">
        <f>IF(VIPcric_1!A1998="","",VIPcric_1!A1998)</f>
        <v>2023年</v>
      </c>
      <c r="B2016">
        <f>IF(VIPcric_1!B1998="","",VIPcric_1!B1998)</f>
        <v>738192</v>
      </c>
      <c r="C2016">
        <f>IF(VIPcric_1!C1998="","",VIPcric_1!C1998)</f>
        <v>6424</v>
      </c>
      <c r="D2016">
        <f>IF(VIPcric_1!D1998="","",VIPcric_1!D1998)</f>
        <v>733815</v>
      </c>
      <c r="E2016">
        <f>IF(VIPcric_1!E1998="","",VIPcric_1!E1998)</f>
        <v>6472</v>
      </c>
      <c r="F2016">
        <f>IF(VIPcric_1!F1998="","",VIPcric_1!F1998)</f>
        <v>13213</v>
      </c>
      <c r="G2016">
        <f>IF(VIPcric_1!G1998="","",VIPcric_1!G1998)</f>
        <v>9696233119</v>
      </c>
      <c r="H2016">
        <f>IF(VIPcric_1!H1998="","",VIPcric_1!H1998)</f>
        <v>1.01</v>
      </c>
      <c r="I2016" t="str">
        <f>IF(VIPcric_1!M1998="","",VIPcric_1!M1998)</f>
        <v>CRIC-漳州-市场监测.商品房市场.项目累计.供求.xlsx</v>
      </c>
    </row>
    <row r="2017" spans="1:9">
      <c r="A2017" t="str">
        <f>IF(VIPcric_1!A1999="","",VIPcric_1!A1999)</f>
        <v>2022年</v>
      </c>
      <c r="B2017">
        <f>IF(VIPcric_1!B1999="","",VIPcric_1!B1999)</f>
        <v>896249</v>
      </c>
      <c r="C2017">
        <f>IF(VIPcric_1!C1999="","",VIPcric_1!C1999)</f>
        <v>7270</v>
      </c>
      <c r="D2017">
        <f>IF(VIPcric_1!D1999="","",VIPcric_1!D1999)</f>
        <v>867236</v>
      </c>
      <c r="E2017">
        <f>IF(VIPcric_1!E1999="","",VIPcric_1!E1999)</f>
        <v>7790</v>
      </c>
      <c r="F2017">
        <f>IF(VIPcric_1!F1999="","",VIPcric_1!F1999)</f>
        <v>14646</v>
      </c>
      <c r="G2017">
        <f>IF(VIPcric_1!G1999="","",VIPcric_1!G1999)</f>
        <v>12701784415</v>
      </c>
      <c r="H2017">
        <f>IF(VIPcric_1!H1999="","",VIPcric_1!H1999)</f>
        <v>1.03</v>
      </c>
      <c r="I2017" t="str">
        <f>IF(VIPcric_1!M1999="","",VIPcric_1!M1999)</f>
        <v>CRIC-漳州-市场监测.商品房市场.项目累计.供求.xlsx</v>
      </c>
    </row>
    <row r="2018" spans="1:9">
      <c r="A2018" t="str">
        <f>IF(VIPcric_1!A2000="","",VIPcric_1!A2000)</f>
        <v>2021年</v>
      </c>
      <c r="B2018">
        <f>IF(VIPcric_1!B2000="","",VIPcric_1!B2000)</f>
        <v>824945</v>
      </c>
      <c r="C2018">
        <f>IF(VIPcric_1!C2000="","",VIPcric_1!C2000)</f>
        <v>8040</v>
      </c>
      <c r="D2018">
        <f>IF(VIPcric_1!D2000="","",VIPcric_1!D2000)</f>
        <v>1348199</v>
      </c>
      <c r="E2018">
        <f>IF(VIPcric_1!E2000="","",VIPcric_1!E2000)</f>
        <v>12710</v>
      </c>
      <c r="F2018">
        <f>IF(VIPcric_1!F2000="","",VIPcric_1!F2000)</f>
        <v>13579</v>
      </c>
      <c r="G2018">
        <f>IF(VIPcric_1!G2000="","",VIPcric_1!G2000)</f>
        <v>18307138058</v>
      </c>
      <c r="H2018">
        <f>IF(VIPcric_1!H2000="","",VIPcric_1!H2000)</f>
        <v>0.61</v>
      </c>
      <c r="I2018" t="str">
        <f>IF(VIPcric_1!M2000="","",VIPcric_1!M2000)</f>
        <v>CRIC-漳州-市场监测.商品房市场.项目累计.供求.xlsx</v>
      </c>
    </row>
    <row r="2019" spans="1:9">
      <c r="A2019" t="str">
        <f>IF(VIPcric_1!A2001="","",VIPcric_1!A2001)</f>
        <v>2020年</v>
      </c>
      <c r="B2019">
        <f>IF(VIPcric_1!B2001="","",VIPcric_1!B2001)</f>
        <v>1197741</v>
      </c>
      <c r="C2019">
        <f>IF(VIPcric_1!C2001="","",VIPcric_1!C2001)</f>
        <v>11399</v>
      </c>
      <c r="D2019">
        <f>IF(VIPcric_1!D2001="","",VIPcric_1!D2001)</f>
        <v>1018656</v>
      </c>
      <c r="E2019">
        <f>IF(VIPcric_1!E2001="","",VIPcric_1!E2001)</f>
        <v>9596</v>
      </c>
      <c r="F2019">
        <f>IF(VIPcric_1!F2001="","",VIPcric_1!F2001)</f>
        <v>13948</v>
      </c>
      <c r="G2019">
        <f>IF(VIPcric_1!G2001="","",VIPcric_1!G2001)</f>
        <v>14208435313</v>
      </c>
      <c r="H2019">
        <f>IF(VIPcric_1!H2001="","",VIPcric_1!H2001)</f>
        <v>1.18</v>
      </c>
      <c r="I2019" t="str">
        <f>IF(VIPcric_1!M2001="","",VIPcric_1!M2001)</f>
        <v>CRIC-漳州-市场监测.商品房市场.项目累计.供求.xlsx</v>
      </c>
    </row>
    <row r="2020" spans="1:9">
      <c r="A2020" t="str">
        <f>IF(VIPcric_1!A2002="","",VIPcric_1!A2002)</f>
        <v>2019年</v>
      </c>
      <c r="B2020">
        <f>IF(VIPcric_1!B2002="","",VIPcric_1!B2002)</f>
        <v>1336281</v>
      </c>
      <c r="C2020">
        <f>IF(VIPcric_1!C2002="","",VIPcric_1!C2002)</f>
        <v>11660</v>
      </c>
      <c r="D2020">
        <f>IF(VIPcric_1!D2002="","",VIPcric_1!D2002)</f>
        <v>885814</v>
      </c>
      <c r="E2020">
        <f>IF(VIPcric_1!E2002="","",VIPcric_1!E2002)</f>
        <v>8058</v>
      </c>
      <c r="F2020">
        <f>IF(VIPcric_1!F2002="","",VIPcric_1!F2002)</f>
        <v>14593</v>
      </c>
      <c r="G2020">
        <f>IF(VIPcric_1!G2002="","",VIPcric_1!G2002)</f>
        <v>12926999612</v>
      </c>
      <c r="H2020">
        <f>IF(VIPcric_1!H2002="","",VIPcric_1!H2002)</f>
        <v>1.51</v>
      </c>
      <c r="I2020" t="str">
        <f>IF(VIPcric_1!M2002="","",VIPcric_1!M2002)</f>
        <v>CRIC-漳州-市场监测.商品房市场.项目累计.供求.xlsx</v>
      </c>
    </row>
    <row r="2021" spans="1:9">
      <c r="A2021" t="str">
        <f>IF(VIPcric_1!A2003="","",VIPcric_1!A2003)</f>
        <v>汇总</v>
      </c>
      <c r="B2021">
        <f>IF(VIPcric_1!B2003="","",VIPcric_1!B2003)</f>
        <v>5065723</v>
      </c>
      <c r="C2021">
        <f>IF(VIPcric_1!C2003="","",VIPcric_1!C2003)</f>
        <v>45407</v>
      </c>
      <c r="D2021">
        <f>IF(VIPcric_1!D2003="","",VIPcric_1!D2003)</f>
        <v>4878100</v>
      </c>
      <c r="E2021">
        <f>IF(VIPcric_1!E2003="","",VIPcric_1!E2003)</f>
        <v>44850</v>
      </c>
      <c r="F2021">
        <f>IF(VIPcric_1!F2003="","",VIPcric_1!F2003)</f>
        <v>13967</v>
      </c>
      <c r="G2021">
        <f>IF(VIPcric_1!G2003="","",VIPcric_1!G2003)</f>
        <v>68132449581</v>
      </c>
      <c r="H2021">
        <f>IF(VIPcric_1!H2003="","",VIPcric_1!H2003)</f>
        <v>1.04</v>
      </c>
      <c r="I2021" t="str">
        <f>IF(VIPcric_1!M2003="","",VIPcric_1!M2003)</f>
        <v>CRIC-漳州-市场监测.商品房市场.项目累计.供求.xlsx</v>
      </c>
    </row>
    <row r="2022" spans="1:9">
      <c r="A2022" t="str">
        <f>IF(VIPcric_1!A2004="","",VIPcric_1!A2004)</f>
        <v/>
      </c>
      <c r="B2022" t="str">
        <f>IF(VIPcric_1!B2004="","",VIPcric_1!B2004)</f>
        <v/>
      </c>
      <c r="C2022" t="str">
        <f>IF(VIPcric_1!C2004="","",VIPcric_1!C2004)</f>
        <v/>
      </c>
      <c r="D2022" t="str">
        <f>IF(VIPcric_1!D2004="","",VIPcric_1!D2004)</f>
        <v/>
      </c>
      <c r="E2022" t="str">
        <f>IF(VIPcric_1!E2004="","",VIPcric_1!E2004)</f>
        <v/>
      </c>
      <c r="F2022" t="str">
        <f>IF(VIPcric_1!F2004="","",VIPcric_1!F2004)</f>
        <v/>
      </c>
      <c r="G2022" t="str">
        <f>IF(VIPcric_1!G2004="","",VIPcric_1!G2004)</f>
        <v/>
      </c>
      <c r="H2022" t="str">
        <f>IF(VIPcric_1!H2004="","",VIPcric_1!H2004)</f>
        <v/>
      </c>
      <c r="I2022" t="str">
        <f>IF(VIPcric_1!M2004="","",VIPcric_1!M2004)</f>
        <v/>
      </c>
    </row>
    <row r="2023" spans="1:9">
      <c r="A2023" t="str">
        <f>IF(VIPcric_1!A2005="","",VIPcric_1!A2005)</f>
        <v/>
      </c>
      <c r="B2023" t="str">
        <f>IF(VIPcric_1!B2005="","",VIPcric_1!B2005)</f>
        <v/>
      </c>
      <c r="C2023" t="str">
        <f>IF(VIPcric_1!C2005="","",VIPcric_1!C2005)</f>
        <v/>
      </c>
      <c r="D2023" t="str">
        <f>IF(VIPcric_1!D2005="","",VIPcric_1!D2005)</f>
        <v/>
      </c>
      <c r="E2023" t="str">
        <f>IF(VIPcric_1!E2005="","",VIPcric_1!E2005)</f>
        <v/>
      </c>
      <c r="F2023" t="str">
        <f>IF(VIPcric_1!F2005="","",VIPcric_1!F2005)</f>
        <v/>
      </c>
      <c r="G2023" t="str">
        <f>IF(VIPcric_1!G2005="","",VIPcric_1!G2005)</f>
        <v/>
      </c>
      <c r="H2023" t="str">
        <f>IF(VIPcric_1!H2005="","",VIPcric_1!H2005)</f>
        <v/>
      </c>
      <c r="I2023" t="str">
        <f>IF(VIPcric_1!M2005="","",VIPcric_1!M2005)</f>
        <v>CRIC-漳州-市场监测.商品房市场.项目累计.库存.xlsx</v>
      </c>
    </row>
    <row r="2024" spans="1:9">
      <c r="A2024" t="str">
        <f>IF(VIPcric_1!A2006="","",VIPcric_1!A2006)</f>
        <v>时间(年)</v>
      </c>
      <c r="B2024" t="str">
        <f>IF(VIPcric_1!B2006="","",VIPcric_1!B2006)</f>
        <v>库存面积(㎡)</v>
      </c>
      <c r="C2024" t="str">
        <f>IF(VIPcric_1!C2006="","",VIPcric_1!C2006)</f>
        <v>库存套数(套)</v>
      </c>
      <c r="D2024" t="str">
        <f>IF(VIPcric_1!D2006="","",VIPcric_1!D2006)</f>
        <v>去化周期12'(月)</v>
      </c>
      <c r="E2024" t="str">
        <f>IF(VIPcric_1!E2006="","",VIPcric_1!E2006)</f>
        <v/>
      </c>
      <c r="F2024" t="str">
        <f>IF(VIPcric_1!F2006="","",VIPcric_1!F2006)</f>
        <v/>
      </c>
      <c r="G2024" t="str">
        <f>IF(VIPcric_1!G2006="","",VIPcric_1!G2006)</f>
        <v/>
      </c>
      <c r="H2024" t="str">
        <f>IF(VIPcric_1!H2006="","",VIPcric_1!H2006)</f>
        <v/>
      </c>
      <c r="I2024" t="str">
        <f>IF(VIPcric_1!M2006="","",VIPcric_1!M2006)</f>
        <v>CRIC-漳州-市场监测.商品房市场.项目累计.库存.xlsx</v>
      </c>
    </row>
    <row r="2025" spans="1:9">
      <c r="A2025" t="str">
        <f>IF(VIPcric_1!A2007="","",VIPcric_1!A2007)</f>
        <v>2023年</v>
      </c>
      <c r="B2025">
        <f>IF(VIPcric_1!B2007="","",VIPcric_1!B2007)</f>
        <v>920755</v>
      </c>
      <c r="C2025">
        <f>IF(VIPcric_1!C2007="","",VIPcric_1!C2007)</f>
        <v>8025</v>
      </c>
      <c r="D2025">
        <f>IF(VIPcric_1!D2007="","",VIPcric_1!D2007)</f>
        <v>15.1</v>
      </c>
      <c r="E2025" t="str">
        <f>IF(VIPcric_1!E2007="","",VIPcric_1!E2007)</f>
        <v/>
      </c>
      <c r="F2025" t="str">
        <f>IF(VIPcric_1!F2007="","",VIPcric_1!F2007)</f>
        <v/>
      </c>
      <c r="G2025" t="str">
        <f>IF(VIPcric_1!G2007="","",VIPcric_1!G2007)</f>
        <v/>
      </c>
      <c r="H2025" t="str">
        <f>IF(VIPcric_1!H2007="","",VIPcric_1!H2007)</f>
        <v/>
      </c>
      <c r="I2025" t="str">
        <f>IF(VIPcric_1!M2007="","",VIPcric_1!M2007)</f>
        <v>CRIC-漳州-市场监测.商品房市场.项目累计.库存.xlsx</v>
      </c>
    </row>
    <row r="2026" spans="1:9">
      <c r="A2026" t="str">
        <f>IF(VIPcric_1!A2008="","",VIPcric_1!A2008)</f>
        <v>2022年</v>
      </c>
      <c r="B2026">
        <f>IF(VIPcric_1!B2008="","",VIPcric_1!B2008)</f>
        <v>897044</v>
      </c>
      <c r="C2026">
        <f>IF(VIPcric_1!C2008="","",VIPcric_1!C2008)</f>
        <v>7918</v>
      </c>
      <c r="D2026">
        <f>IF(VIPcric_1!D2008="","",VIPcric_1!D2008)</f>
        <v>12.4</v>
      </c>
      <c r="E2026" t="str">
        <f>IF(VIPcric_1!E2008="","",VIPcric_1!E2008)</f>
        <v/>
      </c>
      <c r="F2026" t="str">
        <f>IF(VIPcric_1!F2008="","",VIPcric_1!F2008)</f>
        <v/>
      </c>
      <c r="G2026" t="str">
        <f>IF(VIPcric_1!G2008="","",VIPcric_1!G2008)</f>
        <v/>
      </c>
      <c r="H2026" t="str">
        <f>IF(VIPcric_1!H2008="","",VIPcric_1!H2008)</f>
        <v/>
      </c>
      <c r="I2026" t="str">
        <f>IF(VIPcric_1!M2008="","",VIPcric_1!M2008)</f>
        <v>CRIC-漳州-市场监测.商品房市场.项目累计.库存.xlsx</v>
      </c>
    </row>
    <row r="2027" spans="1:9">
      <c r="A2027" t="str">
        <f>IF(VIPcric_1!A2009="","",VIPcric_1!A2009)</f>
        <v>2021年</v>
      </c>
      <c r="B2027">
        <f>IF(VIPcric_1!B2009="","",VIPcric_1!B2009)</f>
        <v>0</v>
      </c>
      <c r="C2027">
        <f>IF(VIPcric_1!C2009="","",VIPcric_1!C2009)</f>
        <v>0</v>
      </c>
      <c r="D2027">
        <f>IF(VIPcric_1!D2009="","",VIPcric_1!D2009)</f>
        <v>0</v>
      </c>
      <c r="E2027" t="str">
        <f>IF(VIPcric_1!E2009="","",VIPcric_1!E2009)</f>
        <v/>
      </c>
      <c r="F2027" t="str">
        <f>IF(VIPcric_1!F2009="","",VIPcric_1!F2009)</f>
        <v/>
      </c>
      <c r="G2027" t="str">
        <f>IF(VIPcric_1!G2009="","",VIPcric_1!G2009)</f>
        <v/>
      </c>
      <c r="H2027" t="str">
        <f>IF(VIPcric_1!H2009="","",VIPcric_1!H2009)</f>
        <v/>
      </c>
      <c r="I2027" t="str">
        <f>IF(VIPcric_1!M2009="","",VIPcric_1!M2009)</f>
        <v>CRIC-漳州-市场监测.商品房市场.项目累计.库存.xlsx</v>
      </c>
    </row>
    <row r="2028" spans="1:9">
      <c r="A2028" t="str">
        <f>IF(VIPcric_1!A2010="","",VIPcric_1!A2010)</f>
        <v>2020年</v>
      </c>
      <c r="B2028">
        <f>IF(VIPcric_1!B2010="","",VIPcric_1!B2010)</f>
        <v>1438823</v>
      </c>
      <c r="C2028">
        <f>IF(VIPcric_1!C2010="","",VIPcric_1!C2010)</f>
        <v>13149</v>
      </c>
      <c r="D2028">
        <f>IF(VIPcric_1!D2010="","",VIPcric_1!D2010)</f>
        <v>16.899999999999999</v>
      </c>
      <c r="E2028" t="str">
        <f>IF(VIPcric_1!E2010="","",VIPcric_1!E2010)</f>
        <v/>
      </c>
      <c r="F2028" t="str">
        <f>IF(VIPcric_1!F2010="","",VIPcric_1!F2010)</f>
        <v/>
      </c>
      <c r="G2028" t="str">
        <f>IF(VIPcric_1!G2010="","",VIPcric_1!G2010)</f>
        <v/>
      </c>
      <c r="H2028" t="str">
        <f>IF(VIPcric_1!H2010="","",VIPcric_1!H2010)</f>
        <v/>
      </c>
      <c r="I2028" t="str">
        <f>IF(VIPcric_1!M2010="","",VIPcric_1!M2010)</f>
        <v>CRIC-漳州-市场监测.商品房市场.项目累计.库存.xlsx</v>
      </c>
    </row>
    <row r="2029" spans="1:9">
      <c r="A2029" t="str">
        <f>IF(VIPcric_1!A2011="","",VIPcric_1!A2011)</f>
        <v>2019年</v>
      </c>
      <c r="B2029">
        <f>IF(VIPcric_1!B2011="","",VIPcric_1!B2011)</f>
        <v>1324361</v>
      </c>
      <c r="C2029">
        <f>IF(VIPcric_1!C2011="","",VIPcric_1!C2011)</f>
        <v>11764</v>
      </c>
      <c r="D2029">
        <f>IF(VIPcric_1!D2011="","",VIPcric_1!D2011)</f>
        <v>17.899999999999999</v>
      </c>
      <c r="E2029" t="str">
        <f>IF(VIPcric_1!E2011="","",VIPcric_1!E2011)</f>
        <v/>
      </c>
      <c r="F2029" t="str">
        <f>IF(VIPcric_1!F2011="","",VIPcric_1!F2011)</f>
        <v/>
      </c>
      <c r="G2029" t="str">
        <f>IF(VIPcric_1!G2011="","",VIPcric_1!G2011)</f>
        <v/>
      </c>
      <c r="H2029" t="str">
        <f>IF(VIPcric_1!H2011="","",VIPcric_1!H2011)</f>
        <v/>
      </c>
      <c r="I2029" t="str">
        <f>IF(VIPcric_1!M2011="","",VIPcric_1!M2011)</f>
        <v>CRIC-漳州-市场监测.商品房市场.项目累计.库存.xlsx</v>
      </c>
    </row>
    <row r="2030" spans="1:9">
      <c r="A2030" t="str">
        <f>IF(VIPcric_1!A2012="","",VIPcric_1!A2012)</f>
        <v>2018年</v>
      </c>
      <c r="B2030">
        <f>IF(VIPcric_1!B2012="","",VIPcric_1!B2012)</f>
        <v>1034141</v>
      </c>
      <c r="C2030">
        <f>IF(VIPcric_1!C2012="","",VIPcric_1!C2012)</f>
        <v>9742</v>
      </c>
      <c r="D2030">
        <f>IF(VIPcric_1!D2012="","",VIPcric_1!D2012)</f>
        <v>16.8</v>
      </c>
      <c r="E2030" t="str">
        <f>IF(VIPcric_1!E2012="","",VIPcric_1!E2012)</f>
        <v/>
      </c>
      <c r="F2030" t="str">
        <f>IF(VIPcric_1!F2012="","",VIPcric_1!F2012)</f>
        <v/>
      </c>
      <c r="G2030" t="str">
        <f>IF(VIPcric_1!G2012="","",VIPcric_1!G2012)</f>
        <v/>
      </c>
      <c r="H2030" t="str">
        <f>IF(VIPcric_1!H2012="","",VIPcric_1!H2012)</f>
        <v/>
      </c>
      <c r="I2030" t="str">
        <f>IF(VIPcric_1!M2012="","",VIPcric_1!M2012)</f>
        <v>CRIC-漳州-市场监测.商品房市场.项目累计.库存.xlsx</v>
      </c>
    </row>
    <row r="2031" spans="1:9">
      <c r="A2031" t="str">
        <f>IF(VIPcric_1!A2013="","",VIPcric_1!A2013)</f>
        <v/>
      </c>
      <c r="B2031" t="str">
        <f>IF(VIPcric_1!B2013="","",VIPcric_1!B2013)</f>
        <v/>
      </c>
      <c r="C2031" t="str">
        <f>IF(VIPcric_1!C2013="","",VIPcric_1!C2013)</f>
        <v/>
      </c>
      <c r="D2031" t="str">
        <f>IF(VIPcric_1!D2013="","",VIPcric_1!D2013)</f>
        <v/>
      </c>
      <c r="E2031" t="str">
        <f>IF(VIPcric_1!E2013="","",VIPcric_1!E2013)</f>
        <v/>
      </c>
      <c r="F2031" t="str">
        <f>IF(VIPcric_1!F2013="","",VIPcric_1!F2013)</f>
        <v/>
      </c>
      <c r="G2031" t="str">
        <f>IF(VIPcric_1!G2013="","",VIPcric_1!G2013)</f>
        <v/>
      </c>
      <c r="H2031" t="str">
        <f>IF(VIPcric_1!H2013="","",VIPcric_1!H2013)</f>
        <v/>
      </c>
      <c r="I2031" t="str">
        <f>IF(VIPcric_1!M2013="","",VIPcric_1!M2013)</f>
        <v/>
      </c>
    </row>
    <row r="2032" spans="1:9">
      <c r="A2032" t="str">
        <f>IF(VIPcric_1!A2014="","",VIPcric_1!A2014)</f>
        <v/>
      </c>
      <c r="B2032" t="str">
        <f>IF(VIPcric_1!B2014="","",VIPcric_1!B2014)</f>
        <v/>
      </c>
      <c r="C2032" t="str">
        <f>IF(VIPcric_1!C2014="","",VIPcric_1!C2014)</f>
        <v/>
      </c>
      <c r="D2032" t="str">
        <f>IF(VIPcric_1!D2014="","",VIPcric_1!D2014)</f>
        <v/>
      </c>
      <c r="E2032" t="str">
        <f>IF(VIPcric_1!E2014="","",VIPcric_1!E2014)</f>
        <v/>
      </c>
      <c r="F2032" t="str">
        <f>IF(VIPcric_1!F2014="","",VIPcric_1!F2014)</f>
        <v/>
      </c>
      <c r="G2032" t="str">
        <f>IF(VIPcric_1!G2014="","",VIPcric_1!G2014)</f>
        <v/>
      </c>
      <c r="H2032" t="str">
        <f>IF(VIPcric_1!H2014="","",VIPcric_1!H2014)</f>
        <v/>
      </c>
      <c r="I2032" t="str">
        <f>IF(VIPcric_1!M2014="","",VIPcric_1!M2014)</f>
        <v>CRIC-澄迈-市场监测.商品房市场.项目累计.供求.xlsx</v>
      </c>
    </row>
    <row r="2033" spans="1:9">
      <c r="A2033" t="str">
        <f>IF(VIPcric_1!A2015="","",VIPcric_1!A2015)</f>
        <v>时间(年)</v>
      </c>
      <c r="B2033" t="str">
        <f>IF(VIPcric_1!B2015="","",VIPcric_1!B2015)</f>
        <v>供应面积(㎡)</v>
      </c>
      <c r="C2033" t="str">
        <f>IF(VIPcric_1!C2015="","",VIPcric_1!C2015)</f>
        <v>供应套数(套)</v>
      </c>
      <c r="D2033" t="str">
        <f>IF(VIPcric_1!D2015="","",VIPcric_1!D2015)</f>
        <v>成交面积(㎡)</v>
      </c>
      <c r="E2033" t="str">
        <f>IF(VIPcric_1!E2015="","",VIPcric_1!E2015)</f>
        <v>成交套数(套)</v>
      </c>
      <c r="F2033" t="str">
        <f>IF(VIPcric_1!F2015="","",VIPcric_1!F2015)</f>
        <v>成交均价(元/㎡)</v>
      </c>
      <c r="G2033" t="str">
        <f>IF(VIPcric_1!G2015="","",VIPcric_1!G2015)</f>
        <v>成交金额(元)</v>
      </c>
      <c r="H2033" t="str">
        <f>IF(VIPcric_1!H2015="","",VIPcric_1!H2015)</f>
        <v>供求比</v>
      </c>
      <c r="I2033" t="str">
        <f>IF(VIPcric_1!M2015="","",VIPcric_1!M2015)</f>
        <v>CRIC-澄迈-市场监测.商品房市场.项目累计.供求.xlsx</v>
      </c>
    </row>
    <row r="2034" spans="1:9">
      <c r="A2034" t="str">
        <f>IF(VIPcric_1!A2016="","",VIPcric_1!A2016)</f>
        <v>2024年</v>
      </c>
      <c r="B2034">
        <f>IF(VIPcric_1!B2016="","",VIPcric_1!B2016)</f>
        <v>73252</v>
      </c>
      <c r="C2034">
        <f>IF(VIPcric_1!C2016="","",VIPcric_1!C2016)</f>
        <v>670</v>
      </c>
      <c r="D2034">
        <f>IF(VIPcric_1!D2016="","",VIPcric_1!D2016)</f>
        <v>33583</v>
      </c>
      <c r="E2034">
        <f>IF(VIPcric_1!E2016="","",VIPcric_1!E2016)</f>
        <v>353</v>
      </c>
      <c r="F2034">
        <f>IF(VIPcric_1!F2016="","",VIPcric_1!F2016)</f>
        <v>12458</v>
      </c>
      <c r="G2034">
        <f>IF(VIPcric_1!G2016="","",VIPcric_1!G2016)</f>
        <v>418361382</v>
      </c>
      <c r="H2034">
        <f>IF(VIPcric_1!H2016="","",VIPcric_1!H2016)</f>
        <v>2.1800000000000002</v>
      </c>
      <c r="I2034" t="str">
        <f>IF(VIPcric_1!M2016="","",VIPcric_1!M2016)</f>
        <v>CRIC-澄迈-市场监测.商品房市场.项目累计.供求.xlsx</v>
      </c>
    </row>
    <row r="2035" spans="1:9">
      <c r="A2035" t="str">
        <f>IF(VIPcric_1!A2017="","",VIPcric_1!A2017)</f>
        <v>2023年</v>
      </c>
      <c r="B2035">
        <f>IF(VIPcric_1!B2017="","",VIPcric_1!B2017)</f>
        <v>602295</v>
      </c>
      <c r="C2035">
        <f>IF(VIPcric_1!C2017="","",VIPcric_1!C2017)</f>
        <v>5794</v>
      </c>
      <c r="D2035">
        <f>IF(VIPcric_1!D2017="","",VIPcric_1!D2017)</f>
        <v>593731</v>
      </c>
      <c r="E2035">
        <f>IF(VIPcric_1!E2017="","",VIPcric_1!E2017)</f>
        <v>6469</v>
      </c>
      <c r="F2035">
        <f>IF(VIPcric_1!F2017="","",VIPcric_1!F2017)</f>
        <v>11522</v>
      </c>
      <c r="G2035">
        <f>IF(VIPcric_1!G2017="","",VIPcric_1!G2017)</f>
        <v>6841251145</v>
      </c>
      <c r="H2035">
        <f>IF(VIPcric_1!H2017="","",VIPcric_1!H2017)</f>
        <v>1.01</v>
      </c>
      <c r="I2035" t="str">
        <f>IF(VIPcric_1!M2017="","",VIPcric_1!M2017)</f>
        <v>CRIC-澄迈-市场监测.商品房市场.项目累计.供求.xlsx</v>
      </c>
    </row>
    <row r="2036" spans="1:9">
      <c r="A2036" t="str">
        <f>IF(VIPcric_1!A2018="","",VIPcric_1!A2018)</f>
        <v>2022年</v>
      </c>
      <c r="B2036">
        <f>IF(VIPcric_1!B2018="","",VIPcric_1!B2018)</f>
        <v>276010</v>
      </c>
      <c r="C2036">
        <f>IF(VIPcric_1!C2018="","",VIPcric_1!C2018)</f>
        <v>2960</v>
      </c>
      <c r="D2036">
        <f>IF(VIPcric_1!D2018="","",VIPcric_1!D2018)</f>
        <v>587257</v>
      </c>
      <c r="E2036">
        <f>IF(VIPcric_1!E2018="","",VIPcric_1!E2018)</f>
        <v>6829</v>
      </c>
      <c r="F2036">
        <f>IF(VIPcric_1!F2018="","",VIPcric_1!F2018)</f>
        <v>13088</v>
      </c>
      <c r="G2036">
        <f>IF(VIPcric_1!G2018="","",VIPcric_1!G2018)</f>
        <v>7686131964</v>
      </c>
      <c r="H2036">
        <f>IF(VIPcric_1!H2018="","",VIPcric_1!H2018)</f>
        <v>0.47</v>
      </c>
      <c r="I2036" t="str">
        <f>IF(VIPcric_1!M2018="","",VIPcric_1!M2018)</f>
        <v>CRIC-澄迈-市场监测.商品房市场.项目累计.供求.xlsx</v>
      </c>
    </row>
    <row r="2037" spans="1:9">
      <c r="A2037" t="str">
        <f>IF(VIPcric_1!A2019="","",VIPcric_1!A2019)</f>
        <v>2021年</v>
      </c>
      <c r="B2037">
        <f>IF(VIPcric_1!B2019="","",VIPcric_1!B2019)</f>
        <v>14568</v>
      </c>
      <c r="C2037">
        <f>IF(VIPcric_1!C2019="","",VIPcric_1!C2019)</f>
        <v>120</v>
      </c>
      <c r="D2037">
        <f>IF(VIPcric_1!D2019="","",VIPcric_1!D2019)</f>
        <v>44008</v>
      </c>
      <c r="E2037">
        <f>IF(VIPcric_1!E2019="","",VIPcric_1!E2019)</f>
        <v>503</v>
      </c>
      <c r="F2037">
        <f>IF(VIPcric_1!F2019="","",VIPcric_1!F2019)</f>
        <v>13282</v>
      </c>
      <c r="G2037">
        <f>IF(VIPcric_1!G2019="","",VIPcric_1!G2019)</f>
        <v>584533269</v>
      </c>
      <c r="H2037">
        <f>IF(VIPcric_1!H2019="","",VIPcric_1!H2019)</f>
        <v>0.33</v>
      </c>
      <c r="I2037" t="str">
        <f>IF(VIPcric_1!M2019="","",VIPcric_1!M2019)</f>
        <v>CRIC-澄迈-市场监测.商品房市场.项目累计.供求.xlsx</v>
      </c>
    </row>
    <row r="2038" spans="1:9">
      <c r="A2038" t="str">
        <f>IF(VIPcric_1!A2020="","",VIPcric_1!A2020)</f>
        <v>2020年</v>
      </c>
      <c r="B2038">
        <f>IF(VIPcric_1!B2020="","",VIPcric_1!B2020)</f>
        <v>0</v>
      </c>
      <c r="C2038">
        <f>IF(VIPcric_1!C2020="","",VIPcric_1!C2020)</f>
        <v>0</v>
      </c>
      <c r="D2038">
        <f>IF(VIPcric_1!D2020="","",VIPcric_1!D2020)</f>
        <v>0</v>
      </c>
      <c r="E2038">
        <f>IF(VIPcric_1!E2020="","",VIPcric_1!E2020)</f>
        <v>0</v>
      </c>
      <c r="F2038">
        <f>IF(VIPcric_1!F2020="","",VIPcric_1!F2020)</f>
        <v>0</v>
      </c>
      <c r="G2038">
        <f>IF(VIPcric_1!G2020="","",VIPcric_1!G2020)</f>
        <v>0</v>
      </c>
      <c r="H2038">
        <f>IF(VIPcric_1!H2020="","",VIPcric_1!H2020)</f>
        <v>0</v>
      </c>
      <c r="I2038" t="str">
        <f>IF(VIPcric_1!M2020="","",VIPcric_1!M2020)</f>
        <v>CRIC-澄迈-市场监测.商品房市场.项目累计.供求.xlsx</v>
      </c>
    </row>
    <row r="2039" spans="1:9">
      <c r="A2039" t="str">
        <f>IF(VIPcric_1!A2021="","",VIPcric_1!A2021)</f>
        <v>2019年</v>
      </c>
      <c r="B2039">
        <f>IF(VIPcric_1!B2021="","",VIPcric_1!B2021)</f>
        <v>0</v>
      </c>
      <c r="C2039">
        <f>IF(VIPcric_1!C2021="","",VIPcric_1!C2021)</f>
        <v>0</v>
      </c>
      <c r="D2039">
        <f>IF(VIPcric_1!D2021="","",VIPcric_1!D2021)</f>
        <v>0</v>
      </c>
      <c r="E2039">
        <f>IF(VIPcric_1!E2021="","",VIPcric_1!E2021)</f>
        <v>0</v>
      </c>
      <c r="F2039">
        <f>IF(VIPcric_1!F2021="","",VIPcric_1!F2021)</f>
        <v>0</v>
      </c>
      <c r="G2039">
        <f>IF(VIPcric_1!G2021="","",VIPcric_1!G2021)</f>
        <v>0</v>
      </c>
      <c r="H2039">
        <f>IF(VIPcric_1!H2021="","",VIPcric_1!H2021)</f>
        <v>0</v>
      </c>
      <c r="I2039" t="str">
        <f>IF(VIPcric_1!M2021="","",VIPcric_1!M2021)</f>
        <v>CRIC-澄迈-市场监测.商品房市场.项目累计.供求.xlsx</v>
      </c>
    </row>
    <row r="2040" spans="1:9">
      <c r="A2040" t="str">
        <f>IF(VIPcric_1!A2022="","",VIPcric_1!A2022)</f>
        <v>汇总</v>
      </c>
      <c r="B2040">
        <f>IF(VIPcric_1!B2022="","",VIPcric_1!B2022)</f>
        <v>966126</v>
      </c>
      <c r="C2040">
        <f>IF(VIPcric_1!C2022="","",VIPcric_1!C2022)</f>
        <v>9544</v>
      </c>
      <c r="D2040">
        <f>IF(VIPcric_1!D2022="","",VIPcric_1!D2022)</f>
        <v>1258579</v>
      </c>
      <c r="E2040">
        <f>IF(VIPcric_1!E2022="","",VIPcric_1!E2022)</f>
        <v>14154</v>
      </c>
      <c r="F2040">
        <f>IF(VIPcric_1!F2022="","",VIPcric_1!F2022)</f>
        <v>12340</v>
      </c>
      <c r="G2040">
        <f>IF(VIPcric_1!G2022="","",VIPcric_1!G2022)</f>
        <v>15530277760</v>
      </c>
      <c r="H2040">
        <f>IF(VIPcric_1!H2022="","",VIPcric_1!H2022)</f>
        <v>0.77</v>
      </c>
      <c r="I2040" t="str">
        <f>IF(VIPcric_1!M2022="","",VIPcric_1!M2022)</f>
        <v>CRIC-澄迈-市场监测.商品房市场.项目累计.供求.xlsx</v>
      </c>
    </row>
    <row r="2041" spans="1:9">
      <c r="A2041" t="str">
        <f>IF(VIPcric_1!A2023="","",VIPcric_1!A2023)</f>
        <v/>
      </c>
      <c r="B2041" t="str">
        <f>IF(VIPcric_1!B2023="","",VIPcric_1!B2023)</f>
        <v/>
      </c>
      <c r="C2041" t="str">
        <f>IF(VIPcric_1!C2023="","",VIPcric_1!C2023)</f>
        <v/>
      </c>
      <c r="D2041" t="str">
        <f>IF(VIPcric_1!D2023="","",VIPcric_1!D2023)</f>
        <v/>
      </c>
      <c r="E2041" t="str">
        <f>IF(VIPcric_1!E2023="","",VIPcric_1!E2023)</f>
        <v/>
      </c>
      <c r="F2041" t="str">
        <f>IF(VIPcric_1!F2023="","",VIPcric_1!F2023)</f>
        <v/>
      </c>
      <c r="G2041" t="str">
        <f>IF(VIPcric_1!G2023="","",VIPcric_1!G2023)</f>
        <v/>
      </c>
      <c r="H2041" t="str">
        <f>IF(VIPcric_1!H2023="","",VIPcric_1!H2023)</f>
        <v/>
      </c>
      <c r="I2041" t="str">
        <f>IF(VIPcric_1!M2023="","",VIPcric_1!M2023)</f>
        <v/>
      </c>
    </row>
    <row r="2042" spans="1:9">
      <c r="A2042" t="str">
        <f>IF(VIPcric_1!A2024="","",VIPcric_1!A2024)</f>
        <v/>
      </c>
      <c r="B2042" t="str">
        <f>IF(VIPcric_1!B2024="","",VIPcric_1!B2024)</f>
        <v/>
      </c>
      <c r="C2042" t="str">
        <f>IF(VIPcric_1!C2024="","",VIPcric_1!C2024)</f>
        <v/>
      </c>
      <c r="D2042" t="str">
        <f>IF(VIPcric_1!D2024="","",VIPcric_1!D2024)</f>
        <v/>
      </c>
      <c r="E2042" t="str">
        <f>IF(VIPcric_1!E2024="","",VIPcric_1!E2024)</f>
        <v/>
      </c>
      <c r="F2042" t="str">
        <f>IF(VIPcric_1!F2024="","",VIPcric_1!F2024)</f>
        <v/>
      </c>
      <c r="G2042" t="str">
        <f>IF(VIPcric_1!G2024="","",VIPcric_1!G2024)</f>
        <v/>
      </c>
      <c r="H2042" t="str">
        <f>IF(VIPcric_1!H2024="","",VIPcric_1!H2024)</f>
        <v/>
      </c>
      <c r="I2042" t="str">
        <f>IF(VIPcric_1!M2024="","",VIPcric_1!M2024)</f>
        <v>CRIC-澄迈-市场监测.商品房市场.项目累计.库存.xlsx</v>
      </c>
    </row>
    <row r="2043" spans="1:9">
      <c r="A2043" t="str">
        <f>IF(VIPcric_1!A2025="","",VIPcric_1!A2025)</f>
        <v>时间(年)</v>
      </c>
      <c r="B2043" t="str">
        <f>IF(VIPcric_1!B2025="","",VIPcric_1!B2025)</f>
        <v>库存面积(㎡)</v>
      </c>
      <c r="C2043" t="str">
        <f>IF(VIPcric_1!C2025="","",VIPcric_1!C2025)</f>
        <v>库存套数(套)</v>
      </c>
      <c r="D2043" t="str">
        <f>IF(VIPcric_1!D2025="","",VIPcric_1!D2025)</f>
        <v>去化周期12'(月)</v>
      </c>
      <c r="E2043" t="str">
        <f>IF(VIPcric_1!E2025="","",VIPcric_1!E2025)</f>
        <v/>
      </c>
      <c r="F2043" t="str">
        <f>IF(VIPcric_1!F2025="","",VIPcric_1!F2025)</f>
        <v/>
      </c>
      <c r="G2043" t="str">
        <f>IF(VIPcric_1!G2025="","",VIPcric_1!G2025)</f>
        <v/>
      </c>
      <c r="H2043" t="str">
        <f>IF(VIPcric_1!H2025="","",VIPcric_1!H2025)</f>
        <v/>
      </c>
      <c r="I2043" t="str">
        <f>IF(VIPcric_1!M2025="","",VIPcric_1!M2025)</f>
        <v>CRIC-澄迈-市场监测.商品房市场.项目累计.库存.xlsx</v>
      </c>
    </row>
    <row r="2044" spans="1:9">
      <c r="A2044" t="str">
        <f>IF(VIPcric_1!A2026="","",VIPcric_1!A2026)</f>
        <v>2024年</v>
      </c>
      <c r="B2044">
        <f>IF(VIPcric_1!B2026="","",VIPcric_1!B2026)</f>
        <v>2738247</v>
      </c>
      <c r="C2044">
        <f>IF(VIPcric_1!C2026="","",VIPcric_1!C2026)</f>
        <v>30173</v>
      </c>
      <c r="D2044">
        <f>IF(VIPcric_1!D2026="","",VIPcric_1!D2026)</f>
        <v>53.6</v>
      </c>
      <c r="E2044" t="str">
        <f>IF(VIPcric_1!E2026="","",VIPcric_1!E2026)</f>
        <v/>
      </c>
      <c r="F2044" t="str">
        <f>IF(VIPcric_1!F2026="","",VIPcric_1!F2026)</f>
        <v/>
      </c>
      <c r="G2044" t="str">
        <f>IF(VIPcric_1!G2026="","",VIPcric_1!G2026)</f>
        <v/>
      </c>
      <c r="H2044" t="str">
        <f>IF(VIPcric_1!H2026="","",VIPcric_1!H2026)</f>
        <v/>
      </c>
      <c r="I2044" t="str">
        <f>IF(VIPcric_1!M2026="","",VIPcric_1!M2026)</f>
        <v>CRIC-澄迈-市场监测.商品房市场.项目累计.库存.xlsx</v>
      </c>
    </row>
    <row r="2045" spans="1:9">
      <c r="A2045" t="str">
        <f>IF(VIPcric_1!A2027="","",VIPcric_1!A2027)</f>
        <v>2023年</v>
      </c>
      <c r="B2045">
        <f>IF(VIPcric_1!B2027="","",VIPcric_1!B2027)</f>
        <v>2696817</v>
      </c>
      <c r="C2045">
        <f>IF(VIPcric_1!C2027="","",VIPcric_1!C2027)</f>
        <v>29839</v>
      </c>
      <c r="D2045">
        <f>IF(VIPcric_1!D2027="","",VIPcric_1!D2027)</f>
        <v>54.5</v>
      </c>
      <c r="E2045" t="str">
        <f>IF(VIPcric_1!E2027="","",VIPcric_1!E2027)</f>
        <v/>
      </c>
      <c r="F2045" t="str">
        <f>IF(VIPcric_1!F2027="","",VIPcric_1!F2027)</f>
        <v/>
      </c>
      <c r="G2045" t="str">
        <f>IF(VIPcric_1!G2027="","",VIPcric_1!G2027)</f>
        <v/>
      </c>
      <c r="H2045" t="str">
        <f>IF(VIPcric_1!H2027="","",VIPcric_1!H2027)</f>
        <v/>
      </c>
      <c r="I2045" t="str">
        <f>IF(VIPcric_1!M2027="","",VIPcric_1!M2027)</f>
        <v>CRIC-澄迈-市场监测.商品房市场.项目累计.库存.xlsx</v>
      </c>
    </row>
    <row r="2046" spans="1:9">
      <c r="A2046" t="str">
        <f>IF(VIPcric_1!A2028="","",VIPcric_1!A2028)</f>
        <v>2022年</v>
      </c>
      <c r="B2046">
        <f>IF(VIPcric_1!B2028="","",VIPcric_1!B2028)</f>
        <v>2626918</v>
      </c>
      <c r="C2046">
        <f>IF(VIPcric_1!C2028="","",VIPcric_1!C2028)</f>
        <v>29929</v>
      </c>
      <c r="D2046">
        <f>IF(VIPcric_1!D2028="","",VIPcric_1!D2028)</f>
        <v>53.7</v>
      </c>
      <c r="E2046" t="str">
        <f>IF(VIPcric_1!E2028="","",VIPcric_1!E2028)</f>
        <v/>
      </c>
      <c r="F2046" t="str">
        <f>IF(VIPcric_1!F2028="","",VIPcric_1!F2028)</f>
        <v/>
      </c>
      <c r="G2046" t="str">
        <f>IF(VIPcric_1!G2028="","",VIPcric_1!G2028)</f>
        <v/>
      </c>
      <c r="H2046" t="str">
        <f>IF(VIPcric_1!H2028="","",VIPcric_1!H2028)</f>
        <v/>
      </c>
      <c r="I2046" t="str">
        <f>IF(VIPcric_1!M2028="","",VIPcric_1!M2028)</f>
        <v>CRIC-澄迈-市场监测.商品房市场.项目累计.库存.xlsx</v>
      </c>
    </row>
    <row r="2047" spans="1:9">
      <c r="A2047" t="str">
        <f>IF(VIPcric_1!A2029="","",VIPcric_1!A2029)</f>
        <v>2021年</v>
      </c>
      <c r="B2047">
        <f>IF(VIPcric_1!B2029="","",VIPcric_1!B2029)</f>
        <v>3001606</v>
      </c>
      <c r="C2047">
        <f>IF(VIPcric_1!C2029="","",VIPcric_1!C2029)</f>
        <v>34506</v>
      </c>
      <c r="D2047">
        <f>IF(VIPcric_1!D2029="","",VIPcric_1!D2029)</f>
        <v>818.5</v>
      </c>
      <c r="E2047" t="str">
        <f>IF(VIPcric_1!E2029="","",VIPcric_1!E2029)</f>
        <v/>
      </c>
      <c r="F2047" t="str">
        <f>IF(VIPcric_1!F2029="","",VIPcric_1!F2029)</f>
        <v/>
      </c>
      <c r="G2047" t="str">
        <f>IF(VIPcric_1!G2029="","",VIPcric_1!G2029)</f>
        <v/>
      </c>
      <c r="H2047" t="str">
        <f>IF(VIPcric_1!H2029="","",VIPcric_1!H2029)</f>
        <v/>
      </c>
      <c r="I2047" t="str">
        <f>IF(VIPcric_1!M2029="","",VIPcric_1!M2029)</f>
        <v>CRIC-澄迈-市场监测.商品房市场.项目累计.库存.xlsx</v>
      </c>
    </row>
    <row r="2048" spans="1:9">
      <c r="A2048" t="str">
        <f>IF(VIPcric_1!A2030="","",VIPcric_1!A2030)</f>
        <v/>
      </c>
      <c r="B2048" t="str">
        <f>IF(VIPcric_1!B2030="","",VIPcric_1!B2030)</f>
        <v/>
      </c>
      <c r="C2048" t="str">
        <f>IF(VIPcric_1!C2030="","",VIPcric_1!C2030)</f>
        <v/>
      </c>
      <c r="D2048" t="str">
        <f>IF(VIPcric_1!D2030="","",VIPcric_1!D2030)</f>
        <v/>
      </c>
      <c r="E2048" t="str">
        <f>IF(VIPcric_1!E2030="","",VIPcric_1!E2030)</f>
        <v/>
      </c>
      <c r="F2048" t="str">
        <f>IF(VIPcric_1!F2030="","",VIPcric_1!F2030)</f>
        <v/>
      </c>
      <c r="G2048" t="str">
        <f>IF(VIPcric_1!G2030="","",VIPcric_1!G2030)</f>
        <v/>
      </c>
      <c r="H2048" t="str">
        <f>IF(VIPcric_1!H2030="","",VIPcric_1!H2030)</f>
        <v/>
      </c>
      <c r="I2048" t="str">
        <f>IF(VIPcric_1!M2030="","",VIPcric_1!M2030)</f>
        <v/>
      </c>
    </row>
    <row r="2049" spans="1:9">
      <c r="A2049" t="str">
        <f>IF(VIPcric_1!A2031="","",VIPcric_1!A2031)</f>
        <v/>
      </c>
      <c r="B2049" t="str">
        <f>IF(VIPcric_1!B2031="","",VIPcric_1!B2031)</f>
        <v/>
      </c>
      <c r="C2049" t="str">
        <f>IF(VIPcric_1!C2031="","",VIPcric_1!C2031)</f>
        <v/>
      </c>
      <c r="D2049" t="str">
        <f>IF(VIPcric_1!D2031="","",VIPcric_1!D2031)</f>
        <v/>
      </c>
      <c r="E2049" t="str">
        <f>IF(VIPcric_1!E2031="","",VIPcric_1!E2031)</f>
        <v/>
      </c>
      <c r="F2049" t="str">
        <f>IF(VIPcric_1!F2031="","",VIPcric_1!F2031)</f>
        <v/>
      </c>
      <c r="G2049" t="str">
        <f>IF(VIPcric_1!G2031="","",VIPcric_1!G2031)</f>
        <v/>
      </c>
      <c r="H2049" t="str">
        <f>IF(VIPcric_1!H2031="","",VIPcric_1!H2031)</f>
        <v/>
      </c>
      <c r="I2049" t="str">
        <f>IF(VIPcric_1!M2031="","",VIPcric_1!M2031)</f>
        <v>CRIC-濮阳-市场监测.商品房市场.项目累计.供求.xlsx</v>
      </c>
    </row>
    <row r="2050" spans="1:9">
      <c r="A2050" t="str">
        <f>IF(VIPcric_1!A2032="","",VIPcric_1!A2032)</f>
        <v>时间(年)</v>
      </c>
      <c r="B2050" t="str">
        <f>IF(VIPcric_1!B2032="","",VIPcric_1!B2032)</f>
        <v>供应面积(㎡)</v>
      </c>
      <c r="C2050" t="str">
        <f>IF(VIPcric_1!C2032="","",VIPcric_1!C2032)</f>
        <v>供应套数(套)</v>
      </c>
      <c r="D2050" t="str">
        <f>IF(VIPcric_1!D2032="","",VIPcric_1!D2032)</f>
        <v>成交面积(㎡)</v>
      </c>
      <c r="E2050" t="str">
        <f>IF(VIPcric_1!E2032="","",VIPcric_1!E2032)</f>
        <v>成交套数(套)</v>
      </c>
      <c r="F2050" t="str">
        <f>IF(VIPcric_1!F2032="","",VIPcric_1!F2032)</f>
        <v>成交均价(元/㎡)</v>
      </c>
      <c r="G2050" t="str">
        <f>IF(VIPcric_1!G2032="","",VIPcric_1!G2032)</f>
        <v>成交金额(元)</v>
      </c>
      <c r="H2050" t="str">
        <f>IF(VIPcric_1!H2032="","",VIPcric_1!H2032)</f>
        <v>供求比</v>
      </c>
      <c r="I2050" t="str">
        <f>IF(VIPcric_1!M2032="","",VIPcric_1!M2032)</f>
        <v>CRIC-濮阳-市场监测.商品房市场.项目累计.供求.xlsx</v>
      </c>
    </row>
    <row r="2051" spans="1:9">
      <c r="A2051" t="str">
        <f>IF(VIPcric_1!A2033="","",VIPcric_1!A2033)</f>
        <v>2023年</v>
      </c>
      <c r="B2051">
        <f>IF(VIPcric_1!B2033="","",VIPcric_1!B2033)</f>
        <v>1263549</v>
      </c>
      <c r="C2051">
        <f>IF(VIPcric_1!C2033="","",VIPcric_1!C2033)</f>
        <v>10167</v>
      </c>
      <c r="D2051">
        <f>IF(VIPcric_1!D2033="","",VIPcric_1!D2033)</f>
        <v>1024612</v>
      </c>
      <c r="E2051">
        <f>IF(VIPcric_1!E2033="","",VIPcric_1!E2033)</f>
        <v>7902</v>
      </c>
      <c r="F2051">
        <f>IF(VIPcric_1!F2033="","",VIPcric_1!F2033)</f>
        <v>8765</v>
      </c>
      <c r="G2051">
        <f>IF(VIPcric_1!G2033="","",VIPcric_1!G2033)</f>
        <v>8981151541</v>
      </c>
      <c r="H2051">
        <f>IF(VIPcric_1!H2033="","",VIPcric_1!H2033)</f>
        <v>1.23</v>
      </c>
      <c r="I2051" t="str">
        <f>IF(VIPcric_1!M2033="","",VIPcric_1!M2033)</f>
        <v>CRIC-濮阳-市场监测.商品房市场.项目累计.供求.xlsx</v>
      </c>
    </row>
    <row r="2052" spans="1:9">
      <c r="A2052" t="str">
        <f>IF(VIPcric_1!A2034="","",VIPcric_1!A2034)</f>
        <v>2022年</v>
      </c>
      <c r="B2052">
        <f>IF(VIPcric_1!B2034="","",VIPcric_1!B2034)</f>
        <v>698018</v>
      </c>
      <c r="C2052">
        <f>IF(VIPcric_1!C2034="","",VIPcric_1!C2034)</f>
        <v>5594</v>
      </c>
      <c r="D2052">
        <f>IF(VIPcric_1!D2034="","",VIPcric_1!D2034)</f>
        <v>796279</v>
      </c>
      <c r="E2052">
        <f>IF(VIPcric_1!E2034="","",VIPcric_1!E2034)</f>
        <v>6134</v>
      </c>
      <c r="F2052">
        <f>IF(VIPcric_1!F2034="","",VIPcric_1!F2034)</f>
        <v>8421</v>
      </c>
      <c r="G2052">
        <f>IF(VIPcric_1!G2034="","",VIPcric_1!G2034)</f>
        <v>6705604761</v>
      </c>
      <c r="H2052">
        <f>IF(VIPcric_1!H2034="","",VIPcric_1!H2034)</f>
        <v>0.88</v>
      </c>
      <c r="I2052" t="str">
        <f>IF(VIPcric_1!M2034="","",VIPcric_1!M2034)</f>
        <v>CRIC-濮阳-市场监测.商品房市场.项目累计.供求.xlsx</v>
      </c>
    </row>
    <row r="2053" spans="1:9">
      <c r="A2053" t="str">
        <f>IF(VIPcric_1!A2035="","",VIPcric_1!A2035)</f>
        <v>2021年</v>
      </c>
      <c r="B2053">
        <f>IF(VIPcric_1!B2035="","",VIPcric_1!B2035)</f>
        <v>1965542</v>
      </c>
      <c r="C2053">
        <f>IF(VIPcric_1!C2035="","",VIPcric_1!C2035)</f>
        <v>15102</v>
      </c>
      <c r="D2053">
        <f>IF(VIPcric_1!D2035="","",VIPcric_1!D2035)</f>
        <v>495791</v>
      </c>
      <c r="E2053">
        <f>IF(VIPcric_1!E2035="","",VIPcric_1!E2035)</f>
        <v>3846</v>
      </c>
      <c r="F2053">
        <f>IF(VIPcric_1!F2035="","",VIPcric_1!F2035)</f>
        <v>8196</v>
      </c>
      <c r="G2053">
        <f>IF(VIPcric_1!G2035="","",VIPcric_1!G2035)</f>
        <v>4063610229</v>
      </c>
      <c r="H2053">
        <f>IF(VIPcric_1!H2035="","",VIPcric_1!H2035)</f>
        <v>3.96</v>
      </c>
      <c r="I2053" t="str">
        <f>IF(VIPcric_1!M2035="","",VIPcric_1!M2035)</f>
        <v>CRIC-濮阳-市场监测.商品房市场.项目累计.供求.xlsx</v>
      </c>
    </row>
    <row r="2054" spans="1:9">
      <c r="A2054" t="str">
        <f>IF(VIPcric_1!A2036="","",VIPcric_1!A2036)</f>
        <v>2020年</v>
      </c>
      <c r="B2054">
        <f>IF(VIPcric_1!B2036="","",VIPcric_1!B2036)</f>
        <v>2862172</v>
      </c>
      <c r="C2054">
        <f>IF(VIPcric_1!C2036="","",VIPcric_1!C2036)</f>
        <v>22627</v>
      </c>
      <c r="D2054">
        <f>IF(VIPcric_1!D2036="","",VIPcric_1!D2036)</f>
        <v>283672</v>
      </c>
      <c r="E2054">
        <f>IF(VIPcric_1!E2036="","",VIPcric_1!E2036)</f>
        <v>2263</v>
      </c>
      <c r="F2054">
        <f>IF(VIPcric_1!F2036="","",VIPcric_1!F2036)</f>
        <v>8553</v>
      </c>
      <c r="G2054">
        <f>IF(VIPcric_1!G2036="","",VIPcric_1!G2036)</f>
        <v>2426219441</v>
      </c>
      <c r="H2054">
        <f>IF(VIPcric_1!H2036="","",VIPcric_1!H2036)</f>
        <v>10.09</v>
      </c>
      <c r="I2054" t="str">
        <f>IF(VIPcric_1!M2036="","",VIPcric_1!M2036)</f>
        <v>CRIC-濮阳-市场监测.商品房市场.项目累计.供求.xlsx</v>
      </c>
    </row>
    <row r="2055" spans="1:9">
      <c r="A2055" t="str">
        <f>IF(VIPcric_1!A2037="","",VIPcric_1!A2037)</f>
        <v>2019年</v>
      </c>
      <c r="B2055">
        <f>IF(VIPcric_1!B2037="","",VIPcric_1!B2037)</f>
        <v>2802038</v>
      </c>
      <c r="C2055">
        <f>IF(VIPcric_1!C2037="","",VIPcric_1!C2037)</f>
        <v>22522</v>
      </c>
      <c r="D2055">
        <f>IF(VIPcric_1!D2037="","",VIPcric_1!D2037)</f>
        <v>238157</v>
      </c>
      <c r="E2055">
        <f>IF(VIPcric_1!E2037="","",VIPcric_1!E2037)</f>
        <v>1940</v>
      </c>
      <c r="F2055">
        <f>IF(VIPcric_1!F2037="","",VIPcric_1!F2037)</f>
        <v>7094</v>
      </c>
      <c r="G2055">
        <f>IF(VIPcric_1!G2037="","",VIPcric_1!G2037)</f>
        <v>1689580773</v>
      </c>
      <c r="H2055">
        <f>IF(VIPcric_1!H2037="","",VIPcric_1!H2037)</f>
        <v>11.77</v>
      </c>
      <c r="I2055" t="str">
        <f>IF(VIPcric_1!M2037="","",VIPcric_1!M2037)</f>
        <v>CRIC-濮阳-市场监测.商品房市场.项目累计.供求.xlsx</v>
      </c>
    </row>
    <row r="2056" spans="1:9">
      <c r="A2056" t="str">
        <f>IF(VIPcric_1!A2038="","",VIPcric_1!A2038)</f>
        <v>汇总</v>
      </c>
      <c r="B2056">
        <f>IF(VIPcric_1!B2038="","",VIPcric_1!B2038)</f>
        <v>9591320</v>
      </c>
      <c r="C2056">
        <f>IF(VIPcric_1!C2038="","",VIPcric_1!C2038)</f>
        <v>76012</v>
      </c>
      <c r="D2056">
        <f>IF(VIPcric_1!D2038="","",VIPcric_1!D2038)</f>
        <v>2838511</v>
      </c>
      <c r="E2056">
        <f>IF(VIPcric_1!E2038="","",VIPcric_1!E2038)</f>
        <v>22085</v>
      </c>
      <c r="F2056">
        <f>IF(VIPcric_1!F2038="","",VIPcric_1!F2038)</f>
        <v>8408</v>
      </c>
      <c r="G2056">
        <f>IF(VIPcric_1!G2038="","",VIPcric_1!G2038)</f>
        <v>23866166745</v>
      </c>
      <c r="H2056">
        <f>IF(VIPcric_1!H2038="","",VIPcric_1!H2038)</f>
        <v>3.38</v>
      </c>
      <c r="I2056" t="str">
        <f>IF(VIPcric_1!M2038="","",VIPcric_1!M2038)</f>
        <v>CRIC-濮阳-市场监测.商品房市场.项目累计.供求.xlsx</v>
      </c>
    </row>
    <row r="2057" spans="1:9">
      <c r="A2057" t="str">
        <f>IF(VIPcric_1!A2039="","",VIPcric_1!A2039)</f>
        <v/>
      </c>
      <c r="B2057" t="str">
        <f>IF(VIPcric_1!B2039="","",VIPcric_1!B2039)</f>
        <v/>
      </c>
      <c r="C2057" t="str">
        <f>IF(VIPcric_1!C2039="","",VIPcric_1!C2039)</f>
        <v/>
      </c>
      <c r="D2057" t="str">
        <f>IF(VIPcric_1!D2039="","",VIPcric_1!D2039)</f>
        <v/>
      </c>
      <c r="E2057" t="str">
        <f>IF(VIPcric_1!E2039="","",VIPcric_1!E2039)</f>
        <v/>
      </c>
      <c r="F2057" t="str">
        <f>IF(VIPcric_1!F2039="","",VIPcric_1!F2039)</f>
        <v/>
      </c>
      <c r="G2057" t="str">
        <f>IF(VIPcric_1!G2039="","",VIPcric_1!G2039)</f>
        <v/>
      </c>
      <c r="H2057" t="str">
        <f>IF(VIPcric_1!H2039="","",VIPcric_1!H2039)</f>
        <v/>
      </c>
      <c r="I2057" t="str">
        <f>IF(VIPcric_1!M2039="","",VIPcric_1!M2039)</f>
        <v/>
      </c>
    </row>
    <row r="2058" spans="1:9">
      <c r="A2058" t="str">
        <f>IF(VIPcric_1!A2040="","",VIPcric_1!A2040)</f>
        <v/>
      </c>
      <c r="B2058" t="str">
        <f>IF(VIPcric_1!B2040="","",VIPcric_1!B2040)</f>
        <v/>
      </c>
      <c r="C2058" t="str">
        <f>IF(VIPcric_1!C2040="","",VIPcric_1!C2040)</f>
        <v/>
      </c>
      <c r="D2058" t="str">
        <f>IF(VIPcric_1!D2040="","",VIPcric_1!D2040)</f>
        <v/>
      </c>
      <c r="E2058" t="str">
        <f>IF(VIPcric_1!E2040="","",VIPcric_1!E2040)</f>
        <v/>
      </c>
      <c r="F2058" t="str">
        <f>IF(VIPcric_1!F2040="","",VIPcric_1!F2040)</f>
        <v/>
      </c>
      <c r="G2058" t="str">
        <f>IF(VIPcric_1!G2040="","",VIPcric_1!G2040)</f>
        <v/>
      </c>
      <c r="H2058" t="str">
        <f>IF(VIPcric_1!H2040="","",VIPcric_1!H2040)</f>
        <v/>
      </c>
      <c r="I2058" t="str">
        <f>IF(VIPcric_1!M2040="","",VIPcric_1!M2040)</f>
        <v>CRIC-濮阳-市场监测.商品房市场.项目累计.库存.xlsx</v>
      </c>
    </row>
    <row r="2059" spans="1:9">
      <c r="A2059" t="str">
        <f>IF(VIPcric_1!A2041="","",VIPcric_1!A2041)</f>
        <v>时间(年)</v>
      </c>
      <c r="B2059" t="str">
        <f>IF(VIPcric_1!B2041="","",VIPcric_1!B2041)</f>
        <v>库存面积(㎡)</v>
      </c>
      <c r="C2059" t="str">
        <f>IF(VIPcric_1!C2041="","",VIPcric_1!C2041)</f>
        <v>库存套数(套)</v>
      </c>
      <c r="D2059" t="str">
        <f>IF(VIPcric_1!D2041="","",VIPcric_1!D2041)</f>
        <v>去化周期12'(月)</v>
      </c>
      <c r="E2059" t="str">
        <f>IF(VIPcric_1!E2041="","",VIPcric_1!E2041)</f>
        <v/>
      </c>
      <c r="F2059" t="str">
        <f>IF(VIPcric_1!F2041="","",VIPcric_1!F2041)</f>
        <v/>
      </c>
      <c r="G2059" t="str">
        <f>IF(VIPcric_1!G2041="","",VIPcric_1!G2041)</f>
        <v/>
      </c>
      <c r="H2059" t="str">
        <f>IF(VIPcric_1!H2041="","",VIPcric_1!H2041)</f>
        <v/>
      </c>
      <c r="I2059" t="str">
        <f>IF(VIPcric_1!M2041="","",VIPcric_1!M2041)</f>
        <v>CRIC-濮阳-市场监测.商品房市场.项目累计.库存.xlsx</v>
      </c>
    </row>
    <row r="2060" spans="1:9">
      <c r="A2060" t="str">
        <f>IF(VIPcric_1!A2042="","",VIPcric_1!A2042)</f>
        <v>2024年</v>
      </c>
      <c r="B2060">
        <f>IF(VIPcric_1!B2042="","",VIPcric_1!B2042)</f>
        <v>2430753</v>
      </c>
      <c r="C2060">
        <f>IF(VIPcric_1!C2042="","",VIPcric_1!C2042)</f>
        <v>18653</v>
      </c>
      <c r="D2060">
        <f>IF(VIPcric_1!D2042="","",VIPcric_1!D2042)</f>
        <v>28.4</v>
      </c>
      <c r="E2060" t="str">
        <f>IF(VIPcric_1!E2042="","",VIPcric_1!E2042)</f>
        <v/>
      </c>
      <c r="F2060" t="str">
        <f>IF(VIPcric_1!F2042="","",VIPcric_1!F2042)</f>
        <v/>
      </c>
      <c r="G2060" t="str">
        <f>IF(VIPcric_1!G2042="","",VIPcric_1!G2042)</f>
        <v/>
      </c>
      <c r="H2060" t="str">
        <f>IF(VIPcric_1!H2042="","",VIPcric_1!H2042)</f>
        <v/>
      </c>
      <c r="I2060" t="str">
        <f>IF(VIPcric_1!M2042="","",VIPcric_1!M2042)</f>
        <v>CRIC-濮阳-市场监测.商品房市场.项目累计.库存.xlsx</v>
      </c>
    </row>
    <row r="2061" spans="1:9">
      <c r="A2061" t="str">
        <f>IF(VIPcric_1!A2043="","",VIPcric_1!A2043)</f>
        <v>2023年</v>
      </c>
      <c r="B2061">
        <f>IF(VIPcric_1!B2043="","",VIPcric_1!B2043)</f>
        <v>2254879</v>
      </c>
      <c r="C2061">
        <f>IF(VIPcric_1!C2043="","",VIPcric_1!C2043)</f>
        <v>17286</v>
      </c>
      <c r="D2061">
        <f>IF(VIPcric_1!D2043="","",VIPcric_1!D2043)</f>
        <v>26.4</v>
      </c>
      <c r="E2061" t="str">
        <f>IF(VIPcric_1!E2043="","",VIPcric_1!E2043)</f>
        <v/>
      </c>
      <c r="F2061" t="str">
        <f>IF(VIPcric_1!F2043="","",VIPcric_1!F2043)</f>
        <v/>
      </c>
      <c r="G2061" t="str">
        <f>IF(VIPcric_1!G2043="","",VIPcric_1!G2043)</f>
        <v/>
      </c>
      <c r="H2061" t="str">
        <f>IF(VIPcric_1!H2043="","",VIPcric_1!H2043)</f>
        <v/>
      </c>
      <c r="I2061" t="str">
        <f>IF(VIPcric_1!M2043="","",VIPcric_1!M2043)</f>
        <v>CRIC-濮阳-市场监测.商品房市场.项目累计.库存.xlsx</v>
      </c>
    </row>
    <row r="2062" spans="1:9">
      <c r="A2062" t="str">
        <f>IF(VIPcric_1!A2044="","",VIPcric_1!A2044)</f>
        <v>2022年</v>
      </c>
      <c r="B2062">
        <f>IF(VIPcric_1!B2044="","",VIPcric_1!B2044)</f>
        <v>1711492</v>
      </c>
      <c r="C2062">
        <f>IF(VIPcric_1!C2044="","",VIPcric_1!C2044)</f>
        <v>12734</v>
      </c>
      <c r="D2062">
        <f>IF(VIPcric_1!D2044="","",VIPcric_1!D2044)</f>
        <v>25.8</v>
      </c>
      <c r="E2062" t="str">
        <f>IF(VIPcric_1!E2044="","",VIPcric_1!E2044)</f>
        <v/>
      </c>
      <c r="F2062" t="str">
        <f>IF(VIPcric_1!F2044="","",VIPcric_1!F2044)</f>
        <v/>
      </c>
      <c r="G2062" t="str">
        <f>IF(VIPcric_1!G2044="","",VIPcric_1!G2044)</f>
        <v/>
      </c>
      <c r="H2062" t="str">
        <f>IF(VIPcric_1!H2044="","",VIPcric_1!H2044)</f>
        <v/>
      </c>
      <c r="I2062" t="str">
        <f>IF(VIPcric_1!M2044="","",VIPcric_1!M2044)</f>
        <v>CRIC-濮阳-市场监测.商品房市场.项目累计.库存.xlsx</v>
      </c>
    </row>
    <row r="2063" spans="1:9">
      <c r="A2063" t="str">
        <f>IF(VIPcric_1!A2045="","",VIPcric_1!A2045)</f>
        <v>2021年</v>
      </c>
      <c r="B2063">
        <f>IF(VIPcric_1!B2045="","",VIPcric_1!B2045)</f>
        <v>1088380</v>
      </c>
      <c r="C2063">
        <f>IF(VIPcric_1!C2045="","",VIPcric_1!C2045)</f>
        <v>7647</v>
      </c>
      <c r="D2063">
        <f>IF(VIPcric_1!D2045="","",VIPcric_1!D2045)</f>
        <v>26.3</v>
      </c>
      <c r="E2063" t="str">
        <f>IF(VIPcric_1!E2045="","",VIPcric_1!E2045)</f>
        <v/>
      </c>
      <c r="F2063" t="str">
        <f>IF(VIPcric_1!F2045="","",VIPcric_1!F2045)</f>
        <v/>
      </c>
      <c r="G2063" t="str">
        <f>IF(VIPcric_1!G2045="","",VIPcric_1!G2045)</f>
        <v/>
      </c>
      <c r="H2063" t="str">
        <f>IF(VIPcric_1!H2045="","",VIPcric_1!H2045)</f>
        <v/>
      </c>
      <c r="I2063" t="str">
        <f>IF(VIPcric_1!M2045="","",VIPcric_1!M2045)</f>
        <v>CRIC-濮阳-市场监测.商品房市场.项目累计.库存.xlsx</v>
      </c>
    </row>
    <row r="2064" spans="1:9">
      <c r="A2064" t="str">
        <f>IF(VIPcric_1!A2046="","",VIPcric_1!A2046)</f>
        <v/>
      </c>
      <c r="B2064" t="str">
        <f>IF(VIPcric_1!B2046="","",VIPcric_1!B2046)</f>
        <v/>
      </c>
      <c r="C2064" t="str">
        <f>IF(VIPcric_1!C2046="","",VIPcric_1!C2046)</f>
        <v/>
      </c>
      <c r="D2064" t="str">
        <f>IF(VIPcric_1!D2046="","",VIPcric_1!D2046)</f>
        <v/>
      </c>
      <c r="E2064" t="str">
        <f>IF(VIPcric_1!E2046="","",VIPcric_1!E2046)</f>
        <v/>
      </c>
      <c r="F2064" t="str">
        <f>IF(VIPcric_1!F2046="","",VIPcric_1!F2046)</f>
        <v/>
      </c>
      <c r="G2064" t="str">
        <f>IF(VIPcric_1!G2046="","",VIPcric_1!G2046)</f>
        <v/>
      </c>
      <c r="H2064" t="str">
        <f>IF(VIPcric_1!H2046="","",VIPcric_1!H2046)</f>
        <v/>
      </c>
      <c r="I2064" t="str">
        <f>IF(VIPcric_1!M2046="","",VIPcric_1!M2046)</f>
        <v/>
      </c>
    </row>
    <row r="2065" spans="1:9">
      <c r="A2065" t="str">
        <f>IF(VIPcric_1!A2047="","",VIPcric_1!A2047)</f>
        <v/>
      </c>
      <c r="B2065" t="str">
        <f>IF(VIPcric_1!B2047="","",VIPcric_1!B2047)</f>
        <v/>
      </c>
      <c r="C2065" t="str">
        <f>IF(VIPcric_1!C2047="","",VIPcric_1!C2047)</f>
        <v/>
      </c>
      <c r="D2065" t="str">
        <f>IF(VIPcric_1!D2047="","",VIPcric_1!D2047)</f>
        <v/>
      </c>
      <c r="E2065" t="str">
        <f>IF(VIPcric_1!E2047="","",VIPcric_1!E2047)</f>
        <v/>
      </c>
      <c r="F2065" t="str">
        <f>IF(VIPcric_1!F2047="","",VIPcric_1!F2047)</f>
        <v/>
      </c>
      <c r="G2065" t="str">
        <f>IF(VIPcric_1!G2047="","",VIPcric_1!G2047)</f>
        <v/>
      </c>
      <c r="H2065" t="str">
        <f>IF(VIPcric_1!H2047="","",VIPcric_1!H2047)</f>
        <v/>
      </c>
      <c r="I2065" t="str">
        <f>IF(VIPcric_1!M2047="","",VIPcric_1!M2047)</f>
        <v>CRIC-烟台-市场监测.商品房市场.项目累计.供求.xlsx</v>
      </c>
    </row>
    <row r="2066" spans="1:9">
      <c r="A2066" t="str">
        <f>IF(VIPcric_1!A2048="","",VIPcric_1!A2048)</f>
        <v>时间(年)</v>
      </c>
      <c r="B2066" t="str">
        <f>IF(VIPcric_1!B2048="","",VIPcric_1!B2048)</f>
        <v>供应面积(㎡)</v>
      </c>
      <c r="C2066" t="str">
        <f>IF(VIPcric_1!C2048="","",VIPcric_1!C2048)</f>
        <v>供应套数(套)</v>
      </c>
      <c r="D2066" t="str">
        <f>IF(VIPcric_1!D2048="","",VIPcric_1!D2048)</f>
        <v>成交面积(㎡)</v>
      </c>
      <c r="E2066" t="str">
        <f>IF(VIPcric_1!E2048="","",VIPcric_1!E2048)</f>
        <v>成交套数(套)</v>
      </c>
      <c r="F2066" t="str">
        <f>IF(VIPcric_1!F2048="","",VIPcric_1!F2048)</f>
        <v>成交均价(元/㎡)</v>
      </c>
      <c r="G2066" t="str">
        <f>IF(VIPcric_1!G2048="","",VIPcric_1!G2048)</f>
        <v>成交金额(元)</v>
      </c>
      <c r="H2066" t="str">
        <f>IF(VIPcric_1!H2048="","",VIPcric_1!H2048)</f>
        <v>供求比</v>
      </c>
      <c r="I2066" t="str">
        <f>IF(VIPcric_1!M2048="","",VIPcric_1!M2048)</f>
        <v>CRIC-烟台-市场监测.商品房市场.项目累计.供求.xlsx</v>
      </c>
    </row>
    <row r="2067" spans="1:9">
      <c r="A2067" t="str">
        <f>IF(VIPcric_1!A2049="","",VIPcric_1!A2049)</f>
        <v>2024年</v>
      </c>
      <c r="B2067">
        <f>IF(VIPcric_1!B2049="","",VIPcric_1!B2049)</f>
        <v>132549</v>
      </c>
      <c r="C2067">
        <f>IF(VIPcric_1!C2049="","",VIPcric_1!C2049)</f>
        <v>1098</v>
      </c>
      <c r="D2067">
        <f>IF(VIPcric_1!D2049="","",VIPcric_1!D2049)</f>
        <v>305541</v>
      </c>
      <c r="E2067">
        <f>IF(VIPcric_1!E2049="","",VIPcric_1!E2049)</f>
        <v>2632</v>
      </c>
      <c r="F2067">
        <f>IF(VIPcric_1!F2049="","",VIPcric_1!F2049)</f>
        <v>10921</v>
      </c>
      <c r="G2067">
        <f>IF(VIPcric_1!G2049="","",VIPcric_1!G2049)</f>
        <v>3336881531</v>
      </c>
      <c r="H2067">
        <f>IF(VIPcric_1!H2049="","",VIPcric_1!H2049)</f>
        <v>0.43</v>
      </c>
      <c r="I2067" t="str">
        <f>IF(VIPcric_1!M2049="","",VIPcric_1!M2049)</f>
        <v>CRIC-烟台-市场监测.商品房市场.项目累计.供求.xlsx</v>
      </c>
    </row>
    <row r="2068" spans="1:9">
      <c r="A2068" t="str">
        <f>IF(VIPcric_1!A2050="","",VIPcric_1!A2050)</f>
        <v>2023年</v>
      </c>
      <c r="B2068">
        <f>IF(VIPcric_1!B2050="","",VIPcric_1!B2050)</f>
        <v>2456444</v>
      </c>
      <c r="C2068">
        <f>IF(VIPcric_1!C2050="","",VIPcric_1!C2050)</f>
        <v>21963</v>
      </c>
      <c r="D2068">
        <f>IF(VIPcric_1!D2050="","",VIPcric_1!D2050)</f>
        <v>2568738</v>
      </c>
      <c r="E2068">
        <f>IF(VIPcric_1!E2050="","",VIPcric_1!E2050)</f>
        <v>21694</v>
      </c>
      <c r="F2068">
        <f>IF(VIPcric_1!F2050="","",VIPcric_1!F2050)</f>
        <v>11467</v>
      </c>
      <c r="G2068">
        <f>IF(VIPcric_1!G2050="","",VIPcric_1!G2050)</f>
        <v>29456327845</v>
      </c>
      <c r="H2068">
        <f>IF(VIPcric_1!H2050="","",VIPcric_1!H2050)</f>
        <v>0.96</v>
      </c>
      <c r="I2068" t="str">
        <f>IF(VIPcric_1!M2050="","",VIPcric_1!M2050)</f>
        <v>CRIC-烟台-市场监测.商品房市场.项目累计.供求.xlsx</v>
      </c>
    </row>
    <row r="2069" spans="1:9">
      <c r="A2069" t="str">
        <f>IF(VIPcric_1!A2051="","",VIPcric_1!A2051)</f>
        <v>2022年</v>
      </c>
      <c r="B2069">
        <f>IF(VIPcric_1!B2051="","",VIPcric_1!B2051)</f>
        <v>2485676</v>
      </c>
      <c r="C2069">
        <f>IF(VIPcric_1!C2051="","",VIPcric_1!C2051)</f>
        <v>22228</v>
      </c>
      <c r="D2069">
        <f>IF(VIPcric_1!D2051="","",VIPcric_1!D2051)</f>
        <v>2463164</v>
      </c>
      <c r="E2069">
        <f>IF(VIPcric_1!E2051="","",VIPcric_1!E2051)</f>
        <v>21396</v>
      </c>
      <c r="F2069">
        <f>IF(VIPcric_1!F2051="","",VIPcric_1!F2051)</f>
        <v>11480</v>
      </c>
      <c r="G2069">
        <f>IF(VIPcric_1!G2051="","",VIPcric_1!G2051)</f>
        <v>28276161022</v>
      </c>
      <c r="H2069">
        <f>IF(VIPcric_1!H2051="","",VIPcric_1!H2051)</f>
        <v>1.01</v>
      </c>
      <c r="I2069" t="str">
        <f>IF(VIPcric_1!M2051="","",VIPcric_1!M2051)</f>
        <v>CRIC-烟台-市场监测.商品房市场.项目累计.供求.xlsx</v>
      </c>
    </row>
    <row r="2070" spans="1:9">
      <c r="A2070" t="str">
        <f>IF(VIPcric_1!A2052="","",VIPcric_1!A2052)</f>
        <v>2021年</v>
      </c>
      <c r="B2070">
        <f>IF(VIPcric_1!B2052="","",VIPcric_1!B2052)</f>
        <v>4226559</v>
      </c>
      <c r="C2070">
        <f>IF(VIPcric_1!C2052="","",VIPcric_1!C2052)</f>
        <v>38077</v>
      </c>
      <c r="D2070">
        <f>IF(VIPcric_1!D2052="","",VIPcric_1!D2052)</f>
        <v>3360493</v>
      </c>
      <c r="E2070">
        <f>IF(VIPcric_1!E2052="","",VIPcric_1!E2052)</f>
        <v>29155</v>
      </c>
      <c r="F2070">
        <f>IF(VIPcric_1!F2052="","",VIPcric_1!F2052)</f>
        <v>11412</v>
      </c>
      <c r="G2070">
        <f>IF(VIPcric_1!G2052="","",VIPcric_1!G2052)</f>
        <v>38348818552</v>
      </c>
      <c r="H2070">
        <f>IF(VIPcric_1!H2052="","",VIPcric_1!H2052)</f>
        <v>1.26</v>
      </c>
      <c r="I2070" t="str">
        <f>IF(VIPcric_1!M2052="","",VIPcric_1!M2052)</f>
        <v>CRIC-烟台-市场监测.商品房市场.项目累计.供求.xlsx</v>
      </c>
    </row>
    <row r="2071" spans="1:9">
      <c r="A2071" t="str">
        <f>IF(VIPcric_1!A2053="","",VIPcric_1!A2053)</f>
        <v>2020年</v>
      </c>
      <c r="B2071">
        <f>IF(VIPcric_1!B2053="","",VIPcric_1!B2053)</f>
        <v>4693868</v>
      </c>
      <c r="C2071">
        <f>IF(VIPcric_1!C2053="","",VIPcric_1!C2053)</f>
        <v>40671</v>
      </c>
      <c r="D2071">
        <f>IF(VIPcric_1!D2053="","",VIPcric_1!D2053)</f>
        <v>3664427</v>
      </c>
      <c r="E2071">
        <f>IF(VIPcric_1!E2053="","",VIPcric_1!E2053)</f>
        <v>32281</v>
      </c>
      <c r="F2071">
        <f>IF(VIPcric_1!F2053="","",VIPcric_1!F2053)</f>
        <v>11712</v>
      </c>
      <c r="G2071">
        <f>IF(VIPcric_1!G2053="","",VIPcric_1!G2053)</f>
        <v>42916737277</v>
      </c>
      <c r="H2071">
        <f>IF(VIPcric_1!H2053="","",VIPcric_1!H2053)</f>
        <v>1.28</v>
      </c>
      <c r="I2071" t="str">
        <f>IF(VIPcric_1!M2053="","",VIPcric_1!M2053)</f>
        <v>CRIC-烟台-市场监测.商品房市场.项目累计.供求.xlsx</v>
      </c>
    </row>
    <row r="2072" spans="1:9">
      <c r="A2072" t="str">
        <f>IF(VIPcric_1!A2054="","",VIPcric_1!A2054)</f>
        <v>2019年</v>
      </c>
      <c r="B2072">
        <f>IF(VIPcric_1!B2054="","",VIPcric_1!B2054)</f>
        <v>5786265</v>
      </c>
      <c r="C2072">
        <f>IF(VIPcric_1!C2054="","",VIPcric_1!C2054)</f>
        <v>52415</v>
      </c>
      <c r="D2072">
        <f>IF(VIPcric_1!D2054="","",VIPcric_1!D2054)</f>
        <v>4102139</v>
      </c>
      <c r="E2072">
        <f>IF(VIPcric_1!E2054="","",VIPcric_1!E2054)</f>
        <v>37014</v>
      </c>
      <c r="F2072">
        <f>IF(VIPcric_1!F2054="","",VIPcric_1!F2054)</f>
        <v>10798</v>
      </c>
      <c r="G2072">
        <f>IF(VIPcric_1!G2054="","",VIPcric_1!G2054)</f>
        <v>44293298289</v>
      </c>
      <c r="H2072">
        <f>IF(VIPcric_1!H2054="","",VIPcric_1!H2054)</f>
        <v>1.41</v>
      </c>
      <c r="I2072" t="str">
        <f>IF(VIPcric_1!M2054="","",VIPcric_1!M2054)</f>
        <v>CRIC-烟台-市场监测.商品房市场.项目累计.供求.xlsx</v>
      </c>
    </row>
    <row r="2073" spans="1:9">
      <c r="A2073" t="str">
        <f>IF(VIPcric_1!A2055="","",VIPcric_1!A2055)</f>
        <v>汇总</v>
      </c>
      <c r="B2073">
        <f>IF(VIPcric_1!B2055="","",VIPcric_1!B2055)</f>
        <v>19781361</v>
      </c>
      <c r="C2073">
        <f>IF(VIPcric_1!C2055="","",VIPcric_1!C2055)</f>
        <v>176452</v>
      </c>
      <c r="D2073">
        <f>IF(VIPcric_1!D2055="","",VIPcric_1!D2055)</f>
        <v>16464502</v>
      </c>
      <c r="E2073">
        <f>IF(VIPcric_1!E2055="","",VIPcric_1!E2055)</f>
        <v>144172</v>
      </c>
      <c r="F2073">
        <f>IF(VIPcric_1!F2055="","",VIPcric_1!F2055)</f>
        <v>11335</v>
      </c>
      <c r="G2073">
        <f>IF(VIPcric_1!G2055="","",VIPcric_1!G2055)</f>
        <v>186628224516</v>
      </c>
      <c r="H2073">
        <f>IF(VIPcric_1!H2055="","",VIPcric_1!H2055)</f>
        <v>1.2</v>
      </c>
      <c r="I2073" t="str">
        <f>IF(VIPcric_1!M2055="","",VIPcric_1!M2055)</f>
        <v>CRIC-烟台-市场监测.商品房市场.项目累计.供求.xlsx</v>
      </c>
    </row>
    <row r="2074" spans="1:9">
      <c r="A2074" t="str">
        <f>IF(VIPcric_1!A2056="","",VIPcric_1!A2056)</f>
        <v/>
      </c>
      <c r="B2074" t="str">
        <f>IF(VIPcric_1!B2056="","",VIPcric_1!B2056)</f>
        <v/>
      </c>
      <c r="C2074" t="str">
        <f>IF(VIPcric_1!C2056="","",VIPcric_1!C2056)</f>
        <v/>
      </c>
      <c r="D2074" t="str">
        <f>IF(VIPcric_1!D2056="","",VIPcric_1!D2056)</f>
        <v/>
      </c>
      <c r="E2074" t="str">
        <f>IF(VIPcric_1!E2056="","",VIPcric_1!E2056)</f>
        <v/>
      </c>
      <c r="F2074" t="str">
        <f>IF(VIPcric_1!F2056="","",VIPcric_1!F2056)</f>
        <v/>
      </c>
      <c r="G2074" t="str">
        <f>IF(VIPcric_1!G2056="","",VIPcric_1!G2056)</f>
        <v/>
      </c>
      <c r="H2074" t="str">
        <f>IF(VIPcric_1!H2056="","",VIPcric_1!H2056)</f>
        <v/>
      </c>
      <c r="I2074" t="str">
        <f>IF(VIPcric_1!M2056="","",VIPcric_1!M2056)</f>
        <v/>
      </c>
    </row>
    <row r="2075" spans="1:9">
      <c r="A2075" t="str">
        <f>IF(VIPcric_1!A2057="","",VIPcric_1!A2057)</f>
        <v/>
      </c>
      <c r="B2075" t="str">
        <f>IF(VIPcric_1!B2057="","",VIPcric_1!B2057)</f>
        <v/>
      </c>
      <c r="C2075" t="str">
        <f>IF(VIPcric_1!C2057="","",VIPcric_1!C2057)</f>
        <v/>
      </c>
      <c r="D2075" t="str">
        <f>IF(VIPcric_1!D2057="","",VIPcric_1!D2057)</f>
        <v/>
      </c>
      <c r="E2075" t="str">
        <f>IF(VIPcric_1!E2057="","",VIPcric_1!E2057)</f>
        <v/>
      </c>
      <c r="F2075" t="str">
        <f>IF(VIPcric_1!F2057="","",VIPcric_1!F2057)</f>
        <v/>
      </c>
      <c r="G2075" t="str">
        <f>IF(VIPcric_1!G2057="","",VIPcric_1!G2057)</f>
        <v/>
      </c>
      <c r="H2075" t="str">
        <f>IF(VIPcric_1!H2057="","",VIPcric_1!H2057)</f>
        <v/>
      </c>
      <c r="I2075" t="str">
        <f>IF(VIPcric_1!M2057="","",VIPcric_1!M2057)</f>
        <v>CRIC-烟台-市场监测.商品房市场.项目累计.库存.xlsx</v>
      </c>
    </row>
    <row r="2076" spans="1:9">
      <c r="A2076" t="str">
        <f>IF(VIPcric_1!A2058="","",VIPcric_1!A2058)</f>
        <v>时间(年)</v>
      </c>
      <c r="B2076" t="str">
        <f>IF(VIPcric_1!B2058="","",VIPcric_1!B2058)</f>
        <v>库存面积(㎡)</v>
      </c>
      <c r="C2076" t="str">
        <f>IF(VIPcric_1!C2058="","",VIPcric_1!C2058)</f>
        <v>库存套数(套)</v>
      </c>
      <c r="D2076" t="str">
        <f>IF(VIPcric_1!D2058="","",VIPcric_1!D2058)</f>
        <v>去化周期12'(月)</v>
      </c>
      <c r="E2076" t="str">
        <f>IF(VIPcric_1!E2058="","",VIPcric_1!E2058)</f>
        <v>去化周期24'(月)</v>
      </c>
      <c r="F2076" t="str">
        <f>IF(VIPcric_1!F2058="","",VIPcric_1!F2058)</f>
        <v/>
      </c>
      <c r="G2076" t="str">
        <f>IF(VIPcric_1!G2058="","",VIPcric_1!G2058)</f>
        <v/>
      </c>
      <c r="H2076" t="str">
        <f>IF(VIPcric_1!H2058="","",VIPcric_1!H2058)</f>
        <v/>
      </c>
      <c r="I2076" t="str">
        <f>IF(VIPcric_1!M2058="","",VIPcric_1!M2058)</f>
        <v>CRIC-烟台-市场监测.商品房市场.项目累计.库存.xlsx</v>
      </c>
    </row>
    <row r="2077" spans="1:9">
      <c r="A2077" t="str">
        <f>IF(VIPcric_1!A2059="","",VIPcric_1!A2059)</f>
        <v>2024年</v>
      </c>
      <c r="B2077">
        <f>IF(VIPcric_1!B2059="","",VIPcric_1!B2059)</f>
        <v>8081175</v>
      </c>
      <c r="C2077">
        <f>IF(VIPcric_1!C2059="","",VIPcric_1!C2059)</f>
        <v>74235</v>
      </c>
      <c r="D2077">
        <f>IF(VIPcric_1!D2059="","",VIPcric_1!D2059)</f>
        <v>35.4</v>
      </c>
      <c r="E2077">
        <f>IF(VIPcric_1!E2059="","",VIPcric_1!E2059)</f>
        <v>37.799999999999997</v>
      </c>
      <c r="F2077" t="str">
        <f>IF(VIPcric_1!F2059="","",VIPcric_1!F2059)</f>
        <v/>
      </c>
      <c r="G2077" t="str">
        <f>IF(VIPcric_1!G2059="","",VIPcric_1!G2059)</f>
        <v/>
      </c>
      <c r="H2077" t="str">
        <f>IF(VIPcric_1!H2059="","",VIPcric_1!H2059)</f>
        <v/>
      </c>
      <c r="I2077" t="str">
        <f>IF(VIPcric_1!M2059="","",VIPcric_1!M2059)</f>
        <v>CRIC-烟台-市场监测.商品房市场.项目累计.库存.xlsx</v>
      </c>
    </row>
    <row r="2078" spans="1:9">
      <c r="A2078" t="str">
        <f>IF(VIPcric_1!A2060="","",VIPcric_1!A2060)</f>
        <v>2023年</v>
      </c>
      <c r="B2078">
        <f>IF(VIPcric_1!B2060="","",VIPcric_1!B2060)</f>
        <v>8085722</v>
      </c>
      <c r="C2078">
        <f>IF(VIPcric_1!C2060="","",VIPcric_1!C2060)</f>
        <v>74414</v>
      </c>
      <c r="D2078">
        <f>IF(VIPcric_1!D2060="","",VIPcric_1!D2060)</f>
        <v>37.799999999999997</v>
      </c>
      <c r="E2078">
        <f>IF(VIPcric_1!E2060="","",VIPcric_1!E2060)</f>
        <v>38.6</v>
      </c>
      <c r="F2078" t="str">
        <f>IF(VIPcric_1!F2060="","",VIPcric_1!F2060)</f>
        <v/>
      </c>
      <c r="G2078" t="str">
        <f>IF(VIPcric_1!G2060="","",VIPcric_1!G2060)</f>
        <v/>
      </c>
      <c r="H2078" t="str">
        <f>IF(VIPcric_1!H2060="","",VIPcric_1!H2060)</f>
        <v/>
      </c>
      <c r="I2078" t="str">
        <f>IF(VIPcric_1!M2060="","",VIPcric_1!M2060)</f>
        <v>CRIC-烟台-市场监测.商品房市场.项目累计.库存.xlsx</v>
      </c>
    </row>
    <row r="2079" spans="1:9">
      <c r="A2079" t="str">
        <f>IF(VIPcric_1!A2061="","",VIPcric_1!A2061)</f>
        <v>2022年</v>
      </c>
      <c r="B2079">
        <f>IF(VIPcric_1!B2061="","",VIPcric_1!B2061)</f>
        <v>10144840</v>
      </c>
      <c r="C2079">
        <f>IF(VIPcric_1!C2061="","",VIPcric_1!C2061)</f>
        <v>94599</v>
      </c>
      <c r="D2079">
        <f>IF(VIPcric_1!D2061="","",VIPcric_1!D2061)</f>
        <v>49.4</v>
      </c>
      <c r="E2079">
        <f>IF(VIPcric_1!E2061="","",VIPcric_1!E2061)</f>
        <v>41.8</v>
      </c>
      <c r="F2079" t="str">
        <f>IF(VIPcric_1!F2061="","",VIPcric_1!F2061)</f>
        <v/>
      </c>
      <c r="G2079" t="str">
        <f>IF(VIPcric_1!G2061="","",VIPcric_1!G2061)</f>
        <v/>
      </c>
      <c r="H2079" t="str">
        <f>IF(VIPcric_1!H2061="","",VIPcric_1!H2061)</f>
        <v/>
      </c>
      <c r="I2079" t="str">
        <f>IF(VIPcric_1!M2061="","",VIPcric_1!M2061)</f>
        <v>CRIC-烟台-市场监测.商品房市场.项目累计.库存.xlsx</v>
      </c>
    </row>
    <row r="2080" spans="1:9">
      <c r="A2080" t="str">
        <f>IF(VIPcric_1!A2062="","",VIPcric_1!A2062)</f>
        <v>2021年</v>
      </c>
      <c r="B2080">
        <f>IF(VIPcric_1!B2062="","",VIPcric_1!B2062)</f>
        <v>10471202</v>
      </c>
      <c r="C2080">
        <f>IF(VIPcric_1!C2062="","",VIPcric_1!C2062)</f>
        <v>97639</v>
      </c>
      <c r="D2080">
        <f>IF(VIPcric_1!D2062="","",VIPcric_1!D2062)</f>
        <v>37.4</v>
      </c>
      <c r="E2080">
        <f>IF(VIPcric_1!E2062="","",VIPcric_1!E2062)</f>
        <v>35.799999999999997</v>
      </c>
      <c r="F2080" t="str">
        <f>IF(VIPcric_1!F2062="","",VIPcric_1!F2062)</f>
        <v/>
      </c>
      <c r="G2080" t="str">
        <f>IF(VIPcric_1!G2062="","",VIPcric_1!G2062)</f>
        <v/>
      </c>
      <c r="H2080" t="str">
        <f>IF(VIPcric_1!H2062="","",VIPcric_1!H2062)</f>
        <v/>
      </c>
      <c r="I2080" t="str">
        <f>IF(VIPcric_1!M2062="","",VIPcric_1!M2062)</f>
        <v>CRIC-烟台-市场监测.商品房市场.项目累计.库存.xlsx</v>
      </c>
    </row>
    <row r="2081" spans="1:9">
      <c r="A2081" t="str">
        <f>IF(VIPcric_1!A2063="","",VIPcric_1!A2063)</f>
        <v>2020年</v>
      </c>
      <c r="B2081">
        <f>IF(VIPcric_1!B2063="","",VIPcric_1!B2063)</f>
        <v>10365486</v>
      </c>
      <c r="C2081">
        <f>IF(VIPcric_1!C2063="","",VIPcric_1!C2063)</f>
        <v>96216</v>
      </c>
      <c r="D2081">
        <f>IF(VIPcric_1!D2063="","",VIPcric_1!D2063)</f>
        <v>33.9</v>
      </c>
      <c r="E2081">
        <f>IF(VIPcric_1!E2063="","",VIPcric_1!E2063)</f>
        <v>32</v>
      </c>
      <c r="F2081" t="str">
        <f>IF(VIPcric_1!F2063="","",VIPcric_1!F2063)</f>
        <v/>
      </c>
      <c r="G2081" t="str">
        <f>IF(VIPcric_1!G2063="","",VIPcric_1!G2063)</f>
        <v/>
      </c>
      <c r="H2081" t="str">
        <f>IF(VIPcric_1!H2063="","",VIPcric_1!H2063)</f>
        <v/>
      </c>
      <c r="I2081" t="str">
        <f>IF(VIPcric_1!M2063="","",VIPcric_1!M2063)</f>
        <v>CRIC-烟台-市场监测.商品房市场.项目累计.库存.xlsx</v>
      </c>
    </row>
    <row r="2082" spans="1:9">
      <c r="A2082" t="str">
        <f>IF(VIPcric_1!A2064="","",VIPcric_1!A2064)</f>
        <v>2019年</v>
      </c>
      <c r="B2082">
        <f>IF(VIPcric_1!B2064="","",VIPcric_1!B2064)</f>
        <v>8870580</v>
      </c>
      <c r="C2082">
        <f>IF(VIPcric_1!C2064="","",VIPcric_1!C2064)</f>
        <v>83402</v>
      </c>
      <c r="D2082">
        <f>IF(VIPcric_1!D2064="","",VIPcric_1!D2064)</f>
        <v>25.9</v>
      </c>
      <c r="E2082">
        <f>IF(VIPcric_1!E2064="","",VIPcric_1!E2064)</f>
        <v>22.2</v>
      </c>
      <c r="F2082" t="str">
        <f>IF(VIPcric_1!F2064="","",VIPcric_1!F2064)</f>
        <v/>
      </c>
      <c r="G2082" t="str">
        <f>IF(VIPcric_1!G2064="","",VIPcric_1!G2064)</f>
        <v/>
      </c>
      <c r="H2082" t="str">
        <f>IF(VIPcric_1!H2064="","",VIPcric_1!H2064)</f>
        <v/>
      </c>
      <c r="I2082" t="str">
        <f>IF(VIPcric_1!M2064="","",VIPcric_1!M2064)</f>
        <v>CRIC-烟台-市场监测.商品房市场.项目累计.库存.xlsx</v>
      </c>
    </row>
    <row r="2083" spans="1:9">
      <c r="A2083" t="str">
        <f>IF(VIPcric_1!A2065="","",VIPcric_1!A2065)</f>
        <v/>
      </c>
      <c r="B2083" t="str">
        <f>IF(VIPcric_1!B2065="","",VIPcric_1!B2065)</f>
        <v/>
      </c>
      <c r="C2083" t="str">
        <f>IF(VIPcric_1!C2065="","",VIPcric_1!C2065)</f>
        <v/>
      </c>
      <c r="D2083" t="str">
        <f>IF(VIPcric_1!D2065="","",VIPcric_1!D2065)</f>
        <v/>
      </c>
      <c r="E2083" t="str">
        <f>IF(VIPcric_1!E2065="","",VIPcric_1!E2065)</f>
        <v/>
      </c>
      <c r="F2083" t="str">
        <f>IF(VIPcric_1!F2065="","",VIPcric_1!F2065)</f>
        <v/>
      </c>
      <c r="G2083" t="str">
        <f>IF(VIPcric_1!G2065="","",VIPcric_1!G2065)</f>
        <v/>
      </c>
      <c r="H2083" t="str">
        <f>IF(VIPcric_1!H2065="","",VIPcric_1!H2065)</f>
        <v/>
      </c>
      <c r="I2083" t="str">
        <f>IF(VIPcric_1!M2065="","",VIPcric_1!M2065)</f>
        <v/>
      </c>
    </row>
    <row r="2084" spans="1:9">
      <c r="A2084" t="str">
        <f>IF(VIPcric_1!A2066="","",VIPcric_1!A2066)</f>
        <v/>
      </c>
      <c r="B2084" t="str">
        <f>IF(VIPcric_1!B2066="","",VIPcric_1!B2066)</f>
        <v/>
      </c>
      <c r="C2084" t="str">
        <f>IF(VIPcric_1!C2066="","",VIPcric_1!C2066)</f>
        <v/>
      </c>
      <c r="D2084" t="str">
        <f>IF(VIPcric_1!D2066="","",VIPcric_1!D2066)</f>
        <v/>
      </c>
      <c r="E2084" t="str">
        <f>IF(VIPcric_1!E2066="","",VIPcric_1!E2066)</f>
        <v/>
      </c>
      <c r="F2084" t="str">
        <f>IF(VIPcric_1!F2066="","",VIPcric_1!F2066)</f>
        <v/>
      </c>
      <c r="G2084" t="str">
        <f>IF(VIPcric_1!G2066="","",VIPcric_1!G2066)</f>
        <v/>
      </c>
      <c r="H2084" t="str">
        <f>IF(VIPcric_1!H2066="","",VIPcric_1!H2066)</f>
        <v/>
      </c>
      <c r="I2084" t="str">
        <f>IF(VIPcric_1!M2066="","",VIPcric_1!M2066)</f>
        <v>CRIC-焦作-市场监测.商品房市场.项目累计.供求.xlsx</v>
      </c>
    </row>
    <row r="2085" spans="1:9">
      <c r="A2085" t="str">
        <f>IF(VIPcric_1!A2067="","",VIPcric_1!A2067)</f>
        <v>时间(年)</v>
      </c>
      <c r="B2085" t="str">
        <f>IF(VIPcric_1!B2067="","",VIPcric_1!B2067)</f>
        <v>供应面积(㎡)</v>
      </c>
      <c r="C2085" t="str">
        <f>IF(VIPcric_1!C2067="","",VIPcric_1!C2067)</f>
        <v>供应套数(套)</v>
      </c>
      <c r="D2085" t="str">
        <f>IF(VIPcric_1!D2067="","",VIPcric_1!D2067)</f>
        <v>成交面积(㎡)</v>
      </c>
      <c r="E2085" t="str">
        <f>IF(VIPcric_1!E2067="","",VIPcric_1!E2067)</f>
        <v>成交套数(套)</v>
      </c>
      <c r="F2085" t="str">
        <f>IF(VIPcric_1!F2067="","",VIPcric_1!F2067)</f>
        <v>成交均价(元/㎡)</v>
      </c>
      <c r="G2085" t="str">
        <f>IF(VIPcric_1!G2067="","",VIPcric_1!G2067)</f>
        <v>成交金额(元)</v>
      </c>
      <c r="H2085" t="str">
        <f>IF(VIPcric_1!H2067="","",VIPcric_1!H2067)</f>
        <v>供求比</v>
      </c>
      <c r="I2085" t="str">
        <f>IF(VIPcric_1!M2067="","",VIPcric_1!M2067)</f>
        <v>CRIC-焦作-市场监测.商品房市场.项目累计.供求.xlsx</v>
      </c>
    </row>
    <row r="2086" spans="1:9">
      <c r="A2086" t="str">
        <f>IF(VIPcric_1!A2068="","",VIPcric_1!A2068)</f>
        <v>2023年</v>
      </c>
      <c r="B2086">
        <f>IF(VIPcric_1!B2068="","",VIPcric_1!B2068)</f>
        <v>728179</v>
      </c>
      <c r="C2086">
        <f>IF(VIPcric_1!C2068="","",VIPcric_1!C2068)</f>
        <v>5669</v>
      </c>
      <c r="D2086">
        <f>IF(VIPcric_1!D2068="","",VIPcric_1!D2068)</f>
        <v>799988</v>
      </c>
      <c r="E2086">
        <f>IF(VIPcric_1!E2068="","",VIPcric_1!E2068)</f>
        <v>6195</v>
      </c>
      <c r="F2086">
        <f>IF(VIPcric_1!F2068="","",VIPcric_1!F2068)</f>
        <v>6058</v>
      </c>
      <c r="G2086">
        <f>IF(VIPcric_1!G2068="","",VIPcric_1!G2068)</f>
        <v>4846537980</v>
      </c>
      <c r="H2086">
        <f>IF(VIPcric_1!H2068="","",VIPcric_1!H2068)</f>
        <v>0.91</v>
      </c>
      <c r="I2086" t="str">
        <f>IF(VIPcric_1!M2068="","",VIPcric_1!M2068)</f>
        <v>CRIC-焦作-市场监测.商品房市场.项目累计.供求.xlsx</v>
      </c>
    </row>
    <row r="2087" spans="1:9">
      <c r="A2087" t="str">
        <f>IF(VIPcric_1!A2069="","",VIPcric_1!A2069)</f>
        <v>2022年</v>
      </c>
      <c r="B2087">
        <f>IF(VIPcric_1!B2069="","",VIPcric_1!B2069)</f>
        <v>966122</v>
      </c>
      <c r="C2087">
        <f>IF(VIPcric_1!C2069="","",VIPcric_1!C2069)</f>
        <v>7533</v>
      </c>
      <c r="D2087">
        <f>IF(VIPcric_1!D2069="","",VIPcric_1!D2069)</f>
        <v>571629</v>
      </c>
      <c r="E2087">
        <f>IF(VIPcric_1!E2069="","",VIPcric_1!E2069)</f>
        <v>4490</v>
      </c>
      <c r="F2087">
        <f>IF(VIPcric_1!F2069="","",VIPcric_1!F2069)</f>
        <v>6791</v>
      </c>
      <c r="G2087">
        <f>IF(VIPcric_1!G2069="","",VIPcric_1!G2069)</f>
        <v>3882204203</v>
      </c>
      <c r="H2087">
        <f>IF(VIPcric_1!H2069="","",VIPcric_1!H2069)</f>
        <v>1.69</v>
      </c>
      <c r="I2087" t="str">
        <f>IF(VIPcric_1!M2069="","",VIPcric_1!M2069)</f>
        <v>CRIC-焦作-市场监测.商品房市场.项目累计.供求.xlsx</v>
      </c>
    </row>
    <row r="2088" spans="1:9">
      <c r="A2088" t="str">
        <f>IF(VIPcric_1!A2070="","",VIPcric_1!A2070)</f>
        <v>2021年</v>
      </c>
      <c r="B2088">
        <f>IF(VIPcric_1!B2070="","",VIPcric_1!B2070)</f>
        <v>2286604</v>
      </c>
      <c r="C2088">
        <f>IF(VIPcric_1!C2070="","",VIPcric_1!C2070)</f>
        <v>20039</v>
      </c>
      <c r="D2088">
        <f>IF(VIPcric_1!D2070="","",VIPcric_1!D2070)</f>
        <v>300053</v>
      </c>
      <c r="E2088">
        <f>IF(VIPcric_1!E2070="","",VIPcric_1!E2070)</f>
        <v>2395</v>
      </c>
      <c r="F2088">
        <f>IF(VIPcric_1!F2070="","",VIPcric_1!F2070)</f>
        <v>6980</v>
      </c>
      <c r="G2088">
        <f>IF(VIPcric_1!G2070="","",VIPcric_1!G2070)</f>
        <v>2094405842</v>
      </c>
      <c r="H2088">
        <f>IF(VIPcric_1!H2070="","",VIPcric_1!H2070)</f>
        <v>7.62</v>
      </c>
      <c r="I2088" t="str">
        <f>IF(VIPcric_1!M2070="","",VIPcric_1!M2070)</f>
        <v>CRIC-焦作-市场监测.商品房市场.项目累计.供求.xlsx</v>
      </c>
    </row>
    <row r="2089" spans="1:9">
      <c r="A2089" t="str">
        <f>IF(VIPcric_1!A2071="","",VIPcric_1!A2071)</f>
        <v>2020年</v>
      </c>
      <c r="B2089">
        <f>IF(VIPcric_1!B2071="","",VIPcric_1!B2071)</f>
        <v>4457353</v>
      </c>
      <c r="C2089">
        <f>IF(VIPcric_1!C2071="","",VIPcric_1!C2071)</f>
        <v>37466</v>
      </c>
      <c r="D2089">
        <f>IF(VIPcric_1!D2071="","",VIPcric_1!D2071)</f>
        <v>0</v>
      </c>
      <c r="E2089">
        <f>IF(VIPcric_1!E2071="","",VIPcric_1!E2071)</f>
        <v>0</v>
      </c>
      <c r="F2089">
        <f>IF(VIPcric_1!F2071="","",VIPcric_1!F2071)</f>
        <v>0</v>
      </c>
      <c r="G2089">
        <f>IF(VIPcric_1!G2071="","",VIPcric_1!G2071)</f>
        <v>0</v>
      </c>
      <c r="H2089">
        <f>IF(VIPcric_1!H2071="","",VIPcric_1!H2071)</f>
        <v>0</v>
      </c>
      <c r="I2089" t="str">
        <f>IF(VIPcric_1!M2071="","",VIPcric_1!M2071)</f>
        <v>CRIC-焦作-市场监测.商品房市场.项目累计.供求.xlsx</v>
      </c>
    </row>
    <row r="2090" spans="1:9">
      <c r="A2090" t="str">
        <f>IF(VIPcric_1!A2072="","",VIPcric_1!A2072)</f>
        <v>2019年</v>
      </c>
      <c r="B2090">
        <f>IF(VIPcric_1!B2072="","",VIPcric_1!B2072)</f>
        <v>68229</v>
      </c>
      <c r="C2090">
        <f>IF(VIPcric_1!C2072="","",VIPcric_1!C2072)</f>
        <v>645</v>
      </c>
      <c r="D2090">
        <f>IF(VIPcric_1!D2072="","",VIPcric_1!D2072)</f>
        <v>0</v>
      </c>
      <c r="E2090">
        <f>IF(VIPcric_1!E2072="","",VIPcric_1!E2072)</f>
        <v>0</v>
      </c>
      <c r="F2090">
        <f>IF(VIPcric_1!F2072="","",VIPcric_1!F2072)</f>
        <v>0</v>
      </c>
      <c r="G2090">
        <f>IF(VIPcric_1!G2072="","",VIPcric_1!G2072)</f>
        <v>0</v>
      </c>
      <c r="H2090">
        <f>IF(VIPcric_1!H2072="","",VIPcric_1!H2072)</f>
        <v>0</v>
      </c>
      <c r="I2090" t="str">
        <f>IF(VIPcric_1!M2072="","",VIPcric_1!M2072)</f>
        <v>CRIC-焦作-市场监测.商品房市场.项目累计.供求.xlsx</v>
      </c>
    </row>
    <row r="2091" spans="1:9">
      <c r="A2091" t="str">
        <f>IF(VIPcric_1!A2073="","",VIPcric_1!A2073)</f>
        <v>汇总</v>
      </c>
      <c r="B2091">
        <f>IF(VIPcric_1!B2073="","",VIPcric_1!B2073)</f>
        <v>8506486</v>
      </c>
      <c r="C2091">
        <f>IF(VIPcric_1!C2073="","",VIPcric_1!C2073)</f>
        <v>71352</v>
      </c>
      <c r="D2091">
        <f>IF(VIPcric_1!D2073="","",VIPcric_1!D2073)</f>
        <v>1671670</v>
      </c>
      <c r="E2091">
        <f>IF(VIPcric_1!E2073="","",VIPcric_1!E2073)</f>
        <v>13080</v>
      </c>
      <c r="F2091">
        <f>IF(VIPcric_1!F2073="","",VIPcric_1!F2073)</f>
        <v>6474</v>
      </c>
      <c r="G2091">
        <f>IF(VIPcric_1!G2073="","",VIPcric_1!G2073)</f>
        <v>10823148025</v>
      </c>
      <c r="H2091">
        <f>IF(VIPcric_1!H2073="","",VIPcric_1!H2073)</f>
        <v>5.09</v>
      </c>
      <c r="I2091" t="str">
        <f>IF(VIPcric_1!M2073="","",VIPcric_1!M2073)</f>
        <v>CRIC-焦作-市场监测.商品房市场.项目累计.供求.xlsx</v>
      </c>
    </row>
    <row r="2092" spans="1:9">
      <c r="A2092" t="str">
        <f>IF(VIPcric_1!A2074="","",VIPcric_1!A2074)</f>
        <v/>
      </c>
      <c r="B2092" t="str">
        <f>IF(VIPcric_1!B2074="","",VIPcric_1!B2074)</f>
        <v/>
      </c>
      <c r="C2092" t="str">
        <f>IF(VIPcric_1!C2074="","",VIPcric_1!C2074)</f>
        <v/>
      </c>
      <c r="D2092" t="str">
        <f>IF(VIPcric_1!D2074="","",VIPcric_1!D2074)</f>
        <v/>
      </c>
      <c r="E2092" t="str">
        <f>IF(VIPcric_1!E2074="","",VIPcric_1!E2074)</f>
        <v/>
      </c>
      <c r="F2092" t="str">
        <f>IF(VIPcric_1!F2074="","",VIPcric_1!F2074)</f>
        <v/>
      </c>
      <c r="G2092" t="str">
        <f>IF(VIPcric_1!G2074="","",VIPcric_1!G2074)</f>
        <v/>
      </c>
      <c r="H2092" t="str">
        <f>IF(VIPcric_1!H2074="","",VIPcric_1!H2074)</f>
        <v/>
      </c>
      <c r="I2092" t="str">
        <f>IF(VIPcric_1!M2074="","",VIPcric_1!M2074)</f>
        <v/>
      </c>
    </row>
    <row r="2093" spans="1:9">
      <c r="A2093" t="str">
        <f>IF(VIPcric_1!A2075="","",VIPcric_1!A2075)</f>
        <v/>
      </c>
      <c r="B2093" t="str">
        <f>IF(VIPcric_1!B2075="","",VIPcric_1!B2075)</f>
        <v/>
      </c>
      <c r="C2093" t="str">
        <f>IF(VIPcric_1!C2075="","",VIPcric_1!C2075)</f>
        <v/>
      </c>
      <c r="D2093" t="str">
        <f>IF(VIPcric_1!D2075="","",VIPcric_1!D2075)</f>
        <v/>
      </c>
      <c r="E2093" t="str">
        <f>IF(VIPcric_1!E2075="","",VIPcric_1!E2075)</f>
        <v/>
      </c>
      <c r="F2093" t="str">
        <f>IF(VIPcric_1!F2075="","",VIPcric_1!F2075)</f>
        <v/>
      </c>
      <c r="G2093" t="str">
        <f>IF(VIPcric_1!G2075="","",VIPcric_1!G2075)</f>
        <v/>
      </c>
      <c r="H2093" t="str">
        <f>IF(VIPcric_1!H2075="","",VIPcric_1!H2075)</f>
        <v/>
      </c>
      <c r="I2093" t="str">
        <f>IF(VIPcric_1!M2075="","",VIPcric_1!M2075)</f>
        <v>CRIC-焦作-市场监测.商品房市场.项目累计.库存.xlsx</v>
      </c>
    </row>
    <row r="2094" spans="1:9">
      <c r="A2094" t="str">
        <f>IF(VIPcric_1!A2076="","",VIPcric_1!A2076)</f>
        <v>时间(年)</v>
      </c>
      <c r="B2094" t="str">
        <f>IF(VIPcric_1!B2076="","",VIPcric_1!B2076)</f>
        <v>库存面积(㎡)</v>
      </c>
      <c r="C2094" t="str">
        <f>IF(VIPcric_1!C2076="","",VIPcric_1!C2076)</f>
        <v>库存套数(套)</v>
      </c>
      <c r="D2094" t="str">
        <f>IF(VIPcric_1!D2076="","",VIPcric_1!D2076)</f>
        <v>去化周期12'(月)</v>
      </c>
      <c r="E2094" t="str">
        <f>IF(VIPcric_1!E2076="","",VIPcric_1!E2076)</f>
        <v>去化周期24'(月)</v>
      </c>
      <c r="F2094" t="str">
        <f>IF(VIPcric_1!F2076="","",VIPcric_1!F2076)</f>
        <v/>
      </c>
      <c r="G2094" t="str">
        <f>IF(VIPcric_1!G2076="","",VIPcric_1!G2076)</f>
        <v/>
      </c>
      <c r="H2094" t="str">
        <f>IF(VIPcric_1!H2076="","",VIPcric_1!H2076)</f>
        <v/>
      </c>
      <c r="I2094" t="str">
        <f>IF(VIPcric_1!M2076="","",VIPcric_1!M2076)</f>
        <v>CRIC-焦作-市场监测.商品房市场.项目累计.库存.xlsx</v>
      </c>
    </row>
    <row r="2095" spans="1:9">
      <c r="A2095" t="str">
        <f>IF(VIPcric_1!A2077="","",VIPcric_1!A2077)</f>
        <v>2023年</v>
      </c>
      <c r="B2095">
        <f>IF(VIPcric_1!B2077="","",VIPcric_1!B2077)</f>
        <v>1195323</v>
      </c>
      <c r="C2095">
        <f>IF(VIPcric_1!C2077="","",VIPcric_1!C2077)</f>
        <v>9666</v>
      </c>
      <c r="D2095">
        <f>IF(VIPcric_1!D2077="","",VIPcric_1!D2077)</f>
        <v>17.899999999999999</v>
      </c>
      <c r="E2095">
        <f>IF(VIPcric_1!E2077="","",VIPcric_1!E2077)</f>
        <v>20.9</v>
      </c>
      <c r="F2095" t="str">
        <f>IF(VIPcric_1!F2077="","",VIPcric_1!F2077)</f>
        <v/>
      </c>
      <c r="G2095" t="str">
        <f>IF(VIPcric_1!G2077="","",VIPcric_1!G2077)</f>
        <v/>
      </c>
      <c r="H2095" t="str">
        <f>IF(VIPcric_1!H2077="","",VIPcric_1!H2077)</f>
        <v/>
      </c>
      <c r="I2095" t="str">
        <f>IF(VIPcric_1!M2077="","",VIPcric_1!M2077)</f>
        <v>CRIC-焦作-市场监测.商品房市场.项目累计.库存.xlsx</v>
      </c>
    </row>
    <row r="2096" spans="1:9">
      <c r="A2096" t="str">
        <f>IF(VIPcric_1!A2078="","",VIPcric_1!A2078)</f>
        <v>2022年</v>
      </c>
      <c r="B2096">
        <f>IF(VIPcric_1!B2078="","",VIPcric_1!B2078)</f>
        <v>1304672</v>
      </c>
      <c r="C2096">
        <f>IF(VIPcric_1!C2078="","",VIPcric_1!C2078)</f>
        <v>10665</v>
      </c>
      <c r="D2096">
        <f>IF(VIPcric_1!D2078="","",VIPcric_1!D2078)</f>
        <v>27.4</v>
      </c>
      <c r="E2096">
        <f>IF(VIPcric_1!E2078="","",VIPcric_1!E2078)</f>
        <v>35.9</v>
      </c>
      <c r="F2096" t="str">
        <f>IF(VIPcric_1!F2078="","",VIPcric_1!F2078)</f>
        <v/>
      </c>
      <c r="G2096" t="str">
        <f>IF(VIPcric_1!G2078="","",VIPcric_1!G2078)</f>
        <v/>
      </c>
      <c r="H2096" t="str">
        <f>IF(VIPcric_1!H2078="","",VIPcric_1!H2078)</f>
        <v/>
      </c>
      <c r="I2096" t="str">
        <f>IF(VIPcric_1!M2078="","",VIPcric_1!M2078)</f>
        <v>CRIC-焦作-市场监测.商品房市场.项目累计.库存.xlsx</v>
      </c>
    </row>
    <row r="2097" spans="1:9">
      <c r="A2097" t="str">
        <f>IF(VIPcric_1!A2079="","",VIPcric_1!A2079)</f>
        <v>2021年</v>
      </c>
      <c r="B2097">
        <f>IF(VIPcric_1!B2079="","",VIPcric_1!B2079)</f>
        <v>1369136</v>
      </c>
      <c r="C2097">
        <f>IF(VIPcric_1!C2079="","",VIPcric_1!C2079)</f>
        <v>11266</v>
      </c>
      <c r="D2097">
        <f>IF(VIPcric_1!D2079="","",VIPcric_1!D2079)</f>
        <v>54.8</v>
      </c>
      <c r="E2097">
        <f>IF(VIPcric_1!E2079="","",VIPcric_1!E2079)</f>
        <v>109.5</v>
      </c>
      <c r="F2097" t="str">
        <f>IF(VIPcric_1!F2079="","",VIPcric_1!F2079)</f>
        <v/>
      </c>
      <c r="G2097" t="str">
        <f>IF(VIPcric_1!G2079="","",VIPcric_1!G2079)</f>
        <v/>
      </c>
      <c r="H2097" t="str">
        <f>IF(VIPcric_1!H2079="","",VIPcric_1!H2079)</f>
        <v/>
      </c>
      <c r="I2097" t="str">
        <f>IF(VIPcric_1!M2079="","",VIPcric_1!M2079)</f>
        <v>CRIC-焦作-市场监测.商品房市场.项目累计.库存.xlsx</v>
      </c>
    </row>
    <row r="2098" spans="1:9">
      <c r="A2098" t="str">
        <f>IF(VIPcric_1!A2080="","",VIPcric_1!A2080)</f>
        <v/>
      </c>
      <c r="B2098" t="str">
        <f>IF(VIPcric_1!B2080="","",VIPcric_1!B2080)</f>
        <v/>
      </c>
      <c r="C2098" t="str">
        <f>IF(VIPcric_1!C2080="","",VIPcric_1!C2080)</f>
        <v/>
      </c>
      <c r="D2098" t="str">
        <f>IF(VIPcric_1!D2080="","",VIPcric_1!D2080)</f>
        <v/>
      </c>
      <c r="E2098" t="str">
        <f>IF(VIPcric_1!E2080="","",VIPcric_1!E2080)</f>
        <v/>
      </c>
      <c r="F2098" t="s">
        <v>857</v>
      </c>
      <c r="G2098" t="str">
        <f>IF(VIPcric_1!G2080="","",VIPcric_1!G2080)</f>
        <v/>
      </c>
      <c r="H2098" t="str">
        <f>IF(VIPcric_1!H2080="","",VIPcric_1!H2080)</f>
        <v/>
      </c>
      <c r="I2098" t="str">
        <f>IF(VIPcric_1!M2080="","",VIPcric_1!M2080)</f>
        <v/>
      </c>
    </row>
    <row r="2099" spans="1:9">
      <c r="A2099" t="str">
        <f>IF(VIPcric_1!A2081="","",VIPcric_1!A2081)</f>
        <v/>
      </c>
      <c r="B2099" t="str">
        <f>IF(VIPcric_1!B2081="","",VIPcric_1!B2081)</f>
        <v/>
      </c>
      <c r="C2099" t="str">
        <f>IF(VIPcric_1!C2081="","",VIPcric_1!C2081)</f>
        <v/>
      </c>
      <c r="D2099" t="str">
        <f>IF(VIPcric_1!D2081="","",VIPcric_1!D2081)</f>
        <v/>
      </c>
      <c r="E2099" t="str">
        <f>IF(VIPcric_1!E2081="","",VIPcric_1!E2081)</f>
        <v/>
      </c>
      <c r="F2099">
        <v>38.299999999999997</v>
      </c>
      <c r="G2099" t="str">
        <f>IF(VIPcric_1!G2081="","",VIPcric_1!G2081)</f>
        <v/>
      </c>
      <c r="H2099" t="str">
        <f>IF(VIPcric_1!H2081="","",VIPcric_1!H2081)</f>
        <v/>
      </c>
      <c r="I2099" t="str">
        <f>IF(VIPcric_1!M2081="","",VIPcric_1!M2081)</f>
        <v>CRIC-燕郊-市场监测.商品房市场.项目累计.供求.xlsx</v>
      </c>
    </row>
    <row r="2100" spans="1:9">
      <c r="A2100" t="str">
        <f>IF(VIPcric_1!A2082="","",VIPcric_1!A2082)</f>
        <v>时间(年)</v>
      </c>
      <c r="B2100" t="str">
        <f>IF(VIPcric_1!B2082="","",VIPcric_1!B2082)</f>
        <v>供应面积(㎡)</v>
      </c>
      <c r="C2100" t="str">
        <f>IF(VIPcric_1!C2082="","",VIPcric_1!C2082)</f>
        <v>供应套数(套)</v>
      </c>
      <c r="D2100" t="str">
        <f>IF(VIPcric_1!D2082="","",VIPcric_1!D2082)</f>
        <v>成交面积(㎡)</v>
      </c>
      <c r="E2100" t="str">
        <f>IF(VIPcric_1!E2082="","",VIPcric_1!E2082)</f>
        <v>成交套数(套)</v>
      </c>
      <c r="F2100" t="str">
        <f>IF(VIPcric_1!F2082="","",VIPcric_1!F2082)</f>
        <v>成交均价(元/㎡)</v>
      </c>
      <c r="G2100" t="str">
        <f>IF(VIPcric_1!G2082="","",VIPcric_1!G2082)</f>
        <v>成交金额(元)</v>
      </c>
      <c r="H2100" t="str">
        <f>IF(VIPcric_1!H2082="","",VIPcric_1!H2082)</f>
        <v>供求比</v>
      </c>
      <c r="I2100" t="str">
        <f>IF(VIPcric_1!M2082="","",VIPcric_1!M2082)</f>
        <v>CRIC-燕郊-市场监测.商品房市场.项目累计.供求.xlsx</v>
      </c>
    </row>
    <row r="2101" spans="1:9">
      <c r="A2101" t="str">
        <f>IF(VIPcric_1!A2083="","",VIPcric_1!A2083)</f>
        <v>2023年</v>
      </c>
      <c r="B2101">
        <f>IF(VIPcric_1!B2083="","",VIPcric_1!B2083)</f>
        <v>0</v>
      </c>
      <c r="C2101">
        <f>IF(VIPcric_1!C2083="","",VIPcric_1!C2083)</f>
        <v>0</v>
      </c>
      <c r="D2101">
        <f>IF(VIPcric_1!D2083="","",VIPcric_1!D2083)</f>
        <v>553189</v>
      </c>
      <c r="E2101">
        <f>IF(VIPcric_1!E2083="","",VIPcric_1!E2083)</f>
        <v>5224</v>
      </c>
      <c r="F2101">
        <f>IF(VIPcric_1!F2083="","",VIPcric_1!F2083)</f>
        <v>19633</v>
      </c>
      <c r="G2101">
        <f>IF(VIPcric_1!G2083="","",VIPcric_1!G2083)</f>
        <v>10860735051</v>
      </c>
      <c r="H2101">
        <f>IF(VIPcric_1!H2083="","",VIPcric_1!H2083)</f>
        <v>0</v>
      </c>
      <c r="I2101" t="str">
        <f>IF(VIPcric_1!M2083="","",VIPcric_1!M2083)</f>
        <v>CRIC-燕郊-市场监测.商品房市场.项目累计.供求.xlsx</v>
      </c>
    </row>
    <row r="2102" spans="1:9">
      <c r="A2102" t="str">
        <f>IF(VIPcric_1!A2084="","",VIPcric_1!A2084)</f>
        <v>2022年</v>
      </c>
      <c r="B2102">
        <f>IF(VIPcric_1!B2084="","",VIPcric_1!B2084)</f>
        <v>0</v>
      </c>
      <c r="C2102">
        <f>IF(VIPcric_1!C2084="","",VIPcric_1!C2084)</f>
        <v>0</v>
      </c>
      <c r="D2102">
        <f>IF(VIPcric_1!D2084="","",VIPcric_1!D2084)</f>
        <v>668294</v>
      </c>
      <c r="E2102">
        <f>IF(VIPcric_1!E2084="","",VIPcric_1!E2084)</f>
        <v>6223</v>
      </c>
      <c r="F2102">
        <f>IF(VIPcric_1!F2084="","",VIPcric_1!F2084)</f>
        <v>20090</v>
      </c>
      <c r="G2102">
        <f>IF(VIPcric_1!G2084="","",VIPcric_1!G2084)</f>
        <v>13426167538</v>
      </c>
      <c r="H2102">
        <f>IF(VIPcric_1!H2084="","",VIPcric_1!H2084)</f>
        <v>0</v>
      </c>
      <c r="I2102" t="str">
        <f>IF(VIPcric_1!M2084="","",VIPcric_1!M2084)</f>
        <v>CRIC-燕郊-市场监测.商品房市场.项目累计.供求.xlsx</v>
      </c>
    </row>
    <row r="2103" spans="1:9">
      <c r="A2103" t="str">
        <f>IF(VIPcric_1!A2085="","",VIPcric_1!A2085)</f>
        <v>2021年</v>
      </c>
      <c r="B2103">
        <f>IF(VIPcric_1!B2085="","",VIPcric_1!B2085)</f>
        <v>0</v>
      </c>
      <c r="C2103">
        <f>IF(VIPcric_1!C2085="","",VIPcric_1!C2085)</f>
        <v>0</v>
      </c>
      <c r="D2103">
        <f>IF(VIPcric_1!D2085="","",VIPcric_1!D2085)</f>
        <v>591764</v>
      </c>
      <c r="E2103">
        <f>IF(VIPcric_1!E2085="","",VIPcric_1!E2085)</f>
        <v>5970</v>
      </c>
      <c r="F2103">
        <f>IF(VIPcric_1!F2085="","",VIPcric_1!F2085)</f>
        <v>19332</v>
      </c>
      <c r="G2103">
        <f>IF(VIPcric_1!G2085="","",VIPcric_1!G2085)</f>
        <v>11440113702</v>
      </c>
      <c r="H2103">
        <f>IF(VIPcric_1!H2085="","",VIPcric_1!H2085)</f>
        <v>0</v>
      </c>
      <c r="I2103" t="str">
        <f>IF(VIPcric_1!M2085="","",VIPcric_1!M2085)</f>
        <v>CRIC-燕郊-市场监测.商品房市场.项目累计.供求.xlsx</v>
      </c>
    </row>
    <row r="2104" spans="1:9">
      <c r="A2104" t="str">
        <f>IF(VIPcric_1!A2086="","",VIPcric_1!A2086)</f>
        <v>2020年</v>
      </c>
      <c r="B2104">
        <f>IF(VIPcric_1!B2086="","",VIPcric_1!B2086)</f>
        <v>0</v>
      </c>
      <c r="C2104">
        <f>IF(VIPcric_1!C2086="","",VIPcric_1!C2086)</f>
        <v>0</v>
      </c>
      <c r="D2104">
        <f>IF(VIPcric_1!D2086="","",VIPcric_1!D2086)</f>
        <v>733412</v>
      </c>
      <c r="E2104">
        <f>IF(VIPcric_1!E2086="","",VIPcric_1!E2086)</f>
        <v>7633</v>
      </c>
      <c r="F2104">
        <f>IF(VIPcric_1!F2086="","",VIPcric_1!F2086)</f>
        <v>19589</v>
      </c>
      <c r="G2104">
        <f>IF(VIPcric_1!G2086="","",VIPcric_1!G2086)</f>
        <v>14366804500</v>
      </c>
      <c r="H2104">
        <f>IF(VIPcric_1!H2086="","",VIPcric_1!H2086)</f>
        <v>0</v>
      </c>
      <c r="I2104" t="str">
        <f>IF(VIPcric_1!M2086="","",VIPcric_1!M2086)</f>
        <v>CRIC-燕郊-市场监测.商品房市场.项目累计.供求.xlsx</v>
      </c>
    </row>
    <row r="2105" spans="1:9">
      <c r="A2105" t="str">
        <f>IF(VIPcric_1!A2087="","",VIPcric_1!A2087)</f>
        <v>2019年</v>
      </c>
      <c r="B2105">
        <f>IF(VIPcric_1!B2087="","",VIPcric_1!B2087)</f>
        <v>0</v>
      </c>
      <c r="C2105">
        <f>IF(VIPcric_1!C2087="","",VIPcric_1!C2087)</f>
        <v>0</v>
      </c>
      <c r="D2105">
        <f>IF(VIPcric_1!D2087="","",VIPcric_1!D2087)</f>
        <v>133283</v>
      </c>
      <c r="E2105">
        <f>IF(VIPcric_1!E2087="","",VIPcric_1!E2087)</f>
        <v>1530</v>
      </c>
      <c r="F2105">
        <f>IF(VIPcric_1!F2087="","",VIPcric_1!F2087)</f>
        <v>19009</v>
      </c>
      <c r="G2105">
        <f>IF(VIPcric_1!G2087="","",VIPcric_1!G2087)</f>
        <v>2533561368</v>
      </c>
      <c r="H2105">
        <f>IF(VIPcric_1!H2087="","",VIPcric_1!H2087)</f>
        <v>0</v>
      </c>
      <c r="I2105" t="str">
        <f>IF(VIPcric_1!M2087="","",VIPcric_1!M2087)</f>
        <v>CRIC-燕郊-市场监测.商品房市场.项目累计.供求.xlsx</v>
      </c>
    </row>
    <row r="2106" spans="1:9">
      <c r="A2106" t="str">
        <f>IF(VIPcric_1!A2088="","",VIPcric_1!A2088)</f>
        <v>2018年</v>
      </c>
      <c r="B2106">
        <f>IF(VIPcric_1!B2088="","",VIPcric_1!B2088)</f>
        <v>0</v>
      </c>
      <c r="C2106">
        <f>IF(VIPcric_1!C2088="","",VIPcric_1!C2088)</f>
        <v>0</v>
      </c>
      <c r="D2106">
        <f>IF(VIPcric_1!D2088="","",VIPcric_1!D2088)</f>
        <v>45423</v>
      </c>
      <c r="E2106">
        <f>IF(VIPcric_1!E2088="","",VIPcric_1!E2088)</f>
        <v>671</v>
      </c>
      <c r="F2106">
        <f>IF(VIPcric_1!F2088="","",VIPcric_1!F2088)</f>
        <v>15460</v>
      </c>
      <c r="G2106">
        <f>IF(VIPcric_1!G2088="","",VIPcric_1!G2088)</f>
        <v>702232456</v>
      </c>
      <c r="H2106">
        <f>IF(VIPcric_1!H2088="","",VIPcric_1!H2088)</f>
        <v>0</v>
      </c>
      <c r="I2106" t="str">
        <f>IF(VIPcric_1!M2088="","",VIPcric_1!M2088)</f>
        <v>CRIC-燕郊-市场监测.商品房市场.项目累计.供求.xlsx</v>
      </c>
    </row>
    <row r="2107" spans="1:9">
      <c r="A2107" t="str">
        <f>IF(VIPcric_1!A2089="","",VIPcric_1!A2089)</f>
        <v>汇总</v>
      </c>
      <c r="B2107">
        <f>IF(VIPcric_1!B2089="","",VIPcric_1!B2089)</f>
        <v>0</v>
      </c>
      <c r="C2107">
        <f>IF(VIPcric_1!C2089="","",VIPcric_1!C2089)</f>
        <v>0</v>
      </c>
      <c r="D2107">
        <f>IF(VIPcric_1!D2089="","",VIPcric_1!D2089)</f>
        <v>2725365</v>
      </c>
      <c r="E2107">
        <f>IF(VIPcric_1!E2089="","",VIPcric_1!E2089)</f>
        <v>27251</v>
      </c>
      <c r="F2107">
        <f>IF(VIPcric_1!F2089="","",VIPcric_1!F2089)</f>
        <v>19568</v>
      </c>
      <c r="G2107">
        <f>IF(VIPcric_1!G2089="","",VIPcric_1!G2089)</f>
        <v>53329614614</v>
      </c>
      <c r="H2107">
        <f>IF(VIPcric_1!H2089="","",VIPcric_1!H2089)</f>
        <v>0</v>
      </c>
      <c r="I2107" t="str">
        <f>IF(VIPcric_1!M2089="","",VIPcric_1!M2089)</f>
        <v>CRIC-燕郊-市场监测.商品房市场.项目累计.供求.xlsx</v>
      </c>
    </row>
    <row r="2108" spans="1:9">
      <c r="A2108" t="str">
        <f>IF(VIPcric_1!A2090="","",VIPcric_1!A2090)</f>
        <v/>
      </c>
      <c r="B2108" t="str">
        <f>IF(VIPcric_1!B2090="","",VIPcric_1!B2090)</f>
        <v/>
      </c>
      <c r="C2108" t="str">
        <f>IF(VIPcric_1!C2090="","",VIPcric_1!C2090)</f>
        <v/>
      </c>
      <c r="D2108" t="str">
        <f>IF(VIPcric_1!D2090="","",VIPcric_1!D2090)</f>
        <v/>
      </c>
      <c r="E2108" t="str">
        <f>IF(VIPcric_1!E2090="","",VIPcric_1!E2090)</f>
        <v/>
      </c>
      <c r="F2108" t="str">
        <f>IF(VIPcric_1!F2090="","",VIPcric_1!F2090)</f>
        <v/>
      </c>
      <c r="G2108" t="str">
        <f>IF(VIPcric_1!G2090="","",VIPcric_1!G2090)</f>
        <v/>
      </c>
      <c r="H2108" t="str">
        <f>IF(VIPcric_1!H2090="","",VIPcric_1!H2090)</f>
        <v/>
      </c>
      <c r="I2108" t="str">
        <f>IF(VIPcric_1!M2090="","",VIPcric_1!M2090)</f>
        <v/>
      </c>
    </row>
    <row r="2109" spans="1:9">
      <c r="A2109" t="str">
        <f>IF(VIPcric_1!A2091="","",VIPcric_1!A2091)</f>
        <v/>
      </c>
      <c r="B2109" t="str">
        <f>IF(VIPcric_1!B2091="","",VIPcric_1!B2091)</f>
        <v/>
      </c>
      <c r="C2109" t="str">
        <f>IF(VIPcric_1!C2091="","",VIPcric_1!C2091)</f>
        <v/>
      </c>
      <c r="D2109" t="str">
        <f>IF(VIPcric_1!D2091="","",VIPcric_1!D2091)</f>
        <v/>
      </c>
      <c r="E2109" t="str">
        <f>IF(VIPcric_1!E2091="","",VIPcric_1!E2091)</f>
        <v/>
      </c>
      <c r="F2109" t="str">
        <f>IF(VIPcric_1!F2091="","",VIPcric_1!F2091)</f>
        <v/>
      </c>
      <c r="G2109" t="str">
        <f>IF(VIPcric_1!G2091="","",VIPcric_1!G2091)</f>
        <v/>
      </c>
      <c r="H2109" t="str">
        <f>IF(VIPcric_1!H2091="","",VIPcric_1!H2091)</f>
        <v/>
      </c>
      <c r="I2109" t="str">
        <f>IF(VIPcric_1!M2091="","",VIPcric_1!M2091)</f>
        <v>CRIC-珠海-市场监测.商品房市场.项目累计.供求.xlsx</v>
      </c>
    </row>
    <row r="2110" spans="1:9">
      <c r="A2110" t="str">
        <f>IF(VIPcric_1!A2092="","",VIPcric_1!A2092)</f>
        <v>时间(年)</v>
      </c>
      <c r="B2110" t="str">
        <f>IF(VIPcric_1!B2092="","",VIPcric_1!B2092)</f>
        <v>供应面积(㎡)</v>
      </c>
      <c r="C2110" t="str">
        <f>IF(VIPcric_1!C2092="","",VIPcric_1!C2092)</f>
        <v>供应套数(套)</v>
      </c>
      <c r="D2110" t="str">
        <f>IF(VIPcric_1!D2092="","",VIPcric_1!D2092)</f>
        <v>成交面积(㎡)</v>
      </c>
      <c r="E2110" t="str">
        <f>IF(VIPcric_1!E2092="","",VIPcric_1!E2092)</f>
        <v>成交套数(套)</v>
      </c>
      <c r="F2110" t="str">
        <f>IF(VIPcric_1!F2092="","",VIPcric_1!F2092)</f>
        <v>成交均价(元/㎡)</v>
      </c>
      <c r="G2110" t="str">
        <f>IF(VIPcric_1!G2092="","",VIPcric_1!G2092)</f>
        <v>成交金额(元)</v>
      </c>
      <c r="H2110" t="str">
        <f>IF(VIPcric_1!H2092="","",VIPcric_1!H2092)</f>
        <v>供求比</v>
      </c>
      <c r="I2110" t="str">
        <f>IF(VIPcric_1!M2092="","",VIPcric_1!M2092)</f>
        <v>CRIC-珠海-市场监测.商品房市场.项目累计.供求.xlsx</v>
      </c>
    </row>
    <row r="2111" spans="1:9">
      <c r="A2111" t="str">
        <f>IF(VIPcric_1!A2093="","",VIPcric_1!A2093)</f>
        <v>2024年</v>
      </c>
      <c r="B2111">
        <f>IF(VIPcric_1!B2093="","",VIPcric_1!B2093)</f>
        <v>341032</v>
      </c>
      <c r="C2111">
        <f>IF(VIPcric_1!C2093="","",VIPcric_1!C2093)</f>
        <v>3798</v>
      </c>
      <c r="D2111">
        <f>IF(VIPcric_1!D2093="","",VIPcric_1!D2093)</f>
        <v>171865</v>
      </c>
      <c r="E2111">
        <f>IF(VIPcric_1!E2093="","",VIPcric_1!E2093)</f>
        <v>1637</v>
      </c>
      <c r="F2111">
        <f>IF(VIPcric_1!F2093="","",VIPcric_1!F2093)</f>
        <v>26791</v>
      </c>
      <c r="G2111">
        <f>IF(VIPcric_1!G2093="","",VIPcric_1!G2093)</f>
        <v>4604493529</v>
      </c>
      <c r="H2111">
        <f>IF(VIPcric_1!H2093="","",VIPcric_1!H2093)</f>
        <v>1.98</v>
      </c>
      <c r="I2111" t="str">
        <f>IF(VIPcric_1!M2093="","",VIPcric_1!M2093)</f>
        <v>CRIC-珠海-市场监测.商品房市场.项目累计.供求.xlsx</v>
      </c>
    </row>
    <row r="2112" spans="1:9">
      <c r="A2112" t="str">
        <f>IF(VIPcric_1!A2094="","",VIPcric_1!A2094)</f>
        <v>2023年</v>
      </c>
      <c r="B2112">
        <f>IF(VIPcric_1!B2094="","",VIPcric_1!B2094)</f>
        <v>2506251</v>
      </c>
      <c r="C2112">
        <f>IF(VIPcric_1!C2094="","",VIPcric_1!C2094)</f>
        <v>25076</v>
      </c>
      <c r="D2112">
        <f>IF(VIPcric_1!D2094="","",VIPcric_1!D2094)</f>
        <v>2281453</v>
      </c>
      <c r="E2112">
        <f>IF(VIPcric_1!E2094="","",VIPcric_1!E2094)</f>
        <v>21606</v>
      </c>
      <c r="F2112">
        <f>IF(VIPcric_1!F2094="","",VIPcric_1!F2094)</f>
        <v>26073</v>
      </c>
      <c r="G2112">
        <f>IF(VIPcric_1!G2094="","",VIPcric_1!G2094)</f>
        <v>59485256048</v>
      </c>
      <c r="H2112">
        <f>IF(VIPcric_1!H2094="","",VIPcric_1!H2094)</f>
        <v>1.1000000000000001</v>
      </c>
      <c r="I2112" t="str">
        <f>IF(VIPcric_1!M2094="","",VIPcric_1!M2094)</f>
        <v>CRIC-珠海-市场监测.商品房市场.项目累计.供求.xlsx</v>
      </c>
    </row>
    <row r="2113" spans="1:9">
      <c r="A2113" t="str">
        <f>IF(VIPcric_1!A2095="","",VIPcric_1!A2095)</f>
        <v>2022年</v>
      </c>
      <c r="B2113">
        <f>IF(VIPcric_1!B2095="","",VIPcric_1!B2095)</f>
        <v>2403966</v>
      </c>
      <c r="C2113">
        <f>IF(VIPcric_1!C2095="","",VIPcric_1!C2095)</f>
        <v>23039</v>
      </c>
      <c r="D2113">
        <f>IF(VIPcric_1!D2095="","",VIPcric_1!D2095)</f>
        <v>2288982</v>
      </c>
      <c r="E2113">
        <f>IF(VIPcric_1!E2095="","",VIPcric_1!E2095)</f>
        <v>21611</v>
      </c>
      <c r="F2113">
        <f>IF(VIPcric_1!F2095="","",VIPcric_1!F2095)</f>
        <v>24990</v>
      </c>
      <c r="G2113">
        <f>IF(VIPcric_1!G2095="","",VIPcric_1!G2095)</f>
        <v>57200821789</v>
      </c>
      <c r="H2113">
        <f>IF(VIPcric_1!H2095="","",VIPcric_1!H2095)</f>
        <v>1.05</v>
      </c>
      <c r="I2113" t="str">
        <f>IF(VIPcric_1!M2095="","",VIPcric_1!M2095)</f>
        <v>CRIC-珠海-市场监测.商品房市场.项目累计.供求.xlsx</v>
      </c>
    </row>
    <row r="2114" spans="1:9">
      <c r="A2114" t="str">
        <f>IF(VIPcric_1!A2096="","",VIPcric_1!A2096)</f>
        <v>2021年</v>
      </c>
      <c r="B2114">
        <f>IF(VIPcric_1!B2096="","",VIPcric_1!B2096)</f>
        <v>4639560</v>
      </c>
      <c r="C2114">
        <f>IF(VIPcric_1!C2096="","",VIPcric_1!C2096)</f>
        <v>45806</v>
      </c>
      <c r="D2114">
        <f>IF(VIPcric_1!D2096="","",VIPcric_1!D2096)</f>
        <v>4892975</v>
      </c>
      <c r="E2114">
        <f>IF(VIPcric_1!E2096="","",VIPcric_1!E2096)</f>
        <v>47234</v>
      </c>
      <c r="F2114">
        <f>IF(VIPcric_1!F2096="","",VIPcric_1!F2096)</f>
        <v>27059</v>
      </c>
      <c r="G2114">
        <f>IF(VIPcric_1!G2096="","",VIPcric_1!G2096)</f>
        <v>132398931243</v>
      </c>
      <c r="H2114">
        <f>IF(VIPcric_1!H2096="","",VIPcric_1!H2096)</f>
        <v>0.95</v>
      </c>
      <c r="I2114" t="str">
        <f>IF(VIPcric_1!M2096="","",VIPcric_1!M2096)</f>
        <v>CRIC-珠海-市场监测.商品房市场.项目累计.供求.xlsx</v>
      </c>
    </row>
    <row r="2115" spans="1:9">
      <c r="A2115" t="str">
        <f>IF(VIPcric_1!A2097="","",VIPcric_1!A2097)</f>
        <v>2020年</v>
      </c>
      <c r="B2115">
        <f>IF(VIPcric_1!B2097="","",VIPcric_1!B2097)</f>
        <v>4725313</v>
      </c>
      <c r="C2115">
        <f>IF(VIPcric_1!C2097="","",VIPcric_1!C2097)</f>
        <v>46650</v>
      </c>
      <c r="D2115">
        <f>IF(VIPcric_1!D2097="","",VIPcric_1!D2097)</f>
        <v>3440562</v>
      </c>
      <c r="E2115">
        <f>IF(VIPcric_1!E2097="","",VIPcric_1!E2097)</f>
        <v>33535</v>
      </c>
      <c r="F2115">
        <f>IF(VIPcric_1!F2097="","",VIPcric_1!F2097)</f>
        <v>26215</v>
      </c>
      <c r="G2115">
        <f>IF(VIPcric_1!G2097="","",VIPcric_1!G2097)</f>
        <v>90193916601</v>
      </c>
      <c r="H2115">
        <f>IF(VIPcric_1!H2097="","",VIPcric_1!H2097)</f>
        <v>1.37</v>
      </c>
      <c r="I2115" t="str">
        <f>IF(VIPcric_1!M2097="","",VIPcric_1!M2097)</f>
        <v>CRIC-珠海-市场监测.商品房市场.项目累计.供求.xlsx</v>
      </c>
    </row>
    <row r="2116" spans="1:9">
      <c r="A2116" t="str">
        <f>IF(VIPcric_1!A2098="","",VIPcric_1!A2098)</f>
        <v>2019年</v>
      </c>
      <c r="B2116">
        <f>IF(VIPcric_1!B2098="","",VIPcric_1!B2098)</f>
        <v>5450103</v>
      </c>
      <c r="C2116">
        <f>IF(VIPcric_1!C2098="","",VIPcric_1!C2098)</f>
        <v>52105</v>
      </c>
      <c r="D2116">
        <f>IF(VIPcric_1!D2098="","",VIPcric_1!D2098)</f>
        <v>4363014</v>
      </c>
      <c r="E2116">
        <f>IF(VIPcric_1!E2098="","",VIPcric_1!E2098)</f>
        <v>42176</v>
      </c>
      <c r="F2116">
        <f>IF(VIPcric_1!F2098="","",VIPcric_1!F2098)</f>
        <v>22685</v>
      </c>
      <c r="G2116">
        <f>IF(VIPcric_1!G2098="","",VIPcric_1!G2098)</f>
        <v>98972908659</v>
      </c>
      <c r="H2116">
        <f>IF(VIPcric_1!H2098="","",VIPcric_1!H2098)</f>
        <v>1.25</v>
      </c>
      <c r="I2116" t="str">
        <f>IF(VIPcric_1!M2098="","",VIPcric_1!M2098)</f>
        <v>CRIC-珠海-市场监测.商品房市场.项目累计.供求.xlsx</v>
      </c>
    </row>
    <row r="2117" spans="1:9">
      <c r="A2117" t="str">
        <f>IF(VIPcric_1!A2099="","",VIPcric_1!A2099)</f>
        <v>汇总</v>
      </c>
      <c r="B2117">
        <f>IF(VIPcric_1!B2099="","",VIPcric_1!B2099)</f>
        <v>20066226</v>
      </c>
      <c r="C2117">
        <f>IF(VIPcric_1!C2099="","",VIPcric_1!C2099)</f>
        <v>196474</v>
      </c>
      <c r="D2117">
        <f>IF(VIPcric_1!D2099="","",VIPcric_1!D2099)</f>
        <v>17438851</v>
      </c>
      <c r="E2117">
        <f>IF(VIPcric_1!E2099="","",VIPcric_1!E2099)</f>
        <v>167799</v>
      </c>
      <c r="F2117">
        <f>IF(VIPcric_1!F2099="","",VIPcric_1!F2099)</f>
        <v>25395</v>
      </c>
      <c r="G2117">
        <f>IF(VIPcric_1!G2099="","",VIPcric_1!G2099)</f>
        <v>442856327868</v>
      </c>
      <c r="H2117">
        <f>IF(VIPcric_1!H2099="","",VIPcric_1!H2099)</f>
        <v>1.1499999999999999</v>
      </c>
      <c r="I2117" t="str">
        <f>IF(VIPcric_1!M2099="","",VIPcric_1!M2099)</f>
        <v>CRIC-珠海-市场监测.商品房市场.项目累计.供求.xlsx</v>
      </c>
    </row>
    <row r="2118" spans="1:9">
      <c r="A2118" t="str">
        <f>IF(VIPcric_1!A2100="","",VIPcric_1!A2100)</f>
        <v/>
      </c>
      <c r="B2118" t="str">
        <f>IF(VIPcric_1!B2100="","",VIPcric_1!B2100)</f>
        <v/>
      </c>
      <c r="C2118" t="str">
        <f>IF(VIPcric_1!C2100="","",VIPcric_1!C2100)</f>
        <v/>
      </c>
      <c r="D2118" t="str">
        <f>IF(VIPcric_1!D2100="","",VIPcric_1!D2100)</f>
        <v/>
      </c>
      <c r="E2118" t="str">
        <f>IF(VIPcric_1!E2100="","",VIPcric_1!E2100)</f>
        <v/>
      </c>
      <c r="F2118" t="str">
        <f>IF(VIPcric_1!F2100="","",VIPcric_1!F2100)</f>
        <v/>
      </c>
      <c r="G2118" t="str">
        <f>IF(VIPcric_1!G2100="","",VIPcric_1!G2100)</f>
        <v/>
      </c>
      <c r="H2118" t="str">
        <f>IF(VIPcric_1!H2100="","",VIPcric_1!H2100)</f>
        <v/>
      </c>
      <c r="I2118" t="str">
        <f>IF(VIPcric_1!M2100="","",VIPcric_1!M2100)</f>
        <v/>
      </c>
    </row>
    <row r="2119" spans="1:9">
      <c r="A2119" t="str">
        <f>IF(VIPcric_1!A2101="","",VIPcric_1!A2101)</f>
        <v/>
      </c>
      <c r="B2119" t="str">
        <f>IF(VIPcric_1!B2101="","",VIPcric_1!B2101)</f>
        <v/>
      </c>
      <c r="C2119" t="str">
        <f>IF(VIPcric_1!C2101="","",VIPcric_1!C2101)</f>
        <v/>
      </c>
      <c r="D2119" t="str">
        <f>IF(VIPcric_1!D2101="","",VIPcric_1!D2101)</f>
        <v/>
      </c>
      <c r="E2119" t="str">
        <f>IF(VIPcric_1!E2101="","",VIPcric_1!E2101)</f>
        <v/>
      </c>
      <c r="F2119" t="str">
        <f>IF(VIPcric_1!F2101="","",VIPcric_1!F2101)</f>
        <v/>
      </c>
      <c r="G2119" t="str">
        <f>IF(VIPcric_1!G2101="","",VIPcric_1!G2101)</f>
        <v/>
      </c>
      <c r="H2119" t="str">
        <f>IF(VIPcric_1!H2101="","",VIPcric_1!H2101)</f>
        <v/>
      </c>
      <c r="I2119" t="str">
        <f>IF(VIPcric_1!M2101="","",VIPcric_1!M2101)</f>
        <v>CRIC-珠海-市场监测.商品房市场.项目累计.库存.xlsx</v>
      </c>
    </row>
    <row r="2120" spans="1:9">
      <c r="A2120" t="str">
        <f>IF(VIPcric_1!A2102="","",VIPcric_1!A2102)</f>
        <v>时间(年)</v>
      </c>
      <c r="B2120" t="str">
        <f>IF(VIPcric_1!B2102="","",VIPcric_1!B2102)</f>
        <v>库存面积(㎡)</v>
      </c>
      <c r="C2120" t="str">
        <f>IF(VIPcric_1!C2102="","",VIPcric_1!C2102)</f>
        <v>库存套数(套)</v>
      </c>
      <c r="D2120" t="str">
        <f>IF(VIPcric_1!D2102="","",VIPcric_1!D2102)</f>
        <v>去化周期12'(月)</v>
      </c>
      <c r="E2120" t="str">
        <f>IF(VIPcric_1!E2102="","",VIPcric_1!E2102)</f>
        <v>去化周期24'(月)</v>
      </c>
      <c r="F2120" t="str">
        <f>IF(VIPcric_1!F2102="","",VIPcric_1!F2102)</f>
        <v/>
      </c>
      <c r="G2120" t="str">
        <f>IF(VIPcric_1!G2102="","",VIPcric_1!G2102)</f>
        <v/>
      </c>
      <c r="H2120" t="str">
        <f>IF(VIPcric_1!H2102="","",VIPcric_1!H2102)</f>
        <v/>
      </c>
      <c r="I2120" t="str">
        <f>IF(VIPcric_1!M2102="","",VIPcric_1!M2102)</f>
        <v>CRIC-珠海-市场监测.商品房市场.项目累计.库存.xlsx</v>
      </c>
    </row>
    <row r="2121" spans="1:9">
      <c r="A2121" t="str">
        <f>IF(VIPcric_1!A2103="","",VIPcric_1!A2103)</f>
        <v>2024年</v>
      </c>
      <c r="B2121">
        <f>IF(VIPcric_1!B2103="","",VIPcric_1!B2103)</f>
        <v>13033653</v>
      </c>
      <c r="C2121">
        <f>IF(VIPcric_1!C2103="","",VIPcric_1!C2103)</f>
        <v>114047</v>
      </c>
      <c r="D2121">
        <f>IF(VIPcric_1!D2103="","",VIPcric_1!D2103)</f>
        <v>53.6</v>
      </c>
      <c r="E2121">
        <f>IF(VIPcric_1!E2103="","",VIPcric_1!E2103)</f>
        <v>53.6</v>
      </c>
      <c r="F2121" t="str">
        <f>IF(VIPcric_1!F2103="","",VIPcric_1!F2103)</f>
        <v/>
      </c>
      <c r="G2121" t="str">
        <f>IF(VIPcric_1!G2103="","",VIPcric_1!G2103)</f>
        <v/>
      </c>
      <c r="H2121" t="str">
        <f>IF(VIPcric_1!H2103="","",VIPcric_1!H2103)</f>
        <v/>
      </c>
      <c r="I2121" t="str">
        <f>IF(VIPcric_1!M2103="","",VIPcric_1!M2103)</f>
        <v>CRIC-珠海-市场监测.商品房市场.项目累计.库存.xlsx</v>
      </c>
    </row>
    <row r="2122" spans="1:9">
      <c r="A2122" t="str">
        <f>IF(VIPcric_1!A2104="","",VIPcric_1!A2104)</f>
        <v>2023年</v>
      </c>
      <c r="B2122">
        <f>IF(VIPcric_1!B2104="","",VIPcric_1!B2104)</f>
        <v>12954983</v>
      </c>
      <c r="C2122">
        <f>IF(VIPcric_1!C2104="","",VIPcric_1!C2104)</f>
        <v>113064</v>
      </c>
      <c r="D2122">
        <f>IF(VIPcric_1!D2104="","",VIPcric_1!D2104)</f>
        <v>55.7</v>
      </c>
      <c r="E2122">
        <f>IF(VIPcric_1!E2104="","",VIPcric_1!E2104)</f>
        <v>53.6</v>
      </c>
      <c r="F2122" t="str">
        <f>IF(VIPcric_1!F2104="","",VIPcric_1!F2104)</f>
        <v/>
      </c>
      <c r="G2122" t="str">
        <f>IF(VIPcric_1!G2104="","",VIPcric_1!G2104)</f>
        <v/>
      </c>
      <c r="H2122" t="str">
        <f>IF(VIPcric_1!H2104="","",VIPcric_1!H2104)</f>
        <v/>
      </c>
      <c r="I2122" t="str">
        <f>IF(VIPcric_1!M2104="","",VIPcric_1!M2104)</f>
        <v>CRIC-珠海-市场监测.商品房市场.项目累计.库存.xlsx</v>
      </c>
    </row>
    <row r="2123" spans="1:9">
      <c r="A2123" t="str">
        <f>IF(VIPcric_1!A2105="","",VIPcric_1!A2105)</f>
        <v>2022年</v>
      </c>
      <c r="B2123">
        <f>IF(VIPcric_1!B2105="","",VIPcric_1!B2105)</f>
        <v>12334213</v>
      </c>
      <c r="C2123">
        <f>IF(VIPcric_1!C2105="","",VIPcric_1!C2105)</f>
        <v>108037</v>
      </c>
      <c r="D2123">
        <f>IF(VIPcric_1!D2105="","",VIPcric_1!D2105)</f>
        <v>49.2</v>
      </c>
      <c r="E2123">
        <f>IF(VIPcric_1!E2105="","",VIPcric_1!E2105)</f>
        <v>33.5</v>
      </c>
      <c r="F2123" t="str">
        <f>IF(VIPcric_1!F2105="","",VIPcric_1!F2105)</f>
        <v/>
      </c>
      <c r="G2123" t="str">
        <f>IF(VIPcric_1!G2105="","",VIPcric_1!G2105)</f>
        <v/>
      </c>
      <c r="H2123" t="str">
        <f>IF(VIPcric_1!H2105="","",VIPcric_1!H2105)</f>
        <v/>
      </c>
      <c r="I2123" t="str">
        <f>IF(VIPcric_1!M2105="","",VIPcric_1!M2105)</f>
        <v>CRIC-珠海-市场监测.商品房市场.项目累计.库存.xlsx</v>
      </c>
    </row>
    <row r="2124" spans="1:9">
      <c r="A2124" t="str">
        <f>IF(VIPcric_1!A2106="","",VIPcric_1!A2106)</f>
        <v>2021年</v>
      </c>
      <c r="B2124">
        <f>IF(VIPcric_1!B2106="","",VIPcric_1!B2106)</f>
        <v>11438502</v>
      </c>
      <c r="C2124">
        <f>IF(VIPcric_1!C2106="","",VIPcric_1!C2106)</f>
        <v>103552</v>
      </c>
      <c r="D2124">
        <f>IF(VIPcric_1!D2106="","",VIPcric_1!D2106)</f>
        <v>23.5</v>
      </c>
      <c r="E2124">
        <f>IF(VIPcric_1!E2106="","",VIPcric_1!E2106)</f>
        <v>27.3</v>
      </c>
      <c r="F2124" t="str">
        <f>IF(VIPcric_1!F2106="","",VIPcric_1!F2106)</f>
        <v/>
      </c>
      <c r="G2124" t="str">
        <f>IF(VIPcric_1!G2106="","",VIPcric_1!G2106)</f>
        <v/>
      </c>
      <c r="H2124" t="str">
        <f>IF(VIPcric_1!H2106="","",VIPcric_1!H2106)</f>
        <v/>
      </c>
      <c r="I2124" t="str">
        <f>IF(VIPcric_1!M2106="","",VIPcric_1!M2106)</f>
        <v>CRIC-珠海-市场监测.商品房市场.项目累计.库存.xlsx</v>
      </c>
    </row>
    <row r="2125" spans="1:9">
      <c r="A2125" t="str">
        <f>IF(VIPcric_1!A2107="","",VIPcric_1!A2107)</f>
        <v>2020年</v>
      </c>
      <c r="B2125">
        <f>IF(VIPcric_1!B2107="","",VIPcric_1!B2107)</f>
        <v>10699976</v>
      </c>
      <c r="C2125">
        <f>IF(VIPcric_1!C2107="","",VIPcric_1!C2107)</f>
        <v>101357</v>
      </c>
      <c r="D2125">
        <f>IF(VIPcric_1!D2107="","",VIPcric_1!D2107)</f>
        <v>30.4</v>
      </c>
      <c r="E2125">
        <f>IF(VIPcric_1!E2107="","",VIPcric_1!E2107)</f>
        <v>27.1</v>
      </c>
      <c r="F2125" t="str">
        <f>IF(VIPcric_1!F2107="","",VIPcric_1!F2107)</f>
        <v/>
      </c>
      <c r="G2125" t="str">
        <f>IF(VIPcric_1!G2107="","",VIPcric_1!G2107)</f>
        <v/>
      </c>
      <c r="H2125" t="str">
        <f>IF(VIPcric_1!H2107="","",VIPcric_1!H2107)</f>
        <v/>
      </c>
      <c r="I2125" t="str">
        <f>IF(VIPcric_1!M2107="","",VIPcric_1!M2107)</f>
        <v>CRIC-珠海-市场监测.商品房市场.项目累计.库存.xlsx</v>
      </c>
    </row>
    <row r="2126" spans="1:9">
      <c r="A2126" t="str">
        <f>IF(VIPcric_1!A2108="","",VIPcric_1!A2108)</f>
        <v>2019年</v>
      </c>
      <c r="B2126">
        <f>IF(VIPcric_1!B2108="","",VIPcric_1!B2108)</f>
        <v>10364601</v>
      </c>
      <c r="C2126">
        <f>IF(VIPcric_1!C2108="","",VIPcric_1!C2108)</f>
        <v>94768</v>
      </c>
      <c r="D2126">
        <f>IF(VIPcric_1!D2108="","",VIPcric_1!D2108)</f>
        <v>23.7</v>
      </c>
      <c r="E2126">
        <f>IF(VIPcric_1!E2108="","",VIPcric_1!E2108)</f>
        <v>31.2</v>
      </c>
      <c r="F2126" t="str">
        <f>IF(VIPcric_1!F2108="","",VIPcric_1!F2108)</f>
        <v/>
      </c>
      <c r="G2126" t="str">
        <f>IF(VIPcric_1!G2108="","",VIPcric_1!G2108)</f>
        <v/>
      </c>
      <c r="H2126" t="str">
        <f>IF(VIPcric_1!H2108="","",VIPcric_1!H2108)</f>
        <v/>
      </c>
      <c r="I2126" t="str">
        <f>IF(VIPcric_1!M2108="","",VIPcric_1!M2108)</f>
        <v>CRIC-珠海-市场监测.商品房市场.项目累计.库存.xlsx</v>
      </c>
    </row>
    <row r="2134" spans="1:9">
      <c r="A2134" t="str">
        <f>IF(VIPcric_1!A2109="","",VIPcric_1!A2109)</f>
        <v/>
      </c>
      <c r="B2134" t="str">
        <f>IF(VIPcric_1!B2109="","",VIPcric_1!B2109)</f>
        <v/>
      </c>
      <c r="C2134" t="str">
        <f>IF(VIPcric_1!C2109="","",VIPcric_1!C2109)</f>
        <v/>
      </c>
      <c r="D2134" t="str">
        <f>IF(VIPcric_1!D2109="","",VIPcric_1!D2109)</f>
        <v/>
      </c>
      <c r="E2134" t="str">
        <f>IF(VIPcric_1!E2109="","",VIPcric_1!E2109)</f>
        <v/>
      </c>
      <c r="F2134" t="str">
        <f>IF(VIPcric_1!F2109="","",VIPcric_1!F2109)</f>
        <v/>
      </c>
      <c r="G2134" t="str">
        <f>IF(VIPcric_1!G2109="","",VIPcric_1!G2109)</f>
        <v/>
      </c>
      <c r="H2134" t="str">
        <f>IF(VIPcric_1!H2109="","",VIPcric_1!H2109)</f>
        <v/>
      </c>
      <c r="I2134" t="str">
        <f>IF(VIPcric_1!M2109="","",VIPcric_1!M2109)</f>
        <v/>
      </c>
    </row>
    <row r="2135" spans="1:9">
      <c r="A2135" t="str">
        <f>IF(VIPcric_1!A2110="","",VIPcric_1!A2110)</f>
        <v/>
      </c>
      <c r="B2135" t="str">
        <f>IF(VIPcric_1!B2110="","",VIPcric_1!B2110)</f>
        <v/>
      </c>
      <c r="C2135" t="str">
        <f>IF(VIPcric_1!C2110="","",VIPcric_1!C2110)</f>
        <v/>
      </c>
      <c r="D2135" t="str">
        <f>IF(VIPcric_1!D2110="","",VIPcric_1!D2110)</f>
        <v/>
      </c>
      <c r="E2135" t="str">
        <f>IF(VIPcric_1!E2110="","",VIPcric_1!E2110)</f>
        <v/>
      </c>
      <c r="F2135" t="str">
        <f>IF(VIPcric_1!F2110="","",VIPcric_1!F2110)</f>
        <v/>
      </c>
      <c r="G2135" t="str">
        <f>IF(VIPcric_1!G2110="","",VIPcric_1!G2110)</f>
        <v/>
      </c>
      <c r="H2135" t="str">
        <f>IF(VIPcric_1!H2110="","",VIPcric_1!H2110)</f>
        <v/>
      </c>
      <c r="I2135" t="str">
        <f>IF(VIPcric_1!M2110="","",VIPcric_1!M2110)</f>
        <v>CRIC-琼中-市场监测.商品房市场.项目累计.供求.xlsx</v>
      </c>
    </row>
    <row r="2136" spans="1:9">
      <c r="A2136" t="str">
        <f>IF(VIPcric_1!A2111="","",VIPcric_1!A2111)</f>
        <v>时间(年)</v>
      </c>
      <c r="B2136" t="str">
        <f>IF(VIPcric_1!B2111="","",VIPcric_1!B2111)</f>
        <v>供应面积(㎡)</v>
      </c>
      <c r="C2136" t="str">
        <f>IF(VIPcric_1!C2111="","",VIPcric_1!C2111)</f>
        <v>供应套数(套)</v>
      </c>
      <c r="D2136" t="str">
        <f>IF(VIPcric_1!D2111="","",VIPcric_1!D2111)</f>
        <v>成交面积(㎡)</v>
      </c>
      <c r="E2136" t="str">
        <f>IF(VIPcric_1!E2111="","",VIPcric_1!E2111)</f>
        <v>成交套数(套)</v>
      </c>
      <c r="F2136" t="str">
        <f>IF(VIPcric_1!F2111="","",VIPcric_1!F2111)</f>
        <v>成交均价(元/㎡)</v>
      </c>
      <c r="G2136" t="str">
        <f>IF(VIPcric_1!G2111="","",VIPcric_1!G2111)</f>
        <v>成交金额(元)</v>
      </c>
      <c r="H2136" t="str">
        <f>IF(VIPcric_1!H2111="","",VIPcric_1!H2111)</f>
        <v>供求比</v>
      </c>
      <c r="I2136" t="str">
        <f>IF(VIPcric_1!M2111="","",VIPcric_1!M2111)</f>
        <v>CRIC-琼中-市场监测.商品房市场.项目累计.供求.xlsx</v>
      </c>
    </row>
    <row r="2137" spans="1:9">
      <c r="A2137" t="str">
        <f>IF(VIPcric_1!A2112="","",VIPcric_1!A2112)</f>
        <v>2024年</v>
      </c>
      <c r="B2137">
        <f>IF(VIPcric_1!B2112="","",VIPcric_1!B2112)</f>
        <v>0</v>
      </c>
      <c r="C2137">
        <f>IF(VIPcric_1!C2112="","",VIPcric_1!C2112)</f>
        <v>0</v>
      </c>
      <c r="D2137">
        <f>IF(VIPcric_1!D2112="","",VIPcric_1!D2112)</f>
        <v>1063</v>
      </c>
      <c r="E2137">
        <f>IF(VIPcric_1!E2112="","",VIPcric_1!E2112)</f>
        <v>11</v>
      </c>
      <c r="F2137">
        <f>IF(VIPcric_1!F2112="","",VIPcric_1!F2112)</f>
        <v>9357</v>
      </c>
      <c r="G2137">
        <f>IF(VIPcric_1!G2112="","",VIPcric_1!G2112)</f>
        <v>9949745</v>
      </c>
      <c r="H2137">
        <f>IF(VIPcric_1!H2112="","",VIPcric_1!H2112)</f>
        <v>0</v>
      </c>
      <c r="I2137" t="str">
        <f>IF(VIPcric_1!M2112="","",VIPcric_1!M2112)</f>
        <v>CRIC-琼中-市场监测.商品房市场.项目累计.供求.xlsx</v>
      </c>
    </row>
    <row r="2138" spans="1:9">
      <c r="A2138" t="str">
        <f>IF(VIPcric_1!A2113="","",VIPcric_1!A2113)</f>
        <v>2023年</v>
      </c>
      <c r="B2138">
        <f>IF(VIPcric_1!B2113="","",VIPcric_1!B2113)</f>
        <v>18464</v>
      </c>
      <c r="C2138">
        <f>IF(VIPcric_1!C2113="","",VIPcric_1!C2113)</f>
        <v>164</v>
      </c>
      <c r="D2138">
        <f>IF(VIPcric_1!D2113="","",VIPcric_1!D2113)</f>
        <v>8249</v>
      </c>
      <c r="E2138">
        <f>IF(VIPcric_1!E2113="","",VIPcric_1!E2113)</f>
        <v>80</v>
      </c>
      <c r="F2138">
        <f>IF(VIPcric_1!F2113="","",VIPcric_1!F2113)</f>
        <v>8655</v>
      </c>
      <c r="G2138">
        <f>IF(VIPcric_1!G2113="","",VIPcric_1!G2113)</f>
        <v>71392140</v>
      </c>
      <c r="H2138">
        <f>IF(VIPcric_1!H2113="","",VIPcric_1!H2113)</f>
        <v>2.2400000000000002</v>
      </c>
      <c r="I2138" t="str">
        <f>IF(VIPcric_1!M2113="","",VIPcric_1!M2113)</f>
        <v>CRIC-琼中-市场监测.商品房市场.项目累计.供求.xlsx</v>
      </c>
    </row>
    <row r="2139" spans="1:9">
      <c r="A2139" t="str">
        <f>IF(VIPcric_1!A2114="","",VIPcric_1!A2114)</f>
        <v>2022年</v>
      </c>
      <c r="B2139">
        <f>IF(VIPcric_1!B2114="","",VIPcric_1!B2114)</f>
        <v>0</v>
      </c>
      <c r="C2139">
        <f>IF(VIPcric_1!C2114="","",VIPcric_1!C2114)</f>
        <v>0</v>
      </c>
      <c r="D2139">
        <f>IF(VIPcric_1!D2114="","",VIPcric_1!D2114)</f>
        <v>2600</v>
      </c>
      <c r="E2139">
        <f>IF(VIPcric_1!E2114="","",VIPcric_1!E2114)</f>
        <v>26</v>
      </c>
      <c r="F2139">
        <f>IF(VIPcric_1!F2114="","",VIPcric_1!F2114)</f>
        <v>8205</v>
      </c>
      <c r="G2139">
        <f>IF(VIPcric_1!G2114="","",VIPcric_1!G2114)</f>
        <v>21328499</v>
      </c>
      <c r="H2139">
        <f>IF(VIPcric_1!H2114="","",VIPcric_1!H2114)</f>
        <v>0</v>
      </c>
      <c r="I2139" t="str">
        <f>IF(VIPcric_1!M2114="","",VIPcric_1!M2114)</f>
        <v>CRIC-琼中-市场监测.商品房市场.项目累计.供求.xlsx</v>
      </c>
    </row>
    <row r="2140" spans="1:9">
      <c r="A2140" t="str">
        <f>IF(VIPcric_1!A2115="","",VIPcric_1!A2115)</f>
        <v>2021年</v>
      </c>
      <c r="B2140">
        <f>IF(VIPcric_1!B2115="","",VIPcric_1!B2115)</f>
        <v>8018</v>
      </c>
      <c r="C2140">
        <f>IF(VIPcric_1!C2115="","",VIPcric_1!C2115)</f>
        <v>129</v>
      </c>
      <c r="D2140">
        <f>IF(VIPcric_1!D2115="","",VIPcric_1!D2115)</f>
        <v>260</v>
      </c>
      <c r="E2140">
        <f>IF(VIPcric_1!E2115="","",VIPcric_1!E2115)</f>
        <v>2</v>
      </c>
      <c r="F2140">
        <f>IF(VIPcric_1!F2115="","",VIPcric_1!F2115)</f>
        <v>6542</v>
      </c>
      <c r="G2140">
        <f>IF(VIPcric_1!G2115="","",VIPcric_1!G2115)</f>
        <v>1702276</v>
      </c>
      <c r="H2140">
        <f>IF(VIPcric_1!H2115="","",VIPcric_1!H2115)</f>
        <v>30.82</v>
      </c>
      <c r="I2140" t="str">
        <f>IF(VIPcric_1!M2115="","",VIPcric_1!M2115)</f>
        <v>CRIC-琼中-市场监测.商品房市场.项目累计.供求.xlsx</v>
      </c>
    </row>
    <row r="2141" spans="1:9">
      <c r="A2141" t="str">
        <f>IF(VIPcric_1!A2116="","",VIPcric_1!A2116)</f>
        <v>汇总</v>
      </c>
      <c r="B2141">
        <f>IF(VIPcric_1!B2116="","",VIPcric_1!B2116)</f>
        <v>26482</v>
      </c>
      <c r="C2141">
        <f>IF(VIPcric_1!C2116="","",VIPcric_1!C2116)</f>
        <v>293</v>
      </c>
      <c r="D2141">
        <f>IF(VIPcric_1!D2116="","",VIPcric_1!D2116)</f>
        <v>12172</v>
      </c>
      <c r="E2141">
        <f>IF(VIPcric_1!E2116="","",VIPcric_1!E2116)</f>
        <v>119</v>
      </c>
      <c r="F2141">
        <f>IF(VIPcric_1!F2116="","",VIPcric_1!F2116)</f>
        <v>8575</v>
      </c>
      <c r="G2141">
        <f>IF(VIPcric_1!G2116="","",VIPcric_1!G2116)</f>
        <v>104372660</v>
      </c>
      <c r="H2141">
        <f>IF(VIPcric_1!H2116="","",VIPcric_1!H2116)</f>
        <v>2.1800000000000002</v>
      </c>
      <c r="I2141" t="str">
        <f>IF(VIPcric_1!M2116="","",VIPcric_1!M2116)</f>
        <v>CRIC-琼中-市场监测.商品房市场.项目累计.供求.xlsx</v>
      </c>
    </row>
    <row r="2142" spans="1:9">
      <c r="A2142" t="str">
        <f>IF(VIPcric_1!A2117="","",VIPcric_1!A2117)</f>
        <v/>
      </c>
      <c r="B2142" t="str">
        <f>IF(VIPcric_1!B2117="","",VIPcric_1!B2117)</f>
        <v/>
      </c>
      <c r="C2142" t="str">
        <f>IF(VIPcric_1!C2117="","",VIPcric_1!C2117)</f>
        <v/>
      </c>
      <c r="D2142" t="str">
        <f>IF(VIPcric_1!D2117="","",VIPcric_1!D2117)</f>
        <v/>
      </c>
      <c r="E2142" t="str">
        <f>IF(VIPcric_1!E2117="","",VIPcric_1!E2117)</f>
        <v/>
      </c>
      <c r="F2142" t="str">
        <f>IF(VIPcric_1!F2117="","",VIPcric_1!F2117)</f>
        <v/>
      </c>
      <c r="G2142" t="str">
        <f>IF(VIPcric_1!G2117="","",VIPcric_1!G2117)</f>
        <v/>
      </c>
      <c r="H2142" t="str">
        <f>IF(VIPcric_1!H2117="","",VIPcric_1!H2117)</f>
        <v/>
      </c>
      <c r="I2142" t="str">
        <f>IF(VIPcric_1!M2117="","",VIPcric_1!M2117)</f>
        <v/>
      </c>
    </row>
    <row r="2143" spans="1:9">
      <c r="A2143" t="str">
        <f>IF(VIPcric_1!A2118="","",VIPcric_1!A2118)</f>
        <v/>
      </c>
      <c r="B2143" t="str">
        <f>IF(VIPcric_1!B2118="","",VIPcric_1!B2118)</f>
        <v/>
      </c>
      <c r="C2143" t="str">
        <f>IF(VIPcric_1!C2118="","",VIPcric_1!C2118)</f>
        <v/>
      </c>
      <c r="D2143" t="str">
        <f>IF(VIPcric_1!D2118="","",VIPcric_1!D2118)</f>
        <v/>
      </c>
      <c r="E2143" t="str">
        <f>IF(VIPcric_1!E2118="","",VIPcric_1!E2118)</f>
        <v/>
      </c>
      <c r="F2143" t="str">
        <f>IF(VIPcric_1!F2118="","",VIPcric_1!F2118)</f>
        <v/>
      </c>
      <c r="G2143" t="str">
        <f>IF(VIPcric_1!G2118="","",VIPcric_1!G2118)</f>
        <v/>
      </c>
      <c r="H2143" t="str">
        <f>IF(VIPcric_1!H2118="","",VIPcric_1!H2118)</f>
        <v/>
      </c>
      <c r="I2143" t="str">
        <f>IF(VIPcric_1!M2118="","",VIPcric_1!M2118)</f>
        <v>CRIC-琼中-市场监测.商品房市场.项目累计.库存.xlsx</v>
      </c>
    </row>
    <row r="2144" spans="1:9">
      <c r="A2144" t="str">
        <f>IF(VIPcric_1!A2119="","",VIPcric_1!A2119)</f>
        <v>时间(年)</v>
      </c>
      <c r="B2144" t="str">
        <f>IF(VIPcric_1!B2119="","",VIPcric_1!B2119)</f>
        <v>库存面积(㎡)</v>
      </c>
      <c r="C2144" t="str">
        <f>IF(VIPcric_1!C2119="","",VIPcric_1!C2119)</f>
        <v>库存套数(套)</v>
      </c>
      <c r="D2144" t="str">
        <f>IF(VIPcric_1!D2119="","",VIPcric_1!D2119)</f>
        <v>去化周期12'(月)</v>
      </c>
      <c r="E2144" t="str">
        <f>IF(VIPcric_1!E2119="","",VIPcric_1!E2119)</f>
        <v/>
      </c>
      <c r="F2144" t="str">
        <f>IF(VIPcric_1!F2119="","",VIPcric_1!F2119)</f>
        <v/>
      </c>
      <c r="G2144" t="str">
        <f>IF(VIPcric_1!G2119="","",VIPcric_1!G2119)</f>
        <v/>
      </c>
      <c r="H2144" t="str">
        <f>IF(VIPcric_1!H2119="","",VIPcric_1!H2119)</f>
        <v/>
      </c>
      <c r="I2144" t="str">
        <f>IF(VIPcric_1!M2119="","",VIPcric_1!M2119)</f>
        <v>CRIC-琼中-市场监测.商品房市场.项目累计.库存.xlsx</v>
      </c>
    </row>
    <row r="2145" spans="1:9">
      <c r="A2145" t="str">
        <f>IF(VIPcric_1!A2120="","",VIPcric_1!A2120)</f>
        <v>2024年</v>
      </c>
      <c r="B2145">
        <f>IF(VIPcric_1!B2120="","",VIPcric_1!B2120)</f>
        <v>103750</v>
      </c>
      <c r="C2145">
        <f>IF(VIPcric_1!C2120="","",VIPcric_1!C2120)</f>
        <v>1567</v>
      </c>
      <c r="D2145">
        <f>IF(VIPcric_1!D2120="","",VIPcric_1!D2120)</f>
        <v>147.5</v>
      </c>
      <c r="E2145" t="str">
        <f>IF(VIPcric_1!E2120="","",VIPcric_1!E2120)</f>
        <v/>
      </c>
      <c r="F2145" t="str">
        <f>IF(VIPcric_1!F2120="","",VIPcric_1!F2120)</f>
        <v/>
      </c>
      <c r="G2145" t="str">
        <f>IF(VIPcric_1!G2120="","",VIPcric_1!G2120)</f>
        <v/>
      </c>
      <c r="H2145" t="str">
        <f>IF(VIPcric_1!H2120="","",VIPcric_1!H2120)</f>
        <v/>
      </c>
      <c r="I2145" t="str">
        <f>IF(VIPcric_1!M2120="","",VIPcric_1!M2120)</f>
        <v>CRIC-琼中-市场监测.商品房市场.项目累计.库存.xlsx</v>
      </c>
    </row>
    <row r="2146" spans="1:9">
      <c r="A2146" t="str">
        <f>IF(VIPcric_1!A2121="","",VIPcric_1!A2121)</f>
        <v>2023年</v>
      </c>
      <c r="B2146">
        <f>IF(VIPcric_1!B2121="","",VIPcric_1!B2121)</f>
        <v>104814</v>
      </c>
      <c r="C2146">
        <f>IF(VIPcric_1!C2121="","",VIPcric_1!C2121)</f>
        <v>1578</v>
      </c>
      <c r="D2146">
        <f>IF(VIPcric_1!D2121="","",VIPcric_1!D2121)</f>
        <v>152.5</v>
      </c>
      <c r="E2146" t="str">
        <f>IF(VIPcric_1!E2121="","",VIPcric_1!E2121)</f>
        <v/>
      </c>
      <c r="F2146" t="str">
        <f>IF(VIPcric_1!F2121="","",VIPcric_1!F2121)</f>
        <v/>
      </c>
      <c r="G2146" t="str">
        <f>IF(VIPcric_1!G2121="","",VIPcric_1!G2121)</f>
        <v/>
      </c>
      <c r="H2146" t="str">
        <f>IF(VIPcric_1!H2121="","",VIPcric_1!H2121)</f>
        <v/>
      </c>
      <c r="I2146" t="str">
        <f>IF(VIPcric_1!M2121="","",VIPcric_1!M2121)</f>
        <v>CRIC-琼中-市场监测.商品房市场.项目累计.库存.xlsx</v>
      </c>
    </row>
    <row r="2147" spans="1:9">
      <c r="A2147" t="str">
        <f>IF(VIPcric_1!A2122="","",VIPcric_1!A2122)</f>
        <v>2022年</v>
      </c>
      <c r="B2147">
        <f>IF(VIPcric_1!B2122="","",VIPcric_1!B2122)</f>
        <v>94179</v>
      </c>
      <c r="C2147">
        <f>IF(VIPcric_1!C2122="","",VIPcric_1!C2122)</f>
        <v>1487</v>
      </c>
      <c r="D2147">
        <f>IF(VIPcric_1!D2122="","",VIPcric_1!D2122)</f>
        <v>434.7</v>
      </c>
      <c r="E2147" t="str">
        <f>IF(VIPcric_1!E2122="","",VIPcric_1!E2122)</f>
        <v/>
      </c>
      <c r="F2147" t="str">
        <f>IF(VIPcric_1!F2122="","",VIPcric_1!F2122)</f>
        <v/>
      </c>
      <c r="G2147" t="str">
        <f>IF(VIPcric_1!G2122="","",VIPcric_1!G2122)</f>
        <v/>
      </c>
      <c r="H2147" t="str">
        <f>IF(VIPcric_1!H2122="","",VIPcric_1!H2122)</f>
        <v/>
      </c>
      <c r="I2147" t="str">
        <f>IF(VIPcric_1!M2122="","",VIPcric_1!M2122)</f>
        <v>CRIC-琼中-市场监测.商品房市场.项目累计.库存.xlsx</v>
      </c>
    </row>
    <row r="2148" spans="1:9">
      <c r="A2148" t="str">
        <f>IF(VIPcric_1!A2123="","",VIPcric_1!A2123)</f>
        <v>2021年</v>
      </c>
      <c r="B2148">
        <f>IF(VIPcric_1!B2123="","",VIPcric_1!B2123)</f>
        <v>127728</v>
      </c>
      <c r="C2148">
        <f>IF(VIPcric_1!C2123="","",VIPcric_1!C2123)</f>
        <v>1995</v>
      </c>
      <c r="D2148">
        <f>IF(VIPcric_1!D2123="","",VIPcric_1!D2123)</f>
        <v>5890.8</v>
      </c>
      <c r="E2148" t="str">
        <f>IF(VIPcric_1!E2123="","",VIPcric_1!E2123)</f>
        <v/>
      </c>
      <c r="F2148" t="str">
        <f>IF(VIPcric_1!F2123="","",VIPcric_1!F2123)</f>
        <v/>
      </c>
      <c r="G2148" t="str">
        <f>IF(VIPcric_1!G2123="","",VIPcric_1!G2123)</f>
        <v/>
      </c>
      <c r="H2148" t="str">
        <f>IF(VIPcric_1!H2123="","",VIPcric_1!H2123)</f>
        <v/>
      </c>
      <c r="I2148" t="str">
        <f>IF(VIPcric_1!M2123="","",VIPcric_1!M2123)</f>
        <v>CRIC-琼中-市场监测.商品房市场.项目累计.库存.xlsx</v>
      </c>
    </row>
    <row r="2149" spans="1:9">
      <c r="A2149" t="str">
        <f>IF(VIPcric_1!A2124="","",VIPcric_1!A2124)</f>
        <v/>
      </c>
      <c r="B2149" t="str">
        <f>IF(VIPcric_1!B2124="","",VIPcric_1!B2124)</f>
        <v/>
      </c>
      <c r="C2149" t="str">
        <f>IF(VIPcric_1!C2124="","",VIPcric_1!C2124)</f>
        <v/>
      </c>
      <c r="D2149" t="str">
        <f>IF(VIPcric_1!D2124="","",VIPcric_1!D2124)</f>
        <v/>
      </c>
      <c r="E2149" t="str">
        <f>IF(VIPcric_1!E2124="","",VIPcric_1!E2124)</f>
        <v/>
      </c>
      <c r="F2149" t="str">
        <f>IF(VIPcric_1!F2124="","",VIPcric_1!F2124)</f>
        <v/>
      </c>
      <c r="G2149" t="str">
        <f>IF(VIPcric_1!G2124="","",VIPcric_1!G2124)</f>
        <v/>
      </c>
      <c r="H2149" t="str">
        <f>IF(VIPcric_1!H2124="","",VIPcric_1!H2124)</f>
        <v/>
      </c>
      <c r="I2149" t="str">
        <f>IF(VIPcric_1!M2124="","",VIPcric_1!M2124)</f>
        <v/>
      </c>
    </row>
    <row r="2150" spans="1:9">
      <c r="A2150" t="str">
        <f>IF(VIPcric_1!A2125="","",VIPcric_1!A2125)</f>
        <v/>
      </c>
      <c r="B2150" t="str">
        <f>IF(VIPcric_1!B2125="","",VIPcric_1!B2125)</f>
        <v/>
      </c>
      <c r="C2150" t="str">
        <f>IF(VIPcric_1!C2125="","",VIPcric_1!C2125)</f>
        <v/>
      </c>
      <c r="D2150" t="str">
        <f>IF(VIPcric_1!D2125="","",VIPcric_1!D2125)</f>
        <v/>
      </c>
      <c r="E2150" t="str">
        <f>IF(VIPcric_1!E2125="","",VIPcric_1!E2125)</f>
        <v/>
      </c>
      <c r="F2150" t="str">
        <f>IF(VIPcric_1!F2125="","",VIPcric_1!F2125)</f>
        <v/>
      </c>
      <c r="G2150" t="str">
        <f>IF(VIPcric_1!G2125="","",VIPcric_1!G2125)</f>
        <v/>
      </c>
      <c r="H2150" t="str">
        <f>IF(VIPcric_1!H2125="","",VIPcric_1!H2125)</f>
        <v/>
      </c>
      <c r="I2150" t="str">
        <f>IF(VIPcric_1!M2125="","",VIPcric_1!M2125)</f>
        <v>CRIC-琼海-市场监测.商品房市场.项目累计.供求.xlsx</v>
      </c>
    </row>
    <row r="2151" spans="1:9">
      <c r="A2151" t="str">
        <f>IF(VIPcric_1!A2126="","",VIPcric_1!A2126)</f>
        <v>时间(年)</v>
      </c>
      <c r="B2151" t="str">
        <f>IF(VIPcric_1!B2126="","",VIPcric_1!B2126)</f>
        <v>供应面积(㎡)</v>
      </c>
      <c r="C2151" t="str">
        <f>IF(VIPcric_1!C2126="","",VIPcric_1!C2126)</f>
        <v>供应套数(套)</v>
      </c>
      <c r="D2151" t="str">
        <f>IF(VIPcric_1!D2126="","",VIPcric_1!D2126)</f>
        <v>成交面积(㎡)</v>
      </c>
      <c r="E2151" t="str">
        <f>IF(VIPcric_1!E2126="","",VIPcric_1!E2126)</f>
        <v>成交套数(套)</v>
      </c>
      <c r="F2151" t="str">
        <f>IF(VIPcric_1!F2126="","",VIPcric_1!F2126)</f>
        <v>成交均价(元/㎡)</v>
      </c>
      <c r="G2151" t="str">
        <f>IF(VIPcric_1!G2126="","",VIPcric_1!G2126)</f>
        <v>成交金额(元)</v>
      </c>
      <c r="H2151" t="str">
        <f>IF(VIPcric_1!H2126="","",VIPcric_1!H2126)</f>
        <v>供求比</v>
      </c>
      <c r="I2151" t="str">
        <f>IF(VIPcric_1!M2126="","",VIPcric_1!M2126)</f>
        <v>CRIC-琼海-市场监测.商品房市场.项目累计.供求.xlsx</v>
      </c>
    </row>
    <row r="2152" spans="1:9">
      <c r="A2152" t="str">
        <f>IF(VIPcric_1!A2127="","",VIPcric_1!A2127)</f>
        <v>2024年</v>
      </c>
      <c r="B2152">
        <f>IF(VIPcric_1!B2127="","",VIPcric_1!B2127)</f>
        <v>16123</v>
      </c>
      <c r="C2152">
        <f>IF(VIPcric_1!C2127="","",VIPcric_1!C2127)</f>
        <v>200</v>
      </c>
      <c r="D2152">
        <f>IF(VIPcric_1!D2127="","",VIPcric_1!D2127)</f>
        <v>20213</v>
      </c>
      <c r="E2152">
        <f>IF(VIPcric_1!E2127="","",VIPcric_1!E2127)</f>
        <v>223</v>
      </c>
      <c r="F2152">
        <f>IF(VIPcric_1!F2127="","",VIPcric_1!F2127)</f>
        <v>13257</v>
      </c>
      <c r="G2152">
        <f>IF(VIPcric_1!G2127="","",VIPcric_1!G2127)</f>
        <v>267954044</v>
      </c>
      <c r="H2152">
        <f>IF(VIPcric_1!H2127="","",VIPcric_1!H2127)</f>
        <v>0.8</v>
      </c>
      <c r="I2152" t="str">
        <f>IF(VIPcric_1!M2127="","",VIPcric_1!M2127)</f>
        <v>CRIC-琼海-市场监测.商品房市场.项目累计.供求.xlsx</v>
      </c>
    </row>
    <row r="2153" spans="1:9">
      <c r="A2153" t="str">
        <f>IF(VIPcric_1!A2128="","",VIPcric_1!A2128)</f>
        <v>2023年</v>
      </c>
      <c r="B2153">
        <f>IF(VIPcric_1!B2128="","",VIPcric_1!B2128)</f>
        <v>201041</v>
      </c>
      <c r="C2153">
        <f>IF(VIPcric_1!C2128="","",VIPcric_1!C2128)</f>
        <v>1813</v>
      </c>
      <c r="D2153">
        <f>IF(VIPcric_1!D2128="","",VIPcric_1!D2128)</f>
        <v>352919</v>
      </c>
      <c r="E2153">
        <f>IF(VIPcric_1!E2128="","",VIPcric_1!E2128)</f>
        <v>4124</v>
      </c>
      <c r="F2153">
        <f>IF(VIPcric_1!F2128="","",VIPcric_1!F2128)</f>
        <v>14729</v>
      </c>
      <c r="G2153">
        <f>IF(VIPcric_1!G2128="","",VIPcric_1!G2128)</f>
        <v>5198211048</v>
      </c>
      <c r="H2153">
        <f>IF(VIPcric_1!H2128="","",VIPcric_1!H2128)</f>
        <v>0.56999999999999995</v>
      </c>
      <c r="I2153" t="str">
        <f>IF(VIPcric_1!M2128="","",VIPcric_1!M2128)</f>
        <v>CRIC-琼海-市场监测.商品房市场.项目累计.供求.xlsx</v>
      </c>
    </row>
    <row r="2154" spans="1:9">
      <c r="A2154" t="str">
        <f>IF(VIPcric_1!A2129="","",VIPcric_1!A2129)</f>
        <v>2022年</v>
      </c>
      <c r="B2154">
        <f>IF(VIPcric_1!B2129="","",VIPcric_1!B2129)</f>
        <v>186499</v>
      </c>
      <c r="C2154">
        <f>IF(VIPcric_1!C2129="","",VIPcric_1!C2129)</f>
        <v>2132</v>
      </c>
      <c r="D2154">
        <f>IF(VIPcric_1!D2129="","",VIPcric_1!D2129)</f>
        <v>206023</v>
      </c>
      <c r="E2154">
        <f>IF(VIPcric_1!E2129="","",VIPcric_1!E2129)</f>
        <v>2298</v>
      </c>
      <c r="F2154">
        <f>IF(VIPcric_1!F2129="","",VIPcric_1!F2129)</f>
        <v>13228</v>
      </c>
      <c r="G2154">
        <f>IF(VIPcric_1!G2129="","",VIPcric_1!G2129)</f>
        <v>2725285495</v>
      </c>
      <c r="H2154">
        <f>IF(VIPcric_1!H2129="","",VIPcric_1!H2129)</f>
        <v>0.91</v>
      </c>
      <c r="I2154" t="str">
        <f>IF(VIPcric_1!M2129="","",VIPcric_1!M2129)</f>
        <v>CRIC-琼海-市场监测.商品房市场.项目累计.供求.xlsx</v>
      </c>
    </row>
    <row r="2155" spans="1:9">
      <c r="A2155" t="str">
        <f>IF(VIPcric_1!A2130="","",VIPcric_1!A2130)</f>
        <v>2021年</v>
      </c>
      <c r="B2155">
        <f>IF(VIPcric_1!B2130="","",VIPcric_1!B2130)</f>
        <v>0</v>
      </c>
      <c r="C2155">
        <f>IF(VIPcric_1!C2130="","",VIPcric_1!C2130)</f>
        <v>0</v>
      </c>
      <c r="D2155">
        <f>IF(VIPcric_1!D2130="","",VIPcric_1!D2130)</f>
        <v>30530</v>
      </c>
      <c r="E2155">
        <f>IF(VIPcric_1!E2130="","",VIPcric_1!E2130)</f>
        <v>369</v>
      </c>
      <c r="F2155">
        <f>IF(VIPcric_1!F2130="","",VIPcric_1!F2130)</f>
        <v>14229</v>
      </c>
      <c r="G2155">
        <f>IF(VIPcric_1!G2130="","",VIPcric_1!G2130)</f>
        <v>434420558</v>
      </c>
      <c r="H2155">
        <f>IF(VIPcric_1!H2130="","",VIPcric_1!H2130)</f>
        <v>0</v>
      </c>
      <c r="I2155" t="str">
        <f>IF(VIPcric_1!M2130="","",VIPcric_1!M2130)</f>
        <v>CRIC-琼海-市场监测.商品房市场.项目累计.供求.xlsx</v>
      </c>
    </row>
    <row r="2156" spans="1:9">
      <c r="A2156" t="str">
        <f>IF(VIPcric_1!A2131="","",VIPcric_1!A2131)</f>
        <v>2020年</v>
      </c>
      <c r="B2156">
        <f>IF(VIPcric_1!B2131="","",VIPcric_1!B2131)</f>
        <v>0</v>
      </c>
      <c r="C2156">
        <f>IF(VIPcric_1!C2131="","",VIPcric_1!C2131)</f>
        <v>0</v>
      </c>
      <c r="D2156">
        <f>IF(VIPcric_1!D2131="","",VIPcric_1!D2131)</f>
        <v>0</v>
      </c>
      <c r="E2156">
        <f>IF(VIPcric_1!E2131="","",VIPcric_1!E2131)</f>
        <v>0</v>
      </c>
      <c r="F2156">
        <f>IF(VIPcric_1!F2131="","",VIPcric_1!F2131)</f>
        <v>0</v>
      </c>
      <c r="G2156">
        <f>IF(VIPcric_1!G2131="","",VIPcric_1!G2131)</f>
        <v>0</v>
      </c>
      <c r="H2156">
        <f>IF(VIPcric_1!H2131="","",VIPcric_1!H2131)</f>
        <v>0</v>
      </c>
      <c r="I2156" t="str">
        <f>IF(VIPcric_1!M2131="","",VIPcric_1!M2131)</f>
        <v>CRIC-琼海-市场监测.商品房市场.项目累计.供求.xlsx</v>
      </c>
    </row>
    <row r="2157" spans="1:9">
      <c r="A2157" t="str">
        <f>IF(VIPcric_1!A2132="","",VIPcric_1!A2132)</f>
        <v>2019年</v>
      </c>
      <c r="B2157">
        <f>IF(VIPcric_1!B2132="","",VIPcric_1!B2132)</f>
        <v>0</v>
      </c>
      <c r="C2157">
        <f>IF(VIPcric_1!C2132="","",VIPcric_1!C2132)</f>
        <v>0</v>
      </c>
      <c r="D2157">
        <f>IF(VIPcric_1!D2132="","",VIPcric_1!D2132)</f>
        <v>0</v>
      </c>
      <c r="E2157">
        <f>IF(VIPcric_1!E2132="","",VIPcric_1!E2132)</f>
        <v>0</v>
      </c>
      <c r="F2157">
        <f>IF(VIPcric_1!F2132="","",VIPcric_1!F2132)</f>
        <v>0</v>
      </c>
      <c r="G2157">
        <f>IF(VIPcric_1!G2132="","",VIPcric_1!G2132)</f>
        <v>0</v>
      </c>
      <c r="H2157">
        <f>IF(VIPcric_1!H2132="","",VIPcric_1!H2132)</f>
        <v>0</v>
      </c>
      <c r="I2157" t="str">
        <f>IF(VIPcric_1!M2132="","",VIPcric_1!M2132)</f>
        <v>CRIC-琼海-市场监测.商品房市场.项目累计.供求.xlsx</v>
      </c>
    </row>
    <row r="2158" spans="1:9">
      <c r="A2158" t="str">
        <f>IF(VIPcric_1!A2133="","",VIPcric_1!A2133)</f>
        <v>汇总</v>
      </c>
      <c r="B2158">
        <f>IF(VIPcric_1!B2133="","",VIPcric_1!B2133)</f>
        <v>403663</v>
      </c>
      <c r="C2158">
        <f>IF(VIPcric_1!C2133="","",VIPcric_1!C2133)</f>
        <v>4145</v>
      </c>
      <c r="D2158">
        <f>IF(VIPcric_1!D2133="","",VIPcric_1!D2133)</f>
        <v>609685</v>
      </c>
      <c r="E2158">
        <f>IF(VIPcric_1!E2133="","",VIPcric_1!E2133)</f>
        <v>7014</v>
      </c>
      <c r="F2158">
        <f>IF(VIPcric_1!F2133="","",VIPcric_1!F2133)</f>
        <v>14148</v>
      </c>
      <c r="G2158">
        <f>IF(VIPcric_1!G2133="","",VIPcric_1!G2133)</f>
        <v>8625871145</v>
      </c>
      <c r="H2158">
        <f>IF(VIPcric_1!H2133="","",VIPcric_1!H2133)</f>
        <v>0.66</v>
      </c>
      <c r="I2158" t="str">
        <f>IF(VIPcric_1!M2133="","",VIPcric_1!M2133)</f>
        <v>CRIC-琼海-市场监测.商品房市场.项目累计.供求.xlsx</v>
      </c>
    </row>
    <row r="2159" spans="1:9">
      <c r="A2159" t="str">
        <f>IF(VIPcric_1!A2134="","",VIPcric_1!A2134)</f>
        <v/>
      </c>
      <c r="B2159" t="str">
        <f>IF(VIPcric_1!B2134="","",VIPcric_1!B2134)</f>
        <v/>
      </c>
      <c r="C2159" t="str">
        <f>IF(VIPcric_1!C2134="","",VIPcric_1!C2134)</f>
        <v/>
      </c>
      <c r="D2159" t="str">
        <f>IF(VIPcric_1!D2134="","",VIPcric_1!D2134)</f>
        <v/>
      </c>
      <c r="E2159" t="str">
        <f>IF(VIPcric_1!E2134="","",VIPcric_1!E2134)</f>
        <v/>
      </c>
      <c r="F2159" t="str">
        <f>IF(VIPcric_1!F2134="","",VIPcric_1!F2134)</f>
        <v/>
      </c>
      <c r="G2159" t="str">
        <f>IF(VIPcric_1!G2134="","",VIPcric_1!G2134)</f>
        <v/>
      </c>
      <c r="H2159" t="str">
        <f>IF(VIPcric_1!H2134="","",VIPcric_1!H2134)</f>
        <v/>
      </c>
      <c r="I2159" t="str">
        <f>IF(VIPcric_1!M2134="","",VIPcric_1!M2134)</f>
        <v/>
      </c>
    </row>
    <row r="2160" spans="1:9">
      <c r="A2160" t="str">
        <f>IF(VIPcric_1!A2135="","",VIPcric_1!A2135)</f>
        <v/>
      </c>
      <c r="B2160" t="str">
        <f>IF(VIPcric_1!B2135="","",VIPcric_1!B2135)</f>
        <v/>
      </c>
      <c r="C2160" t="str">
        <f>IF(VIPcric_1!C2135="","",VIPcric_1!C2135)</f>
        <v/>
      </c>
      <c r="D2160" t="str">
        <f>IF(VIPcric_1!D2135="","",VIPcric_1!D2135)</f>
        <v/>
      </c>
      <c r="E2160" t="str">
        <f>IF(VIPcric_1!E2135="","",VIPcric_1!E2135)</f>
        <v/>
      </c>
      <c r="F2160" t="str">
        <f>IF(VIPcric_1!F2135="","",VIPcric_1!F2135)</f>
        <v/>
      </c>
      <c r="G2160" t="str">
        <f>IF(VIPcric_1!G2135="","",VIPcric_1!G2135)</f>
        <v/>
      </c>
      <c r="H2160" t="str">
        <f>IF(VIPcric_1!H2135="","",VIPcric_1!H2135)</f>
        <v/>
      </c>
      <c r="I2160" t="str">
        <f>IF(VIPcric_1!M2135="","",VIPcric_1!M2135)</f>
        <v>CRIC-琼海-市场监测.商品房市场.项目累计.库存.xlsx</v>
      </c>
    </row>
    <row r="2161" spans="1:9">
      <c r="A2161" t="str">
        <f>IF(VIPcric_1!A2136="","",VIPcric_1!A2136)</f>
        <v>时间(年)</v>
      </c>
      <c r="B2161" t="str">
        <f>IF(VIPcric_1!B2136="","",VIPcric_1!B2136)</f>
        <v>库存面积(㎡)</v>
      </c>
      <c r="C2161" t="str">
        <f>IF(VIPcric_1!C2136="","",VIPcric_1!C2136)</f>
        <v>库存套数(套)</v>
      </c>
      <c r="D2161" t="str">
        <f>IF(VIPcric_1!D2136="","",VIPcric_1!D2136)</f>
        <v>去化周期12'(月)</v>
      </c>
      <c r="E2161" t="str">
        <f>IF(VIPcric_1!E2136="","",VIPcric_1!E2136)</f>
        <v/>
      </c>
      <c r="F2161" t="str">
        <f>IF(VIPcric_1!F2136="","",VIPcric_1!F2136)</f>
        <v/>
      </c>
      <c r="G2161" t="str">
        <f>IF(VIPcric_1!G2136="","",VIPcric_1!G2136)</f>
        <v/>
      </c>
      <c r="H2161" t="str">
        <f>IF(VIPcric_1!H2136="","",VIPcric_1!H2136)</f>
        <v/>
      </c>
      <c r="I2161" t="str">
        <f>IF(VIPcric_1!M2136="","",VIPcric_1!M2136)</f>
        <v>CRIC-琼海-市场监测.商品房市场.项目累计.库存.xlsx</v>
      </c>
    </row>
    <row r="2162" spans="1:9">
      <c r="A2162" t="str">
        <f>IF(VIPcric_1!A2137="","",VIPcric_1!A2137)</f>
        <v>2024年</v>
      </c>
      <c r="B2162">
        <f>IF(VIPcric_1!B2137="","",VIPcric_1!B2137)</f>
        <v>1435413</v>
      </c>
      <c r="C2162">
        <f>IF(VIPcric_1!C2137="","",VIPcric_1!C2137)</f>
        <v>16508</v>
      </c>
      <c r="D2162">
        <f>IF(VIPcric_1!D2137="","",VIPcric_1!D2137)</f>
        <v>47</v>
      </c>
      <c r="E2162" t="str">
        <f>IF(VIPcric_1!E2137="","",VIPcric_1!E2137)</f>
        <v/>
      </c>
      <c r="F2162" t="str">
        <f>IF(VIPcric_1!F2137="","",VIPcric_1!F2137)</f>
        <v/>
      </c>
      <c r="G2162" t="str">
        <f>IF(VIPcric_1!G2137="","",VIPcric_1!G2137)</f>
        <v/>
      </c>
      <c r="H2162" t="str">
        <f>IF(VIPcric_1!H2137="","",VIPcric_1!H2137)</f>
        <v/>
      </c>
      <c r="I2162" t="str">
        <f>IF(VIPcric_1!M2137="","",VIPcric_1!M2137)</f>
        <v>CRIC-琼海-市场监测.商品房市场.项目累计.库存.xlsx</v>
      </c>
    </row>
    <row r="2163" spans="1:9">
      <c r="A2163" t="str">
        <f>IF(VIPcric_1!A2138="","",VIPcric_1!A2138)</f>
        <v>2023年</v>
      </c>
      <c r="B2163">
        <f>IF(VIPcric_1!B2138="","",VIPcric_1!B2138)</f>
        <v>1440505</v>
      </c>
      <c r="C2163">
        <f>IF(VIPcric_1!C2138="","",VIPcric_1!C2138)</f>
        <v>16540</v>
      </c>
      <c r="D2163">
        <f>IF(VIPcric_1!D2138="","",VIPcric_1!D2138)</f>
        <v>49</v>
      </c>
      <c r="E2163" t="str">
        <f>IF(VIPcric_1!E2138="","",VIPcric_1!E2138)</f>
        <v/>
      </c>
      <c r="F2163" t="str">
        <f>IF(VIPcric_1!F2138="","",VIPcric_1!F2138)</f>
        <v/>
      </c>
      <c r="G2163" t="str">
        <f>IF(VIPcric_1!G2138="","",VIPcric_1!G2138)</f>
        <v/>
      </c>
      <c r="H2163" t="str">
        <f>IF(VIPcric_1!H2138="","",VIPcric_1!H2138)</f>
        <v/>
      </c>
      <c r="I2163" t="str">
        <f>IF(VIPcric_1!M2138="","",VIPcric_1!M2138)</f>
        <v>CRIC-琼海-市场监测.商品房市场.项目累计.库存.xlsx</v>
      </c>
    </row>
    <row r="2164" spans="1:9">
      <c r="A2164" t="str">
        <f>IF(VIPcric_1!A2139="","",VIPcric_1!A2139)</f>
        <v>2022年</v>
      </c>
      <c r="B2164">
        <f>IF(VIPcric_1!B2139="","",VIPcric_1!B2139)</f>
        <v>1592317</v>
      </c>
      <c r="C2164">
        <f>IF(VIPcric_1!C2139="","",VIPcric_1!C2139)</f>
        <v>18876</v>
      </c>
      <c r="D2164">
        <f>IF(VIPcric_1!D2139="","",VIPcric_1!D2139)</f>
        <v>92.7</v>
      </c>
      <c r="E2164" t="str">
        <f>IF(VIPcric_1!E2139="","",VIPcric_1!E2139)</f>
        <v/>
      </c>
      <c r="F2164" t="str">
        <f>IF(VIPcric_1!F2139="","",VIPcric_1!F2139)</f>
        <v/>
      </c>
      <c r="G2164" t="str">
        <f>IF(VIPcric_1!G2139="","",VIPcric_1!G2139)</f>
        <v/>
      </c>
      <c r="H2164" t="str">
        <f>IF(VIPcric_1!H2139="","",VIPcric_1!H2139)</f>
        <v/>
      </c>
      <c r="I2164" t="str">
        <f>IF(VIPcric_1!M2139="","",VIPcric_1!M2139)</f>
        <v>CRIC-琼海-市场监测.商品房市场.项目累计.库存.xlsx</v>
      </c>
    </row>
    <row r="2165" spans="1:9">
      <c r="A2165" t="str">
        <f>IF(VIPcric_1!A2140="","",VIPcric_1!A2140)</f>
        <v>2021年</v>
      </c>
      <c r="B2165">
        <f>IF(VIPcric_1!B2140="","",VIPcric_1!B2140)</f>
        <v>1638733</v>
      </c>
      <c r="C2165">
        <f>IF(VIPcric_1!C2140="","",VIPcric_1!C2140)</f>
        <v>19560</v>
      </c>
      <c r="D2165">
        <f>IF(VIPcric_1!D2140="","",VIPcric_1!D2140)</f>
        <v>644.1</v>
      </c>
      <c r="E2165" t="str">
        <f>IF(VIPcric_1!E2140="","",VIPcric_1!E2140)</f>
        <v/>
      </c>
      <c r="F2165" t="str">
        <f>IF(VIPcric_1!F2140="","",VIPcric_1!F2140)</f>
        <v/>
      </c>
      <c r="G2165" t="str">
        <f>IF(VIPcric_1!G2140="","",VIPcric_1!G2140)</f>
        <v/>
      </c>
      <c r="H2165" t="str">
        <f>IF(VIPcric_1!H2140="","",VIPcric_1!H2140)</f>
        <v/>
      </c>
      <c r="I2165" t="str">
        <f>IF(VIPcric_1!M2140="","",VIPcric_1!M2140)</f>
        <v>CRIC-琼海-市场监测.商品房市场.项目累计.库存.xlsx</v>
      </c>
    </row>
    <row r="2166" spans="1:9">
      <c r="A2166" t="str">
        <f>IF(VIPcric_1!A2141="","",VIPcric_1!A2141)</f>
        <v/>
      </c>
      <c r="B2166" t="str">
        <f>IF(VIPcric_1!B2141="","",VIPcric_1!B2141)</f>
        <v/>
      </c>
      <c r="C2166" t="str">
        <f>IF(VIPcric_1!C2141="","",VIPcric_1!C2141)</f>
        <v/>
      </c>
      <c r="D2166" t="str">
        <f>IF(VIPcric_1!D2141="","",VIPcric_1!D2141)</f>
        <v/>
      </c>
      <c r="E2166" t="str">
        <f>IF(VIPcric_1!E2141="","",VIPcric_1!E2141)</f>
        <v/>
      </c>
      <c r="F2166" t="str">
        <f>IF(VIPcric_1!F2141="","",VIPcric_1!F2141)</f>
        <v/>
      </c>
      <c r="G2166" t="str">
        <f>IF(VIPcric_1!G2141="","",VIPcric_1!G2141)</f>
        <v/>
      </c>
      <c r="H2166" t="str">
        <f>IF(VIPcric_1!H2141="","",VIPcric_1!H2141)</f>
        <v/>
      </c>
      <c r="I2166" t="str">
        <f>IF(VIPcric_1!M2141="","",VIPcric_1!M2141)</f>
        <v/>
      </c>
    </row>
    <row r="2167" spans="1:9">
      <c r="A2167" t="str">
        <f>IF(VIPcric_1!A2142="","",VIPcric_1!A2142)</f>
        <v/>
      </c>
      <c r="B2167" t="str">
        <f>IF(VIPcric_1!B2142="","",VIPcric_1!B2142)</f>
        <v/>
      </c>
      <c r="C2167" t="str">
        <f>IF(VIPcric_1!C2142="","",VIPcric_1!C2142)</f>
        <v/>
      </c>
      <c r="D2167" t="str">
        <f>IF(VIPcric_1!D2142="","",VIPcric_1!D2142)</f>
        <v/>
      </c>
      <c r="E2167" t="str">
        <f>IF(VIPcric_1!E2142="","",VIPcric_1!E2142)</f>
        <v/>
      </c>
      <c r="F2167" t="str">
        <f>IF(VIPcric_1!F2142="","",VIPcric_1!F2142)</f>
        <v/>
      </c>
      <c r="G2167" t="str">
        <f>IF(VIPcric_1!G2142="","",VIPcric_1!G2142)</f>
        <v/>
      </c>
      <c r="H2167" t="str">
        <f>IF(VIPcric_1!H2142="","",VIPcric_1!H2142)</f>
        <v/>
      </c>
      <c r="I2167" t="str">
        <f>IF(VIPcric_1!M2142="","",VIPcric_1!M2142)</f>
        <v>CRIC-白沙-市场监测.商品房市场.项目累计.供求.xlsx</v>
      </c>
    </row>
    <row r="2168" spans="1:9">
      <c r="A2168" t="str">
        <f>IF(VIPcric_1!A2143="","",VIPcric_1!A2143)</f>
        <v>时间(年)</v>
      </c>
      <c r="B2168" t="str">
        <f>IF(VIPcric_1!B2143="","",VIPcric_1!B2143)</f>
        <v>供应面积(㎡)</v>
      </c>
      <c r="C2168" t="str">
        <f>IF(VIPcric_1!C2143="","",VIPcric_1!C2143)</f>
        <v>供应套数(套)</v>
      </c>
      <c r="D2168" t="str">
        <f>IF(VIPcric_1!D2143="","",VIPcric_1!D2143)</f>
        <v>成交面积(㎡)</v>
      </c>
      <c r="E2168" t="str">
        <f>IF(VIPcric_1!E2143="","",VIPcric_1!E2143)</f>
        <v>成交套数(套)</v>
      </c>
      <c r="F2168" t="str">
        <f>IF(VIPcric_1!F2143="","",VIPcric_1!F2143)</f>
        <v>成交均价(元/㎡)</v>
      </c>
      <c r="G2168" t="str">
        <f>IF(VIPcric_1!G2143="","",VIPcric_1!G2143)</f>
        <v>成交金额(元)</v>
      </c>
      <c r="H2168" t="str">
        <f>IF(VIPcric_1!H2143="","",VIPcric_1!H2143)</f>
        <v>供求比</v>
      </c>
      <c r="I2168" t="str">
        <f>IF(VIPcric_1!M2143="","",VIPcric_1!M2143)</f>
        <v>CRIC-白沙-市场监测.商品房市场.项目累计.供求.xlsx</v>
      </c>
    </row>
    <row r="2169" spans="1:9">
      <c r="A2169" t="str">
        <f>IF(VIPcric_1!A2144="","",VIPcric_1!A2144)</f>
        <v>2024年</v>
      </c>
      <c r="B2169">
        <f>IF(VIPcric_1!B2144="","",VIPcric_1!B2144)</f>
        <v>0</v>
      </c>
      <c r="C2169">
        <f>IF(VIPcric_1!C2144="","",VIPcric_1!C2144)</f>
        <v>0</v>
      </c>
      <c r="D2169">
        <f>IF(VIPcric_1!D2144="","",VIPcric_1!D2144)</f>
        <v>1642</v>
      </c>
      <c r="E2169">
        <f>IF(VIPcric_1!E2144="","",VIPcric_1!E2144)</f>
        <v>14</v>
      </c>
      <c r="F2169">
        <f>IF(VIPcric_1!F2144="","",VIPcric_1!F2144)</f>
        <v>6879</v>
      </c>
      <c r="G2169">
        <f>IF(VIPcric_1!G2144="","",VIPcric_1!G2144)</f>
        <v>11299207</v>
      </c>
      <c r="H2169">
        <f>IF(VIPcric_1!H2144="","",VIPcric_1!H2144)</f>
        <v>0</v>
      </c>
      <c r="I2169" t="str">
        <f>IF(VIPcric_1!M2144="","",VIPcric_1!M2144)</f>
        <v>CRIC-白沙-市场监测.商品房市场.项目累计.供求.xlsx</v>
      </c>
    </row>
    <row r="2170" spans="1:9">
      <c r="A2170" t="str">
        <f>IF(VIPcric_1!A2145="","",VIPcric_1!A2145)</f>
        <v>2023年</v>
      </c>
      <c r="B2170">
        <f>IF(VIPcric_1!B2145="","",VIPcric_1!B2145)</f>
        <v>0</v>
      </c>
      <c r="C2170">
        <f>IF(VIPcric_1!C2145="","",VIPcric_1!C2145)</f>
        <v>0</v>
      </c>
      <c r="D2170">
        <f>IF(VIPcric_1!D2145="","",VIPcric_1!D2145)</f>
        <v>29924</v>
      </c>
      <c r="E2170">
        <f>IF(VIPcric_1!E2145="","",VIPcric_1!E2145)</f>
        <v>311</v>
      </c>
      <c r="F2170">
        <f>IF(VIPcric_1!F2145="","",VIPcric_1!F2145)</f>
        <v>7850</v>
      </c>
      <c r="G2170">
        <f>IF(VIPcric_1!G2145="","",VIPcric_1!G2145)</f>
        <v>234898421</v>
      </c>
      <c r="H2170">
        <f>IF(VIPcric_1!H2145="","",VIPcric_1!H2145)</f>
        <v>0</v>
      </c>
      <c r="I2170" t="str">
        <f>IF(VIPcric_1!M2145="","",VIPcric_1!M2145)</f>
        <v>CRIC-白沙-市场监测.商品房市场.项目累计.供求.xlsx</v>
      </c>
    </row>
    <row r="2171" spans="1:9">
      <c r="A2171" t="str">
        <f>IF(VIPcric_1!A2146="","",VIPcric_1!A2146)</f>
        <v>2022年</v>
      </c>
      <c r="B2171">
        <f>IF(VIPcric_1!B2146="","",VIPcric_1!B2146)</f>
        <v>0</v>
      </c>
      <c r="C2171">
        <f>IF(VIPcric_1!C2146="","",VIPcric_1!C2146)</f>
        <v>0</v>
      </c>
      <c r="D2171">
        <f>IF(VIPcric_1!D2146="","",VIPcric_1!D2146)</f>
        <v>24576</v>
      </c>
      <c r="E2171">
        <f>IF(VIPcric_1!E2146="","",VIPcric_1!E2146)</f>
        <v>340</v>
      </c>
      <c r="F2171">
        <f>IF(VIPcric_1!F2146="","",VIPcric_1!F2146)</f>
        <v>9933</v>
      </c>
      <c r="G2171">
        <f>IF(VIPcric_1!G2146="","",VIPcric_1!G2146)</f>
        <v>244109357</v>
      </c>
      <c r="H2171">
        <f>IF(VIPcric_1!H2146="","",VIPcric_1!H2146)</f>
        <v>0</v>
      </c>
      <c r="I2171" t="str">
        <f>IF(VIPcric_1!M2146="","",VIPcric_1!M2146)</f>
        <v>CRIC-白沙-市场监测.商品房市场.项目累计.供求.xlsx</v>
      </c>
    </row>
    <row r="2172" spans="1:9">
      <c r="A2172" t="str">
        <f>IF(VIPcric_1!A2147="","",VIPcric_1!A2147)</f>
        <v>2021年</v>
      </c>
      <c r="B2172">
        <f>IF(VIPcric_1!B2147="","",VIPcric_1!B2147)</f>
        <v>0</v>
      </c>
      <c r="C2172">
        <f>IF(VIPcric_1!C2147="","",VIPcric_1!C2147)</f>
        <v>0</v>
      </c>
      <c r="D2172">
        <f>IF(VIPcric_1!D2147="","",VIPcric_1!D2147)</f>
        <v>1165</v>
      </c>
      <c r="E2172">
        <f>IF(VIPcric_1!E2147="","",VIPcric_1!E2147)</f>
        <v>16</v>
      </c>
      <c r="F2172">
        <f>IF(VIPcric_1!F2147="","",VIPcric_1!F2147)</f>
        <v>11703</v>
      </c>
      <c r="G2172">
        <f>IF(VIPcric_1!G2147="","",VIPcric_1!G2147)</f>
        <v>13635763</v>
      </c>
      <c r="H2172">
        <f>IF(VIPcric_1!H2147="","",VIPcric_1!H2147)</f>
        <v>0</v>
      </c>
      <c r="I2172" t="str">
        <f>IF(VIPcric_1!M2147="","",VIPcric_1!M2147)</f>
        <v>CRIC-白沙-市场监测.商品房市场.项目累计.供求.xlsx</v>
      </c>
    </row>
    <row r="2173" spans="1:9">
      <c r="A2173" t="str">
        <f>IF(VIPcric_1!A2148="","",VIPcric_1!A2148)</f>
        <v>汇总</v>
      </c>
      <c r="B2173">
        <f>IF(VIPcric_1!B2148="","",VIPcric_1!B2148)</f>
        <v>0</v>
      </c>
      <c r="C2173">
        <f>IF(VIPcric_1!C2148="","",VIPcric_1!C2148)</f>
        <v>0</v>
      </c>
      <c r="D2173">
        <f>IF(VIPcric_1!D2148="","",VIPcric_1!D2148)</f>
        <v>57308</v>
      </c>
      <c r="E2173">
        <f>IF(VIPcric_1!E2148="","",VIPcric_1!E2148)</f>
        <v>681</v>
      </c>
      <c r="F2173">
        <f>IF(VIPcric_1!F2148="","",VIPcric_1!F2148)</f>
        <v>8794</v>
      </c>
      <c r="G2173">
        <f>IF(VIPcric_1!G2148="","",VIPcric_1!G2148)</f>
        <v>503942749</v>
      </c>
      <c r="H2173">
        <f>IF(VIPcric_1!H2148="","",VIPcric_1!H2148)</f>
        <v>0</v>
      </c>
      <c r="I2173" t="str">
        <f>IF(VIPcric_1!M2148="","",VIPcric_1!M2148)</f>
        <v>CRIC-白沙-市场监测.商品房市场.项目累计.供求.xlsx</v>
      </c>
    </row>
    <row r="2174" spans="1:9">
      <c r="A2174" t="str">
        <f>IF(VIPcric_1!A2149="","",VIPcric_1!A2149)</f>
        <v/>
      </c>
      <c r="B2174" t="str">
        <f>IF(VIPcric_1!B2149="","",VIPcric_1!B2149)</f>
        <v/>
      </c>
      <c r="C2174" t="str">
        <f>IF(VIPcric_1!C2149="","",VIPcric_1!C2149)</f>
        <v/>
      </c>
      <c r="D2174" t="str">
        <f>IF(VIPcric_1!D2149="","",VIPcric_1!D2149)</f>
        <v/>
      </c>
      <c r="E2174" t="str">
        <f>IF(VIPcric_1!E2149="","",VIPcric_1!E2149)</f>
        <v/>
      </c>
      <c r="F2174" t="str">
        <f>IF(VIPcric_1!F2149="","",VIPcric_1!F2149)</f>
        <v/>
      </c>
      <c r="G2174" t="str">
        <f>IF(VIPcric_1!G2149="","",VIPcric_1!G2149)</f>
        <v/>
      </c>
      <c r="H2174" t="str">
        <f>IF(VIPcric_1!H2149="","",VIPcric_1!H2149)</f>
        <v/>
      </c>
      <c r="I2174" t="str">
        <f>IF(VIPcric_1!M2149="","",VIPcric_1!M2149)</f>
        <v/>
      </c>
    </row>
    <row r="2175" spans="1:9">
      <c r="A2175" t="str">
        <f>IF(VIPcric_1!A2150="","",VIPcric_1!A2150)</f>
        <v/>
      </c>
      <c r="B2175" t="str">
        <f>IF(VIPcric_1!B2150="","",VIPcric_1!B2150)</f>
        <v/>
      </c>
      <c r="C2175" t="str">
        <f>IF(VIPcric_1!C2150="","",VIPcric_1!C2150)</f>
        <v/>
      </c>
      <c r="D2175" t="str">
        <f>IF(VIPcric_1!D2150="","",VIPcric_1!D2150)</f>
        <v/>
      </c>
      <c r="E2175" t="str">
        <f>IF(VIPcric_1!E2150="","",VIPcric_1!E2150)</f>
        <v/>
      </c>
      <c r="F2175" t="str">
        <f>IF(VIPcric_1!F2150="","",VIPcric_1!F2150)</f>
        <v/>
      </c>
      <c r="G2175" t="str">
        <f>IF(VIPcric_1!G2150="","",VIPcric_1!G2150)</f>
        <v/>
      </c>
      <c r="H2175" t="str">
        <f>IF(VIPcric_1!H2150="","",VIPcric_1!H2150)</f>
        <v/>
      </c>
      <c r="I2175" t="str">
        <f>IF(VIPcric_1!M2150="","",VIPcric_1!M2150)</f>
        <v>CRIC-白沙-市场监测.商品房市场.项目累计.库存.xlsx</v>
      </c>
    </row>
    <row r="2176" spans="1:9">
      <c r="A2176" t="str">
        <f>IF(VIPcric_1!A2151="","",VIPcric_1!A2151)</f>
        <v>时间(年)</v>
      </c>
      <c r="B2176" t="str">
        <f>IF(VIPcric_1!B2151="","",VIPcric_1!B2151)</f>
        <v>库存面积(㎡)</v>
      </c>
      <c r="C2176" t="str">
        <f>IF(VIPcric_1!C2151="","",VIPcric_1!C2151)</f>
        <v>库存套数(套)</v>
      </c>
      <c r="D2176" t="str">
        <f>IF(VIPcric_1!D2151="","",VIPcric_1!D2151)</f>
        <v>去化周期12'(月)</v>
      </c>
      <c r="E2176" t="str">
        <f>IF(VIPcric_1!E2151="","",VIPcric_1!E2151)</f>
        <v>去化周期24'(月)</v>
      </c>
      <c r="F2176" t="str">
        <f>IF(VIPcric_1!F2151="","",VIPcric_1!F2151)</f>
        <v/>
      </c>
      <c r="G2176" t="str">
        <f>IF(VIPcric_1!G2151="","",VIPcric_1!G2151)</f>
        <v/>
      </c>
      <c r="H2176" t="str">
        <f>IF(VIPcric_1!H2151="","",VIPcric_1!H2151)</f>
        <v/>
      </c>
      <c r="I2176" t="str">
        <f>IF(VIPcric_1!M2151="","",VIPcric_1!M2151)</f>
        <v>CRIC-白沙-市场监测.商品房市场.项目累计.库存.xlsx</v>
      </c>
    </row>
    <row r="2177" spans="1:9">
      <c r="A2177" t="str">
        <f>IF(VIPcric_1!A2152="","",VIPcric_1!A2152)</f>
        <v>2024年</v>
      </c>
      <c r="B2177">
        <f>IF(VIPcric_1!B2152="","",VIPcric_1!B2152)</f>
        <v>270224</v>
      </c>
      <c r="C2177">
        <f>IF(VIPcric_1!C2152="","",VIPcric_1!C2152)</f>
        <v>3645</v>
      </c>
      <c r="D2177">
        <f>IF(VIPcric_1!D2152="","",VIPcric_1!D2152)</f>
        <v>106.4</v>
      </c>
      <c r="E2177">
        <f>IF(VIPcric_1!E2152="","",VIPcric_1!E2152)</f>
        <v>119.9</v>
      </c>
      <c r="F2177" t="str">
        <f>IF(VIPcric_1!F2152="","",VIPcric_1!F2152)</f>
        <v/>
      </c>
      <c r="G2177" t="str">
        <f>IF(VIPcric_1!G2152="","",VIPcric_1!G2152)</f>
        <v/>
      </c>
      <c r="H2177" t="str">
        <f>IF(VIPcric_1!H2152="","",VIPcric_1!H2152)</f>
        <v/>
      </c>
      <c r="I2177" t="str">
        <f>IF(VIPcric_1!M2152="","",VIPcric_1!M2152)</f>
        <v>CRIC-白沙-市场监测.商品房市场.项目累计.库存.xlsx</v>
      </c>
    </row>
    <row r="2178" spans="1:9">
      <c r="A2178" t="str">
        <f>IF(VIPcric_1!A2153="","",VIPcric_1!A2153)</f>
        <v>2023年</v>
      </c>
      <c r="B2178">
        <f>IF(VIPcric_1!B2153="","",VIPcric_1!B2153)</f>
        <v>271986</v>
      </c>
      <c r="C2178">
        <f>IF(VIPcric_1!C2153="","",VIPcric_1!C2153)</f>
        <v>3660</v>
      </c>
      <c r="D2178">
        <f>IF(VIPcric_1!D2153="","",VIPcric_1!D2153)</f>
        <v>109.1</v>
      </c>
      <c r="E2178">
        <f>IF(VIPcric_1!E2153="","",VIPcric_1!E2153)</f>
        <v>119.8</v>
      </c>
      <c r="F2178" t="str">
        <f>IF(VIPcric_1!F2153="","",VIPcric_1!F2153)</f>
        <v/>
      </c>
      <c r="G2178" t="str">
        <f>IF(VIPcric_1!G2153="","",VIPcric_1!G2153)</f>
        <v/>
      </c>
      <c r="H2178" t="str">
        <f>IF(VIPcric_1!H2153="","",VIPcric_1!H2153)</f>
        <v/>
      </c>
      <c r="I2178" t="str">
        <f>IF(VIPcric_1!M2153="","",VIPcric_1!M2153)</f>
        <v>CRIC-白沙-市场监测.商品房市场.项目累计.库存.xlsx</v>
      </c>
    </row>
    <row r="2179" spans="1:9">
      <c r="A2179" t="str">
        <f>IF(VIPcric_1!A2154="","",VIPcric_1!A2154)</f>
        <v>2022年</v>
      </c>
      <c r="B2179">
        <f>IF(VIPcric_1!B2154="","",VIPcric_1!B2154)</f>
        <v>243547</v>
      </c>
      <c r="C2179">
        <f>IF(VIPcric_1!C2154="","",VIPcric_1!C2154)</f>
        <v>3451</v>
      </c>
      <c r="D2179">
        <f>IF(VIPcric_1!D2154="","",VIPcric_1!D2154)</f>
        <v>118.9</v>
      </c>
      <c r="E2179">
        <f>IF(VIPcric_1!E2154="","",VIPcric_1!E2154)</f>
        <v>227.1</v>
      </c>
      <c r="F2179" t="str">
        <f>IF(VIPcric_1!F2154="","",VIPcric_1!F2154)</f>
        <v/>
      </c>
      <c r="G2179" t="str">
        <f>IF(VIPcric_1!G2154="","",VIPcric_1!G2154)</f>
        <v/>
      </c>
      <c r="H2179" t="str">
        <f>IF(VIPcric_1!H2154="","",VIPcric_1!H2154)</f>
        <v/>
      </c>
      <c r="I2179" t="str">
        <f>IF(VIPcric_1!M2154="","",VIPcric_1!M2154)</f>
        <v>CRIC-白沙-市场监测.商品房市场.项目累计.库存.xlsx</v>
      </c>
    </row>
    <row r="2180" spans="1:9">
      <c r="A2180" t="str">
        <f>IF(VIPcric_1!A2155="","",VIPcric_1!A2155)</f>
        <v>2021年</v>
      </c>
      <c r="B2180">
        <f>IF(VIPcric_1!B2155="","",VIPcric_1!B2155)</f>
        <v>261346</v>
      </c>
      <c r="C2180">
        <f>IF(VIPcric_1!C2155="","",VIPcric_1!C2155)</f>
        <v>3768</v>
      </c>
      <c r="D2180">
        <f>IF(VIPcric_1!D2155="","",VIPcric_1!D2155)</f>
        <v>2691.6</v>
      </c>
      <c r="E2180">
        <f>IF(VIPcric_1!E2155="","",VIPcric_1!E2155)</f>
        <v>5383.2</v>
      </c>
      <c r="F2180" t="str">
        <f>IF(VIPcric_1!F2155="","",VIPcric_1!F2155)</f>
        <v/>
      </c>
      <c r="G2180" t="str">
        <f>IF(VIPcric_1!G2155="","",VIPcric_1!G2155)</f>
        <v/>
      </c>
      <c r="H2180" t="str">
        <f>IF(VIPcric_1!H2155="","",VIPcric_1!H2155)</f>
        <v/>
      </c>
      <c r="I2180" t="str">
        <f>IF(VIPcric_1!M2155="","",VIPcric_1!M2155)</f>
        <v>CRIC-白沙-市场监测.商品房市场.项目累计.库存.xlsx</v>
      </c>
    </row>
    <row r="2181" spans="1:9">
      <c r="A2181" t="str">
        <f>IF(VIPcric_1!A2156="","",VIPcric_1!A2156)</f>
        <v/>
      </c>
      <c r="B2181" t="str">
        <f>IF(VIPcric_1!B2156="","",VIPcric_1!B2156)</f>
        <v/>
      </c>
      <c r="C2181" t="str">
        <f>IF(VIPcric_1!C2156="","",VIPcric_1!C2156)</f>
        <v/>
      </c>
      <c r="D2181" t="str">
        <f>IF(VIPcric_1!D2156="","",VIPcric_1!D2156)</f>
        <v/>
      </c>
      <c r="E2181" t="str">
        <f>IF(VIPcric_1!E2156="","",VIPcric_1!E2156)</f>
        <v/>
      </c>
      <c r="F2181" t="str">
        <f>IF(VIPcric_1!F2156="","",VIPcric_1!F2156)</f>
        <v/>
      </c>
      <c r="G2181" t="str">
        <f>IF(VIPcric_1!G2156="","",VIPcric_1!G2156)</f>
        <v/>
      </c>
      <c r="H2181" t="str">
        <f>IF(VIPcric_1!H2156="","",VIPcric_1!H2156)</f>
        <v/>
      </c>
      <c r="I2181" t="str">
        <f>IF(VIPcric_1!M2156="","",VIPcric_1!M2156)</f>
        <v/>
      </c>
    </row>
    <row r="2182" spans="1:9">
      <c r="A2182" t="str">
        <f>IF(VIPcric_1!A2157="","",VIPcric_1!A2157)</f>
        <v/>
      </c>
      <c r="B2182" t="str">
        <f>IF(VIPcric_1!B2157="","",VIPcric_1!B2157)</f>
        <v/>
      </c>
      <c r="C2182" t="str">
        <f>IF(VIPcric_1!C2157="","",VIPcric_1!C2157)</f>
        <v/>
      </c>
      <c r="D2182" t="str">
        <f>IF(VIPcric_1!D2157="","",VIPcric_1!D2157)</f>
        <v/>
      </c>
      <c r="E2182" t="str">
        <f>IF(VIPcric_1!E2157="","",VIPcric_1!E2157)</f>
        <v/>
      </c>
      <c r="F2182" t="str">
        <f>IF(VIPcric_1!F2157="","",VIPcric_1!F2157)</f>
        <v/>
      </c>
      <c r="G2182" t="str">
        <f>IF(VIPcric_1!G2157="","",VIPcric_1!G2157)</f>
        <v/>
      </c>
      <c r="H2182" t="str">
        <f>IF(VIPcric_1!H2157="","",VIPcric_1!H2157)</f>
        <v/>
      </c>
      <c r="I2182" t="str">
        <f>IF(VIPcric_1!M2157="","",VIPcric_1!M2157)</f>
        <v>CRIC-白银-市场监测.商品房市场.项目累计.供求.xlsx</v>
      </c>
    </row>
    <row r="2183" spans="1:9">
      <c r="A2183" t="str">
        <f>IF(VIPcric_1!A2158="","",VIPcric_1!A2158)</f>
        <v>时间(年)</v>
      </c>
      <c r="B2183" t="str">
        <f>IF(VIPcric_1!B2158="","",VIPcric_1!B2158)</f>
        <v>供应面积(㎡)</v>
      </c>
      <c r="C2183" t="str">
        <f>IF(VIPcric_1!C2158="","",VIPcric_1!C2158)</f>
        <v>供应套数(套)</v>
      </c>
      <c r="D2183" t="str">
        <f>IF(VIPcric_1!D2158="","",VIPcric_1!D2158)</f>
        <v>成交面积(㎡)</v>
      </c>
      <c r="E2183" t="str">
        <f>IF(VIPcric_1!E2158="","",VIPcric_1!E2158)</f>
        <v>成交套数(套)</v>
      </c>
      <c r="F2183" t="str">
        <f>IF(VIPcric_1!F2158="","",VIPcric_1!F2158)</f>
        <v>成交均价(元/㎡)</v>
      </c>
      <c r="G2183" t="str">
        <f>IF(VIPcric_1!G2158="","",VIPcric_1!G2158)</f>
        <v>成交金额(元)</v>
      </c>
      <c r="H2183" t="str">
        <f>IF(VIPcric_1!H2158="","",VIPcric_1!H2158)</f>
        <v>供求比</v>
      </c>
      <c r="I2183" t="str">
        <f>IF(VIPcric_1!M2158="","",VIPcric_1!M2158)</f>
        <v>CRIC-白银-市场监测.商品房市场.项目累计.供求.xlsx</v>
      </c>
    </row>
    <row r="2184" spans="1:9">
      <c r="A2184" t="str">
        <f>IF(VIPcric_1!A2159="","",VIPcric_1!A2159)</f>
        <v>2023年</v>
      </c>
      <c r="B2184">
        <f>IF(VIPcric_1!B2159="","",VIPcric_1!B2159)</f>
        <v>95716</v>
      </c>
      <c r="C2184">
        <f>IF(VIPcric_1!C2159="","",VIPcric_1!C2159)</f>
        <v>753</v>
      </c>
      <c r="D2184">
        <f>IF(VIPcric_1!D2159="","",VIPcric_1!D2159)</f>
        <v>47184</v>
      </c>
      <c r="E2184">
        <f>IF(VIPcric_1!E2159="","",VIPcric_1!E2159)</f>
        <v>381</v>
      </c>
      <c r="F2184">
        <f>IF(VIPcric_1!F2159="","",VIPcric_1!F2159)</f>
        <v>5635</v>
      </c>
      <c r="G2184">
        <f>IF(VIPcric_1!G2159="","",VIPcric_1!G2159)</f>
        <v>265871088</v>
      </c>
      <c r="H2184">
        <f>IF(VIPcric_1!H2159="","",VIPcric_1!H2159)</f>
        <v>2.0299999999999998</v>
      </c>
      <c r="I2184" t="str">
        <f>IF(VIPcric_1!M2159="","",VIPcric_1!M2159)</f>
        <v>CRIC-白银-市场监测.商品房市场.项目累计.供求.xlsx</v>
      </c>
    </row>
    <row r="2185" spans="1:9">
      <c r="A2185" t="str">
        <f>IF(VIPcric_1!A2160="","",VIPcric_1!A2160)</f>
        <v>2022年</v>
      </c>
      <c r="B2185">
        <f>IF(VIPcric_1!B2160="","",VIPcric_1!B2160)</f>
        <v>606670</v>
      </c>
      <c r="C2185">
        <f>IF(VIPcric_1!C2160="","",VIPcric_1!C2160)</f>
        <v>5021</v>
      </c>
      <c r="D2185">
        <f>IF(VIPcric_1!D2160="","",VIPcric_1!D2160)</f>
        <v>127618</v>
      </c>
      <c r="E2185">
        <f>IF(VIPcric_1!E2160="","",VIPcric_1!E2160)</f>
        <v>1045</v>
      </c>
      <c r="F2185">
        <f>IF(VIPcric_1!F2160="","",VIPcric_1!F2160)</f>
        <v>5870</v>
      </c>
      <c r="G2185">
        <f>IF(VIPcric_1!G2160="","",VIPcric_1!G2160)</f>
        <v>749113747</v>
      </c>
      <c r="H2185">
        <f>IF(VIPcric_1!H2160="","",VIPcric_1!H2160)</f>
        <v>4.75</v>
      </c>
      <c r="I2185" t="str">
        <f>IF(VIPcric_1!M2160="","",VIPcric_1!M2160)</f>
        <v>CRIC-白银-市场监测.商品房市场.项目累计.供求.xlsx</v>
      </c>
    </row>
    <row r="2186" spans="1:9">
      <c r="A2186" t="str">
        <f>IF(VIPcric_1!A2161="","",VIPcric_1!A2161)</f>
        <v>2021年</v>
      </c>
      <c r="B2186">
        <f>IF(VIPcric_1!B2161="","",VIPcric_1!B2161)</f>
        <v>1339928</v>
      </c>
      <c r="C2186">
        <f>IF(VIPcric_1!C2161="","",VIPcric_1!C2161)</f>
        <v>11291</v>
      </c>
      <c r="D2186">
        <f>IF(VIPcric_1!D2161="","",VIPcric_1!D2161)</f>
        <v>0</v>
      </c>
      <c r="E2186">
        <f>IF(VIPcric_1!E2161="","",VIPcric_1!E2161)</f>
        <v>0</v>
      </c>
      <c r="F2186">
        <f>IF(VIPcric_1!F2161="","",VIPcric_1!F2161)</f>
        <v>0</v>
      </c>
      <c r="G2186">
        <f>IF(VIPcric_1!G2161="","",VIPcric_1!G2161)</f>
        <v>0</v>
      </c>
      <c r="H2186">
        <f>IF(VIPcric_1!H2161="","",VIPcric_1!H2161)</f>
        <v>0</v>
      </c>
      <c r="I2186" t="str">
        <f>IF(VIPcric_1!M2161="","",VIPcric_1!M2161)</f>
        <v>CRIC-白银-市场监测.商品房市场.项目累计.供求.xlsx</v>
      </c>
    </row>
    <row r="2187" spans="1:9">
      <c r="A2187" t="str">
        <f>IF(VIPcric_1!A2162="","",VIPcric_1!A2162)</f>
        <v>2020年</v>
      </c>
      <c r="B2187">
        <f>IF(VIPcric_1!B2162="","",VIPcric_1!B2162)</f>
        <v>1088738</v>
      </c>
      <c r="C2187">
        <f>IF(VIPcric_1!C2162="","",VIPcric_1!C2162)</f>
        <v>8932</v>
      </c>
      <c r="D2187">
        <f>IF(VIPcric_1!D2162="","",VIPcric_1!D2162)</f>
        <v>147348</v>
      </c>
      <c r="E2187">
        <f>IF(VIPcric_1!E2162="","",VIPcric_1!E2162)</f>
        <v>1217</v>
      </c>
      <c r="F2187">
        <f>IF(VIPcric_1!F2162="","",VIPcric_1!F2162)</f>
        <v>6117</v>
      </c>
      <c r="G2187">
        <f>IF(VIPcric_1!G2162="","",VIPcric_1!G2162)</f>
        <v>901344084</v>
      </c>
      <c r="H2187">
        <f>IF(VIPcric_1!H2162="","",VIPcric_1!H2162)</f>
        <v>7.39</v>
      </c>
      <c r="I2187" t="str">
        <f>IF(VIPcric_1!M2162="","",VIPcric_1!M2162)</f>
        <v>CRIC-白银-市场监测.商品房市场.项目累计.供求.xlsx</v>
      </c>
    </row>
    <row r="2188" spans="1:9">
      <c r="A2188" t="str">
        <f>IF(VIPcric_1!A2163="","",VIPcric_1!A2163)</f>
        <v>2019年</v>
      </c>
      <c r="B2188">
        <f>IF(VIPcric_1!B2163="","",VIPcric_1!B2163)</f>
        <v>1991020</v>
      </c>
      <c r="C2188">
        <f>IF(VIPcric_1!C2163="","",VIPcric_1!C2163)</f>
        <v>16896</v>
      </c>
      <c r="D2188">
        <f>IF(VIPcric_1!D2163="","",VIPcric_1!D2163)</f>
        <v>449434</v>
      </c>
      <c r="E2188">
        <f>IF(VIPcric_1!E2163="","",VIPcric_1!E2163)</f>
        <v>3708</v>
      </c>
      <c r="F2188">
        <f>IF(VIPcric_1!F2163="","",VIPcric_1!F2163)</f>
        <v>5681</v>
      </c>
      <c r="G2188">
        <f>IF(VIPcric_1!G2163="","",VIPcric_1!G2163)</f>
        <v>2553058127</v>
      </c>
      <c r="H2188">
        <f>IF(VIPcric_1!H2163="","",VIPcric_1!H2163)</f>
        <v>4.43</v>
      </c>
      <c r="I2188" t="str">
        <f>IF(VIPcric_1!M2163="","",VIPcric_1!M2163)</f>
        <v>CRIC-白银-市场监测.商品房市场.项目累计.供求.xlsx</v>
      </c>
    </row>
    <row r="2189" spans="1:9">
      <c r="A2189" t="str">
        <f>IF(VIPcric_1!A2164="","",VIPcric_1!A2164)</f>
        <v>2018年</v>
      </c>
      <c r="B2189">
        <f>IF(VIPcric_1!B2164="","",VIPcric_1!B2164)</f>
        <v>1107744</v>
      </c>
      <c r="C2189">
        <f>IF(VIPcric_1!C2164="","",VIPcric_1!C2164)</f>
        <v>9347</v>
      </c>
      <c r="D2189">
        <f>IF(VIPcric_1!D2164="","",VIPcric_1!D2164)</f>
        <v>0</v>
      </c>
      <c r="E2189">
        <f>IF(VIPcric_1!E2164="","",VIPcric_1!E2164)</f>
        <v>0</v>
      </c>
      <c r="F2189">
        <f>IF(VIPcric_1!F2164="","",VIPcric_1!F2164)</f>
        <v>0</v>
      </c>
      <c r="G2189">
        <f>IF(VIPcric_1!G2164="","",VIPcric_1!G2164)</f>
        <v>0</v>
      </c>
      <c r="H2189">
        <f>IF(VIPcric_1!H2164="","",VIPcric_1!H2164)</f>
        <v>0</v>
      </c>
      <c r="I2189" t="str">
        <f>IF(VIPcric_1!M2164="","",VIPcric_1!M2164)</f>
        <v>CRIC-白银-市场监测.商品房市场.项目累计.供求.xlsx</v>
      </c>
    </row>
    <row r="2190" spans="1:9">
      <c r="A2190" t="str">
        <f>IF(VIPcric_1!A2165="","",VIPcric_1!A2165)</f>
        <v>汇总</v>
      </c>
      <c r="B2190">
        <f>IF(VIPcric_1!B2165="","",VIPcric_1!B2165)</f>
        <v>6229816</v>
      </c>
      <c r="C2190">
        <f>IF(VIPcric_1!C2165="","",VIPcric_1!C2165)</f>
        <v>52240</v>
      </c>
      <c r="D2190">
        <f>IF(VIPcric_1!D2165="","",VIPcric_1!D2165)</f>
        <v>771584</v>
      </c>
      <c r="E2190">
        <f>IF(VIPcric_1!E2165="","",VIPcric_1!E2165)</f>
        <v>6351</v>
      </c>
      <c r="F2190">
        <f>IF(VIPcric_1!F2165="","",VIPcric_1!F2165)</f>
        <v>5792</v>
      </c>
      <c r="G2190">
        <f>IF(VIPcric_1!G2165="","",VIPcric_1!G2165)</f>
        <v>4469387046</v>
      </c>
      <c r="H2190">
        <f>IF(VIPcric_1!H2165="","",VIPcric_1!H2165)</f>
        <v>8.07</v>
      </c>
      <c r="I2190" t="str">
        <f>IF(VIPcric_1!M2165="","",VIPcric_1!M2165)</f>
        <v>CRIC-白银-市场监测.商品房市场.项目累计.供求.xlsx</v>
      </c>
    </row>
    <row r="2191" spans="1:9">
      <c r="A2191" t="str">
        <f>IF(VIPcric_1!A2166="","",VIPcric_1!A2166)</f>
        <v/>
      </c>
      <c r="B2191" t="str">
        <f>IF(VIPcric_1!B2166="","",VIPcric_1!B2166)</f>
        <v/>
      </c>
      <c r="C2191" t="str">
        <f>IF(VIPcric_1!C2166="","",VIPcric_1!C2166)</f>
        <v/>
      </c>
      <c r="D2191" t="str">
        <f>IF(VIPcric_1!D2166="","",VIPcric_1!D2166)</f>
        <v/>
      </c>
      <c r="E2191" t="str">
        <f>IF(VIPcric_1!E2166="","",VIPcric_1!E2166)</f>
        <v/>
      </c>
      <c r="F2191" t="str">
        <f>IF(VIPcric_1!F2166="","",VIPcric_1!F2166)</f>
        <v/>
      </c>
      <c r="G2191" t="str">
        <f>IF(VIPcric_1!G2166="","",VIPcric_1!G2166)</f>
        <v/>
      </c>
      <c r="H2191" t="str">
        <f>IF(VIPcric_1!H2166="","",VIPcric_1!H2166)</f>
        <v/>
      </c>
      <c r="I2191" t="str">
        <f>IF(VIPcric_1!M2166="","",VIPcric_1!M2166)</f>
        <v/>
      </c>
    </row>
    <row r="2192" spans="1:9">
      <c r="A2192" t="str">
        <f>IF(VIPcric_1!A2167="","",VIPcric_1!A2167)</f>
        <v/>
      </c>
      <c r="B2192" t="str">
        <f>IF(VIPcric_1!B2167="","",VIPcric_1!B2167)</f>
        <v/>
      </c>
      <c r="C2192" t="str">
        <f>IF(VIPcric_1!C2167="","",VIPcric_1!C2167)</f>
        <v/>
      </c>
      <c r="D2192" t="str">
        <f>IF(VIPcric_1!D2167="","",VIPcric_1!D2167)</f>
        <v/>
      </c>
      <c r="E2192" t="str">
        <f>IF(VIPcric_1!E2167="","",VIPcric_1!E2167)</f>
        <v/>
      </c>
      <c r="F2192" t="str">
        <f>IF(VIPcric_1!F2167="","",VIPcric_1!F2167)</f>
        <v/>
      </c>
      <c r="G2192" t="str">
        <f>IF(VIPcric_1!G2167="","",VIPcric_1!G2167)</f>
        <v/>
      </c>
      <c r="H2192" t="str">
        <f>IF(VIPcric_1!H2167="","",VIPcric_1!H2167)</f>
        <v/>
      </c>
      <c r="I2192" t="str">
        <f>IF(VIPcric_1!M2167="","",VIPcric_1!M2167)</f>
        <v>CRIC-白银-市场监测.商品房市场.项目累计.库存.xlsx</v>
      </c>
    </row>
    <row r="2193" spans="1:9">
      <c r="A2193" t="str">
        <f>IF(VIPcric_1!A2168="","",VIPcric_1!A2168)</f>
        <v>时间(年)</v>
      </c>
      <c r="B2193" t="str">
        <f>IF(VIPcric_1!B2168="","",VIPcric_1!B2168)</f>
        <v>库存面积(㎡)</v>
      </c>
      <c r="C2193" t="str">
        <f>IF(VIPcric_1!C2168="","",VIPcric_1!C2168)</f>
        <v>库存套数(套)</v>
      </c>
      <c r="D2193" t="str">
        <f>IF(VIPcric_1!D2168="","",VIPcric_1!D2168)</f>
        <v>去化周期12'(月)</v>
      </c>
      <c r="E2193" t="str">
        <f>IF(VIPcric_1!E2168="","",VIPcric_1!E2168)</f>
        <v/>
      </c>
      <c r="F2193" t="str">
        <f>IF(VIPcric_1!F2168="","",VIPcric_1!F2168)</f>
        <v/>
      </c>
      <c r="G2193" t="str">
        <f>IF(VIPcric_1!G2168="","",VIPcric_1!G2168)</f>
        <v/>
      </c>
      <c r="H2193" t="str">
        <f>IF(VIPcric_1!H2168="","",VIPcric_1!H2168)</f>
        <v/>
      </c>
      <c r="I2193" t="str">
        <f>IF(VIPcric_1!M2168="","",VIPcric_1!M2168)</f>
        <v>CRIC-白银-市场监测.商品房市场.项目累计.库存.xlsx</v>
      </c>
    </row>
    <row r="2194" spans="1:9">
      <c r="A2194" t="str">
        <f>IF(VIPcric_1!A2169="","",VIPcric_1!A2169)</f>
        <v>2023年</v>
      </c>
      <c r="B2194">
        <f>IF(VIPcric_1!B2169="","",VIPcric_1!B2169)</f>
        <v>3497596</v>
      </c>
      <c r="C2194">
        <f>IF(VIPcric_1!C2169="","",VIPcric_1!C2169)</f>
        <v>29998</v>
      </c>
      <c r="D2194">
        <f>IF(VIPcric_1!D2169="","",VIPcric_1!D2169)</f>
        <v>240.1</v>
      </c>
      <c r="E2194" t="str">
        <f>IF(VIPcric_1!E2169="","",VIPcric_1!E2169)</f>
        <v/>
      </c>
      <c r="F2194" t="str">
        <f>IF(VIPcric_1!F2169="","",VIPcric_1!F2169)</f>
        <v/>
      </c>
      <c r="G2194" t="str">
        <f>IF(VIPcric_1!G2169="","",VIPcric_1!G2169)</f>
        <v/>
      </c>
      <c r="H2194" t="str">
        <f>IF(VIPcric_1!H2169="","",VIPcric_1!H2169)</f>
        <v/>
      </c>
      <c r="I2194" t="str">
        <f>IF(VIPcric_1!M2169="","",VIPcric_1!M2169)</f>
        <v>CRIC-白银-市场监测.商品房市场.项目累计.库存.xlsx</v>
      </c>
    </row>
    <row r="2195" spans="1:9">
      <c r="A2195" t="str">
        <f>IF(VIPcric_1!A2170="","",VIPcric_1!A2170)</f>
        <v>2022年</v>
      </c>
      <c r="B2195">
        <f>IF(VIPcric_1!B2170="","",VIPcric_1!B2170)</f>
        <v>3394254</v>
      </c>
      <c r="C2195">
        <f>IF(VIPcric_1!C2170="","",VIPcric_1!C2170)</f>
        <v>29179</v>
      </c>
      <c r="D2195">
        <f>IF(VIPcric_1!D2170="","",VIPcric_1!D2170)</f>
        <v>319.2</v>
      </c>
      <c r="E2195" t="str">
        <f>IF(VIPcric_1!E2170="","",VIPcric_1!E2170)</f>
        <v/>
      </c>
      <c r="F2195" t="str">
        <f>IF(VIPcric_1!F2170="","",VIPcric_1!F2170)</f>
        <v/>
      </c>
      <c r="G2195" t="str">
        <f>IF(VIPcric_1!G2170="","",VIPcric_1!G2170)</f>
        <v/>
      </c>
      <c r="H2195" t="str">
        <f>IF(VIPcric_1!H2170="","",VIPcric_1!H2170)</f>
        <v/>
      </c>
      <c r="I2195" t="str">
        <f>IF(VIPcric_1!M2170="","",VIPcric_1!M2170)</f>
        <v>CRIC-白银-市场监测.商品房市场.项目累计.库存.xlsx</v>
      </c>
    </row>
    <row r="2196" spans="1:9">
      <c r="A2196" t="str">
        <f>IF(VIPcric_1!A2171="","",VIPcric_1!A2171)</f>
        <v>2021年</v>
      </c>
      <c r="B2196">
        <f>IF(VIPcric_1!B2171="","",VIPcric_1!B2171)</f>
        <v>0</v>
      </c>
      <c r="C2196">
        <f>IF(VIPcric_1!C2171="","",VIPcric_1!C2171)</f>
        <v>0</v>
      </c>
      <c r="D2196">
        <f>IF(VIPcric_1!D2171="","",VIPcric_1!D2171)</f>
        <v>0</v>
      </c>
      <c r="E2196" t="str">
        <f>IF(VIPcric_1!E2171="","",VIPcric_1!E2171)</f>
        <v/>
      </c>
      <c r="F2196" t="str">
        <f>IF(VIPcric_1!F2171="","",VIPcric_1!F2171)</f>
        <v/>
      </c>
      <c r="G2196" t="str">
        <f>IF(VIPcric_1!G2171="","",VIPcric_1!G2171)</f>
        <v/>
      </c>
      <c r="H2196" t="str">
        <f>IF(VIPcric_1!H2171="","",VIPcric_1!H2171)</f>
        <v/>
      </c>
      <c r="I2196" t="str">
        <f>IF(VIPcric_1!M2171="","",VIPcric_1!M2171)</f>
        <v>CRIC-白银-市场监测.商品房市场.项目累计.库存.xlsx</v>
      </c>
    </row>
    <row r="2197" spans="1:9">
      <c r="A2197" t="str">
        <f>IF(VIPcric_1!A2172="","",VIPcric_1!A2172)</f>
        <v>2020年</v>
      </c>
      <c r="B2197">
        <f>IF(VIPcric_1!B2172="","",VIPcric_1!B2172)</f>
        <v>0</v>
      </c>
      <c r="C2197">
        <f>IF(VIPcric_1!C2172="","",VIPcric_1!C2172)</f>
        <v>0</v>
      </c>
      <c r="D2197">
        <f>IF(VIPcric_1!D2172="","",VIPcric_1!D2172)</f>
        <v>0</v>
      </c>
      <c r="E2197" t="str">
        <f>IF(VIPcric_1!E2172="","",VIPcric_1!E2172)</f>
        <v/>
      </c>
      <c r="F2197" t="str">
        <f>IF(VIPcric_1!F2172="","",VIPcric_1!F2172)</f>
        <v/>
      </c>
      <c r="G2197" t="str">
        <f>IF(VIPcric_1!G2172="","",VIPcric_1!G2172)</f>
        <v/>
      </c>
      <c r="H2197" t="str">
        <f>IF(VIPcric_1!H2172="","",VIPcric_1!H2172)</f>
        <v/>
      </c>
      <c r="I2197" t="str">
        <f>IF(VIPcric_1!M2172="","",VIPcric_1!M2172)</f>
        <v>CRIC-白银-市场监测.商品房市场.项目累计.库存.xlsx</v>
      </c>
    </row>
    <row r="2198" spans="1:9">
      <c r="A2198" t="str">
        <f>IF(VIPcric_1!A2173="","",VIPcric_1!A2173)</f>
        <v>2019年</v>
      </c>
      <c r="B2198">
        <f>IF(VIPcric_1!B2173="","",VIPcric_1!B2173)</f>
        <v>2512127</v>
      </c>
      <c r="C2198">
        <f>IF(VIPcric_1!C2173="","",VIPcric_1!C2173)</f>
        <v>22019</v>
      </c>
      <c r="D2198">
        <f>IF(VIPcric_1!D2173="","",VIPcric_1!D2173)</f>
        <v>67.099999999999994</v>
      </c>
      <c r="E2198" t="str">
        <f>IF(VIPcric_1!E2173="","",VIPcric_1!E2173)</f>
        <v/>
      </c>
      <c r="F2198" t="str">
        <f>IF(VIPcric_1!F2173="","",VIPcric_1!F2173)</f>
        <v/>
      </c>
      <c r="G2198" t="str">
        <f>IF(VIPcric_1!G2173="","",VIPcric_1!G2173)</f>
        <v/>
      </c>
      <c r="H2198" t="str">
        <f>IF(VIPcric_1!H2173="","",VIPcric_1!H2173)</f>
        <v/>
      </c>
      <c r="I2198" t="str">
        <f>IF(VIPcric_1!M2173="","",VIPcric_1!M2173)</f>
        <v>CRIC-白银-市场监测.商品房市场.项目累计.库存.xlsx</v>
      </c>
    </row>
    <row r="2199" spans="1:9">
      <c r="A2199" t="str">
        <f>IF(VIPcric_1!A2174="","",VIPcric_1!A2174)</f>
        <v/>
      </c>
      <c r="B2199" t="str">
        <f>IF(VIPcric_1!B2174="","",VIPcric_1!B2174)</f>
        <v/>
      </c>
      <c r="C2199" t="str">
        <f>IF(VIPcric_1!C2174="","",VIPcric_1!C2174)</f>
        <v/>
      </c>
      <c r="D2199" t="str">
        <f>IF(VIPcric_1!D2174="","",VIPcric_1!D2174)</f>
        <v/>
      </c>
      <c r="E2199" t="str">
        <f>IF(VIPcric_1!E2174="","",VIPcric_1!E2174)</f>
        <v/>
      </c>
      <c r="F2199" t="s">
        <v>857</v>
      </c>
      <c r="G2199" t="str">
        <f>IF(VIPcric_1!G2174="","",VIPcric_1!G2174)</f>
        <v/>
      </c>
      <c r="H2199" t="str">
        <f>IF(VIPcric_1!H2174="","",VIPcric_1!H2174)</f>
        <v/>
      </c>
      <c r="I2199" t="str">
        <f>IF(VIPcric_1!M2174="","",VIPcric_1!M2174)</f>
        <v/>
      </c>
    </row>
    <row r="2200" spans="1:9">
      <c r="A2200" t="str">
        <f>IF(VIPcric_1!A2175="","",VIPcric_1!A2175)</f>
        <v/>
      </c>
      <c r="B2200" t="str">
        <f>IF(VIPcric_1!B2175="","",VIPcric_1!B2175)</f>
        <v/>
      </c>
      <c r="C2200" t="str">
        <f>IF(VIPcric_1!C2175="","",VIPcric_1!C2175)</f>
        <v/>
      </c>
      <c r="D2200" t="str">
        <f>IF(VIPcric_1!D2175="","",VIPcric_1!D2175)</f>
        <v/>
      </c>
      <c r="E2200" t="str">
        <f>IF(VIPcric_1!E2175="","",VIPcric_1!E2175)</f>
        <v/>
      </c>
      <c r="F2200" s="18">
        <f>C2202/E2202*12</f>
        <v>35.033674963396777</v>
      </c>
      <c r="G2200" t="str">
        <f>IF(VIPcric_1!G2175="","",VIPcric_1!G2175)</f>
        <v/>
      </c>
      <c r="H2200" t="str">
        <f>IF(VIPcric_1!H2175="","",VIPcric_1!H2175)</f>
        <v/>
      </c>
      <c r="I2200" t="str">
        <f>IF(VIPcric_1!M2175="","",VIPcric_1!M2175)</f>
        <v>CRIC-益阳-市场监测.商品房市场.项目累计.供求.xlsx</v>
      </c>
    </row>
    <row r="2201" spans="1:9">
      <c r="A2201" t="str">
        <f>IF(VIPcric_1!A2176="","",VIPcric_1!A2176)</f>
        <v>时间(年)</v>
      </c>
      <c r="B2201" t="str">
        <f>IF(VIPcric_1!B2176="","",VIPcric_1!B2176)</f>
        <v>供应面积(㎡)</v>
      </c>
      <c r="C2201" t="str">
        <f>IF(VIPcric_1!C2176="","",VIPcric_1!C2176)</f>
        <v>供应套数(套)</v>
      </c>
      <c r="D2201" t="str">
        <f>IF(VIPcric_1!D2176="","",VIPcric_1!D2176)</f>
        <v>成交面积(㎡)</v>
      </c>
      <c r="E2201" t="str">
        <f>IF(VIPcric_1!E2176="","",VIPcric_1!E2176)</f>
        <v>成交套数(套)</v>
      </c>
      <c r="F2201" t="str">
        <f>IF(VIPcric_1!F2176="","",VIPcric_1!F2176)</f>
        <v>成交均价(元/㎡)</v>
      </c>
      <c r="G2201" t="str">
        <f>IF(VIPcric_1!G2176="","",VIPcric_1!G2176)</f>
        <v>成交金额(元)</v>
      </c>
      <c r="H2201" t="str">
        <f>IF(VIPcric_1!H2176="","",VIPcric_1!H2176)</f>
        <v>供求比</v>
      </c>
      <c r="I2201" t="str">
        <f>IF(VIPcric_1!M2176="","",VIPcric_1!M2176)</f>
        <v>CRIC-益阳-市场监测.商品房市场.项目累计.供求.xlsx</v>
      </c>
    </row>
    <row r="2202" spans="1:9">
      <c r="A2202" t="str">
        <f>IF(VIPcric_1!A2177="","",VIPcric_1!A2177)</f>
        <v>2020年</v>
      </c>
      <c r="B2202">
        <f>IF(VIPcric_1!B2177="","",VIPcric_1!B2177)</f>
        <v>257655</v>
      </c>
      <c r="C2202">
        <f>IF(VIPcric_1!C2177="","",VIPcric_1!C2177)</f>
        <v>1994</v>
      </c>
      <c r="D2202">
        <f>IF(VIPcric_1!D2177="","",VIPcric_1!D2177)</f>
        <v>87579</v>
      </c>
      <c r="E2202">
        <f>IF(VIPcric_1!E2177="","",VIPcric_1!E2177)</f>
        <v>683</v>
      </c>
      <c r="F2202">
        <f>IF(VIPcric_1!F2177="","",VIPcric_1!F2177)</f>
        <v>6371</v>
      </c>
      <c r="G2202">
        <f>IF(VIPcric_1!G2177="","",VIPcric_1!G2177)</f>
        <v>557926522</v>
      </c>
      <c r="H2202">
        <f>IF(VIPcric_1!H2177="","",VIPcric_1!H2177)</f>
        <v>2.94</v>
      </c>
      <c r="I2202" t="str">
        <f>IF(VIPcric_1!M2177="","",VIPcric_1!M2177)</f>
        <v>CRIC-益阳-市场监测.商品房市场.项目累计.供求.xlsx</v>
      </c>
    </row>
    <row r="2203" spans="1:9">
      <c r="A2203" t="str">
        <f>IF(VIPcric_1!A2178="","",VIPcric_1!A2178)</f>
        <v>2019年</v>
      </c>
      <c r="B2203">
        <f>IF(VIPcric_1!B2178="","",VIPcric_1!B2178)</f>
        <v>1731294</v>
      </c>
      <c r="C2203">
        <f>IF(VIPcric_1!C2178="","",VIPcric_1!C2178)</f>
        <v>13965</v>
      </c>
      <c r="D2203">
        <f>IF(VIPcric_1!D2178="","",VIPcric_1!D2178)</f>
        <v>1295230</v>
      </c>
      <c r="E2203">
        <f>IF(VIPcric_1!E2178="","",VIPcric_1!E2178)</f>
        <v>10037</v>
      </c>
      <c r="F2203">
        <f>IF(VIPcric_1!F2178="","",VIPcric_1!F2178)</f>
        <v>6210</v>
      </c>
      <c r="G2203">
        <f>IF(VIPcric_1!G2178="","",VIPcric_1!G2178)</f>
        <v>8043377014</v>
      </c>
      <c r="H2203">
        <f>IF(VIPcric_1!H2178="","",VIPcric_1!H2178)</f>
        <v>1.34</v>
      </c>
      <c r="I2203" t="str">
        <f>IF(VIPcric_1!M2178="","",VIPcric_1!M2178)</f>
        <v>CRIC-益阳-市场监测.商品房市场.项目累计.供求.xlsx</v>
      </c>
    </row>
    <row r="2204" spans="1:9">
      <c r="A2204" t="str">
        <f>IF(VIPcric_1!A2179="","",VIPcric_1!A2179)</f>
        <v>2018年</v>
      </c>
      <c r="B2204">
        <f>IF(VIPcric_1!B2179="","",VIPcric_1!B2179)</f>
        <v>1538984</v>
      </c>
      <c r="C2204">
        <f>IF(VIPcric_1!C2179="","",VIPcric_1!C2179)</f>
        <v>11886</v>
      </c>
      <c r="D2204">
        <f>IF(VIPcric_1!D2179="","",VIPcric_1!D2179)</f>
        <v>1096334</v>
      </c>
      <c r="E2204">
        <f>IF(VIPcric_1!E2179="","",VIPcric_1!E2179)</f>
        <v>8930</v>
      </c>
      <c r="F2204">
        <f>IF(VIPcric_1!F2179="","",VIPcric_1!F2179)</f>
        <v>6165</v>
      </c>
      <c r="G2204">
        <f>IF(VIPcric_1!G2179="","",VIPcric_1!G2179)</f>
        <v>6758582924</v>
      </c>
      <c r="H2204">
        <f>IF(VIPcric_1!H2179="","",VIPcric_1!H2179)</f>
        <v>1.4</v>
      </c>
      <c r="I2204" t="str">
        <f>IF(VIPcric_1!M2179="","",VIPcric_1!M2179)</f>
        <v>CRIC-益阳-市场监测.商品房市场.项目累计.供求.xlsx</v>
      </c>
    </row>
    <row r="2205" spans="1:9">
      <c r="A2205" t="str">
        <f>IF(VIPcric_1!A2180="","",VIPcric_1!A2180)</f>
        <v>2017年</v>
      </c>
      <c r="B2205">
        <f>IF(VIPcric_1!B2180="","",VIPcric_1!B2180)</f>
        <v>1071078</v>
      </c>
      <c r="C2205">
        <f>IF(VIPcric_1!C2180="","",VIPcric_1!C2180)</f>
        <v>8580</v>
      </c>
      <c r="D2205">
        <f>IF(VIPcric_1!D2180="","",VIPcric_1!D2180)</f>
        <v>777179</v>
      </c>
      <c r="E2205">
        <f>IF(VIPcric_1!E2180="","",VIPcric_1!E2180)</f>
        <v>6372</v>
      </c>
      <c r="F2205">
        <f>IF(VIPcric_1!F2180="","",VIPcric_1!F2180)</f>
        <v>4854</v>
      </c>
      <c r="G2205">
        <f>IF(VIPcric_1!G2180="","",VIPcric_1!G2180)</f>
        <v>3772264062</v>
      </c>
      <c r="H2205">
        <f>IF(VIPcric_1!H2180="","",VIPcric_1!H2180)</f>
        <v>1.38</v>
      </c>
      <c r="I2205" t="str">
        <f>IF(VIPcric_1!M2180="","",VIPcric_1!M2180)</f>
        <v>CRIC-益阳-市场监测.商品房市场.项目累计.供求.xlsx</v>
      </c>
    </row>
    <row r="2206" spans="1:9">
      <c r="A2206" t="str">
        <f>IF(VIPcric_1!A2181="","",VIPcric_1!A2181)</f>
        <v>2016年</v>
      </c>
      <c r="B2206">
        <f>IF(VIPcric_1!B2181="","",VIPcric_1!B2181)</f>
        <v>597498</v>
      </c>
      <c r="C2206">
        <f>IF(VIPcric_1!C2181="","",VIPcric_1!C2181)</f>
        <v>4961</v>
      </c>
      <c r="D2206">
        <f>IF(VIPcric_1!D2181="","",VIPcric_1!D2181)</f>
        <v>64098</v>
      </c>
      <c r="E2206">
        <f>IF(VIPcric_1!E2181="","",VIPcric_1!E2181)</f>
        <v>528</v>
      </c>
      <c r="F2206">
        <f>IF(VIPcric_1!F2181="","",VIPcric_1!F2181)</f>
        <v>4195</v>
      </c>
      <c r="G2206">
        <f>IF(VIPcric_1!G2181="","",VIPcric_1!G2181)</f>
        <v>268858890</v>
      </c>
      <c r="H2206">
        <f>IF(VIPcric_1!H2181="","",VIPcric_1!H2181)</f>
        <v>9.32</v>
      </c>
      <c r="I2206" t="str">
        <f>IF(VIPcric_1!M2181="","",VIPcric_1!M2181)</f>
        <v>CRIC-益阳-市场监测.商品房市场.项目累计.供求.xlsx</v>
      </c>
    </row>
    <row r="2207" spans="1:9">
      <c r="A2207" t="str">
        <f>IF(VIPcric_1!A2182="","",VIPcric_1!A2182)</f>
        <v>2015年</v>
      </c>
      <c r="B2207">
        <f>IF(VIPcric_1!B2182="","",VIPcric_1!B2182)</f>
        <v>687304</v>
      </c>
      <c r="C2207">
        <f>IF(VIPcric_1!C2182="","",VIPcric_1!C2182)</f>
        <v>5986</v>
      </c>
      <c r="D2207">
        <f>IF(VIPcric_1!D2182="","",VIPcric_1!D2182)</f>
        <v>72169</v>
      </c>
      <c r="E2207">
        <f>IF(VIPcric_1!E2182="","",VIPcric_1!E2182)</f>
        <v>611</v>
      </c>
      <c r="F2207">
        <f>IF(VIPcric_1!F2182="","",VIPcric_1!F2182)</f>
        <v>3801</v>
      </c>
      <c r="G2207">
        <f>IF(VIPcric_1!G2182="","",VIPcric_1!G2182)</f>
        <v>274299825</v>
      </c>
      <c r="H2207">
        <f>IF(VIPcric_1!H2182="","",VIPcric_1!H2182)</f>
        <v>9.52</v>
      </c>
      <c r="I2207" t="str">
        <f>IF(VIPcric_1!M2182="","",VIPcric_1!M2182)</f>
        <v>CRIC-益阳-市场监测.商品房市场.项目累计.供求.xlsx</v>
      </c>
    </row>
    <row r="2208" spans="1:9">
      <c r="A2208" t="str">
        <f>IF(VIPcric_1!A2183="","",VIPcric_1!A2183)</f>
        <v>汇总</v>
      </c>
      <c r="B2208">
        <f>IF(VIPcric_1!B2183="","",VIPcric_1!B2183)</f>
        <v>5883812</v>
      </c>
      <c r="C2208">
        <f>IF(VIPcric_1!C2183="","",VIPcric_1!C2183)</f>
        <v>47372</v>
      </c>
      <c r="D2208">
        <f>IF(VIPcric_1!D2183="","",VIPcric_1!D2183)</f>
        <v>3392589</v>
      </c>
      <c r="E2208">
        <f>IF(VIPcric_1!E2183="","",VIPcric_1!E2183)</f>
        <v>27161</v>
      </c>
      <c r="F2208">
        <f>IF(VIPcric_1!F2183="","",VIPcric_1!F2183)</f>
        <v>5799</v>
      </c>
      <c r="G2208">
        <f>IF(VIPcric_1!G2183="","",VIPcric_1!G2183)</f>
        <v>19675309238</v>
      </c>
      <c r="H2208">
        <f>IF(VIPcric_1!H2183="","",VIPcric_1!H2183)</f>
        <v>1.73</v>
      </c>
      <c r="I2208" t="str">
        <f>IF(VIPcric_1!M2183="","",VIPcric_1!M2183)</f>
        <v>CRIC-益阳-市场监测.商品房市场.项目累计.供求.xlsx</v>
      </c>
    </row>
    <row r="2209" spans="1:9">
      <c r="A2209" t="str">
        <f>IF(VIPcric_1!A2184="","",VIPcric_1!A2184)</f>
        <v/>
      </c>
      <c r="B2209" t="str">
        <f>IF(VIPcric_1!B2184="","",VIPcric_1!B2184)</f>
        <v/>
      </c>
      <c r="C2209" t="str">
        <f>IF(VIPcric_1!C2184="","",VIPcric_1!C2184)</f>
        <v/>
      </c>
      <c r="D2209" t="str">
        <f>IF(VIPcric_1!D2184="","",VIPcric_1!D2184)</f>
        <v/>
      </c>
      <c r="E2209" t="str">
        <f>IF(VIPcric_1!E2184="","",VIPcric_1!E2184)</f>
        <v/>
      </c>
      <c r="F2209" t="str">
        <f>IF(VIPcric_1!F2184="","",VIPcric_1!F2184)</f>
        <v/>
      </c>
      <c r="G2209" t="str">
        <f>IF(VIPcric_1!G2184="","",VIPcric_1!G2184)</f>
        <v/>
      </c>
      <c r="H2209" t="str">
        <f>IF(VIPcric_1!H2184="","",VIPcric_1!H2184)</f>
        <v/>
      </c>
      <c r="I2209" t="str">
        <f>IF(VIPcric_1!M2184="","",VIPcric_1!M2184)</f>
        <v/>
      </c>
    </row>
    <row r="2210" spans="1:9">
      <c r="A2210" t="str">
        <f>IF(VIPcric_1!A2185="","",VIPcric_1!A2185)</f>
        <v/>
      </c>
      <c r="B2210" t="str">
        <f>IF(VIPcric_1!B2185="","",VIPcric_1!B2185)</f>
        <v/>
      </c>
      <c r="C2210" t="str">
        <f>IF(VIPcric_1!C2185="","",VIPcric_1!C2185)</f>
        <v/>
      </c>
      <c r="D2210" t="str">
        <f>IF(VIPcric_1!D2185="","",VIPcric_1!D2185)</f>
        <v/>
      </c>
      <c r="E2210" t="str">
        <f>IF(VIPcric_1!E2185="","",VIPcric_1!E2185)</f>
        <v/>
      </c>
      <c r="F2210" t="s">
        <v>858</v>
      </c>
      <c r="G2210" s="18">
        <f>C2212/E2212*12</f>
        <v>27.337278106508876</v>
      </c>
      <c r="H2210" t="str">
        <f>IF(VIPcric_1!H2185="","",VIPcric_1!H2185)</f>
        <v/>
      </c>
      <c r="I2210" t="str">
        <f>IF(VIPcric_1!M2185="","",VIPcric_1!M2185)</f>
        <v>CRIC-盐城-市场监测.商品房市场.项目累计.供求.xlsx</v>
      </c>
    </row>
    <row r="2211" spans="1:9">
      <c r="A2211" t="str">
        <f>IF(VIPcric_1!A2186="","",VIPcric_1!A2186)</f>
        <v>时间(年)</v>
      </c>
      <c r="B2211" t="str">
        <f>IF(VIPcric_1!B2186="","",VIPcric_1!B2186)</f>
        <v>供应面积(㎡)</v>
      </c>
      <c r="C2211" t="str">
        <f>IF(VIPcric_1!C2186="","",VIPcric_1!C2186)</f>
        <v>供应套数(套)</v>
      </c>
      <c r="D2211" t="str">
        <f>IF(VIPcric_1!D2186="","",VIPcric_1!D2186)</f>
        <v>成交面积(㎡)</v>
      </c>
      <c r="E2211" t="str">
        <f>IF(VIPcric_1!E2186="","",VIPcric_1!E2186)</f>
        <v>成交套数(套)</v>
      </c>
      <c r="F2211" t="str">
        <f>IF(VIPcric_1!F2186="","",VIPcric_1!F2186)</f>
        <v>成交均价(元/㎡)</v>
      </c>
      <c r="G2211" t="str">
        <f>IF(VIPcric_1!G2186="","",VIPcric_1!G2186)</f>
        <v>成交金额(元)</v>
      </c>
      <c r="H2211" t="str">
        <f>IF(VIPcric_1!H2186="","",VIPcric_1!H2186)</f>
        <v>供求比</v>
      </c>
      <c r="I2211" t="str">
        <f>IF(VIPcric_1!M2186="","",VIPcric_1!M2186)</f>
        <v>CRIC-盐城-市场监测.商品房市场.项目累计.供求.xlsx</v>
      </c>
    </row>
    <row r="2212" spans="1:9">
      <c r="A2212" t="str">
        <f>IF(VIPcric_1!A2187="","",VIPcric_1!A2187)</f>
        <v>2024年</v>
      </c>
      <c r="B2212">
        <f>IF(VIPcric_1!B2187="","",VIPcric_1!B2187)</f>
        <v>44946</v>
      </c>
      <c r="C2212">
        <f>IF(VIPcric_1!C2187="","",VIPcric_1!C2187)</f>
        <v>385</v>
      </c>
      <c r="D2212">
        <f>IF(VIPcric_1!D2187="","",VIPcric_1!D2187)</f>
        <v>21059</v>
      </c>
      <c r="E2212">
        <f>IF(VIPcric_1!E2187="","",VIPcric_1!E2187)</f>
        <v>169</v>
      </c>
      <c r="F2212">
        <f>IF(VIPcric_1!F2187="","",VIPcric_1!F2187)</f>
        <v>12936</v>
      </c>
      <c r="G2212">
        <f>IF(VIPcric_1!G2187="","",VIPcric_1!G2187)</f>
        <v>272426020</v>
      </c>
      <c r="H2212">
        <f>IF(VIPcric_1!H2187="","",VIPcric_1!H2187)</f>
        <v>2.13</v>
      </c>
      <c r="I2212" t="str">
        <f>IF(VIPcric_1!M2187="","",VIPcric_1!M2187)</f>
        <v>CRIC-盐城-市场监测.商品房市场.项目累计.供求.xlsx</v>
      </c>
    </row>
    <row r="2213" spans="1:9">
      <c r="A2213" t="str">
        <f>IF(VIPcric_1!A2188="","",VIPcric_1!A2188)</f>
        <v>2023年</v>
      </c>
      <c r="B2213">
        <f>IF(VIPcric_1!B2188="","",VIPcric_1!B2188)</f>
        <v>644771</v>
      </c>
      <c r="C2213">
        <f>IF(VIPcric_1!C2188="","",VIPcric_1!C2188)</f>
        <v>5270</v>
      </c>
      <c r="D2213">
        <f>IF(VIPcric_1!D2188="","",VIPcric_1!D2188)</f>
        <v>679115</v>
      </c>
      <c r="E2213">
        <f>IF(VIPcric_1!E2188="","",VIPcric_1!E2188)</f>
        <v>5549</v>
      </c>
      <c r="F2213">
        <f>IF(VIPcric_1!F2188="","",VIPcric_1!F2188)</f>
        <v>13652</v>
      </c>
      <c r="G2213">
        <f>IF(VIPcric_1!G2188="","",VIPcric_1!G2188)</f>
        <v>9271169511</v>
      </c>
      <c r="H2213">
        <f>IF(VIPcric_1!H2188="","",VIPcric_1!H2188)</f>
        <v>0.95</v>
      </c>
      <c r="I2213" t="str">
        <f>IF(VIPcric_1!M2188="","",VIPcric_1!M2188)</f>
        <v>CRIC-盐城-市场监测.商品房市场.项目累计.供求.xlsx</v>
      </c>
    </row>
    <row r="2214" spans="1:9">
      <c r="A2214" t="str">
        <f>IF(VIPcric_1!A2189="","",VIPcric_1!A2189)</f>
        <v>2022年</v>
      </c>
      <c r="B2214">
        <f>IF(VIPcric_1!B2189="","",VIPcric_1!B2189)</f>
        <v>1258020</v>
      </c>
      <c r="C2214">
        <f>IF(VIPcric_1!C2189="","",VIPcric_1!C2189)</f>
        <v>10187</v>
      </c>
      <c r="D2214">
        <f>IF(VIPcric_1!D2189="","",VIPcric_1!D2189)</f>
        <v>1034141</v>
      </c>
      <c r="E2214">
        <f>IF(VIPcric_1!E2189="","",VIPcric_1!E2189)</f>
        <v>8562</v>
      </c>
      <c r="F2214">
        <f>IF(VIPcric_1!F2189="","",VIPcric_1!F2189)</f>
        <v>13837</v>
      </c>
      <c r="G2214">
        <f>IF(VIPcric_1!G2189="","",VIPcric_1!G2189)</f>
        <v>14309621664</v>
      </c>
      <c r="H2214">
        <f>IF(VIPcric_1!H2189="","",VIPcric_1!H2189)</f>
        <v>1.22</v>
      </c>
      <c r="I2214" t="str">
        <f>IF(VIPcric_1!M2189="","",VIPcric_1!M2189)</f>
        <v>CRIC-盐城-市场监测.商品房市场.项目累计.供求.xlsx</v>
      </c>
    </row>
    <row r="2215" spans="1:9">
      <c r="A2215" t="str">
        <f>IF(VIPcric_1!A2190="","",VIPcric_1!A2190)</f>
        <v>2021年</v>
      </c>
      <c r="B2215">
        <f>IF(VIPcric_1!B2190="","",VIPcric_1!B2190)</f>
        <v>3231399</v>
      </c>
      <c r="C2215">
        <f>IF(VIPcric_1!C2190="","",VIPcric_1!C2190)</f>
        <v>27544</v>
      </c>
      <c r="D2215">
        <f>IF(VIPcric_1!D2190="","",VIPcric_1!D2190)</f>
        <v>3051405</v>
      </c>
      <c r="E2215">
        <f>IF(VIPcric_1!E2190="","",VIPcric_1!E2190)</f>
        <v>25563</v>
      </c>
      <c r="F2215">
        <f>IF(VIPcric_1!F2190="","",VIPcric_1!F2190)</f>
        <v>13685</v>
      </c>
      <c r="G2215">
        <f>IF(VIPcric_1!G2190="","",VIPcric_1!G2190)</f>
        <v>41759708552</v>
      </c>
      <c r="H2215">
        <f>IF(VIPcric_1!H2190="","",VIPcric_1!H2190)</f>
        <v>1.06</v>
      </c>
      <c r="I2215" t="str">
        <f>IF(VIPcric_1!M2190="","",VIPcric_1!M2190)</f>
        <v>CRIC-盐城-市场监测.商品房市场.项目累计.供求.xlsx</v>
      </c>
    </row>
    <row r="2216" spans="1:9">
      <c r="A2216" t="str">
        <f>IF(VIPcric_1!A2191="","",VIPcric_1!A2191)</f>
        <v>2020年</v>
      </c>
      <c r="B2216">
        <f>IF(VIPcric_1!B2191="","",VIPcric_1!B2191)</f>
        <v>3589749</v>
      </c>
      <c r="C2216">
        <f>IF(VIPcric_1!C2191="","",VIPcric_1!C2191)</f>
        <v>30063</v>
      </c>
      <c r="D2216">
        <f>IF(VIPcric_1!D2191="","",VIPcric_1!D2191)</f>
        <v>4219705</v>
      </c>
      <c r="E2216">
        <f>IF(VIPcric_1!E2191="","",VIPcric_1!E2191)</f>
        <v>34383</v>
      </c>
      <c r="F2216">
        <f>IF(VIPcric_1!F2191="","",VIPcric_1!F2191)</f>
        <v>11149</v>
      </c>
      <c r="G2216">
        <f>IF(VIPcric_1!G2191="","",VIPcric_1!G2191)</f>
        <v>47044959409</v>
      </c>
      <c r="H2216">
        <f>IF(VIPcric_1!H2191="","",VIPcric_1!H2191)</f>
        <v>0.85</v>
      </c>
      <c r="I2216" t="str">
        <f>IF(VIPcric_1!M2191="","",VIPcric_1!M2191)</f>
        <v>CRIC-盐城-市场监测.商品房市场.项目累计.供求.xlsx</v>
      </c>
    </row>
    <row r="2217" spans="1:9">
      <c r="A2217" t="str">
        <f>IF(VIPcric_1!A2192="","",VIPcric_1!A2192)</f>
        <v>2019年</v>
      </c>
      <c r="B2217">
        <f>IF(VIPcric_1!B2192="","",VIPcric_1!B2192)</f>
        <v>3157413</v>
      </c>
      <c r="C2217">
        <f>IF(VIPcric_1!C2192="","",VIPcric_1!C2192)</f>
        <v>25783</v>
      </c>
      <c r="D2217">
        <f>IF(VIPcric_1!D2192="","",VIPcric_1!D2192)</f>
        <v>3187657</v>
      </c>
      <c r="E2217">
        <f>IF(VIPcric_1!E2192="","",VIPcric_1!E2192)</f>
        <v>25684</v>
      </c>
      <c r="F2217">
        <f>IF(VIPcric_1!F2192="","",VIPcric_1!F2192)</f>
        <v>10456</v>
      </c>
      <c r="G2217">
        <f>IF(VIPcric_1!G2192="","",VIPcric_1!G2192)</f>
        <v>33331132956</v>
      </c>
      <c r="H2217">
        <f>IF(VIPcric_1!H2192="","",VIPcric_1!H2192)</f>
        <v>0.99</v>
      </c>
      <c r="I2217" t="str">
        <f>IF(VIPcric_1!M2192="","",VIPcric_1!M2192)</f>
        <v>CRIC-盐城-市场监测.商品房市场.项目累计.供求.xlsx</v>
      </c>
    </row>
    <row r="2218" spans="1:9">
      <c r="A2218" t="str">
        <f>IF(VIPcric_1!A2193="","",VIPcric_1!A2193)</f>
        <v>汇总</v>
      </c>
      <c r="B2218">
        <f>IF(VIPcric_1!B2193="","",VIPcric_1!B2193)</f>
        <v>11926298</v>
      </c>
      <c r="C2218">
        <f>IF(VIPcric_1!C2193="","",VIPcric_1!C2193)</f>
        <v>99232</v>
      </c>
      <c r="D2218">
        <f>IF(VIPcric_1!D2193="","",VIPcric_1!D2193)</f>
        <v>12193083</v>
      </c>
      <c r="E2218">
        <f>IF(VIPcric_1!E2193="","",VIPcric_1!E2193)</f>
        <v>99910</v>
      </c>
      <c r="F2218">
        <f>IF(VIPcric_1!F2193="","",VIPcric_1!F2193)</f>
        <v>11973</v>
      </c>
      <c r="G2218">
        <f>IF(VIPcric_1!G2193="","",VIPcric_1!G2193)</f>
        <v>145989018112</v>
      </c>
      <c r="H2218">
        <f>IF(VIPcric_1!H2193="","",VIPcric_1!H2193)</f>
        <v>0.98</v>
      </c>
      <c r="I2218" t="str">
        <f>IF(VIPcric_1!M2193="","",VIPcric_1!M2193)</f>
        <v>CRIC-盐城-市场监测.商品房市场.项目累计.供求.xlsx</v>
      </c>
    </row>
    <row r="2219" spans="1:9">
      <c r="A2219" t="str">
        <f>IF(VIPcric_1!A2194="","",VIPcric_1!A2194)</f>
        <v/>
      </c>
      <c r="B2219" t="str">
        <f>IF(VIPcric_1!B2194="","",VIPcric_1!B2194)</f>
        <v/>
      </c>
      <c r="C2219" t="str">
        <f>IF(VIPcric_1!C2194="","",VIPcric_1!C2194)</f>
        <v/>
      </c>
      <c r="D2219" t="str">
        <f>IF(VIPcric_1!D2194="","",VIPcric_1!D2194)</f>
        <v/>
      </c>
      <c r="E2219" t="str">
        <f>IF(VIPcric_1!E2194="","",VIPcric_1!E2194)</f>
        <v/>
      </c>
      <c r="F2219" t="str">
        <f>IF(VIPcric_1!F2194="","",VIPcric_1!F2194)</f>
        <v/>
      </c>
      <c r="G2219" t="str">
        <f>IF(VIPcric_1!G2194="","",VIPcric_1!G2194)</f>
        <v/>
      </c>
      <c r="H2219" t="str">
        <f>IF(VIPcric_1!H2194="","",VIPcric_1!H2194)</f>
        <v/>
      </c>
      <c r="I2219" t="str">
        <f>IF(VIPcric_1!M2194="","",VIPcric_1!M2194)</f>
        <v/>
      </c>
    </row>
    <row r="2220" spans="1:9">
      <c r="A2220" t="str">
        <f>IF(VIPcric_1!A2195="","",VIPcric_1!A2195)</f>
        <v/>
      </c>
      <c r="B2220" t="str">
        <f>IF(VIPcric_1!B2195="","",VIPcric_1!B2195)</f>
        <v/>
      </c>
      <c r="C2220" t="str">
        <f>IF(VIPcric_1!C2195="","",VIPcric_1!C2195)</f>
        <v/>
      </c>
      <c r="D2220" t="str">
        <f>IF(VIPcric_1!D2195="","",VIPcric_1!D2195)</f>
        <v/>
      </c>
      <c r="E2220" t="str">
        <f>IF(VIPcric_1!E2195="","",VIPcric_1!E2195)</f>
        <v/>
      </c>
      <c r="F2220" t="str">
        <f>IF(VIPcric_1!F2195="","",VIPcric_1!F2195)</f>
        <v/>
      </c>
      <c r="G2220" t="str">
        <f>IF(VIPcric_1!G2195="","",VIPcric_1!G2195)</f>
        <v/>
      </c>
      <c r="H2220" t="str">
        <f>IF(VIPcric_1!H2195="","",VIPcric_1!H2195)</f>
        <v/>
      </c>
      <c r="I2220" t="str">
        <f>IF(VIPcric_1!M2195="","",VIPcric_1!M2195)</f>
        <v>CRIC-福州-市场监测.商品房市场.项目累计.供求.xlsx</v>
      </c>
    </row>
    <row r="2221" spans="1:9">
      <c r="A2221" t="str">
        <f>IF(VIPcric_1!A2196="","",VIPcric_1!A2196)</f>
        <v>时间(年)</v>
      </c>
      <c r="B2221" t="str">
        <f>IF(VIPcric_1!B2196="","",VIPcric_1!B2196)</f>
        <v>供应面积(㎡)</v>
      </c>
      <c r="C2221" t="str">
        <f>IF(VIPcric_1!C2196="","",VIPcric_1!C2196)</f>
        <v>供应套数(套)</v>
      </c>
      <c r="D2221" t="str">
        <f>IF(VIPcric_1!D2196="","",VIPcric_1!D2196)</f>
        <v>成交面积(㎡)</v>
      </c>
      <c r="E2221" t="str">
        <f>IF(VIPcric_1!E2196="","",VIPcric_1!E2196)</f>
        <v>成交套数(套)</v>
      </c>
      <c r="F2221" t="str">
        <f>IF(VIPcric_1!F2196="","",VIPcric_1!F2196)</f>
        <v>成交均价(元/㎡)</v>
      </c>
      <c r="G2221" t="str">
        <f>IF(VIPcric_1!G2196="","",VIPcric_1!G2196)</f>
        <v>成交金额(元)</v>
      </c>
      <c r="H2221" t="str">
        <f>IF(VIPcric_1!H2196="","",VIPcric_1!H2196)</f>
        <v>供求比</v>
      </c>
      <c r="I2221" t="str">
        <f>IF(VIPcric_1!M2196="","",VIPcric_1!M2196)</f>
        <v>CRIC-福州-市场监测.商品房市场.项目累计.供求.xlsx</v>
      </c>
    </row>
    <row r="2222" spans="1:9">
      <c r="A2222" t="str">
        <f>IF(VIPcric_1!A2197="","",VIPcric_1!A2197)</f>
        <v>2023年</v>
      </c>
      <c r="B2222">
        <f>IF(VIPcric_1!B2197="","",VIPcric_1!B2197)</f>
        <v>1442342</v>
      </c>
      <c r="C2222">
        <f>IF(VIPcric_1!C2197="","",VIPcric_1!C2197)</f>
        <v>13121</v>
      </c>
      <c r="D2222">
        <f>IF(VIPcric_1!D2197="","",VIPcric_1!D2197)</f>
        <v>1567488</v>
      </c>
      <c r="E2222">
        <f>IF(VIPcric_1!E2197="","",VIPcric_1!E2197)</f>
        <v>14004</v>
      </c>
      <c r="F2222">
        <f>IF(VIPcric_1!F2197="","",VIPcric_1!F2197)</f>
        <v>25210</v>
      </c>
      <c r="G2222">
        <f>IF(VIPcric_1!G2197="","",VIPcric_1!G2197)</f>
        <v>39516829436</v>
      </c>
      <c r="H2222">
        <f>IF(VIPcric_1!H2197="","",VIPcric_1!H2197)</f>
        <v>0.92</v>
      </c>
      <c r="I2222" t="str">
        <f>IF(VIPcric_1!M2197="","",VIPcric_1!M2197)</f>
        <v>CRIC-福州-市场监测.商品房市场.项目累计.供求.xlsx</v>
      </c>
    </row>
    <row r="2223" spans="1:9">
      <c r="A2223" t="str">
        <f>IF(VIPcric_1!A2198="","",VIPcric_1!A2198)</f>
        <v>2022年</v>
      </c>
      <c r="B2223">
        <f>IF(VIPcric_1!B2198="","",VIPcric_1!B2198)</f>
        <v>1523973</v>
      </c>
      <c r="C2223">
        <f>IF(VIPcric_1!C2198="","",VIPcric_1!C2198)</f>
        <v>13983</v>
      </c>
      <c r="D2223">
        <f>IF(VIPcric_1!D2198="","",VIPcric_1!D2198)</f>
        <v>1870584</v>
      </c>
      <c r="E2223">
        <f>IF(VIPcric_1!E2198="","",VIPcric_1!E2198)</f>
        <v>17623</v>
      </c>
      <c r="F2223">
        <f>IF(VIPcric_1!F2198="","",VIPcric_1!F2198)</f>
        <v>24074</v>
      </c>
      <c r="G2223">
        <f>IF(VIPcric_1!G2198="","",VIPcric_1!G2198)</f>
        <v>45032268485</v>
      </c>
      <c r="H2223">
        <f>IF(VIPcric_1!H2198="","",VIPcric_1!H2198)</f>
        <v>0.81</v>
      </c>
      <c r="I2223" t="str">
        <f>IF(VIPcric_1!M2198="","",VIPcric_1!M2198)</f>
        <v>CRIC-福州-市场监测.商品房市场.项目累计.供求.xlsx</v>
      </c>
    </row>
    <row r="2224" spans="1:9">
      <c r="A2224" t="str">
        <f>IF(VIPcric_1!A2199="","",VIPcric_1!A2199)</f>
        <v>2021年</v>
      </c>
      <c r="B2224">
        <f>IF(VIPcric_1!B2199="","",VIPcric_1!B2199)</f>
        <v>3618066</v>
      </c>
      <c r="C2224">
        <f>IF(VIPcric_1!C2199="","",VIPcric_1!C2199)</f>
        <v>34925</v>
      </c>
      <c r="D2224">
        <f>IF(VIPcric_1!D2199="","",VIPcric_1!D2199)</f>
        <v>4004677</v>
      </c>
      <c r="E2224">
        <f>IF(VIPcric_1!E2199="","",VIPcric_1!E2199)</f>
        <v>39728</v>
      </c>
      <c r="F2224">
        <f>IF(VIPcric_1!F2199="","",VIPcric_1!F2199)</f>
        <v>23750</v>
      </c>
      <c r="G2224">
        <f>IF(VIPcric_1!G2199="","",VIPcric_1!G2199)</f>
        <v>95110612685</v>
      </c>
      <c r="H2224">
        <f>IF(VIPcric_1!H2199="","",VIPcric_1!H2199)</f>
        <v>0.9</v>
      </c>
      <c r="I2224" t="str">
        <f>IF(VIPcric_1!M2199="","",VIPcric_1!M2199)</f>
        <v>CRIC-福州-市场监测.商品房市场.项目累计.供求.xlsx</v>
      </c>
    </row>
    <row r="2225" spans="1:9">
      <c r="A2225" t="str">
        <f>IF(VIPcric_1!A2200="","",VIPcric_1!A2200)</f>
        <v>2020年</v>
      </c>
      <c r="B2225">
        <f>IF(VIPcric_1!B2200="","",VIPcric_1!B2200)</f>
        <v>3774011</v>
      </c>
      <c r="C2225">
        <f>IF(VIPcric_1!C2200="","",VIPcric_1!C2200)</f>
        <v>38108</v>
      </c>
      <c r="D2225">
        <f>IF(VIPcric_1!D2200="","",VIPcric_1!D2200)</f>
        <v>3058510</v>
      </c>
      <c r="E2225">
        <f>IF(VIPcric_1!E2200="","",VIPcric_1!E2200)</f>
        <v>31129</v>
      </c>
      <c r="F2225">
        <f>IF(VIPcric_1!F2200="","",VIPcric_1!F2200)</f>
        <v>22688</v>
      </c>
      <c r="G2225">
        <f>IF(VIPcric_1!G2200="","",VIPcric_1!G2200)</f>
        <v>69392379947</v>
      </c>
      <c r="H2225">
        <f>IF(VIPcric_1!H2200="","",VIPcric_1!H2200)</f>
        <v>1.23</v>
      </c>
      <c r="I2225" t="str">
        <f>IF(VIPcric_1!M2200="","",VIPcric_1!M2200)</f>
        <v>CRIC-福州-市场监测.商品房市场.项目累计.供求.xlsx</v>
      </c>
    </row>
    <row r="2226" spans="1:9">
      <c r="A2226" t="str">
        <f>IF(VIPcric_1!A2201="","",VIPcric_1!A2201)</f>
        <v>2019年</v>
      </c>
      <c r="B2226">
        <f>IF(VIPcric_1!B2201="","",VIPcric_1!B2201)</f>
        <v>3092818</v>
      </c>
      <c r="C2226">
        <f>IF(VIPcric_1!C2201="","",VIPcric_1!C2201)</f>
        <v>32342</v>
      </c>
      <c r="D2226">
        <f>IF(VIPcric_1!D2201="","",VIPcric_1!D2201)</f>
        <v>3081599</v>
      </c>
      <c r="E2226">
        <f>IF(VIPcric_1!E2201="","",VIPcric_1!E2201)</f>
        <v>31945</v>
      </c>
      <c r="F2226">
        <f>IF(VIPcric_1!F2201="","",VIPcric_1!F2201)</f>
        <v>22244</v>
      </c>
      <c r="G2226">
        <f>IF(VIPcric_1!G2201="","",VIPcric_1!G2201)</f>
        <v>68545754972</v>
      </c>
      <c r="H2226">
        <f>IF(VIPcric_1!H2201="","",VIPcric_1!H2201)</f>
        <v>1</v>
      </c>
      <c r="I2226" t="str">
        <f>IF(VIPcric_1!M2201="","",VIPcric_1!M2201)</f>
        <v>CRIC-福州-市场监测.商品房市场.项目累计.供求.xlsx</v>
      </c>
    </row>
    <row r="2227" spans="1:9">
      <c r="A2227" t="str">
        <f>IF(VIPcric_1!A2202="","",VIPcric_1!A2202)</f>
        <v>汇总</v>
      </c>
      <c r="B2227">
        <f>IF(VIPcric_1!B2202="","",VIPcric_1!B2202)</f>
        <v>13451210</v>
      </c>
      <c r="C2227">
        <f>IF(VIPcric_1!C2202="","",VIPcric_1!C2202)</f>
        <v>132479</v>
      </c>
      <c r="D2227">
        <f>IF(VIPcric_1!D2202="","",VIPcric_1!D2202)</f>
        <v>13582858</v>
      </c>
      <c r="E2227">
        <f>IF(VIPcric_1!E2202="","",VIPcric_1!E2202)</f>
        <v>134429</v>
      </c>
      <c r="F2227">
        <f>IF(VIPcric_1!F2202="","",VIPcric_1!F2202)</f>
        <v>23382</v>
      </c>
      <c r="G2227">
        <f>IF(VIPcric_1!G2202="","",VIPcric_1!G2202)</f>
        <v>317597845525</v>
      </c>
      <c r="H2227">
        <f>IF(VIPcric_1!H2202="","",VIPcric_1!H2202)</f>
        <v>0.99</v>
      </c>
      <c r="I2227" t="str">
        <f>IF(VIPcric_1!M2202="","",VIPcric_1!M2202)</f>
        <v>CRIC-福州-市场监测.商品房市场.项目累计.供求.xlsx</v>
      </c>
    </row>
    <row r="2228" spans="1:9">
      <c r="A2228" t="str">
        <f>IF(VIPcric_1!A2203="","",VIPcric_1!A2203)</f>
        <v/>
      </c>
      <c r="B2228" t="str">
        <f>IF(VIPcric_1!B2203="","",VIPcric_1!B2203)</f>
        <v/>
      </c>
      <c r="C2228" t="str">
        <f>IF(VIPcric_1!C2203="","",VIPcric_1!C2203)</f>
        <v/>
      </c>
      <c r="D2228" t="str">
        <f>IF(VIPcric_1!D2203="","",VIPcric_1!D2203)</f>
        <v/>
      </c>
      <c r="E2228" t="str">
        <f>IF(VIPcric_1!E2203="","",VIPcric_1!E2203)</f>
        <v/>
      </c>
      <c r="F2228" t="str">
        <f>IF(VIPcric_1!F2203="","",VIPcric_1!F2203)</f>
        <v/>
      </c>
      <c r="G2228" t="str">
        <f>IF(VIPcric_1!G2203="","",VIPcric_1!G2203)</f>
        <v/>
      </c>
      <c r="H2228" t="str">
        <f>IF(VIPcric_1!H2203="","",VIPcric_1!H2203)</f>
        <v/>
      </c>
      <c r="I2228" t="str">
        <f>IF(VIPcric_1!M2203="","",VIPcric_1!M2203)</f>
        <v/>
      </c>
    </row>
    <row r="2229" spans="1:9">
      <c r="A2229" t="str">
        <f>IF(VIPcric_1!A2204="","",VIPcric_1!A2204)</f>
        <v/>
      </c>
      <c r="B2229" t="str">
        <f>IF(VIPcric_1!B2204="","",VIPcric_1!B2204)</f>
        <v/>
      </c>
      <c r="C2229" t="str">
        <f>IF(VIPcric_1!C2204="","",VIPcric_1!C2204)</f>
        <v/>
      </c>
      <c r="D2229" t="str">
        <f>IF(VIPcric_1!D2204="","",VIPcric_1!D2204)</f>
        <v/>
      </c>
      <c r="E2229" t="str">
        <f>IF(VIPcric_1!E2204="","",VIPcric_1!E2204)</f>
        <v/>
      </c>
      <c r="F2229" t="str">
        <f>IF(VIPcric_1!F2204="","",VIPcric_1!F2204)</f>
        <v/>
      </c>
      <c r="G2229" t="str">
        <f>IF(VIPcric_1!G2204="","",VIPcric_1!G2204)</f>
        <v/>
      </c>
      <c r="H2229" t="str">
        <f>IF(VIPcric_1!H2204="","",VIPcric_1!H2204)</f>
        <v/>
      </c>
      <c r="I2229" t="str">
        <f>IF(VIPcric_1!M2204="","",VIPcric_1!M2204)</f>
        <v>CRIC-福州-市场监测.商品房市场.项目累计.库存.xlsx</v>
      </c>
    </row>
    <row r="2230" spans="1:9">
      <c r="A2230" t="str">
        <f>IF(VIPcric_1!A2205="","",VIPcric_1!A2205)</f>
        <v>时间(年)</v>
      </c>
      <c r="B2230" t="str">
        <f>IF(VIPcric_1!B2205="","",VIPcric_1!B2205)</f>
        <v>库存面积(㎡)</v>
      </c>
      <c r="C2230" t="str">
        <f>IF(VIPcric_1!C2205="","",VIPcric_1!C2205)</f>
        <v>库存套数(套)</v>
      </c>
      <c r="D2230" t="str">
        <f>IF(VIPcric_1!D2205="","",VIPcric_1!D2205)</f>
        <v>去化周期12'(月)</v>
      </c>
      <c r="E2230" t="str">
        <f>IF(VIPcric_1!E2205="","",VIPcric_1!E2205)</f>
        <v/>
      </c>
      <c r="F2230" t="str">
        <f>IF(VIPcric_1!F2205="","",VIPcric_1!F2205)</f>
        <v/>
      </c>
      <c r="G2230" t="str">
        <f>IF(VIPcric_1!G2205="","",VIPcric_1!G2205)</f>
        <v/>
      </c>
      <c r="H2230" t="str">
        <f>IF(VIPcric_1!H2205="","",VIPcric_1!H2205)</f>
        <v/>
      </c>
      <c r="I2230" t="str">
        <f>IF(VIPcric_1!M2205="","",VIPcric_1!M2205)</f>
        <v>CRIC-福州-市场监测.商品房市场.项目累计.库存.xlsx</v>
      </c>
    </row>
    <row r="2231" spans="1:9">
      <c r="A2231" t="str">
        <f>IF(VIPcric_1!A2206="","",VIPcric_1!A2206)</f>
        <v>2023年</v>
      </c>
      <c r="B2231">
        <f>IF(VIPcric_1!B2206="","",VIPcric_1!B2206)</f>
        <v>2536749</v>
      </c>
      <c r="C2231">
        <f>IF(VIPcric_1!C2206="","",VIPcric_1!C2206)</f>
        <v>23960</v>
      </c>
      <c r="D2231">
        <f>IF(VIPcric_1!D2206="","",VIPcric_1!D2206)</f>
        <v>19.399999999999999</v>
      </c>
      <c r="E2231" t="str">
        <f>IF(VIPcric_1!E2206="","",VIPcric_1!E2206)</f>
        <v/>
      </c>
      <c r="F2231" t="str">
        <f>IF(VIPcric_1!F2206="","",VIPcric_1!F2206)</f>
        <v/>
      </c>
      <c r="G2231" t="str">
        <f>IF(VIPcric_1!G2206="","",VIPcric_1!G2206)</f>
        <v/>
      </c>
      <c r="H2231" t="str">
        <f>IF(VIPcric_1!H2206="","",VIPcric_1!H2206)</f>
        <v/>
      </c>
      <c r="I2231" t="str">
        <f>IF(VIPcric_1!M2206="","",VIPcric_1!M2206)</f>
        <v>CRIC-福州-市场监测.商品房市场.项目累计.库存.xlsx</v>
      </c>
    </row>
    <row r="2232" spans="1:9">
      <c r="A2232" t="str">
        <f>IF(VIPcric_1!A2207="","",VIPcric_1!A2207)</f>
        <v>2022年</v>
      </c>
      <c r="B2232">
        <f>IF(VIPcric_1!B2207="","",VIPcric_1!B2207)</f>
        <v>2786051</v>
      </c>
      <c r="C2232">
        <f>IF(VIPcric_1!C2207="","",VIPcric_1!C2207)</f>
        <v>25894</v>
      </c>
      <c r="D2232">
        <f>IF(VIPcric_1!D2207="","",VIPcric_1!D2207)</f>
        <v>17.899999999999999</v>
      </c>
      <c r="E2232" t="str">
        <f>IF(VIPcric_1!E2207="","",VIPcric_1!E2207)</f>
        <v/>
      </c>
      <c r="F2232" t="str">
        <f>IF(VIPcric_1!F2207="","",VIPcric_1!F2207)</f>
        <v/>
      </c>
      <c r="G2232" t="str">
        <f>IF(VIPcric_1!G2207="","",VIPcric_1!G2207)</f>
        <v/>
      </c>
      <c r="H2232" t="str">
        <f>IF(VIPcric_1!H2207="","",VIPcric_1!H2207)</f>
        <v/>
      </c>
      <c r="I2232" t="str">
        <f>IF(VIPcric_1!M2207="","",VIPcric_1!M2207)</f>
        <v>CRIC-福州-市场监测.商品房市场.项目累计.库存.xlsx</v>
      </c>
    </row>
    <row r="2233" spans="1:9">
      <c r="A2233" t="str">
        <f>IF(VIPcric_1!A2208="","",VIPcric_1!A2208)</f>
        <v>2021年</v>
      </c>
      <c r="B2233">
        <f>IF(VIPcric_1!B2208="","",VIPcric_1!B2208)</f>
        <v>3042436</v>
      </c>
      <c r="C2233">
        <f>IF(VIPcric_1!C2208="","",VIPcric_1!C2208)</f>
        <v>28730</v>
      </c>
      <c r="D2233">
        <f>IF(VIPcric_1!D2208="","",VIPcric_1!D2208)</f>
        <v>9.1</v>
      </c>
      <c r="E2233" t="str">
        <f>IF(VIPcric_1!E2208="","",VIPcric_1!E2208)</f>
        <v/>
      </c>
      <c r="F2233" t="str">
        <f>IF(VIPcric_1!F2208="","",VIPcric_1!F2208)</f>
        <v/>
      </c>
      <c r="G2233" t="str">
        <f>IF(VIPcric_1!G2208="","",VIPcric_1!G2208)</f>
        <v/>
      </c>
      <c r="H2233" t="str">
        <f>IF(VIPcric_1!H2208="","",VIPcric_1!H2208)</f>
        <v/>
      </c>
      <c r="I2233" t="str">
        <f>IF(VIPcric_1!M2208="","",VIPcric_1!M2208)</f>
        <v>CRIC-福州-市场监测.商品房市场.项目累计.库存.xlsx</v>
      </c>
    </row>
    <row r="2234" spans="1:9">
      <c r="A2234" t="str">
        <f>IF(VIPcric_1!A2209="","",VIPcric_1!A2209)</f>
        <v>2020年</v>
      </c>
      <c r="B2234">
        <f>IF(VIPcric_1!B2209="","",VIPcric_1!B2209)</f>
        <v>3495233</v>
      </c>
      <c r="C2234">
        <f>IF(VIPcric_1!C2209="","",VIPcric_1!C2209)</f>
        <v>34137</v>
      </c>
      <c r="D2234">
        <f>IF(VIPcric_1!D2209="","",VIPcric_1!D2209)</f>
        <v>13.7</v>
      </c>
      <c r="E2234" t="str">
        <f>IF(VIPcric_1!E2209="","",VIPcric_1!E2209)</f>
        <v/>
      </c>
      <c r="F2234" t="str">
        <f>IF(VIPcric_1!F2209="","",VIPcric_1!F2209)</f>
        <v/>
      </c>
      <c r="G2234" t="str">
        <f>IF(VIPcric_1!G2209="","",VIPcric_1!G2209)</f>
        <v/>
      </c>
      <c r="H2234" t="str">
        <f>IF(VIPcric_1!H2209="","",VIPcric_1!H2209)</f>
        <v/>
      </c>
      <c r="I2234" t="str">
        <f>IF(VIPcric_1!M2209="","",VIPcric_1!M2209)</f>
        <v>CRIC-福州-市场监测.商品房市场.项目累计.库存.xlsx</v>
      </c>
    </row>
    <row r="2235" spans="1:9">
      <c r="A2235" t="str">
        <f>IF(VIPcric_1!A2210="","",VIPcric_1!A2210)</f>
        <v>2019年</v>
      </c>
      <c r="B2235">
        <f>IF(VIPcric_1!B2210="","",VIPcric_1!B2210)</f>
        <v>2961408</v>
      </c>
      <c r="C2235">
        <f>IF(VIPcric_1!C2210="","",VIPcric_1!C2210)</f>
        <v>29157</v>
      </c>
      <c r="D2235">
        <f>IF(VIPcric_1!D2210="","",VIPcric_1!D2210)</f>
        <v>11.5</v>
      </c>
      <c r="E2235" t="str">
        <f>IF(VIPcric_1!E2210="","",VIPcric_1!E2210)</f>
        <v/>
      </c>
      <c r="F2235" t="str">
        <f>IF(VIPcric_1!F2210="","",VIPcric_1!F2210)</f>
        <v/>
      </c>
      <c r="G2235" t="str">
        <f>IF(VIPcric_1!G2210="","",VIPcric_1!G2210)</f>
        <v/>
      </c>
      <c r="H2235" t="str">
        <f>IF(VIPcric_1!H2210="","",VIPcric_1!H2210)</f>
        <v/>
      </c>
      <c r="I2235" t="str">
        <f>IF(VIPcric_1!M2210="","",VIPcric_1!M2210)</f>
        <v>CRIC-福州-市场监测.商品房市场.项目累计.库存.xlsx</v>
      </c>
    </row>
    <row r="2236" spans="1:9">
      <c r="A2236" t="str">
        <f>IF(VIPcric_1!A2211="","",VIPcric_1!A2211)</f>
        <v>2018年</v>
      </c>
      <c r="B2236">
        <f>IF(VIPcric_1!B2211="","",VIPcric_1!B2211)</f>
        <v>2818787</v>
      </c>
      <c r="C2236">
        <f>IF(VIPcric_1!C2211="","",VIPcric_1!C2211)</f>
        <v>27332</v>
      </c>
      <c r="D2236">
        <f>IF(VIPcric_1!D2211="","",VIPcric_1!D2211)</f>
        <v>11.4</v>
      </c>
      <c r="E2236" t="str">
        <f>IF(VIPcric_1!E2211="","",VIPcric_1!E2211)</f>
        <v/>
      </c>
      <c r="F2236" t="str">
        <f>IF(VIPcric_1!F2211="","",VIPcric_1!F2211)</f>
        <v/>
      </c>
      <c r="G2236" t="str">
        <f>IF(VIPcric_1!G2211="","",VIPcric_1!G2211)</f>
        <v/>
      </c>
      <c r="H2236" t="str">
        <f>IF(VIPcric_1!H2211="","",VIPcric_1!H2211)</f>
        <v/>
      </c>
      <c r="I2236" t="str">
        <f>IF(VIPcric_1!M2211="","",VIPcric_1!M2211)</f>
        <v>CRIC-福州-市场监测.商品房市场.项目累计.库存.xlsx</v>
      </c>
    </row>
    <row r="2237" spans="1:9">
      <c r="A2237" t="str">
        <f>IF(VIPcric_1!A2212="","",VIPcric_1!A2212)</f>
        <v/>
      </c>
      <c r="B2237" t="str">
        <f>IF(VIPcric_1!B2212="","",VIPcric_1!B2212)</f>
        <v/>
      </c>
      <c r="C2237" t="str">
        <f>IF(VIPcric_1!C2212="","",VIPcric_1!C2212)</f>
        <v/>
      </c>
      <c r="D2237" t="str">
        <f>IF(VIPcric_1!D2212="","",VIPcric_1!D2212)</f>
        <v/>
      </c>
      <c r="E2237" t="str">
        <f>IF(VIPcric_1!E2212="","",VIPcric_1!E2212)</f>
        <v/>
      </c>
      <c r="F2237" t="str">
        <f>IF(VIPcric_1!F2212="","",VIPcric_1!F2212)</f>
        <v/>
      </c>
      <c r="G2237" t="str">
        <f>IF(VIPcric_1!G2212="","",VIPcric_1!G2212)</f>
        <v/>
      </c>
      <c r="H2237" t="str">
        <f>IF(VIPcric_1!H2212="","",VIPcric_1!H2212)</f>
        <v/>
      </c>
      <c r="I2237" t="str">
        <f>IF(VIPcric_1!M2212="","",VIPcric_1!M2212)</f>
        <v/>
      </c>
    </row>
    <row r="2238" spans="1:9">
      <c r="A2238" t="str">
        <f>IF(VIPcric_1!A2213="","",VIPcric_1!A2213)</f>
        <v/>
      </c>
      <c r="B2238" t="str">
        <f>IF(VIPcric_1!B2213="","",VIPcric_1!B2213)</f>
        <v/>
      </c>
      <c r="C2238" t="str">
        <f>IF(VIPcric_1!C2213="","",VIPcric_1!C2213)</f>
        <v/>
      </c>
      <c r="D2238" t="str">
        <f>IF(VIPcric_1!D2213="","",VIPcric_1!D2213)</f>
        <v/>
      </c>
      <c r="E2238" t="str">
        <f>IF(VIPcric_1!E2213="","",VIPcric_1!E2213)</f>
        <v/>
      </c>
      <c r="F2238" t="str">
        <f>IF(VIPcric_1!F2213="","",VIPcric_1!F2213)</f>
        <v/>
      </c>
      <c r="G2238" t="str">
        <f>IF(VIPcric_1!G2213="","",VIPcric_1!G2213)</f>
        <v/>
      </c>
      <c r="H2238" t="str">
        <f>IF(VIPcric_1!H2213="","",VIPcric_1!H2213)</f>
        <v/>
      </c>
      <c r="I2238" t="str">
        <f>IF(VIPcric_1!M2213="","",VIPcric_1!M2213)</f>
        <v>CRIC-绍兴-市场监测.商品房市场.项目累计.供求.xlsx</v>
      </c>
    </row>
    <row r="2239" spans="1:9">
      <c r="A2239" t="str">
        <f>IF(VIPcric_1!A2214="","",VIPcric_1!A2214)</f>
        <v>时间(年)</v>
      </c>
      <c r="B2239" t="str">
        <f>IF(VIPcric_1!B2214="","",VIPcric_1!B2214)</f>
        <v>供应面积(㎡)</v>
      </c>
      <c r="C2239" t="str">
        <f>IF(VIPcric_1!C2214="","",VIPcric_1!C2214)</f>
        <v>供应套数(套)</v>
      </c>
      <c r="D2239" t="str">
        <f>IF(VIPcric_1!D2214="","",VIPcric_1!D2214)</f>
        <v>成交面积(㎡)</v>
      </c>
      <c r="E2239" t="str">
        <f>IF(VIPcric_1!E2214="","",VIPcric_1!E2214)</f>
        <v>成交套数(套)</v>
      </c>
      <c r="F2239" t="str">
        <f>IF(VIPcric_1!F2214="","",VIPcric_1!F2214)</f>
        <v>成交均价(元/㎡)</v>
      </c>
      <c r="G2239" t="str">
        <f>IF(VIPcric_1!G2214="","",VIPcric_1!G2214)</f>
        <v>成交金额(元)</v>
      </c>
      <c r="H2239" t="str">
        <f>IF(VIPcric_1!H2214="","",VIPcric_1!H2214)</f>
        <v>供求比</v>
      </c>
      <c r="I2239" t="str">
        <f>IF(VIPcric_1!M2214="","",VIPcric_1!M2214)</f>
        <v>CRIC-绍兴-市场监测.商品房市场.项目累计.供求.xlsx</v>
      </c>
    </row>
    <row r="2240" spans="1:9">
      <c r="A2240" t="str">
        <f>IF(VIPcric_1!A2215="","",VIPcric_1!A2215)</f>
        <v>2023年</v>
      </c>
      <c r="B2240">
        <f>IF(VIPcric_1!B2215="","",VIPcric_1!B2215)</f>
        <v>1265944</v>
      </c>
      <c r="C2240">
        <f>IF(VIPcric_1!C2215="","",VIPcric_1!C2215)</f>
        <v>10425</v>
      </c>
      <c r="D2240">
        <f>IF(VIPcric_1!D2215="","",VIPcric_1!D2215)</f>
        <v>641064</v>
      </c>
      <c r="E2240">
        <f>IF(VIPcric_1!E2215="","",VIPcric_1!E2215)</f>
        <v>5398</v>
      </c>
      <c r="F2240">
        <f>IF(VIPcric_1!F2215="","",VIPcric_1!F2215)</f>
        <v>24601</v>
      </c>
      <c r="G2240">
        <f>IF(VIPcric_1!G2215="","",VIPcric_1!G2215)</f>
        <v>15770693314</v>
      </c>
      <c r="H2240">
        <f>IF(VIPcric_1!H2215="","",VIPcric_1!H2215)</f>
        <v>1.97</v>
      </c>
      <c r="I2240" t="str">
        <f>IF(VIPcric_1!M2215="","",VIPcric_1!M2215)</f>
        <v>CRIC-绍兴-市场监测.商品房市场.项目累计.供求.xlsx</v>
      </c>
    </row>
    <row r="2241" spans="1:9">
      <c r="A2241" t="str">
        <f>IF(VIPcric_1!A2216="","",VIPcric_1!A2216)</f>
        <v>2022年</v>
      </c>
      <c r="B2241">
        <f>IF(VIPcric_1!B2216="","",VIPcric_1!B2216)</f>
        <v>997437</v>
      </c>
      <c r="C2241">
        <f>IF(VIPcric_1!C2216="","",VIPcric_1!C2216)</f>
        <v>8584</v>
      </c>
      <c r="D2241">
        <f>IF(VIPcric_1!D2216="","",VIPcric_1!D2216)</f>
        <v>710945</v>
      </c>
      <c r="E2241">
        <f>IF(VIPcric_1!E2216="","",VIPcric_1!E2216)</f>
        <v>5914</v>
      </c>
      <c r="F2241">
        <f>IF(VIPcric_1!F2216="","",VIPcric_1!F2216)</f>
        <v>25176</v>
      </c>
      <c r="G2241">
        <f>IF(VIPcric_1!G2216="","",VIPcric_1!G2216)</f>
        <v>17898918373</v>
      </c>
      <c r="H2241">
        <f>IF(VIPcric_1!H2216="","",VIPcric_1!H2216)</f>
        <v>1.4</v>
      </c>
      <c r="I2241" t="str">
        <f>IF(VIPcric_1!M2216="","",VIPcric_1!M2216)</f>
        <v>CRIC-绍兴-市场监测.商品房市场.项目累计.供求.xlsx</v>
      </c>
    </row>
    <row r="2242" spans="1:9">
      <c r="A2242" t="str">
        <f>IF(VIPcric_1!A2217="","",VIPcric_1!A2217)</f>
        <v>2021年</v>
      </c>
      <c r="B2242">
        <f>IF(VIPcric_1!B2217="","",VIPcric_1!B2217)</f>
        <v>2980667</v>
      </c>
      <c r="C2242">
        <f>IF(VIPcric_1!C2217="","",VIPcric_1!C2217)</f>
        <v>25272</v>
      </c>
      <c r="D2242">
        <f>IF(VIPcric_1!D2217="","",VIPcric_1!D2217)</f>
        <v>1605973</v>
      </c>
      <c r="E2242">
        <f>IF(VIPcric_1!E2217="","",VIPcric_1!E2217)</f>
        <v>13381</v>
      </c>
      <c r="F2242">
        <f>IF(VIPcric_1!F2217="","",VIPcric_1!F2217)</f>
        <v>23879</v>
      </c>
      <c r="G2242">
        <f>IF(VIPcric_1!G2217="","",VIPcric_1!G2217)</f>
        <v>38349229234</v>
      </c>
      <c r="H2242">
        <f>IF(VIPcric_1!H2217="","",VIPcric_1!H2217)</f>
        <v>1.86</v>
      </c>
      <c r="I2242" t="str">
        <f>IF(VIPcric_1!M2217="","",VIPcric_1!M2217)</f>
        <v>CRIC-绍兴-市场监测.商品房市场.项目累计.供求.xlsx</v>
      </c>
    </row>
    <row r="2243" spans="1:9">
      <c r="A2243" t="str">
        <f>IF(VIPcric_1!A2218="","",VIPcric_1!A2218)</f>
        <v>2020年</v>
      </c>
      <c r="B2243">
        <f>IF(VIPcric_1!B2218="","",VIPcric_1!B2218)</f>
        <v>3934519</v>
      </c>
      <c r="C2243">
        <f>IF(VIPcric_1!C2218="","",VIPcric_1!C2218)</f>
        <v>33617</v>
      </c>
      <c r="D2243">
        <f>IF(VIPcric_1!D2218="","",VIPcric_1!D2218)</f>
        <v>2028114</v>
      </c>
      <c r="E2243">
        <f>IF(VIPcric_1!E2218="","",VIPcric_1!E2218)</f>
        <v>16863</v>
      </c>
      <c r="F2243">
        <f>IF(VIPcric_1!F2218="","",VIPcric_1!F2218)</f>
        <v>21214</v>
      </c>
      <c r="G2243">
        <f>IF(VIPcric_1!G2218="","",VIPcric_1!G2218)</f>
        <v>43023631715</v>
      </c>
      <c r="H2243">
        <f>IF(VIPcric_1!H2218="","",VIPcric_1!H2218)</f>
        <v>1.94</v>
      </c>
      <c r="I2243" t="str">
        <f>IF(VIPcric_1!M2218="","",VIPcric_1!M2218)</f>
        <v>CRIC-绍兴-市场监测.商品房市场.项目累计.供求.xlsx</v>
      </c>
    </row>
    <row r="2244" spans="1:9">
      <c r="A2244" t="str">
        <f>IF(VIPcric_1!A2219="","",VIPcric_1!A2219)</f>
        <v>2019年</v>
      </c>
      <c r="B2244">
        <f>IF(VIPcric_1!B2219="","",VIPcric_1!B2219)</f>
        <v>3165385</v>
      </c>
      <c r="C2244">
        <f>IF(VIPcric_1!C2219="","",VIPcric_1!C2219)</f>
        <v>27094</v>
      </c>
      <c r="D2244">
        <f>IF(VIPcric_1!D2219="","",VIPcric_1!D2219)</f>
        <v>1806224</v>
      </c>
      <c r="E2244">
        <f>IF(VIPcric_1!E2219="","",VIPcric_1!E2219)</f>
        <v>14946</v>
      </c>
      <c r="F2244">
        <f>IF(VIPcric_1!F2219="","",VIPcric_1!F2219)</f>
        <v>18220</v>
      </c>
      <c r="G2244">
        <f>IF(VIPcric_1!G2219="","",VIPcric_1!G2219)</f>
        <v>32908752038</v>
      </c>
      <c r="H2244">
        <f>IF(VIPcric_1!H2219="","",VIPcric_1!H2219)</f>
        <v>1.75</v>
      </c>
      <c r="I2244" t="str">
        <f>IF(VIPcric_1!M2219="","",VIPcric_1!M2219)</f>
        <v>CRIC-绍兴-市场监测.商品房市场.项目累计.供求.xlsx</v>
      </c>
    </row>
    <row r="2245" spans="1:9">
      <c r="A2245" t="str">
        <f>IF(VIPcric_1!A2220="","",VIPcric_1!A2220)</f>
        <v>汇总</v>
      </c>
      <c r="B2245">
        <f>IF(VIPcric_1!B2220="","",VIPcric_1!B2220)</f>
        <v>12343952</v>
      </c>
      <c r="C2245">
        <f>IF(VIPcric_1!C2220="","",VIPcric_1!C2220)</f>
        <v>104992</v>
      </c>
      <c r="D2245">
        <f>IF(VIPcric_1!D2220="","",VIPcric_1!D2220)</f>
        <v>6792321</v>
      </c>
      <c r="E2245">
        <f>IF(VIPcric_1!E2220="","",VIPcric_1!E2220)</f>
        <v>56502</v>
      </c>
      <c r="F2245">
        <f>IF(VIPcric_1!F2220="","",VIPcric_1!F2220)</f>
        <v>21782</v>
      </c>
      <c r="G2245">
        <f>IF(VIPcric_1!G2220="","",VIPcric_1!G2220)</f>
        <v>147951224675</v>
      </c>
      <c r="H2245">
        <f>IF(VIPcric_1!H2220="","",VIPcric_1!H2220)</f>
        <v>1.82</v>
      </c>
      <c r="I2245" t="str">
        <f>IF(VIPcric_1!M2220="","",VIPcric_1!M2220)</f>
        <v>CRIC-绍兴-市场监测.商品房市场.项目累计.供求.xlsx</v>
      </c>
    </row>
    <row r="2246" spans="1:9">
      <c r="A2246" t="str">
        <f>IF(VIPcric_1!A2221="","",VIPcric_1!A2221)</f>
        <v/>
      </c>
      <c r="B2246" t="str">
        <f>IF(VIPcric_1!B2221="","",VIPcric_1!B2221)</f>
        <v/>
      </c>
      <c r="C2246" t="str">
        <f>IF(VIPcric_1!C2221="","",VIPcric_1!C2221)</f>
        <v/>
      </c>
      <c r="D2246" t="str">
        <f>IF(VIPcric_1!D2221="","",VIPcric_1!D2221)</f>
        <v/>
      </c>
      <c r="E2246" t="str">
        <f>IF(VIPcric_1!E2221="","",VIPcric_1!E2221)</f>
        <v/>
      </c>
      <c r="F2246" t="str">
        <f>IF(VIPcric_1!F2221="","",VIPcric_1!F2221)</f>
        <v/>
      </c>
      <c r="G2246" t="str">
        <f>IF(VIPcric_1!G2221="","",VIPcric_1!G2221)</f>
        <v/>
      </c>
      <c r="H2246" t="str">
        <f>IF(VIPcric_1!H2221="","",VIPcric_1!H2221)</f>
        <v/>
      </c>
      <c r="I2246" t="str">
        <f>IF(VIPcric_1!M2221="","",VIPcric_1!M2221)</f>
        <v/>
      </c>
    </row>
    <row r="2247" spans="1:9">
      <c r="A2247" t="str">
        <f>IF(VIPcric_1!A2222="","",VIPcric_1!A2222)</f>
        <v/>
      </c>
      <c r="B2247" t="str">
        <f>IF(VIPcric_1!B2222="","",VIPcric_1!B2222)</f>
        <v/>
      </c>
      <c r="C2247" t="str">
        <f>IF(VIPcric_1!C2222="","",VIPcric_1!C2222)</f>
        <v/>
      </c>
      <c r="D2247" t="str">
        <f>IF(VIPcric_1!D2222="","",VIPcric_1!D2222)</f>
        <v/>
      </c>
      <c r="E2247" t="str">
        <f>IF(VIPcric_1!E2222="","",VIPcric_1!E2222)</f>
        <v/>
      </c>
      <c r="F2247" t="str">
        <f>IF(VIPcric_1!F2222="","",VIPcric_1!F2222)</f>
        <v/>
      </c>
      <c r="G2247" t="str">
        <f>IF(VIPcric_1!G2222="","",VIPcric_1!G2222)</f>
        <v/>
      </c>
      <c r="H2247" t="str">
        <f>IF(VIPcric_1!H2222="","",VIPcric_1!H2222)</f>
        <v/>
      </c>
      <c r="I2247" t="str">
        <f>IF(VIPcric_1!M2222="","",VIPcric_1!M2222)</f>
        <v>CRIC-绍兴-市场监测.商品房市场.项目累计.库存.xlsx</v>
      </c>
    </row>
    <row r="2248" spans="1:9">
      <c r="A2248" t="str">
        <f>IF(VIPcric_1!A2223="","",VIPcric_1!A2223)</f>
        <v>时间(年)</v>
      </c>
      <c r="B2248" t="str">
        <f>IF(VIPcric_1!B2223="","",VIPcric_1!B2223)</f>
        <v>库存面积(㎡)</v>
      </c>
      <c r="C2248" t="str">
        <f>IF(VIPcric_1!C2223="","",VIPcric_1!C2223)</f>
        <v>库存套数(套)</v>
      </c>
      <c r="D2248" t="str">
        <f>IF(VIPcric_1!D2223="","",VIPcric_1!D2223)</f>
        <v>去化周期12'(月)</v>
      </c>
      <c r="E2248" t="str">
        <f>IF(VIPcric_1!E2223="","",VIPcric_1!E2223)</f>
        <v>去化周期24'(月)</v>
      </c>
      <c r="F2248" t="str">
        <f>IF(VIPcric_1!F2223="","",VIPcric_1!F2223)</f>
        <v/>
      </c>
      <c r="G2248" t="str">
        <f>IF(VIPcric_1!G2223="","",VIPcric_1!G2223)</f>
        <v/>
      </c>
      <c r="H2248" t="str">
        <f>IF(VIPcric_1!H2223="","",VIPcric_1!H2223)</f>
        <v/>
      </c>
      <c r="I2248" t="str">
        <f>IF(VIPcric_1!M2223="","",VIPcric_1!M2223)</f>
        <v>CRIC-绍兴-市场监测.商品房市场.项目累计.库存.xlsx</v>
      </c>
    </row>
    <row r="2249" spans="1:9">
      <c r="A2249" t="str">
        <f>IF(VIPcric_1!A2224="","",VIPcric_1!A2224)</f>
        <v>2024年</v>
      </c>
      <c r="B2249">
        <f>IF(VIPcric_1!B2224="","",VIPcric_1!B2224)</f>
        <v>1341642</v>
      </c>
      <c r="C2249">
        <f>IF(VIPcric_1!C2224="","",VIPcric_1!C2224)</f>
        <v>11075</v>
      </c>
      <c r="D2249">
        <f>IF(VIPcric_1!D2224="","",VIPcric_1!D2224)</f>
        <v>24.3</v>
      </c>
      <c r="E2249">
        <f>IF(VIPcric_1!E2224="","",VIPcric_1!E2224)</f>
        <v>24.4</v>
      </c>
      <c r="F2249" t="str">
        <f>IF(VIPcric_1!F2224="","",VIPcric_1!F2224)</f>
        <v/>
      </c>
      <c r="G2249" t="str">
        <f>IF(VIPcric_1!G2224="","",VIPcric_1!G2224)</f>
        <v/>
      </c>
      <c r="H2249" t="str">
        <f>IF(VIPcric_1!H2224="","",VIPcric_1!H2224)</f>
        <v/>
      </c>
      <c r="I2249" t="str">
        <f>IF(VIPcric_1!M2224="","",VIPcric_1!M2224)</f>
        <v>CRIC-绍兴-市场监测.商品房市场.项目累计.库存.xlsx</v>
      </c>
    </row>
    <row r="2250" spans="1:9">
      <c r="A2250" t="str">
        <f>IF(VIPcric_1!A2225="","",VIPcric_1!A2225)</f>
        <v>2023年</v>
      </c>
      <c r="B2250">
        <f>IF(VIPcric_1!B2225="","",VIPcric_1!B2225)</f>
        <v>1311258</v>
      </c>
      <c r="C2250">
        <f>IF(VIPcric_1!C2225="","",VIPcric_1!C2225)</f>
        <v>10795</v>
      </c>
      <c r="D2250">
        <f>IF(VIPcric_1!D2225="","",VIPcric_1!D2225)</f>
        <v>24.5</v>
      </c>
      <c r="E2250">
        <f>IF(VIPcric_1!E2225="","",VIPcric_1!E2225)</f>
        <v>23.3</v>
      </c>
      <c r="F2250" t="str">
        <f>IF(VIPcric_1!F2225="","",VIPcric_1!F2225)</f>
        <v/>
      </c>
      <c r="G2250" t="str">
        <f>IF(VIPcric_1!G2225="","",VIPcric_1!G2225)</f>
        <v/>
      </c>
      <c r="H2250" t="str">
        <f>IF(VIPcric_1!H2225="","",VIPcric_1!H2225)</f>
        <v/>
      </c>
      <c r="I2250" t="str">
        <f>IF(VIPcric_1!M2225="","",VIPcric_1!M2225)</f>
        <v>CRIC-绍兴-市场监测.商品房市场.项目累计.库存.xlsx</v>
      </c>
    </row>
    <row r="2251" spans="1:9">
      <c r="A2251" t="str">
        <f>IF(VIPcric_1!A2226="","",VIPcric_1!A2226)</f>
        <v>2022年</v>
      </c>
      <c r="B2251">
        <f>IF(VIPcric_1!B2226="","",VIPcric_1!B2226)</f>
        <v>1321106</v>
      </c>
      <c r="C2251">
        <f>IF(VIPcric_1!C2226="","",VIPcric_1!C2226)</f>
        <v>10914</v>
      </c>
      <c r="D2251">
        <f>IF(VIPcric_1!D2226="","",VIPcric_1!D2226)</f>
        <v>22.3</v>
      </c>
      <c r="E2251">
        <f>IF(VIPcric_1!E2226="","",VIPcric_1!E2226)</f>
        <v>13.7</v>
      </c>
      <c r="F2251" t="str">
        <f>IF(VIPcric_1!F2226="","",VIPcric_1!F2226)</f>
        <v/>
      </c>
      <c r="G2251" t="str">
        <f>IF(VIPcric_1!G2226="","",VIPcric_1!G2226)</f>
        <v/>
      </c>
      <c r="H2251" t="str">
        <f>IF(VIPcric_1!H2226="","",VIPcric_1!H2226)</f>
        <v/>
      </c>
      <c r="I2251" t="str">
        <f>IF(VIPcric_1!M2226="","",VIPcric_1!M2226)</f>
        <v>CRIC-绍兴-市场监测.商品房市场.项目累计.库存.xlsx</v>
      </c>
    </row>
    <row r="2252" spans="1:9">
      <c r="A2252" t="str">
        <f>IF(VIPcric_1!A2227="","",VIPcric_1!A2227)</f>
        <v>2021年</v>
      </c>
      <c r="B2252">
        <f>IF(VIPcric_1!B2227="","",VIPcric_1!B2227)</f>
        <v>1374689</v>
      </c>
      <c r="C2252">
        <f>IF(VIPcric_1!C2227="","",VIPcric_1!C2227)</f>
        <v>11339</v>
      </c>
      <c r="D2252">
        <f>IF(VIPcric_1!D2227="","",VIPcric_1!D2227)</f>
        <v>10.3</v>
      </c>
      <c r="E2252">
        <f>IF(VIPcric_1!E2227="","",VIPcric_1!E2227)</f>
        <v>9.1</v>
      </c>
      <c r="F2252" t="str">
        <f>IF(VIPcric_1!F2227="","",VIPcric_1!F2227)</f>
        <v/>
      </c>
      <c r="G2252" t="str">
        <f>IF(VIPcric_1!G2227="","",VIPcric_1!G2227)</f>
        <v/>
      </c>
      <c r="H2252" t="str">
        <f>IF(VIPcric_1!H2227="","",VIPcric_1!H2227)</f>
        <v/>
      </c>
      <c r="I2252" t="str">
        <f>IF(VIPcric_1!M2227="","",VIPcric_1!M2227)</f>
        <v>CRIC-绍兴-市场监测.商品房市场.项目累计.库存.xlsx</v>
      </c>
    </row>
    <row r="2253" spans="1:9">
      <c r="A2253" t="str">
        <f>IF(VIPcric_1!A2228="","",VIPcric_1!A2228)</f>
        <v>2020年</v>
      </c>
      <c r="B2253">
        <f>IF(VIPcric_1!B2228="","",VIPcric_1!B2228)</f>
        <v>928811</v>
      </c>
      <c r="C2253">
        <f>IF(VIPcric_1!C2228="","",VIPcric_1!C2228)</f>
        <v>7343</v>
      </c>
      <c r="D2253">
        <f>IF(VIPcric_1!D2228="","",VIPcric_1!D2228)</f>
        <v>5.5</v>
      </c>
      <c r="E2253">
        <f>IF(VIPcric_1!E2228="","",VIPcric_1!E2228)</f>
        <v>5.8</v>
      </c>
      <c r="F2253" t="str">
        <f>IF(VIPcric_1!F2228="","",VIPcric_1!F2228)</f>
        <v/>
      </c>
      <c r="G2253" t="str">
        <f>IF(VIPcric_1!G2228="","",VIPcric_1!G2228)</f>
        <v/>
      </c>
      <c r="H2253" t="str">
        <f>IF(VIPcric_1!H2228="","",VIPcric_1!H2228)</f>
        <v/>
      </c>
      <c r="I2253" t="str">
        <f>IF(VIPcric_1!M2228="","",VIPcric_1!M2228)</f>
        <v>CRIC-绍兴-市场监测.商品房市场.项目累计.库存.xlsx</v>
      </c>
    </row>
    <row r="2254" spans="1:9">
      <c r="A2254" t="str">
        <f>IF(VIPcric_1!A2229="","",VIPcric_1!A2229)</f>
        <v>2019年</v>
      </c>
      <c r="B2254">
        <f>IF(VIPcric_1!B2229="","",VIPcric_1!B2229)</f>
        <v>808606</v>
      </c>
      <c r="C2254">
        <f>IF(VIPcric_1!C2229="","",VIPcric_1!C2229)</f>
        <v>7010</v>
      </c>
      <c r="D2254">
        <f>IF(VIPcric_1!D2229="","",VIPcric_1!D2229)</f>
        <v>5.4</v>
      </c>
      <c r="E2254">
        <f>IF(VIPcric_1!E2229="","",VIPcric_1!E2229)</f>
        <v>5.9</v>
      </c>
      <c r="F2254" t="str">
        <f>IF(VIPcric_1!F2229="","",VIPcric_1!F2229)</f>
        <v/>
      </c>
      <c r="G2254" t="str">
        <f>IF(VIPcric_1!G2229="","",VIPcric_1!G2229)</f>
        <v/>
      </c>
      <c r="H2254" t="str">
        <f>IF(VIPcric_1!H2229="","",VIPcric_1!H2229)</f>
        <v/>
      </c>
      <c r="I2254" t="str">
        <f>IF(VIPcric_1!M2229="","",VIPcric_1!M2229)</f>
        <v>CRIC-绍兴-市场监测.商品房市场.项目累计.库存.xlsx</v>
      </c>
    </row>
    <row r="2255" spans="1:9">
      <c r="A2255" t="str">
        <f>IF(VIPcric_1!A2230="","",VIPcric_1!A2230)</f>
        <v/>
      </c>
      <c r="B2255" t="str">
        <f>IF(VIPcric_1!B2230="","",VIPcric_1!B2230)</f>
        <v/>
      </c>
      <c r="C2255" t="str">
        <f>IF(VIPcric_1!C2230="","",VIPcric_1!C2230)</f>
        <v/>
      </c>
      <c r="D2255" t="str">
        <f>IF(VIPcric_1!D2230="","",VIPcric_1!D2230)</f>
        <v/>
      </c>
      <c r="E2255" t="str">
        <f>IF(VIPcric_1!E2230="","",VIPcric_1!E2230)</f>
        <v/>
      </c>
      <c r="F2255" t="str">
        <f>IF(VIPcric_1!F2230="","",VIPcric_1!F2230)</f>
        <v/>
      </c>
      <c r="G2255" t="str">
        <f>IF(VIPcric_1!G2230="","",VIPcric_1!G2230)</f>
        <v/>
      </c>
      <c r="H2255" t="str">
        <f>IF(VIPcric_1!H2230="","",VIPcric_1!H2230)</f>
        <v/>
      </c>
      <c r="I2255" t="str">
        <f>IF(VIPcric_1!M2230="","",VIPcric_1!M2230)</f>
        <v/>
      </c>
    </row>
    <row r="2256" spans="1:9">
      <c r="A2256" t="str">
        <f>IF(VIPcric_1!A2231="","",VIPcric_1!A2231)</f>
        <v/>
      </c>
      <c r="B2256" t="str">
        <f>IF(VIPcric_1!B2231="","",VIPcric_1!B2231)</f>
        <v/>
      </c>
      <c r="C2256" t="str">
        <f>IF(VIPcric_1!C2231="","",VIPcric_1!C2231)</f>
        <v/>
      </c>
      <c r="D2256" t="str">
        <f>IF(VIPcric_1!D2231="","",VIPcric_1!D2231)</f>
        <v/>
      </c>
      <c r="E2256" t="str">
        <f>IF(VIPcric_1!E2231="","",VIPcric_1!E2231)</f>
        <v/>
      </c>
      <c r="F2256" t="str">
        <f>IF(VIPcric_1!F2231="","",VIPcric_1!F2231)</f>
        <v/>
      </c>
      <c r="G2256" t="str">
        <f>IF(VIPcric_1!G2231="","",VIPcric_1!G2231)</f>
        <v/>
      </c>
      <c r="H2256" t="str">
        <f>IF(VIPcric_1!H2231="","",VIPcric_1!H2231)</f>
        <v/>
      </c>
      <c r="I2256" t="str">
        <f>IF(VIPcric_1!M2231="","",VIPcric_1!M2231)</f>
        <v>CRIC-聊城-市场监测.商品房市场.城市总量.xlsx</v>
      </c>
    </row>
    <row r="2257" spans="1:9">
      <c r="A2257" t="str">
        <f>IF(VIPcric_1!A2232="","",VIPcric_1!A2232)</f>
        <v>时间(年)</v>
      </c>
      <c r="B2257" t="str">
        <f>IF(VIPcric_1!B2232="","",VIPcric_1!B2232)</f>
        <v>成交套数(套)</v>
      </c>
      <c r="C2257" t="str">
        <f>IF(VIPcric_1!C2232="","",VIPcric_1!C2232)</f>
        <v>成交均价(元)</v>
      </c>
      <c r="D2257" t="s">
        <v>857</v>
      </c>
      <c r="E2257" t="str">
        <f>IF(VIPcric_1!E2232="","",VIPcric_1!E2232)</f>
        <v/>
      </c>
      <c r="F2257" t="str">
        <f>IF(VIPcric_1!F2232="","",VIPcric_1!F2232)</f>
        <v/>
      </c>
      <c r="G2257" t="str">
        <f>IF(VIPcric_1!G2232="","",VIPcric_1!G2232)</f>
        <v/>
      </c>
      <c r="H2257" t="str">
        <f>IF(VIPcric_1!H2232="","",VIPcric_1!H2232)</f>
        <v/>
      </c>
      <c r="I2257" t="str">
        <f>IF(VIPcric_1!M2232="","",VIPcric_1!M2232)</f>
        <v>CRIC-聊城-市场监测.商品房市场.城市总量.xlsx</v>
      </c>
    </row>
    <row r="2258" spans="1:9">
      <c r="A2258" t="str">
        <f>IF(VIPcric_1!A2233="","",VIPcric_1!A2233)</f>
        <v>2024年</v>
      </c>
      <c r="B2258">
        <f>IF(VIPcric_1!B2233="","",VIPcric_1!B2233)</f>
        <v>815</v>
      </c>
      <c r="C2258">
        <f>IF(VIPcric_1!C2233="","",VIPcric_1!C2233)</f>
        <v>240212</v>
      </c>
      <c r="D2258" t="str">
        <f>IF(VIPcric_1!D2233="","",VIPcric_1!D2233)</f>
        <v/>
      </c>
      <c r="E2258" t="str">
        <f>IF(VIPcric_1!E2233="","",VIPcric_1!E2233)</f>
        <v/>
      </c>
      <c r="F2258" t="str">
        <f>IF(VIPcric_1!F2233="","",VIPcric_1!F2233)</f>
        <v/>
      </c>
      <c r="G2258" t="str">
        <f>IF(VIPcric_1!G2233="","",VIPcric_1!G2233)</f>
        <v/>
      </c>
      <c r="H2258" t="str">
        <f>IF(VIPcric_1!H2233="","",VIPcric_1!H2233)</f>
        <v/>
      </c>
      <c r="I2258" t="str">
        <f>IF(VIPcric_1!M2233="","",VIPcric_1!M2233)</f>
        <v>CRIC-聊城-市场监测.商品房市场.城市总量.xlsx</v>
      </c>
    </row>
    <row r="2259" spans="1:9">
      <c r="A2259" t="str">
        <f>IF(VIPcric_1!A2234="","",VIPcric_1!A2234)</f>
        <v>2023年</v>
      </c>
      <c r="B2259">
        <f>IF(VIPcric_1!B2234="","",VIPcric_1!B2234)</f>
        <v>8701</v>
      </c>
      <c r="C2259">
        <f>IF(VIPcric_1!C2234="","",VIPcric_1!C2234)</f>
        <v>2183646</v>
      </c>
      <c r="D2259" s="18">
        <f>C2266/B2259*12</f>
        <v>18.959200091943455</v>
      </c>
      <c r="E2259" t="str">
        <f>IF(VIPcric_1!E2234="","",VIPcric_1!E2234)</f>
        <v/>
      </c>
      <c r="F2259" t="str">
        <f>IF(VIPcric_1!F2234="","",VIPcric_1!F2234)</f>
        <v/>
      </c>
      <c r="G2259" t="str">
        <f>IF(VIPcric_1!G2234="","",VIPcric_1!G2234)</f>
        <v/>
      </c>
      <c r="H2259" t="str">
        <f>IF(VIPcric_1!H2234="","",VIPcric_1!H2234)</f>
        <v/>
      </c>
      <c r="I2259" t="str">
        <f>IF(VIPcric_1!M2234="","",VIPcric_1!M2234)</f>
        <v>CRIC-聊城-市场监测.商品房市场.城市总量.xlsx</v>
      </c>
    </row>
    <row r="2260" spans="1:9">
      <c r="A2260" t="str">
        <f>IF(VIPcric_1!A2235="","",VIPcric_1!A2235)</f>
        <v>2022年</v>
      </c>
      <c r="B2260">
        <f>IF(VIPcric_1!B2235="","",VIPcric_1!B2235)</f>
        <v>10312</v>
      </c>
      <c r="C2260">
        <f>IF(VIPcric_1!C2235="","",VIPcric_1!C2235)</f>
        <v>2246448</v>
      </c>
      <c r="D2260" t="str">
        <f>IF(VIPcric_1!D2235="","",VIPcric_1!D2235)</f>
        <v/>
      </c>
      <c r="E2260" t="str">
        <f>IF(VIPcric_1!E2235="","",VIPcric_1!E2235)</f>
        <v/>
      </c>
      <c r="F2260" t="str">
        <f>IF(VIPcric_1!F2235="","",VIPcric_1!F2235)</f>
        <v/>
      </c>
      <c r="G2260" t="str">
        <f>IF(VIPcric_1!G2235="","",VIPcric_1!G2235)</f>
        <v/>
      </c>
      <c r="H2260" t="str">
        <f>IF(VIPcric_1!H2235="","",VIPcric_1!H2235)</f>
        <v/>
      </c>
      <c r="I2260" t="str">
        <f>IF(VIPcric_1!M2235="","",VIPcric_1!M2235)</f>
        <v>CRIC-聊城-市场监测.商品房市场.城市总量.xlsx</v>
      </c>
    </row>
    <row r="2261" spans="1:9">
      <c r="A2261" t="str">
        <f>IF(VIPcric_1!A2236="","",VIPcric_1!A2236)</f>
        <v>汇总</v>
      </c>
      <c r="B2261">
        <f>IF(VIPcric_1!B2236="","",VIPcric_1!B2236)</f>
        <v>19828</v>
      </c>
      <c r="C2261">
        <f>IF(VIPcric_1!C2236="","",VIPcric_1!C2236)</f>
        <v>0</v>
      </c>
      <c r="D2261" t="str">
        <f>IF(VIPcric_1!D2236="","",VIPcric_1!D2236)</f>
        <v/>
      </c>
      <c r="E2261" t="str">
        <f>IF(VIPcric_1!E2236="","",VIPcric_1!E2236)</f>
        <v/>
      </c>
      <c r="F2261" t="str">
        <f>IF(VIPcric_1!F2236="","",VIPcric_1!F2236)</f>
        <v/>
      </c>
      <c r="G2261" t="str">
        <f>IF(VIPcric_1!G2236="","",VIPcric_1!G2236)</f>
        <v/>
      </c>
      <c r="H2261" t="str">
        <f>IF(VIPcric_1!H2236="","",VIPcric_1!H2236)</f>
        <v/>
      </c>
      <c r="I2261" t="str">
        <f>IF(VIPcric_1!M2236="","",VIPcric_1!M2236)</f>
        <v>CRIC-聊城-市场监测.商品房市场.城市总量.xlsx</v>
      </c>
    </row>
    <row r="2262" spans="1:9">
      <c r="A2262" t="str">
        <f>IF(VIPcric_1!A2237="","",VIPcric_1!A2237)</f>
        <v/>
      </c>
      <c r="B2262" t="str">
        <f>IF(VIPcric_1!B2237="","",VIPcric_1!B2237)</f>
        <v/>
      </c>
      <c r="C2262" t="str">
        <f>IF(VIPcric_1!C2237="","",VIPcric_1!C2237)</f>
        <v/>
      </c>
      <c r="D2262" t="str">
        <f>IF(VIPcric_1!D2237="","",VIPcric_1!D2237)</f>
        <v/>
      </c>
      <c r="E2262" t="str">
        <f>IF(VIPcric_1!E2237="","",VIPcric_1!E2237)</f>
        <v/>
      </c>
      <c r="F2262" t="str">
        <f>IF(VIPcric_1!F2237="","",VIPcric_1!F2237)</f>
        <v/>
      </c>
      <c r="G2262" t="str">
        <f>IF(VIPcric_1!G2237="","",VIPcric_1!G2237)</f>
        <v/>
      </c>
      <c r="H2262" t="str">
        <f>IF(VIPcric_1!H2237="","",VIPcric_1!H2237)</f>
        <v/>
      </c>
      <c r="I2262" t="str">
        <f>IF(VIPcric_1!M2237="","",VIPcric_1!M2237)</f>
        <v/>
      </c>
    </row>
    <row r="2263" spans="1:9">
      <c r="A2263" t="str">
        <f>IF(VIPcric_1!A2238="","",VIPcric_1!A2238)</f>
        <v/>
      </c>
      <c r="B2263" t="str">
        <f>IF(VIPcric_1!B2238="","",VIPcric_1!B2238)</f>
        <v/>
      </c>
      <c r="C2263" t="str">
        <f>IF(VIPcric_1!C2238="","",VIPcric_1!C2238)</f>
        <v/>
      </c>
      <c r="D2263" t="str">
        <f>IF(VIPcric_1!D2238="","",VIPcric_1!D2238)</f>
        <v/>
      </c>
      <c r="E2263" t="str">
        <f>IF(VIPcric_1!E2238="","",VIPcric_1!E2238)</f>
        <v/>
      </c>
      <c r="F2263" t="str">
        <f>IF(VIPcric_1!F2238="","",VIPcric_1!F2238)</f>
        <v/>
      </c>
      <c r="G2263" t="str">
        <f>IF(VIPcric_1!G2238="","",VIPcric_1!G2238)</f>
        <v/>
      </c>
      <c r="H2263" t="str">
        <f>IF(VIPcric_1!H2238="","",VIPcric_1!H2238)</f>
        <v/>
      </c>
      <c r="I2263" t="str">
        <f>IF(VIPcric_1!M2238="","",VIPcric_1!M2238)</f>
        <v>CRIC-聊城-市场监测.商品房市场.项目累计.供求.xlsx</v>
      </c>
    </row>
    <row r="2264" spans="1:9">
      <c r="A2264" t="str">
        <f>IF(VIPcric_1!A2239="","",VIPcric_1!A2239)</f>
        <v>时间(年)</v>
      </c>
      <c r="B2264" t="str">
        <f>IF(VIPcric_1!B2239="","",VIPcric_1!B2239)</f>
        <v>供应面积(㎡)</v>
      </c>
      <c r="C2264" t="str">
        <f>IF(VIPcric_1!C2239="","",VIPcric_1!C2239)</f>
        <v>供应套数(套)</v>
      </c>
      <c r="D2264" t="str">
        <f>IF(VIPcric_1!D2239="","",VIPcric_1!D2239)</f>
        <v>成交面积(㎡)</v>
      </c>
      <c r="E2264" t="str">
        <f>IF(VIPcric_1!E2239="","",VIPcric_1!E2239)</f>
        <v>成交套数(套)</v>
      </c>
      <c r="F2264" t="str">
        <f>IF(VIPcric_1!F2239="","",VIPcric_1!F2239)</f>
        <v>成交均价(元/㎡)</v>
      </c>
      <c r="G2264" t="str">
        <f>IF(VIPcric_1!G2239="","",VIPcric_1!G2239)</f>
        <v>成交金额(元)</v>
      </c>
      <c r="H2264" t="str">
        <f>IF(VIPcric_1!H2239="","",VIPcric_1!H2239)</f>
        <v>供求比</v>
      </c>
      <c r="I2264" t="str">
        <f>IF(VIPcric_1!M2239="","",VIPcric_1!M2239)</f>
        <v>CRIC-聊城-市场监测.商品房市场.项目累计.供求.xlsx</v>
      </c>
    </row>
    <row r="2265" spans="1:9">
      <c r="A2265" t="str">
        <f>IF(VIPcric_1!A2240="","",VIPcric_1!A2240)</f>
        <v>2024年</v>
      </c>
      <c r="B2265">
        <f>IF(VIPcric_1!B2240="","",VIPcric_1!B2240)</f>
        <v>0</v>
      </c>
      <c r="C2265">
        <f>IF(VIPcric_1!C2240="","",VIPcric_1!C2240)</f>
        <v>0</v>
      </c>
      <c r="D2265">
        <f>IF(VIPcric_1!D2240="","",VIPcric_1!D2240)</f>
        <v>77429</v>
      </c>
      <c r="E2265">
        <f>IF(VIPcric_1!E2240="","",VIPcric_1!E2240)</f>
        <v>561</v>
      </c>
      <c r="F2265">
        <f>IF(VIPcric_1!F2240="","",VIPcric_1!F2240)</f>
        <v>9867</v>
      </c>
      <c r="G2265">
        <f>IF(VIPcric_1!G2240="","",VIPcric_1!G2240)</f>
        <v>763963822</v>
      </c>
      <c r="H2265">
        <f>IF(VIPcric_1!H2240="","",VIPcric_1!H2240)</f>
        <v>0</v>
      </c>
      <c r="I2265" t="str">
        <f>IF(VIPcric_1!M2240="","",VIPcric_1!M2240)</f>
        <v>CRIC-聊城-市场监测.商品房市场.项目累计.供求.xlsx</v>
      </c>
    </row>
    <row r="2266" spans="1:9">
      <c r="A2266" t="str">
        <f>IF(VIPcric_1!A2241="","",VIPcric_1!A2241)</f>
        <v>2023年</v>
      </c>
      <c r="B2266">
        <f>IF(VIPcric_1!B2241="","",VIPcric_1!B2241)</f>
        <v>1753876</v>
      </c>
      <c r="C2266">
        <f>IF(VIPcric_1!C2241="","",VIPcric_1!C2241)</f>
        <v>13747</v>
      </c>
      <c r="D2266">
        <f>IF(VIPcric_1!D2241="","",VIPcric_1!D2241)</f>
        <v>1217766</v>
      </c>
      <c r="E2266">
        <f>IF(VIPcric_1!E2241="","",VIPcric_1!E2241)</f>
        <v>9690</v>
      </c>
      <c r="F2266">
        <f>IF(VIPcric_1!F2241="","",VIPcric_1!F2241)</f>
        <v>10133</v>
      </c>
      <c r="G2266">
        <f>IF(VIPcric_1!G2241="","",VIPcric_1!G2241)</f>
        <v>12339781431</v>
      </c>
      <c r="H2266">
        <f>IF(VIPcric_1!H2241="","",VIPcric_1!H2241)</f>
        <v>1.44</v>
      </c>
      <c r="I2266" t="str">
        <f>IF(VIPcric_1!M2241="","",VIPcric_1!M2241)</f>
        <v>CRIC-聊城-市场监测.商品房市场.项目累计.供求.xlsx</v>
      </c>
    </row>
    <row r="2267" spans="1:9">
      <c r="A2267" t="str">
        <f>IF(VIPcric_1!A2242="","",VIPcric_1!A2242)</f>
        <v>2022年</v>
      </c>
      <c r="B2267">
        <f>IF(VIPcric_1!B2242="","",VIPcric_1!B2242)</f>
        <v>2125880</v>
      </c>
      <c r="C2267">
        <f>IF(VIPcric_1!C2242="","",VIPcric_1!C2242)</f>
        <v>17025</v>
      </c>
      <c r="D2267">
        <f>IF(VIPcric_1!D2242="","",VIPcric_1!D2242)</f>
        <v>1537323</v>
      </c>
      <c r="E2267">
        <f>IF(VIPcric_1!E2242="","",VIPcric_1!E2242)</f>
        <v>12090</v>
      </c>
      <c r="F2267">
        <f>IF(VIPcric_1!F2242="","",VIPcric_1!F2242)</f>
        <v>10574</v>
      </c>
      <c r="G2267">
        <f>IF(VIPcric_1!G2242="","",VIPcric_1!G2242)</f>
        <v>16255272883</v>
      </c>
      <c r="H2267">
        <f>IF(VIPcric_1!H2242="","",VIPcric_1!H2242)</f>
        <v>1.38</v>
      </c>
      <c r="I2267" t="str">
        <f>IF(VIPcric_1!M2242="","",VIPcric_1!M2242)</f>
        <v>CRIC-聊城-市场监测.商品房市场.项目累计.供求.xlsx</v>
      </c>
    </row>
    <row r="2268" spans="1:9">
      <c r="A2268" t="str">
        <f>IF(VIPcric_1!A2243="","",VIPcric_1!A2243)</f>
        <v>2021年</v>
      </c>
      <c r="B2268">
        <f>IF(VIPcric_1!B2243="","",VIPcric_1!B2243)</f>
        <v>2404648</v>
      </c>
      <c r="C2268">
        <f>IF(VIPcric_1!C2243="","",VIPcric_1!C2243)</f>
        <v>20334</v>
      </c>
      <c r="D2268">
        <f>IF(VIPcric_1!D2243="","",VIPcric_1!D2243)</f>
        <v>1012613</v>
      </c>
      <c r="E2268">
        <f>IF(VIPcric_1!E2243="","",VIPcric_1!E2243)</f>
        <v>8481</v>
      </c>
      <c r="F2268">
        <f>IF(VIPcric_1!F2243="","",VIPcric_1!F2243)</f>
        <v>10064</v>
      </c>
      <c r="G2268">
        <f>IF(VIPcric_1!G2243="","",VIPcric_1!G2243)</f>
        <v>10190640577</v>
      </c>
      <c r="H2268">
        <f>IF(VIPcric_1!H2243="","",VIPcric_1!H2243)</f>
        <v>2.37</v>
      </c>
      <c r="I2268" t="str">
        <f>IF(VIPcric_1!M2243="","",VIPcric_1!M2243)</f>
        <v>CRIC-聊城-市场监测.商品房市场.项目累计.供求.xlsx</v>
      </c>
    </row>
    <row r="2269" spans="1:9">
      <c r="A2269" t="str">
        <f>IF(VIPcric_1!A2244="","",VIPcric_1!A2244)</f>
        <v>2020年</v>
      </c>
      <c r="B2269">
        <f>IF(VIPcric_1!B2244="","",VIPcric_1!B2244)</f>
        <v>136853</v>
      </c>
      <c r="C2269">
        <f>IF(VIPcric_1!C2244="","",VIPcric_1!C2244)</f>
        <v>1098</v>
      </c>
      <c r="D2269">
        <f>IF(VIPcric_1!D2244="","",VIPcric_1!D2244)</f>
        <v>0</v>
      </c>
      <c r="E2269">
        <f>IF(VIPcric_1!E2244="","",VIPcric_1!E2244)</f>
        <v>0</v>
      </c>
      <c r="F2269">
        <f>IF(VIPcric_1!F2244="","",VIPcric_1!F2244)</f>
        <v>0</v>
      </c>
      <c r="G2269">
        <f>IF(VIPcric_1!G2244="","",VIPcric_1!G2244)</f>
        <v>0</v>
      </c>
      <c r="H2269">
        <f>IF(VIPcric_1!H2244="","",VIPcric_1!H2244)</f>
        <v>0</v>
      </c>
      <c r="I2269" t="str">
        <f>IF(VIPcric_1!M2244="","",VIPcric_1!M2244)</f>
        <v>CRIC-聊城-市场监测.商品房市场.项目累计.供求.xlsx</v>
      </c>
    </row>
    <row r="2270" spans="1:9">
      <c r="A2270" t="str">
        <f>IF(VIPcric_1!A2245="","",VIPcric_1!A2245)</f>
        <v>汇总</v>
      </c>
      <c r="B2270">
        <f>IF(VIPcric_1!B2245="","",VIPcric_1!B2245)</f>
        <v>6421257</v>
      </c>
      <c r="C2270">
        <f>IF(VIPcric_1!C2245="","",VIPcric_1!C2245)</f>
        <v>52204</v>
      </c>
      <c r="D2270">
        <f>IF(VIPcric_1!D2245="","",VIPcric_1!D2245)</f>
        <v>3845132</v>
      </c>
      <c r="E2270">
        <f>IF(VIPcric_1!E2245="","",VIPcric_1!E2245)</f>
        <v>30822</v>
      </c>
      <c r="F2270">
        <f>IF(VIPcric_1!F2245="","",VIPcric_1!F2245)</f>
        <v>10286</v>
      </c>
      <c r="G2270">
        <f>IF(VIPcric_1!G2245="","",VIPcric_1!G2245)</f>
        <v>39549658714</v>
      </c>
      <c r="H2270">
        <f>IF(VIPcric_1!H2245="","",VIPcric_1!H2245)</f>
        <v>1.67</v>
      </c>
      <c r="I2270" t="str">
        <f>IF(VIPcric_1!M2245="","",VIPcric_1!M2245)</f>
        <v>CRIC-聊城-市场监测.商品房市场.项目累计.供求.xlsx</v>
      </c>
    </row>
    <row r="2271" spans="1:9">
      <c r="A2271" t="str">
        <f>IF(VIPcric_1!A2246="","",VIPcric_1!A2246)</f>
        <v/>
      </c>
      <c r="B2271" t="str">
        <f>IF(VIPcric_1!B2246="","",VIPcric_1!B2246)</f>
        <v/>
      </c>
      <c r="C2271" t="str">
        <f>IF(VIPcric_1!C2246="","",VIPcric_1!C2246)</f>
        <v/>
      </c>
      <c r="D2271" t="str">
        <f>IF(VIPcric_1!D2246="","",VIPcric_1!D2246)</f>
        <v/>
      </c>
      <c r="E2271" t="str">
        <f>IF(VIPcric_1!E2246="","",VIPcric_1!E2246)</f>
        <v/>
      </c>
      <c r="F2271" t="str">
        <f>IF(VIPcric_1!F2246="","",VIPcric_1!F2246)</f>
        <v/>
      </c>
      <c r="G2271" t="str">
        <f>IF(VIPcric_1!G2246="","",VIPcric_1!G2246)</f>
        <v/>
      </c>
      <c r="H2271" t="str">
        <f>IF(VIPcric_1!H2246="","",VIPcric_1!H2246)</f>
        <v/>
      </c>
      <c r="I2271" t="str">
        <f>IF(VIPcric_1!M2246="","",VIPcric_1!M2246)</f>
        <v/>
      </c>
    </row>
    <row r="2272" spans="1:9">
      <c r="A2272" t="str">
        <f>IF(VIPcric_1!A2247="","",VIPcric_1!A2247)</f>
        <v/>
      </c>
      <c r="B2272" t="str">
        <f>IF(VIPcric_1!B2247="","",VIPcric_1!B2247)</f>
        <v/>
      </c>
      <c r="C2272" t="str">
        <f>IF(VIPcric_1!C2247="","",VIPcric_1!C2247)</f>
        <v/>
      </c>
      <c r="D2272" t="str">
        <f>IF(VIPcric_1!D2247="","",VIPcric_1!D2247)</f>
        <v/>
      </c>
      <c r="E2272" t="str">
        <f>IF(VIPcric_1!E2247="","",VIPcric_1!E2247)</f>
        <v/>
      </c>
      <c r="F2272" t="str">
        <f>IF(VIPcric_1!F2247="","",VIPcric_1!F2247)</f>
        <v/>
      </c>
      <c r="G2272" t="str">
        <f>IF(VIPcric_1!G2247="","",VIPcric_1!G2247)</f>
        <v/>
      </c>
      <c r="H2272" t="str">
        <f>IF(VIPcric_1!H2247="","",VIPcric_1!H2247)</f>
        <v/>
      </c>
      <c r="I2272" t="str">
        <f>IF(VIPcric_1!M2247="","",VIPcric_1!M2247)</f>
        <v>CRIC-肇庆-市场监测.商品房市场.项目累计.供求.xlsx</v>
      </c>
    </row>
    <row r="2273" spans="1:9">
      <c r="A2273" t="str">
        <f>IF(VIPcric_1!A2248="","",VIPcric_1!A2248)</f>
        <v>时间(年)</v>
      </c>
      <c r="B2273" t="str">
        <f>IF(VIPcric_1!B2248="","",VIPcric_1!B2248)</f>
        <v>供应面积(㎡)</v>
      </c>
      <c r="C2273" t="str">
        <f>IF(VIPcric_1!C2248="","",VIPcric_1!C2248)</f>
        <v>供应套数(套)</v>
      </c>
      <c r="D2273" t="str">
        <f>IF(VIPcric_1!D2248="","",VIPcric_1!D2248)</f>
        <v>成交面积(㎡)</v>
      </c>
      <c r="E2273" t="str">
        <f>IF(VIPcric_1!E2248="","",VIPcric_1!E2248)</f>
        <v>成交套数(套)</v>
      </c>
      <c r="F2273" t="str">
        <f>IF(VIPcric_1!F2248="","",VIPcric_1!F2248)</f>
        <v>成交均价(元/㎡)</v>
      </c>
      <c r="G2273" t="str">
        <f>IF(VIPcric_1!G2248="","",VIPcric_1!G2248)</f>
        <v>成交金额(元)</v>
      </c>
      <c r="H2273" t="str">
        <f>IF(VIPcric_1!H2248="","",VIPcric_1!H2248)</f>
        <v>供求比</v>
      </c>
      <c r="I2273" t="str">
        <f>IF(VIPcric_1!M2248="","",VIPcric_1!M2248)</f>
        <v>CRIC-肇庆-市场监测.商品房市场.项目累计.供求.xlsx</v>
      </c>
    </row>
    <row r="2274" spans="1:9">
      <c r="A2274" t="str">
        <f>IF(VIPcric_1!A2249="","",VIPcric_1!A2249)</f>
        <v>2024年</v>
      </c>
      <c r="B2274">
        <f>IF(VIPcric_1!B2249="","",VIPcric_1!B2249)</f>
        <v>199530</v>
      </c>
      <c r="C2274">
        <f>IF(VIPcric_1!C2249="","",VIPcric_1!C2249)</f>
        <v>1706</v>
      </c>
      <c r="D2274">
        <f>IF(VIPcric_1!D2249="","",VIPcric_1!D2249)</f>
        <v>179512</v>
      </c>
      <c r="E2274">
        <f>IF(VIPcric_1!E2249="","",VIPcric_1!E2249)</f>
        <v>1607</v>
      </c>
      <c r="F2274">
        <f>IF(VIPcric_1!F2249="","",VIPcric_1!F2249)</f>
        <v>6279</v>
      </c>
      <c r="G2274">
        <f>IF(VIPcric_1!G2249="","",VIPcric_1!G2249)</f>
        <v>1127212996</v>
      </c>
      <c r="H2274">
        <f>IF(VIPcric_1!H2249="","",VIPcric_1!H2249)</f>
        <v>1.1100000000000001</v>
      </c>
      <c r="I2274" t="str">
        <f>IF(VIPcric_1!M2249="","",VIPcric_1!M2249)</f>
        <v>CRIC-肇庆-市场监测.商品房市场.项目累计.供求.xlsx</v>
      </c>
    </row>
    <row r="2275" spans="1:9">
      <c r="A2275" t="str">
        <f>IF(VIPcric_1!A2250="","",VIPcric_1!A2250)</f>
        <v>2023年</v>
      </c>
      <c r="B2275">
        <f>IF(VIPcric_1!B2250="","",VIPcric_1!B2250)</f>
        <v>1850721</v>
      </c>
      <c r="C2275">
        <f>IF(VIPcric_1!C2250="","",VIPcric_1!C2250)</f>
        <v>16690</v>
      </c>
      <c r="D2275">
        <f>IF(VIPcric_1!D2250="","",VIPcric_1!D2250)</f>
        <v>2929218</v>
      </c>
      <c r="E2275">
        <f>IF(VIPcric_1!E2250="","",VIPcric_1!E2250)</f>
        <v>26627</v>
      </c>
      <c r="F2275">
        <f>IF(VIPcric_1!F2250="","",VIPcric_1!F2250)</f>
        <v>5911</v>
      </c>
      <c r="G2275">
        <f>IF(VIPcric_1!G2250="","",VIPcric_1!G2250)</f>
        <v>17314670029</v>
      </c>
      <c r="H2275">
        <f>IF(VIPcric_1!H2250="","",VIPcric_1!H2250)</f>
        <v>0.63</v>
      </c>
      <c r="I2275" t="str">
        <f>IF(VIPcric_1!M2250="","",VIPcric_1!M2250)</f>
        <v>CRIC-肇庆-市场监测.商品房市场.项目累计.供求.xlsx</v>
      </c>
    </row>
    <row r="2276" spans="1:9">
      <c r="A2276" t="str">
        <f>IF(VIPcric_1!A2251="","",VIPcric_1!A2251)</f>
        <v>2022年</v>
      </c>
      <c r="B2276">
        <f>IF(VIPcric_1!B2251="","",VIPcric_1!B2251)</f>
        <v>2449428</v>
      </c>
      <c r="C2276">
        <f>IF(VIPcric_1!C2251="","",VIPcric_1!C2251)</f>
        <v>21739</v>
      </c>
      <c r="D2276">
        <f>IF(VIPcric_1!D2251="","",VIPcric_1!D2251)</f>
        <v>3891893</v>
      </c>
      <c r="E2276">
        <f>IF(VIPcric_1!E2251="","",VIPcric_1!E2251)</f>
        <v>35111</v>
      </c>
      <c r="F2276">
        <f>IF(VIPcric_1!F2251="","",VIPcric_1!F2251)</f>
        <v>5846</v>
      </c>
      <c r="G2276">
        <f>IF(VIPcric_1!G2251="","",VIPcric_1!G2251)</f>
        <v>22751378149</v>
      </c>
      <c r="H2276">
        <f>IF(VIPcric_1!H2251="","",VIPcric_1!H2251)</f>
        <v>0.63</v>
      </c>
      <c r="I2276" t="str">
        <f>IF(VIPcric_1!M2251="","",VIPcric_1!M2251)</f>
        <v>CRIC-肇庆-市场监测.商品房市场.项目累计.供求.xlsx</v>
      </c>
    </row>
    <row r="2277" spans="1:9">
      <c r="A2277" t="str">
        <f>IF(VIPcric_1!A2252="","",VIPcric_1!A2252)</f>
        <v>2021年</v>
      </c>
      <c r="B2277">
        <f>IF(VIPcric_1!B2252="","",VIPcric_1!B2252)</f>
        <v>4883009</v>
      </c>
      <c r="C2277">
        <f>IF(VIPcric_1!C2252="","",VIPcric_1!C2252)</f>
        <v>46069</v>
      </c>
      <c r="D2277">
        <f>IF(VIPcric_1!D2252="","",VIPcric_1!D2252)</f>
        <v>4172647</v>
      </c>
      <c r="E2277">
        <f>IF(VIPcric_1!E2252="","",VIPcric_1!E2252)</f>
        <v>39168</v>
      </c>
      <c r="F2277">
        <f>IF(VIPcric_1!F2252="","",VIPcric_1!F2252)</f>
        <v>6347</v>
      </c>
      <c r="G2277">
        <f>IF(VIPcric_1!G2252="","",VIPcric_1!G2252)</f>
        <v>26482430482</v>
      </c>
      <c r="H2277">
        <f>IF(VIPcric_1!H2252="","",VIPcric_1!H2252)</f>
        <v>1.17</v>
      </c>
      <c r="I2277" t="str">
        <f>IF(VIPcric_1!M2252="","",VIPcric_1!M2252)</f>
        <v>CRIC-肇庆-市场监测.商品房市场.项目累计.供求.xlsx</v>
      </c>
    </row>
    <row r="2278" spans="1:9">
      <c r="A2278" t="str">
        <f>IF(VIPcric_1!A2253="","",VIPcric_1!A2253)</f>
        <v>2020年</v>
      </c>
      <c r="B2278">
        <f>IF(VIPcric_1!B2253="","",VIPcric_1!B2253)</f>
        <v>6464401</v>
      </c>
      <c r="C2278">
        <f>IF(VIPcric_1!C2253="","",VIPcric_1!C2253)</f>
        <v>59678</v>
      </c>
      <c r="D2278">
        <f>IF(VIPcric_1!D2253="","",VIPcric_1!D2253)</f>
        <v>4532506</v>
      </c>
      <c r="E2278">
        <f>IF(VIPcric_1!E2253="","",VIPcric_1!E2253)</f>
        <v>41334</v>
      </c>
      <c r="F2278">
        <f>IF(VIPcric_1!F2253="","",VIPcric_1!F2253)</f>
        <v>6867</v>
      </c>
      <c r="G2278">
        <f>IF(VIPcric_1!G2253="","",VIPcric_1!G2253)</f>
        <v>31124452700</v>
      </c>
      <c r="H2278">
        <f>IF(VIPcric_1!H2253="","",VIPcric_1!H2253)</f>
        <v>1.43</v>
      </c>
      <c r="I2278" t="str">
        <f>IF(VIPcric_1!M2253="","",VIPcric_1!M2253)</f>
        <v>CRIC-肇庆-市场监测.商品房市场.项目累计.供求.xlsx</v>
      </c>
    </row>
    <row r="2279" spans="1:9">
      <c r="A2279" t="str">
        <f>IF(VIPcric_1!A2254="","",VIPcric_1!A2254)</f>
        <v>2019年</v>
      </c>
      <c r="B2279">
        <f>IF(VIPcric_1!B2254="","",VIPcric_1!B2254)</f>
        <v>6499215</v>
      </c>
      <c r="C2279">
        <f>IF(VIPcric_1!C2254="","",VIPcric_1!C2254)</f>
        <v>58633</v>
      </c>
      <c r="D2279">
        <f>IF(VIPcric_1!D2254="","",VIPcric_1!D2254)</f>
        <v>4603956</v>
      </c>
      <c r="E2279">
        <f>IF(VIPcric_1!E2254="","",VIPcric_1!E2254)</f>
        <v>41998</v>
      </c>
      <c r="F2279">
        <f>IF(VIPcric_1!F2254="","",VIPcric_1!F2254)</f>
        <v>7248</v>
      </c>
      <c r="G2279">
        <f>IF(VIPcric_1!G2254="","",VIPcric_1!G2254)</f>
        <v>33370858952</v>
      </c>
      <c r="H2279">
        <f>IF(VIPcric_1!H2254="","",VIPcric_1!H2254)</f>
        <v>1.41</v>
      </c>
      <c r="I2279" t="str">
        <f>IF(VIPcric_1!M2254="","",VIPcric_1!M2254)</f>
        <v>CRIC-肇庆-市场监测.商品房市场.项目累计.供求.xlsx</v>
      </c>
    </row>
    <row r="2280" spans="1:9">
      <c r="A2280" t="str">
        <f>IF(VIPcric_1!A2255="","",VIPcric_1!A2255)</f>
        <v>汇总</v>
      </c>
      <c r="B2280">
        <f>IF(VIPcric_1!B2255="","",VIPcric_1!B2255)</f>
        <v>22346306</v>
      </c>
      <c r="C2280">
        <f>IF(VIPcric_1!C2255="","",VIPcric_1!C2255)</f>
        <v>204515</v>
      </c>
      <c r="D2280">
        <f>IF(VIPcric_1!D2255="","",VIPcric_1!D2255)</f>
        <v>20309732</v>
      </c>
      <c r="E2280">
        <f>IF(VIPcric_1!E2255="","",VIPcric_1!E2255)</f>
        <v>185845</v>
      </c>
      <c r="F2280">
        <f>IF(VIPcric_1!F2255="","",VIPcric_1!F2255)</f>
        <v>6508</v>
      </c>
      <c r="G2280">
        <f>IF(VIPcric_1!G2255="","",VIPcric_1!G2255)</f>
        <v>132171003308</v>
      </c>
      <c r="H2280">
        <f>IF(VIPcric_1!H2255="","",VIPcric_1!H2255)</f>
        <v>1.1000000000000001</v>
      </c>
      <c r="I2280" t="str">
        <f>IF(VIPcric_1!M2255="","",VIPcric_1!M2255)</f>
        <v>CRIC-肇庆-市场监测.商品房市场.项目累计.供求.xlsx</v>
      </c>
    </row>
    <row r="2281" spans="1:9">
      <c r="A2281" t="str">
        <f>IF(VIPcric_1!A2256="","",VIPcric_1!A2256)</f>
        <v/>
      </c>
      <c r="B2281" t="str">
        <f>IF(VIPcric_1!B2256="","",VIPcric_1!B2256)</f>
        <v/>
      </c>
      <c r="C2281" t="str">
        <f>IF(VIPcric_1!C2256="","",VIPcric_1!C2256)</f>
        <v/>
      </c>
      <c r="D2281" t="str">
        <f>IF(VIPcric_1!D2256="","",VIPcric_1!D2256)</f>
        <v/>
      </c>
      <c r="E2281" t="str">
        <f>IF(VIPcric_1!E2256="","",VIPcric_1!E2256)</f>
        <v/>
      </c>
      <c r="F2281" t="str">
        <f>IF(VIPcric_1!F2256="","",VIPcric_1!F2256)</f>
        <v/>
      </c>
      <c r="G2281" t="str">
        <f>IF(VIPcric_1!G2256="","",VIPcric_1!G2256)</f>
        <v/>
      </c>
      <c r="H2281" t="str">
        <f>IF(VIPcric_1!H2256="","",VIPcric_1!H2256)</f>
        <v/>
      </c>
      <c r="I2281" t="str">
        <f>IF(VIPcric_1!M2256="","",VIPcric_1!M2256)</f>
        <v/>
      </c>
    </row>
    <row r="2282" spans="1:9">
      <c r="A2282" t="str">
        <f>IF(VIPcric_1!A2257="","",VIPcric_1!A2257)</f>
        <v/>
      </c>
      <c r="B2282" t="str">
        <f>IF(VIPcric_1!B2257="","",VIPcric_1!B2257)</f>
        <v/>
      </c>
      <c r="C2282" t="str">
        <f>IF(VIPcric_1!C2257="","",VIPcric_1!C2257)</f>
        <v/>
      </c>
      <c r="D2282" t="str">
        <f>IF(VIPcric_1!D2257="","",VIPcric_1!D2257)</f>
        <v/>
      </c>
      <c r="E2282" t="str">
        <f>IF(VIPcric_1!E2257="","",VIPcric_1!E2257)</f>
        <v/>
      </c>
      <c r="F2282" t="str">
        <f>IF(VIPcric_1!F2257="","",VIPcric_1!F2257)</f>
        <v/>
      </c>
      <c r="G2282" t="str">
        <f>IF(VIPcric_1!G2257="","",VIPcric_1!G2257)</f>
        <v/>
      </c>
      <c r="H2282" t="str">
        <f>IF(VIPcric_1!H2257="","",VIPcric_1!H2257)</f>
        <v/>
      </c>
      <c r="I2282" t="str">
        <f>IF(VIPcric_1!M2257="","",VIPcric_1!M2257)</f>
        <v>CRIC-肇庆-市场监测.商品房市场.项目累计.库存.xlsx</v>
      </c>
    </row>
    <row r="2283" spans="1:9">
      <c r="A2283" t="str">
        <f>IF(VIPcric_1!A2258="","",VIPcric_1!A2258)</f>
        <v>时间(年)</v>
      </c>
      <c r="B2283" t="str">
        <f>IF(VIPcric_1!B2258="","",VIPcric_1!B2258)</f>
        <v>库存面积(㎡)</v>
      </c>
      <c r="C2283" t="str">
        <f>IF(VIPcric_1!C2258="","",VIPcric_1!C2258)</f>
        <v>库存套数(套)</v>
      </c>
      <c r="D2283" t="str">
        <f>IF(VIPcric_1!D2258="","",VIPcric_1!D2258)</f>
        <v>去化周期12'(月)</v>
      </c>
      <c r="E2283" t="str">
        <f>IF(VIPcric_1!E2258="","",VIPcric_1!E2258)</f>
        <v/>
      </c>
      <c r="F2283" t="str">
        <f>IF(VIPcric_1!F2258="","",VIPcric_1!F2258)</f>
        <v/>
      </c>
      <c r="G2283" t="str">
        <f>IF(VIPcric_1!G2258="","",VIPcric_1!G2258)</f>
        <v/>
      </c>
      <c r="H2283" t="str">
        <f>IF(VIPcric_1!H2258="","",VIPcric_1!H2258)</f>
        <v/>
      </c>
      <c r="I2283" t="str">
        <f>IF(VIPcric_1!M2258="","",VIPcric_1!M2258)</f>
        <v>CRIC-肇庆-市场监测.商品房市场.项目累计.库存.xlsx</v>
      </c>
    </row>
    <row r="2284" spans="1:9">
      <c r="A2284" t="str">
        <f>IF(VIPcric_1!A2259="","",VIPcric_1!A2259)</f>
        <v>2024年</v>
      </c>
      <c r="B2284">
        <f>IF(VIPcric_1!B2259="","",VIPcric_1!B2259)</f>
        <v>3023996</v>
      </c>
      <c r="C2284">
        <f>IF(VIPcric_1!C2259="","",VIPcric_1!C2259)</f>
        <v>28949</v>
      </c>
      <c r="D2284">
        <f>IF(VIPcric_1!D2259="","",VIPcric_1!D2259)</f>
        <v>12.7</v>
      </c>
      <c r="E2284" t="str">
        <f>IF(VIPcric_1!E2259="","",VIPcric_1!E2259)</f>
        <v/>
      </c>
      <c r="F2284" t="str">
        <f>IF(VIPcric_1!F2259="","",VIPcric_1!F2259)</f>
        <v/>
      </c>
      <c r="G2284" t="str">
        <f>IF(VIPcric_1!G2259="","",VIPcric_1!G2259)</f>
        <v/>
      </c>
      <c r="H2284" t="str">
        <f>IF(VIPcric_1!H2259="","",VIPcric_1!H2259)</f>
        <v/>
      </c>
      <c r="I2284" t="str">
        <f>IF(VIPcric_1!M2259="","",VIPcric_1!M2259)</f>
        <v>CRIC-肇庆-市场监测.商品房市场.项目累计.库存.xlsx</v>
      </c>
    </row>
    <row r="2285" spans="1:9">
      <c r="A2285" t="str">
        <f>IF(VIPcric_1!A2260="","",VIPcric_1!A2260)</f>
        <v>2023年</v>
      </c>
      <c r="B2285">
        <f>IF(VIPcric_1!B2260="","",VIPcric_1!B2260)</f>
        <v>2932067</v>
      </c>
      <c r="C2285">
        <f>IF(VIPcric_1!C2260="","",VIPcric_1!C2260)</f>
        <v>28036</v>
      </c>
      <c r="D2285">
        <f>IF(VIPcric_1!D2260="","",VIPcric_1!D2260)</f>
        <v>12</v>
      </c>
      <c r="E2285" t="str">
        <f>IF(VIPcric_1!E2260="","",VIPcric_1!E2260)</f>
        <v/>
      </c>
      <c r="F2285" t="str">
        <f>IF(VIPcric_1!F2260="","",VIPcric_1!F2260)</f>
        <v/>
      </c>
      <c r="G2285" t="str">
        <f>IF(VIPcric_1!G2260="","",VIPcric_1!G2260)</f>
        <v/>
      </c>
      <c r="H2285" t="str">
        <f>IF(VIPcric_1!H2260="","",VIPcric_1!H2260)</f>
        <v/>
      </c>
      <c r="I2285" t="str">
        <f>IF(VIPcric_1!M2260="","",VIPcric_1!M2260)</f>
        <v>CRIC-肇庆-市场监测.商品房市场.项目累计.库存.xlsx</v>
      </c>
    </row>
    <row r="2286" spans="1:9">
      <c r="A2286" t="str">
        <f>IF(VIPcric_1!A2261="","",VIPcric_1!A2261)</f>
        <v>2022年</v>
      </c>
      <c r="B2286">
        <f>IF(VIPcric_1!B2261="","",VIPcric_1!B2261)</f>
        <v>5174602</v>
      </c>
      <c r="C2286">
        <f>IF(VIPcric_1!C2261="","",VIPcric_1!C2261)</f>
        <v>48680</v>
      </c>
      <c r="D2286">
        <f>IF(VIPcric_1!D2261="","",VIPcric_1!D2261)</f>
        <v>16</v>
      </c>
      <c r="E2286" t="str">
        <f>IF(VIPcric_1!E2261="","",VIPcric_1!E2261)</f>
        <v/>
      </c>
      <c r="F2286" t="str">
        <f>IF(VIPcric_1!F2261="","",VIPcric_1!F2261)</f>
        <v/>
      </c>
      <c r="G2286" t="str">
        <f>IF(VIPcric_1!G2261="","",VIPcric_1!G2261)</f>
        <v/>
      </c>
      <c r="H2286" t="str">
        <f>IF(VIPcric_1!H2261="","",VIPcric_1!H2261)</f>
        <v/>
      </c>
      <c r="I2286" t="str">
        <f>IF(VIPcric_1!M2261="","",VIPcric_1!M2261)</f>
        <v>CRIC-肇庆-市场监测.商品房市场.项目累计.库存.xlsx</v>
      </c>
    </row>
    <row r="2287" spans="1:9">
      <c r="A2287" t="str">
        <f>IF(VIPcric_1!A2262="","",VIPcric_1!A2262)</f>
        <v>2021年</v>
      </c>
      <c r="B2287">
        <f>IF(VIPcric_1!B2262="","",VIPcric_1!B2262)</f>
        <v>8299999</v>
      </c>
      <c r="C2287">
        <f>IF(VIPcric_1!C2262="","",VIPcric_1!C2262)</f>
        <v>65501</v>
      </c>
      <c r="D2287">
        <f>IF(VIPcric_1!D2262="","",VIPcric_1!D2262)</f>
        <v>23.9</v>
      </c>
      <c r="E2287" t="str">
        <f>IF(VIPcric_1!E2262="","",VIPcric_1!E2262)</f>
        <v/>
      </c>
      <c r="F2287" t="str">
        <f>IF(VIPcric_1!F2262="","",VIPcric_1!F2262)</f>
        <v/>
      </c>
      <c r="G2287" t="str">
        <f>IF(VIPcric_1!G2262="","",VIPcric_1!G2262)</f>
        <v/>
      </c>
      <c r="H2287" t="str">
        <f>IF(VIPcric_1!H2262="","",VIPcric_1!H2262)</f>
        <v/>
      </c>
      <c r="I2287" t="str">
        <f>IF(VIPcric_1!M2262="","",VIPcric_1!M2262)</f>
        <v>CRIC-肇庆-市场监测.商品房市场.项目累计.库存.xlsx</v>
      </c>
    </row>
    <row r="2288" spans="1:9">
      <c r="A2288" t="str">
        <f>IF(VIPcric_1!A2263="","",VIPcric_1!A2263)</f>
        <v>2020年</v>
      </c>
      <c r="B2288">
        <f>IF(VIPcric_1!B2263="","",VIPcric_1!B2263)</f>
        <v>5719465</v>
      </c>
      <c r="C2288">
        <f>IF(VIPcric_1!C2263="","",VIPcric_1!C2263)</f>
        <v>53439</v>
      </c>
      <c r="D2288">
        <f>IF(VIPcric_1!D2263="","",VIPcric_1!D2263)</f>
        <v>15.1</v>
      </c>
      <c r="E2288" t="str">
        <f>IF(VIPcric_1!E2263="","",VIPcric_1!E2263)</f>
        <v/>
      </c>
      <c r="F2288" t="str">
        <f>IF(VIPcric_1!F2263="","",VIPcric_1!F2263)</f>
        <v/>
      </c>
      <c r="G2288" t="str">
        <f>IF(VIPcric_1!G2263="","",VIPcric_1!G2263)</f>
        <v/>
      </c>
      <c r="H2288" t="str">
        <f>IF(VIPcric_1!H2263="","",VIPcric_1!H2263)</f>
        <v/>
      </c>
      <c r="I2288" t="str">
        <f>IF(VIPcric_1!M2263="","",VIPcric_1!M2263)</f>
        <v>CRIC-肇庆-市场监测.商品房市场.项目累计.库存.xlsx</v>
      </c>
    </row>
    <row r="2289" spans="1:9">
      <c r="A2289" t="str">
        <f>IF(VIPcric_1!A2264="","",VIPcric_1!A2264)</f>
        <v>2019年</v>
      </c>
      <c r="B2289">
        <f>IF(VIPcric_1!B2264="","",VIPcric_1!B2264)</f>
        <v>0</v>
      </c>
      <c r="C2289">
        <f>IF(VIPcric_1!C2264="","",VIPcric_1!C2264)</f>
        <v>0</v>
      </c>
      <c r="D2289">
        <f>IF(VIPcric_1!D2264="","",VIPcric_1!D2264)</f>
        <v>0</v>
      </c>
      <c r="E2289" t="str">
        <f>IF(VIPcric_1!E2264="","",VIPcric_1!E2264)</f>
        <v/>
      </c>
      <c r="F2289" t="str">
        <f>IF(VIPcric_1!F2264="","",VIPcric_1!F2264)</f>
        <v/>
      </c>
      <c r="G2289" t="str">
        <f>IF(VIPcric_1!G2264="","",VIPcric_1!G2264)</f>
        <v/>
      </c>
      <c r="H2289" t="str">
        <f>IF(VIPcric_1!H2264="","",VIPcric_1!H2264)</f>
        <v/>
      </c>
      <c r="I2289" t="str">
        <f>IF(VIPcric_1!M2264="","",VIPcric_1!M2264)</f>
        <v>CRIC-肇庆-市场监测.商品房市场.项目累计.库存.xlsx</v>
      </c>
    </row>
    <row r="2290" spans="1:9">
      <c r="A2290" t="str">
        <f>IF(VIPcric_1!A2265="","",VIPcric_1!A2265)</f>
        <v/>
      </c>
      <c r="B2290" t="str">
        <f>IF(VIPcric_1!B2265="","",VIPcric_1!B2265)</f>
        <v/>
      </c>
      <c r="C2290" t="str">
        <f>IF(VIPcric_1!C2265="","",VIPcric_1!C2265)</f>
        <v/>
      </c>
      <c r="D2290" t="str">
        <f>IF(VIPcric_1!D2265="","",VIPcric_1!D2265)</f>
        <v/>
      </c>
      <c r="E2290" t="str">
        <f>IF(VIPcric_1!E2265="","",VIPcric_1!E2265)</f>
        <v/>
      </c>
      <c r="F2290" t="str">
        <f>IF(VIPcric_1!F2265="","",VIPcric_1!F2265)</f>
        <v/>
      </c>
      <c r="G2290" t="str">
        <f>IF(VIPcric_1!G2265="","",VIPcric_1!G2265)</f>
        <v/>
      </c>
      <c r="H2290" t="str">
        <f>IF(VIPcric_1!H2265="","",VIPcric_1!H2265)</f>
        <v/>
      </c>
      <c r="I2290" t="str">
        <f>IF(VIPcric_1!M2265="","",VIPcric_1!M2265)</f>
        <v/>
      </c>
    </row>
    <row r="2291" spans="1:9">
      <c r="A2291" t="str">
        <f>IF(VIPcric_1!A2266="","",VIPcric_1!A2266)</f>
        <v/>
      </c>
      <c r="B2291" t="str">
        <f>IF(VIPcric_1!B2266="","",VIPcric_1!B2266)</f>
        <v/>
      </c>
      <c r="C2291" t="str">
        <f>IF(VIPcric_1!C2266="","",VIPcric_1!C2266)</f>
        <v/>
      </c>
      <c r="D2291" t="str">
        <f>IF(VIPcric_1!D2266="","",VIPcric_1!D2266)</f>
        <v/>
      </c>
      <c r="E2291" t="str">
        <f>IF(VIPcric_1!E2266="","",VIPcric_1!E2266)</f>
        <v/>
      </c>
      <c r="F2291" t="str">
        <f>IF(VIPcric_1!F2266="","",VIPcric_1!F2266)</f>
        <v/>
      </c>
      <c r="G2291" t="str">
        <f>IF(VIPcric_1!G2266="","",VIPcric_1!G2266)</f>
        <v/>
      </c>
      <c r="H2291" t="str">
        <f>IF(VIPcric_1!H2266="","",VIPcric_1!H2266)</f>
        <v/>
      </c>
      <c r="I2291" t="str">
        <f>IF(VIPcric_1!M2266="","",VIPcric_1!M2266)</f>
        <v>CRIC-舟山-市场监测.商品房市场.项目累计.供求.xlsx</v>
      </c>
    </row>
    <row r="2292" spans="1:9">
      <c r="A2292" t="str">
        <f>IF(VIPcric_1!A2267="","",VIPcric_1!A2267)</f>
        <v>时间(年)</v>
      </c>
      <c r="B2292" t="str">
        <f>IF(VIPcric_1!B2267="","",VIPcric_1!B2267)</f>
        <v>供应面积(㎡)</v>
      </c>
      <c r="C2292" t="str">
        <f>IF(VIPcric_1!C2267="","",VIPcric_1!C2267)</f>
        <v>供应套数(套)</v>
      </c>
      <c r="D2292" t="str">
        <f>IF(VIPcric_1!D2267="","",VIPcric_1!D2267)</f>
        <v>成交面积(㎡)</v>
      </c>
      <c r="E2292" t="str">
        <f>IF(VIPcric_1!E2267="","",VIPcric_1!E2267)</f>
        <v>成交套数(套)</v>
      </c>
      <c r="F2292" t="str">
        <f>IF(VIPcric_1!F2267="","",VIPcric_1!F2267)</f>
        <v>成交均价(元/㎡)</v>
      </c>
      <c r="G2292" t="str">
        <f>IF(VIPcric_1!G2267="","",VIPcric_1!G2267)</f>
        <v>成交金额(元)</v>
      </c>
      <c r="H2292" t="str">
        <f>IF(VIPcric_1!H2267="","",VIPcric_1!H2267)</f>
        <v>供求比</v>
      </c>
      <c r="I2292" t="str">
        <f>IF(VIPcric_1!M2267="","",VIPcric_1!M2267)</f>
        <v>CRIC-舟山-市场监测.商品房市场.项目累计.供求.xlsx</v>
      </c>
    </row>
    <row r="2293" spans="1:9">
      <c r="A2293" t="str">
        <f>IF(VIPcric_1!A2268="","",VIPcric_1!A2268)</f>
        <v>2024年</v>
      </c>
      <c r="B2293">
        <f>IF(VIPcric_1!B2268="","",VIPcric_1!B2268)</f>
        <v>0</v>
      </c>
      <c r="C2293">
        <f>IF(VIPcric_1!C2268="","",VIPcric_1!C2268)</f>
        <v>0</v>
      </c>
      <c r="D2293">
        <f>IF(VIPcric_1!D2268="","",VIPcric_1!D2268)</f>
        <v>20285</v>
      </c>
      <c r="E2293">
        <f>IF(VIPcric_1!E2268="","",VIPcric_1!E2268)</f>
        <v>190</v>
      </c>
      <c r="F2293">
        <f>IF(VIPcric_1!F2268="","",VIPcric_1!F2268)</f>
        <v>15776</v>
      </c>
      <c r="G2293">
        <f>IF(VIPcric_1!G2268="","",VIPcric_1!G2268)</f>
        <v>320018580</v>
      </c>
      <c r="H2293">
        <f>IF(VIPcric_1!H2268="","",VIPcric_1!H2268)</f>
        <v>0</v>
      </c>
      <c r="I2293" t="str">
        <f>IF(VIPcric_1!M2268="","",VIPcric_1!M2268)</f>
        <v>CRIC-舟山-市场监测.商品房市场.项目累计.供求.xlsx</v>
      </c>
    </row>
    <row r="2294" spans="1:9">
      <c r="A2294" t="str">
        <f>IF(VIPcric_1!A2269="","",VIPcric_1!A2269)</f>
        <v>2023年</v>
      </c>
      <c r="B2294">
        <f>IF(VIPcric_1!B2269="","",VIPcric_1!B2269)</f>
        <v>324483</v>
      </c>
      <c r="C2294">
        <f>IF(VIPcric_1!C2269="","",VIPcric_1!C2269)</f>
        <v>3164</v>
      </c>
      <c r="D2294">
        <f>IF(VIPcric_1!D2269="","",VIPcric_1!D2269)</f>
        <v>491774</v>
      </c>
      <c r="E2294">
        <f>IF(VIPcric_1!E2269="","",VIPcric_1!E2269)</f>
        <v>4750</v>
      </c>
      <c r="F2294">
        <f>IF(VIPcric_1!F2269="","",VIPcric_1!F2269)</f>
        <v>15754</v>
      </c>
      <c r="G2294">
        <f>IF(VIPcric_1!G2269="","",VIPcric_1!G2269)</f>
        <v>7747368593</v>
      </c>
      <c r="H2294">
        <f>IF(VIPcric_1!H2269="","",VIPcric_1!H2269)</f>
        <v>0.66</v>
      </c>
      <c r="I2294" t="str">
        <f>IF(VIPcric_1!M2269="","",VIPcric_1!M2269)</f>
        <v>CRIC-舟山-市场监测.商品房市场.项目累计.供求.xlsx</v>
      </c>
    </row>
    <row r="2295" spans="1:9">
      <c r="A2295" t="str">
        <f>IF(VIPcric_1!A2270="","",VIPcric_1!A2270)</f>
        <v>2022年</v>
      </c>
      <c r="B2295">
        <f>IF(VIPcric_1!B2270="","",VIPcric_1!B2270)</f>
        <v>565565</v>
      </c>
      <c r="C2295">
        <f>IF(VIPcric_1!C2270="","",VIPcric_1!C2270)</f>
        <v>5386</v>
      </c>
      <c r="D2295">
        <f>IF(VIPcric_1!D2270="","",VIPcric_1!D2270)</f>
        <v>709329</v>
      </c>
      <c r="E2295">
        <f>IF(VIPcric_1!E2270="","",VIPcric_1!E2270)</f>
        <v>6678</v>
      </c>
      <c r="F2295">
        <f>IF(VIPcric_1!F2270="","",VIPcric_1!F2270)</f>
        <v>16019</v>
      </c>
      <c r="G2295">
        <f>IF(VIPcric_1!G2270="","",VIPcric_1!G2270)</f>
        <v>11362751155</v>
      </c>
      <c r="H2295">
        <f>IF(VIPcric_1!H2270="","",VIPcric_1!H2270)</f>
        <v>0.8</v>
      </c>
      <c r="I2295" t="str">
        <f>IF(VIPcric_1!M2270="","",VIPcric_1!M2270)</f>
        <v>CRIC-舟山-市场监测.商品房市场.项目累计.供求.xlsx</v>
      </c>
    </row>
    <row r="2296" spans="1:9">
      <c r="A2296" t="str">
        <f>IF(VIPcric_1!A2271="","",VIPcric_1!A2271)</f>
        <v>2021年</v>
      </c>
      <c r="B2296">
        <f>IF(VIPcric_1!B2271="","",VIPcric_1!B2271)</f>
        <v>996425</v>
      </c>
      <c r="C2296">
        <f>IF(VIPcric_1!C2271="","",VIPcric_1!C2271)</f>
        <v>9883</v>
      </c>
      <c r="D2296">
        <f>IF(VIPcric_1!D2271="","",VIPcric_1!D2271)</f>
        <v>988536</v>
      </c>
      <c r="E2296">
        <f>IF(VIPcric_1!E2271="","",VIPcric_1!E2271)</f>
        <v>9494</v>
      </c>
      <c r="F2296">
        <f>IF(VIPcric_1!F2271="","",VIPcric_1!F2271)</f>
        <v>16686</v>
      </c>
      <c r="G2296">
        <f>IF(VIPcric_1!G2271="","",VIPcric_1!G2271)</f>
        <v>16495170636</v>
      </c>
      <c r="H2296">
        <f>IF(VIPcric_1!H2271="","",VIPcric_1!H2271)</f>
        <v>1.01</v>
      </c>
      <c r="I2296" t="str">
        <f>IF(VIPcric_1!M2271="","",VIPcric_1!M2271)</f>
        <v>CRIC-舟山-市场监测.商品房市场.项目累计.供求.xlsx</v>
      </c>
    </row>
    <row r="2297" spans="1:9">
      <c r="A2297" t="str">
        <f>IF(VIPcric_1!A2272="","",VIPcric_1!A2272)</f>
        <v>2020年</v>
      </c>
      <c r="B2297">
        <f>IF(VIPcric_1!B2272="","",VIPcric_1!B2272)</f>
        <v>1335435</v>
      </c>
      <c r="C2297">
        <f>IF(VIPcric_1!C2272="","",VIPcric_1!C2272)</f>
        <v>12813</v>
      </c>
      <c r="D2297">
        <f>IF(VIPcric_1!D2272="","",VIPcric_1!D2272)</f>
        <v>1060274</v>
      </c>
      <c r="E2297">
        <f>IF(VIPcric_1!E2272="","",VIPcric_1!E2272)</f>
        <v>10234</v>
      </c>
      <c r="F2297">
        <f>IF(VIPcric_1!F2272="","",VIPcric_1!F2272)</f>
        <v>16555</v>
      </c>
      <c r="G2297">
        <f>IF(VIPcric_1!G2272="","",VIPcric_1!G2272)</f>
        <v>17552340598</v>
      </c>
      <c r="H2297">
        <f>IF(VIPcric_1!H2272="","",VIPcric_1!H2272)</f>
        <v>1.26</v>
      </c>
      <c r="I2297" t="str">
        <f>IF(VIPcric_1!M2272="","",VIPcric_1!M2272)</f>
        <v>CRIC-舟山-市场监测.商品房市场.项目累计.供求.xlsx</v>
      </c>
    </row>
    <row r="2298" spans="1:9">
      <c r="A2298" t="str">
        <f>IF(VIPcric_1!A2273="","",VIPcric_1!A2273)</f>
        <v>2019年</v>
      </c>
      <c r="B2298">
        <f>IF(VIPcric_1!B2273="","",VIPcric_1!B2273)</f>
        <v>1210103</v>
      </c>
      <c r="C2298">
        <f>IF(VIPcric_1!C2273="","",VIPcric_1!C2273)</f>
        <v>12057</v>
      </c>
      <c r="D2298">
        <f>IF(VIPcric_1!D2273="","",VIPcric_1!D2273)</f>
        <v>951021</v>
      </c>
      <c r="E2298">
        <f>IF(VIPcric_1!E2273="","",VIPcric_1!E2273)</f>
        <v>9641</v>
      </c>
      <c r="F2298">
        <f>IF(VIPcric_1!F2273="","",VIPcric_1!F2273)</f>
        <v>16668</v>
      </c>
      <c r="G2298">
        <f>IF(VIPcric_1!G2273="","",VIPcric_1!G2273)</f>
        <v>15851194376</v>
      </c>
      <c r="H2298">
        <f>IF(VIPcric_1!H2273="","",VIPcric_1!H2273)</f>
        <v>1.27</v>
      </c>
      <c r="I2298" t="str">
        <f>IF(VIPcric_1!M2273="","",VIPcric_1!M2273)</f>
        <v>CRIC-舟山-市场监测.商品房市场.项目累计.供求.xlsx</v>
      </c>
    </row>
    <row r="2299" spans="1:9">
      <c r="A2299" t="str">
        <f>IF(VIPcric_1!A2274="","",VIPcric_1!A2274)</f>
        <v>汇总</v>
      </c>
      <c r="B2299">
        <f>IF(VIPcric_1!B2274="","",VIPcric_1!B2274)</f>
        <v>4432010</v>
      </c>
      <c r="C2299">
        <f>IF(VIPcric_1!C2274="","",VIPcric_1!C2274)</f>
        <v>43303</v>
      </c>
      <c r="D2299">
        <f>IF(VIPcric_1!D2274="","",VIPcric_1!D2274)</f>
        <v>4221220</v>
      </c>
      <c r="E2299">
        <f>IF(VIPcric_1!E2274="","",VIPcric_1!E2274)</f>
        <v>40987</v>
      </c>
      <c r="F2299">
        <f>IF(VIPcric_1!F2274="","",VIPcric_1!F2274)</f>
        <v>16424</v>
      </c>
      <c r="G2299">
        <f>IF(VIPcric_1!G2274="","",VIPcric_1!G2274)</f>
        <v>69328843938</v>
      </c>
      <c r="H2299">
        <f>IF(VIPcric_1!H2274="","",VIPcric_1!H2274)</f>
        <v>1.05</v>
      </c>
      <c r="I2299" t="str">
        <f>IF(VIPcric_1!M2274="","",VIPcric_1!M2274)</f>
        <v>CRIC-舟山-市场监测.商品房市场.项目累计.供求.xlsx</v>
      </c>
    </row>
    <row r="2300" spans="1:9">
      <c r="A2300" t="str">
        <f>IF(VIPcric_1!A2275="","",VIPcric_1!A2275)</f>
        <v/>
      </c>
      <c r="B2300" t="str">
        <f>IF(VIPcric_1!B2275="","",VIPcric_1!B2275)</f>
        <v/>
      </c>
      <c r="C2300" t="str">
        <f>IF(VIPcric_1!C2275="","",VIPcric_1!C2275)</f>
        <v/>
      </c>
      <c r="D2300" t="str">
        <f>IF(VIPcric_1!D2275="","",VIPcric_1!D2275)</f>
        <v/>
      </c>
      <c r="E2300" t="str">
        <f>IF(VIPcric_1!E2275="","",VIPcric_1!E2275)</f>
        <v/>
      </c>
      <c r="F2300" t="str">
        <f>IF(VIPcric_1!F2275="","",VIPcric_1!F2275)</f>
        <v/>
      </c>
      <c r="G2300" t="str">
        <f>IF(VIPcric_1!G2275="","",VIPcric_1!G2275)</f>
        <v/>
      </c>
      <c r="H2300" t="str">
        <f>IF(VIPcric_1!H2275="","",VIPcric_1!H2275)</f>
        <v/>
      </c>
      <c r="I2300" t="str">
        <f>IF(VIPcric_1!M2275="","",VIPcric_1!M2275)</f>
        <v/>
      </c>
    </row>
    <row r="2301" spans="1:9">
      <c r="A2301" t="str">
        <f>IF(VIPcric_1!A2276="","",VIPcric_1!A2276)</f>
        <v/>
      </c>
      <c r="B2301" t="str">
        <f>IF(VIPcric_1!B2276="","",VIPcric_1!B2276)</f>
        <v/>
      </c>
      <c r="C2301" t="str">
        <f>IF(VIPcric_1!C2276="","",VIPcric_1!C2276)</f>
        <v/>
      </c>
      <c r="D2301" t="str">
        <f>IF(VIPcric_1!D2276="","",VIPcric_1!D2276)</f>
        <v/>
      </c>
      <c r="E2301" t="str">
        <f>IF(VIPcric_1!E2276="","",VIPcric_1!E2276)</f>
        <v/>
      </c>
      <c r="F2301" t="str">
        <f>IF(VIPcric_1!F2276="","",VIPcric_1!F2276)</f>
        <v/>
      </c>
      <c r="G2301" t="str">
        <f>IF(VIPcric_1!G2276="","",VIPcric_1!G2276)</f>
        <v/>
      </c>
      <c r="H2301" t="str">
        <f>IF(VIPcric_1!H2276="","",VIPcric_1!H2276)</f>
        <v/>
      </c>
      <c r="I2301" t="str">
        <f>IF(VIPcric_1!M2276="","",VIPcric_1!M2276)</f>
        <v>CRIC-舟山-市场监测.商品房市场.项目累计.库存.xlsx</v>
      </c>
    </row>
    <row r="2302" spans="1:9">
      <c r="A2302" t="str">
        <f>IF(VIPcric_1!A2277="","",VIPcric_1!A2277)</f>
        <v>时间(年)</v>
      </c>
      <c r="B2302" t="str">
        <f>IF(VIPcric_1!B2277="","",VIPcric_1!B2277)</f>
        <v>库存面积(㎡)</v>
      </c>
      <c r="C2302" t="str">
        <f>IF(VIPcric_1!C2277="","",VIPcric_1!C2277)</f>
        <v>库存套数(套)</v>
      </c>
      <c r="D2302" t="str">
        <f>IF(VIPcric_1!D2277="","",VIPcric_1!D2277)</f>
        <v>去化周期12'(月)</v>
      </c>
      <c r="E2302" t="str">
        <f>IF(VIPcric_1!E2277="","",VIPcric_1!E2277)</f>
        <v>去化周期24'(月)</v>
      </c>
      <c r="F2302" t="str">
        <f>IF(VIPcric_1!F2277="","",VIPcric_1!F2277)</f>
        <v/>
      </c>
      <c r="G2302" t="str">
        <f>IF(VIPcric_1!G2277="","",VIPcric_1!G2277)</f>
        <v/>
      </c>
      <c r="H2302" t="str">
        <f>IF(VIPcric_1!H2277="","",VIPcric_1!H2277)</f>
        <v/>
      </c>
      <c r="I2302" t="str">
        <f>IF(VIPcric_1!M2277="","",VIPcric_1!M2277)</f>
        <v>CRIC-舟山-市场监测.商品房市场.项目累计.库存.xlsx</v>
      </c>
    </row>
    <row r="2303" spans="1:9">
      <c r="A2303" t="str">
        <f>IF(VIPcric_1!A2278="","",VIPcric_1!A2278)</f>
        <v>2024年</v>
      </c>
      <c r="B2303">
        <f>IF(VIPcric_1!B2278="","",VIPcric_1!B2278)</f>
        <v>793703</v>
      </c>
      <c r="C2303">
        <f>IF(VIPcric_1!C2278="","",VIPcric_1!C2278)</f>
        <v>7206</v>
      </c>
      <c r="D2303">
        <f>IF(VIPcric_1!D2278="","",VIPcric_1!D2278)</f>
        <v>19.100000000000001</v>
      </c>
      <c r="E2303">
        <f>IF(VIPcric_1!E2278="","",VIPcric_1!E2278)</f>
        <v>16.399999999999999</v>
      </c>
      <c r="F2303" t="str">
        <f>IF(VIPcric_1!F2278="","",VIPcric_1!F2278)</f>
        <v/>
      </c>
      <c r="G2303" t="str">
        <f>IF(VIPcric_1!G2278="","",VIPcric_1!G2278)</f>
        <v/>
      </c>
      <c r="H2303" t="str">
        <f>IF(VIPcric_1!H2278="","",VIPcric_1!H2278)</f>
        <v/>
      </c>
      <c r="I2303" t="str">
        <f>IF(VIPcric_1!M2278="","",VIPcric_1!M2278)</f>
        <v>CRIC-舟山-市场监测.商品房市场.项目累计.库存.xlsx</v>
      </c>
    </row>
    <row r="2304" spans="1:9">
      <c r="A2304" t="str">
        <f>IF(VIPcric_1!A2279="","",VIPcric_1!A2279)</f>
        <v>2023年</v>
      </c>
      <c r="B2304">
        <f>IF(VIPcric_1!B2279="","",VIPcric_1!B2279)</f>
        <v>805064</v>
      </c>
      <c r="C2304">
        <f>IF(VIPcric_1!C2279="","",VIPcric_1!C2279)</f>
        <v>7297</v>
      </c>
      <c r="D2304">
        <f>IF(VIPcric_1!D2279="","",VIPcric_1!D2279)</f>
        <v>19.600000000000001</v>
      </c>
      <c r="E2304">
        <f>IF(VIPcric_1!E2279="","",VIPcric_1!E2279)</f>
        <v>16.100000000000001</v>
      </c>
      <c r="F2304" t="str">
        <f>IF(VIPcric_1!F2279="","",VIPcric_1!F2279)</f>
        <v/>
      </c>
      <c r="G2304" t="str">
        <f>IF(VIPcric_1!G2279="","",VIPcric_1!G2279)</f>
        <v/>
      </c>
      <c r="H2304" t="str">
        <f>IF(VIPcric_1!H2279="","",VIPcric_1!H2279)</f>
        <v/>
      </c>
      <c r="I2304" t="str">
        <f>IF(VIPcric_1!M2279="","",VIPcric_1!M2279)</f>
        <v>CRIC-舟山-市场监测.商品房市场.项目累计.库存.xlsx</v>
      </c>
    </row>
    <row r="2305" spans="1:9">
      <c r="A2305" t="str">
        <f>IF(VIPcric_1!A2280="","",VIPcric_1!A2280)</f>
        <v>2022年</v>
      </c>
      <c r="B2305">
        <f>IF(VIPcric_1!B2280="","",VIPcric_1!B2280)</f>
        <v>1086261</v>
      </c>
      <c r="C2305">
        <f>IF(VIPcric_1!C2280="","",VIPcric_1!C2280)</f>
        <v>9868</v>
      </c>
      <c r="D2305">
        <f>IF(VIPcric_1!D2280="","",VIPcric_1!D2280)</f>
        <v>18.399999999999999</v>
      </c>
      <c r="E2305">
        <f>IF(VIPcric_1!E2280="","",VIPcric_1!E2280)</f>
        <v>15.4</v>
      </c>
      <c r="F2305" t="str">
        <f>IF(VIPcric_1!F2280="","",VIPcric_1!F2280)</f>
        <v/>
      </c>
      <c r="G2305" t="str">
        <f>IF(VIPcric_1!G2280="","",VIPcric_1!G2280)</f>
        <v/>
      </c>
      <c r="H2305" t="str">
        <f>IF(VIPcric_1!H2280="","",VIPcric_1!H2280)</f>
        <v/>
      </c>
      <c r="I2305" t="str">
        <f>IF(VIPcric_1!M2280="","",VIPcric_1!M2280)</f>
        <v>CRIC-舟山-市场监测.商品房市场.项目累计.库存.xlsx</v>
      </c>
    </row>
    <row r="2306" spans="1:9">
      <c r="A2306" t="str">
        <f>IF(VIPcric_1!A2281="","",VIPcric_1!A2281)</f>
        <v>2021年</v>
      </c>
      <c r="B2306">
        <f>IF(VIPcric_1!B2281="","",VIPcric_1!B2281)</f>
        <v>1226503</v>
      </c>
      <c r="C2306">
        <f>IF(VIPcric_1!C2281="","",VIPcric_1!C2281)</f>
        <v>11215</v>
      </c>
      <c r="D2306">
        <f>IF(VIPcric_1!D2281="","",VIPcric_1!D2281)</f>
        <v>14.9</v>
      </c>
      <c r="E2306">
        <f>IF(VIPcric_1!E2281="","",VIPcric_1!E2281)</f>
        <v>14.4</v>
      </c>
      <c r="F2306" t="str">
        <f>IF(VIPcric_1!F2281="","",VIPcric_1!F2281)</f>
        <v/>
      </c>
      <c r="G2306" t="str">
        <f>IF(VIPcric_1!G2281="","",VIPcric_1!G2281)</f>
        <v/>
      </c>
      <c r="H2306" t="str">
        <f>IF(VIPcric_1!H2281="","",VIPcric_1!H2281)</f>
        <v/>
      </c>
      <c r="I2306" t="str">
        <f>IF(VIPcric_1!M2281="","",VIPcric_1!M2281)</f>
        <v>CRIC-舟山-市场监测.商品房市场.项目累计.库存.xlsx</v>
      </c>
    </row>
    <row r="2307" spans="1:9">
      <c r="A2307" t="str">
        <f>IF(VIPcric_1!A2282="","",VIPcric_1!A2282)</f>
        <v>2020年</v>
      </c>
      <c r="B2307">
        <f>IF(VIPcric_1!B2282="","",VIPcric_1!B2282)</f>
        <v>1332097</v>
      </c>
      <c r="C2307">
        <f>IF(VIPcric_1!C2282="","",VIPcric_1!C2282)</f>
        <v>12425</v>
      </c>
      <c r="D2307">
        <f>IF(VIPcric_1!D2282="","",VIPcric_1!D2282)</f>
        <v>15.1</v>
      </c>
      <c r="E2307">
        <f>IF(VIPcric_1!E2282="","",VIPcric_1!E2282)</f>
        <v>15.9</v>
      </c>
      <c r="F2307" t="str">
        <f>IF(VIPcric_1!F2282="","",VIPcric_1!F2282)</f>
        <v/>
      </c>
      <c r="G2307" t="str">
        <f>IF(VIPcric_1!G2282="","",VIPcric_1!G2282)</f>
        <v/>
      </c>
      <c r="H2307" t="str">
        <f>IF(VIPcric_1!H2282="","",VIPcric_1!H2282)</f>
        <v/>
      </c>
      <c r="I2307" t="str">
        <f>IF(VIPcric_1!M2282="","",VIPcric_1!M2282)</f>
        <v>CRIC-舟山-市场监测.商品房市场.项目累计.库存.xlsx</v>
      </c>
    </row>
    <row r="2308" spans="1:9">
      <c r="A2308" t="str">
        <f>IF(VIPcric_1!A2283="","",VIPcric_1!A2283)</f>
        <v>2019年</v>
      </c>
      <c r="B2308">
        <f>IF(VIPcric_1!B2283="","",VIPcric_1!B2283)</f>
        <v>1358656</v>
      </c>
      <c r="C2308">
        <f>IF(VIPcric_1!C2283="","",VIPcric_1!C2283)</f>
        <v>12520</v>
      </c>
      <c r="D2308">
        <f>IF(VIPcric_1!D2283="","",VIPcric_1!D2283)</f>
        <v>17.100000000000001</v>
      </c>
      <c r="E2308">
        <f>IF(VIPcric_1!E2283="","",VIPcric_1!E2283)</f>
        <v>15.6</v>
      </c>
      <c r="F2308" t="str">
        <f>IF(VIPcric_1!F2283="","",VIPcric_1!F2283)</f>
        <v/>
      </c>
      <c r="G2308" t="str">
        <f>IF(VIPcric_1!G2283="","",VIPcric_1!G2283)</f>
        <v/>
      </c>
      <c r="H2308" t="str">
        <f>IF(VIPcric_1!H2283="","",VIPcric_1!H2283)</f>
        <v/>
      </c>
      <c r="I2308" t="str">
        <f>IF(VIPcric_1!M2283="","",VIPcric_1!M2283)</f>
        <v>CRIC-舟山-市场监测.商品房市场.项目累计.库存.xlsx</v>
      </c>
    </row>
    <row r="2309" spans="1:9">
      <c r="A2309" t="str">
        <f>IF(VIPcric_1!A2284="","",VIPcric_1!A2284)</f>
        <v/>
      </c>
      <c r="B2309" t="str">
        <f>IF(VIPcric_1!B2284="","",VIPcric_1!B2284)</f>
        <v/>
      </c>
      <c r="C2309" t="str">
        <f>IF(VIPcric_1!C2284="","",VIPcric_1!C2284)</f>
        <v/>
      </c>
      <c r="D2309" t="str">
        <f>IF(VIPcric_1!D2284="","",VIPcric_1!D2284)</f>
        <v/>
      </c>
      <c r="E2309" t="str">
        <f>IF(VIPcric_1!E2284="","",VIPcric_1!E2284)</f>
        <v/>
      </c>
      <c r="F2309" t="str">
        <f>IF(VIPcric_1!F2284="","",VIPcric_1!F2284)</f>
        <v/>
      </c>
      <c r="G2309" t="str">
        <f>IF(VIPcric_1!G2284="","",VIPcric_1!G2284)</f>
        <v/>
      </c>
      <c r="H2309" t="str">
        <f>IF(VIPcric_1!H2284="","",VIPcric_1!H2284)</f>
        <v/>
      </c>
      <c r="I2309" t="str">
        <f>IF(VIPcric_1!M2284="","",VIPcric_1!M2284)</f>
        <v/>
      </c>
    </row>
    <row r="2310" spans="1:9">
      <c r="A2310" t="str">
        <f>IF(VIPcric_1!A2285="","",VIPcric_1!A2285)</f>
        <v/>
      </c>
      <c r="B2310" t="str">
        <f>IF(VIPcric_1!B2285="","",VIPcric_1!B2285)</f>
        <v/>
      </c>
      <c r="C2310" t="str">
        <f>IF(VIPcric_1!C2285="","",VIPcric_1!C2285)</f>
        <v/>
      </c>
      <c r="D2310" t="str">
        <f>IF(VIPcric_1!D2285="","",VIPcric_1!D2285)</f>
        <v/>
      </c>
      <c r="E2310" t="str">
        <f>IF(VIPcric_1!E2285="","",VIPcric_1!E2285)</f>
        <v/>
      </c>
      <c r="F2310" t="str">
        <f>IF(VIPcric_1!F2285="","",VIPcric_1!F2285)</f>
        <v/>
      </c>
      <c r="G2310" t="str">
        <f>IF(VIPcric_1!G2285="","",VIPcric_1!G2285)</f>
        <v/>
      </c>
      <c r="H2310" t="str">
        <f>IF(VIPcric_1!H2285="","",VIPcric_1!H2285)</f>
        <v/>
      </c>
      <c r="I2310" t="str">
        <f>IF(VIPcric_1!M2285="","",VIPcric_1!M2285)</f>
        <v>CRIC-芜湖-市场监测.商品房市场.项目累计.供求.xlsx</v>
      </c>
    </row>
    <row r="2311" spans="1:9">
      <c r="A2311" t="str">
        <f>IF(VIPcric_1!A2286="","",VIPcric_1!A2286)</f>
        <v>时间(年)</v>
      </c>
      <c r="B2311" t="str">
        <f>IF(VIPcric_1!B2286="","",VIPcric_1!B2286)</f>
        <v>供应面积(㎡)</v>
      </c>
      <c r="C2311" t="str">
        <f>IF(VIPcric_1!C2286="","",VIPcric_1!C2286)</f>
        <v>供应套数(套)</v>
      </c>
      <c r="D2311" t="str">
        <f>IF(VIPcric_1!D2286="","",VIPcric_1!D2286)</f>
        <v>成交面积(㎡)</v>
      </c>
      <c r="E2311" t="str">
        <f>IF(VIPcric_1!E2286="","",VIPcric_1!E2286)</f>
        <v>成交套数(套)</v>
      </c>
      <c r="F2311" t="str">
        <f>IF(VIPcric_1!F2286="","",VIPcric_1!F2286)</f>
        <v>成交均价(元/㎡)</v>
      </c>
      <c r="G2311" t="str">
        <f>IF(VIPcric_1!G2286="","",VIPcric_1!G2286)</f>
        <v>成交金额(元)</v>
      </c>
      <c r="H2311" t="str">
        <f>IF(VIPcric_1!H2286="","",VIPcric_1!H2286)</f>
        <v>供求比</v>
      </c>
      <c r="I2311" t="str">
        <f>IF(VIPcric_1!M2286="","",VIPcric_1!M2286)</f>
        <v>CRIC-芜湖-市场监测.商品房市场.项目累计.供求.xlsx</v>
      </c>
    </row>
    <row r="2312" spans="1:9">
      <c r="A2312" t="str">
        <f>IF(VIPcric_1!A2287="","",VIPcric_1!A2287)</f>
        <v>2024年</v>
      </c>
      <c r="B2312">
        <f>IF(VIPcric_1!B2287="","",VIPcric_1!B2287)</f>
        <v>94537</v>
      </c>
      <c r="C2312">
        <f>IF(VIPcric_1!C2287="","",VIPcric_1!C2287)</f>
        <v>815</v>
      </c>
      <c r="D2312">
        <f>IF(VIPcric_1!D2287="","",VIPcric_1!D2287)</f>
        <v>30401</v>
      </c>
      <c r="E2312">
        <f>IF(VIPcric_1!E2287="","",VIPcric_1!E2287)</f>
        <v>248</v>
      </c>
      <c r="F2312">
        <f>IF(VIPcric_1!F2287="","",VIPcric_1!F2287)</f>
        <v>13719</v>
      </c>
      <c r="G2312">
        <f>IF(VIPcric_1!G2287="","",VIPcric_1!G2287)</f>
        <v>417054436</v>
      </c>
      <c r="H2312">
        <f>IF(VIPcric_1!H2287="","",VIPcric_1!H2287)</f>
        <v>3.11</v>
      </c>
      <c r="I2312" t="str">
        <f>IF(VIPcric_1!M2287="","",VIPcric_1!M2287)</f>
        <v>CRIC-芜湖-市场监测.商品房市场.项目累计.供求.xlsx</v>
      </c>
    </row>
    <row r="2313" spans="1:9">
      <c r="A2313" t="str">
        <f>IF(VIPcric_1!A2288="","",VIPcric_1!A2288)</f>
        <v>2023年</v>
      </c>
      <c r="B2313">
        <f>IF(VIPcric_1!B2288="","",VIPcric_1!B2288)</f>
        <v>782881</v>
      </c>
      <c r="C2313">
        <f>IF(VIPcric_1!C2288="","",VIPcric_1!C2288)</f>
        <v>6707</v>
      </c>
      <c r="D2313">
        <f>IF(VIPcric_1!D2288="","",VIPcric_1!D2288)</f>
        <v>694175</v>
      </c>
      <c r="E2313">
        <f>IF(VIPcric_1!E2288="","",VIPcric_1!E2288)</f>
        <v>5865</v>
      </c>
      <c r="F2313">
        <f>IF(VIPcric_1!F2288="","",VIPcric_1!F2288)</f>
        <v>15237</v>
      </c>
      <c r="G2313">
        <f>IF(VIPcric_1!G2288="","",VIPcric_1!G2288)</f>
        <v>10577247840</v>
      </c>
      <c r="H2313">
        <f>IF(VIPcric_1!H2288="","",VIPcric_1!H2288)</f>
        <v>1.1299999999999999</v>
      </c>
      <c r="I2313" t="str">
        <f>IF(VIPcric_1!M2288="","",VIPcric_1!M2288)</f>
        <v>CRIC-芜湖-市场监测.商品房市场.项目累计.供求.xlsx</v>
      </c>
    </row>
    <row r="2314" spans="1:9">
      <c r="A2314" t="str">
        <f>IF(VIPcric_1!A2289="","",VIPcric_1!A2289)</f>
        <v>2022年</v>
      </c>
      <c r="B2314">
        <f>IF(VIPcric_1!B2289="","",VIPcric_1!B2289)</f>
        <v>1243889</v>
      </c>
      <c r="C2314">
        <f>IF(VIPcric_1!C2289="","",VIPcric_1!C2289)</f>
        <v>9581</v>
      </c>
      <c r="D2314">
        <f>IF(VIPcric_1!D2289="","",VIPcric_1!D2289)</f>
        <v>1068819</v>
      </c>
      <c r="E2314">
        <f>IF(VIPcric_1!E2289="","",VIPcric_1!E2289)</f>
        <v>8197</v>
      </c>
      <c r="F2314">
        <f>IF(VIPcric_1!F2289="","",VIPcric_1!F2289)</f>
        <v>14808</v>
      </c>
      <c r="G2314">
        <f>IF(VIPcric_1!G2289="","",VIPcric_1!G2289)</f>
        <v>15827144252</v>
      </c>
      <c r="H2314">
        <f>IF(VIPcric_1!H2289="","",VIPcric_1!H2289)</f>
        <v>1.1599999999999999</v>
      </c>
      <c r="I2314" t="str">
        <f>IF(VIPcric_1!M2289="","",VIPcric_1!M2289)</f>
        <v>CRIC-芜湖-市场监测.商品房市场.项目累计.供求.xlsx</v>
      </c>
    </row>
    <row r="2315" spans="1:9">
      <c r="A2315" t="str">
        <f>IF(VIPcric_1!A2290="","",VIPcric_1!A2290)</f>
        <v>2021年</v>
      </c>
      <c r="B2315">
        <f>IF(VIPcric_1!B2290="","",VIPcric_1!B2290)</f>
        <v>2895422</v>
      </c>
      <c r="C2315">
        <f>IF(VIPcric_1!C2290="","",VIPcric_1!C2290)</f>
        <v>25449</v>
      </c>
      <c r="D2315">
        <f>IF(VIPcric_1!D2290="","",VIPcric_1!D2290)</f>
        <v>3062106</v>
      </c>
      <c r="E2315">
        <f>IF(VIPcric_1!E2290="","",VIPcric_1!E2290)</f>
        <v>26760</v>
      </c>
      <c r="F2315">
        <f>IF(VIPcric_1!F2290="","",VIPcric_1!F2290)</f>
        <v>12844</v>
      </c>
      <c r="G2315">
        <f>IF(VIPcric_1!G2290="","",VIPcric_1!G2290)</f>
        <v>39329834688</v>
      </c>
      <c r="H2315">
        <f>IF(VIPcric_1!H2290="","",VIPcric_1!H2290)</f>
        <v>0.95</v>
      </c>
      <c r="I2315" t="str">
        <f>IF(VIPcric_1!M2290="","",VIPcric_1!M2290)</f>
        <v>CRIC-芜湖-市场监测.商品房市场.项目累计.供求.xlsx</v>
      </c>
    </row>
    <row r="2316" spans="1:9">
      <c r="A2316" t="str">
        <f>IF(VIPcric_1!A2291="","",VIPcric_1!A2291)</f>
        <v>2020年</v>
      </c>
      <c r="B2316">
        <f>IF(VIPcric_1!B2291="","",VIPcric_1!B2291)</f>
        <v>2818788</v>
      </c>
      <c r="C2316">
        <f>IF(VIPcric_1!C2291="","",VIPcric_1!C2291)</f>
        <v>24411</v>
      </c>
      <c r="D2316">
        <f>IF(VIPcric_1!D2291="","",VIPcric_1!D2291)</f>
        <v>2401999</v>
      </c>
      <c r="E2316">
        <f>IF(VIPcric_1!E2291="","",VIPcric_1!E2291)</f>
        <v>19870</v>
      </c>
      <c r="F2316">
        <f>IF(VIPcric_1!F2291="","",VIPcric_1!F2291)</f>
        <v>12500</v>
      </c>
      <c r="G2316">
        <f>IF(VIPcric_1!G2291="","",VIPcric_1!G2291)</f>
        <v>30024957394</v>
      </c>
      <c r="H2316">
        <f>IF(VIPcric_1!H2291="","",VIPcric_1!H2291)</f>
        <v>1.17</v>
      </c>
      <c r="I2316" t="str">
        <f>IF(VIPcric_1!M2291="","",VIPcric_1!M2291)</f>
        <v>CRIC-芜湖-市场监测.商品房市场.项目累计.供求.xlsx</v>
      </c>
    </row>
    <row r="2317" spans="1:9">
      <c r="A2317" t="str">
        <f>IF(VIPcric_1!A2292="","",VIPcric_1!A2292)</f>
        <v>2019年</v>
      </c>
      <c r="B2317">
        <f>IF(VIPcric_1!B2292="","",VIPcric_1!B2292)</f>
        <v>2352139</v>
      </c>
      <c r="C2317">
        <f>IF(VIPcric_1!C2292="","",VIPcric_1!C2292)</f>
        <v>18753</v>
      </c>
      <c r="D2317">
        <f>IF(VIPcric_1!D2292="","",VIPcric_1!D2292)</f>
        <v>2651624</v>
      </c>
      <c r="E2317">
        <f>IF(VIPcric_1!E2292="","",VIPcric_1!E2292)</f>
        <v>21934</v>
      </c>
      <c r="F2317">
        <f>IF(VIPcric_1!F2292="","",VIPcric_1!F2292)</f>
        <v>11761</v>
      </c>
      <c r="G2317">
        <f>IF(VIPcric_1!G2292="","",VIPcric_1!G2292)</f>
        <v>31186461262</v>
      </c>
      <c r="H2317">
        <f>IF(VIPcric_1!H2292="","",VIPcric_1!H2292)</f>
        <v>0.89</v>
      </c>
      <c r="I2317" t="str">
        <f>IF(VIPcric_1!M2292="","",VIPcric_1!M2292)</f>
        <v>CRIC-芜湖-市场监测.商品房市场.项目累计.供求.xlsx</v>
      </c>
    </row>
    <row r="2318" spans="1:9">
      <c r="A2318" t="str">
        <f>IF(VIPcric_1!A2293="","",VIPcric_1!A2293)</f>
        <v>汇总</v>
      </c>
      <c r="B2318">
        <f>IF(VIPcric_1!B2293="","",VIPcric_1!B2293)</f>
        <v>10187656</v>
      </c>
      <c r="C2318">
        <f>IF(VIPcric_1!C2293="","",VIPcric_1!C2293)</f>
        <v>85716</v>
      </c>
      <c r="D2318">
        <f>IF(VIPcric_1!D2293="","",VIPcric_1!D2293)</f>
        <v>9909125</v>
      </c>
      <c r="E2318">
        <f>IF(VIPcric_1!E2293="","",VIPcric_1!E2293)</f>
        <v>82874</v>
      </c>
      <c r="F2318">
        <f>IF(VIPcric_1!F2293="","",VIPcric_1!F2293)</f>
        <v>12853</v>
      </c>
      <c r="G2318">
        <f>IF(VIPcric_1!G2293="","",VIPcric_1!G2293)</f>
        <v>127362699871</v>
      </c>
      <c r="H2318">
        <f>IF(VIPcric_1!H2293="","",VIPcric_1!H2293)</f>
        <v>1.03</v>
      </c>
      <c r="I2318" t="str">
        <f>IF(VIPcric_1!M2293="","",VIPcric_1!M2293)</f>
        <v>CRIC-芜湖-市场监测.商品房市场.项目累计.供求.xlsx</v>
      </c>
    </row>
    <row r="2319" spans="1:9">
      <c r="A2319" t="str">
        <f>IF(VIPcric_1!A2294="","",VIPcric_1!A2294)</f>
        <v/>
      </c>
      <c r="B2319" t="str">
        <f>IF(VIPcric_1!B2294="","",VIPcric_1!B2294)</f>
        <v/>
      </c>
      <c r="C2319" t="str">
        <f>IF(VIPcric_1!C2294="","",VIPcric_1!C2294)</f>
        <v/>
      </c>
      <c r="D2319" t="str">
        <f>IF(VIPcric_1!D2294="","",VIPcric_1!D2294)</f>
        <v/>
      </c>
      <c r="E2319" t="str">
        <f>IF(VIPcric_1!E2294="","",VIPcric_1!E2294)</f>
        <v/>
      </c>
      <c r="F2319" t="str">
        <f>IF(VIPcric_1!F2294="","",VIPcric_1!F2294)</f>
        <v/>
      </c>
      <c r="G2319" t="str">
        <f>IF(VIPcric_1!G2294="","",VIPcric_1!G2294)</f>
        <v/>
      </c>
      <c r="H2319" t="str">
        <f>IF(VIPcric_1!H2294="","",VIPcric_1!H2294)</f>
        <v/>
      </c>
      <c r="I2319" t="str">
        <f>IF(VIPcric_1!M2294="","",VIPcric_1!M2294)</f>
        <v/>
      </c>
    </row>
    <row r="2320" spans="1:9">
      <c r="A2320" t="str">
        <f>IF(VIPcric_1!A2295="","",VIPcric_1!A2295)</f>
        <v/>
      </c>
      <c r="B2320" t="str">
        <f>IF(VIPcric_1!B2295="","",VIPcric_1!B2295)</f>
        <v/>
      </c>
      <c r="C2320" t="str">
        <f>IF(VIPcric_1!C2295="","",VIPcric_1!C2295)</f>
        <v/>
      </c>
      <c r="D2320" t="str">
        <f>IF(VIPcric_1!D2295="","",VIPcric_1!D2295)</f>
        <v/>
      </c>
      <c r="E2320" t="str">
        <f>IF(VIPcric_1!E2295="","",VIPcric_1!E2295)</f>
        <v/>
      </c>
      <c r="F2320" t="str">
        <f>IF(VIPcric_1!F2295="","",VIPcric_1!F2295)</f>
        <v/>
      </c>
      <c r="G2320" t="str">
        <f>IF(VIPcric_1!G2295="","",VIPcric_1!G2295)</f>
        <v/>
      </c>
      <c r="H2320" t="str">
        <f>IF(VIPcric_1!H2295="","",VIPcric_1!H2295)</f>
        <v/>
      </c>
      <c r="I2320" t="str">
        <f>IF(VIPcric_1!M2295="","",VIPcric_1!M2295)</f>
        <v>CRIC-芜湖-市场监测.商品房市场.项目累计.库存.xlsx</v>
      </c>
    </row>
    <row r="2321" spans="1:9">
      <c r="A2321" t="str">
        <f>IF(VIPcric_1!A2296="","",VIPcric_1!A2296)</f>
        <v>时间(年)</v>
      </c>
      <c r="B2321" t="str">
        <f>IF(VIPcric_1!B2296="","",VIPcric_1!B2296)</f>
        <v>库存面积(㎡)</v>
      </c>
      <c r="C2321" t="str">
        <f>IF(VIPcric_1!C2296="","",VIPcric_1!C2296)</f>
        <v>库存套数(套)</v>
      </c>
      <c r="D2321" t="str">
        <f>IF(VIPcric_1!D2296="","",VIPcric_1!D2296)</f>
        <v>去化周期12'(月)</v>
      </c>
      <c r="E2321" t="str">
        <f>IF(VIPcric_1!E2296="","",VIPcric_1!E2296)</f>
        <v/>
      </c>
      <c r="F2321" t="str">
        <f>IF(VIPcric_1!F2296="","",VIPcric_1!F2296)</f>
        <v/>
      </c>
      <c r="G2321" t="str">
        <f>IF(VIPcric_1!G2296="","",VIPcric_1!G2296)</f>
        <v/>
      </c>
      <c r="H2321" t="str">
        <f>IF(VIPcric_1!H2296="","",VIPcric_1!H2296)</f>
        <v/>
      </c>
      <c r="I2321" t="str">
        <f>IF(VIPcric_1!M2296="","",VIPcric_1!M2296)</f>
        <v>CRIC-芜湖-市场监测.商品房市场.项目累计.库存.xlsx</v>
      </c>
    </row>
    <row r="2322" spans="1:9">
      <c r="A2322" t="str">
        <f>IF(VIPcric_1!A2297="","",VIPcric_1!A2297)</f>
        <v>2024年</v>
      </c>
      <c r="B2322">
        <f>IF(VIPcric_1!B2297="","",VIPcric_1!B2297)</f>
        <v>1992681</v>
      </c>
      <c r="C2322">
        <f>IF(VIPcric_1!C2297="","",VIPcric_1!C2297)</f>
        <v>16731</v>
      </c>
      <c r="D2322">
        <f>IF(VIPcric_1!D2297="","",VIPcric_1!D2297)</f>
        <v>35.700000000000003</v>
      </c>
      <c r="E2322" t="str">
        <f>IF(VIPcric_1!E2297="","",VIPcric_1!E2297)</f>
        <v/>
      </c>
      <c r="F2322" t="str">
        <f>IF(VIPcric_1!F2297="","",VIPcric_1!F2297)</f>
        <v/>
      </c>
      <c r="G2322" t="str">
        <f>IF(VIPcric_1!G2297="","",VIPcric_1!G2297)</f>
        <v/>
      </c>
      <c r="H2322" t="str">
        <f>IF(VIPcric_1!H2297="","",VIPcric_1!H2297)</f>
        <v/>
      </c>
      <c r="I2322" t="str">
        <f>IF(VIPcric_1!M2297="","",VIPcric_1!M2297)</f>
        <v>CRIC-芜湖-市场监测.商品房市场.项目累计.库存.xlsx</v>
      </c>
    </row>
    <row r="2323" spans="1:9">
      <c r="A2323" t="str">
        <f>IF(VIPcric_1!A2298="","",VIPcric_1!A2298)</f>
        <v>2023年</v>
      </c>
      <c r="B2323">
        <f>IF(VIPcric_1!B2298="","",VIPcric_1!B2298)</f>
        <v>1960199</v>
      </c>
      <c r="C2323">
        <f>IF(VIPcric_1!C2298="","",VIPcric_1!C2298)</f>
        <v>16350</v>
      </c>
      <c r="D2323">
        <f>IF(VIPcric_1!D2298="","",VIPcric_1!D2298)</f>
        <v>33.9</v>
      </c>
      <c r="E2323" t="str">
        <f>IF(VIPcric_1!E2298="","",VIPcric_1!E2298)</f>
        <v/>
      </c>
      <c r="F2323" t="str">
        <f>IF(VIPcric_1!F2298="","",VIPcric_1!F2298)</f>
        <v/>
      </c>
      <c r="G2323" t="str">
        <f>IF(VIPcric_1!G2298="","",VIPcric_1!G2298)</f>
        <v/>
      </c>
      <c r="H2323" t="str">
        <f>IF(VIPcric_1!H2298="","",VIPcric_1!H2298)</f>
        <v/>
      </c>
      <c r="I2323" t="str">
        <f>IF(VIPcric_1!M2298="","",VIPcric_1!M2298)</f>
        <v>CRIC-芜湖-市场监测.商品房市场.项目累计.库存.xlsx</v>
      </c>
    </row>
    <row r="2324" spans="1:9">
      <c r="A2324" t="str">
        <f>IF(VIPcric_1!A2299="","",VIPcric_1!A2299)</f>
        <v>2022年</v>
      </c>
      <c r="B2324">
        <f>IF(VIPcric_1!B2299="","",VIPcric_1!B2299)</f>
        <v>1924394</v>
      </c>
      <c r="C2324">
        <f>IF(VIPcric_1!C2299="","",VIPcric_1!C2299)</f>
        <v>15857</v>
      </c>
      <c r="D2324">
        <f>IF(VIPcric_1!D2299="","",VIPcric_1!D2299)</f>
        <v>21.6</v>
      </c>
      <c r="E2324" t="str">
        <f>IF(VIPcric_1!E2299="","",VIPcric_1!E2299)</f>
        <v/>
      </c>
      <c r="F2324" t="str">
        <f>IF(VIPcric_1!F2299="","",VIPcric_1!F2299)</f>
        <v/>
      </c>
      <c r="G2324" t="str">
        <f>IF(VIPcric_1!G2299="","",VIPcric_1!G2299)</f>
        <v/>
      </c>
      <c r="H2324" t="str">
        <f>IF(VIPcric_1!H2299="","",VIPcric_1!H2299)</f>
        <v/>
      </c>
      <c r="I2324" t="str">
        <f>IF(VIPcric_1!M2299="","",VIPcric_1!M2299)</f>
        <v>CRIC-芜湖-市场监测.商品房市场.项目累计.库存.xlsx</v>
      </c>
    </row>
    <row r="2325" spans="1:9">
      <c r="A2325" t="str">
        <f>IF(VIPcric_1!A2300="","",VIPcric_1!A2300)</f>
        <v>2021年</v>
      </c>
      <c r="B2325">
        <f>IF(VIPcric_1!B2300="","",VIPcric_1!B2300)</f>
        <v>1709084</v>
      </c>
      <c r="C2325">
        <f>IF(VIPcric_1!C2300="","",VIPcric_1!C2300)</f>
        <v>14216</v>
      </c>
      <c r="D2325">
        <f>IF(VIPcric_1!D2300="","",VIPcric_1!D2300)</f>
        <v>6.7</v>
      </c>
      <c r="E2325" t="str">
        <f>IF(VIPcric_1!E2300="","",VIPcric_1!E2300)</f>
        <v/>
      </c>
      <c r="F2325" t="str">
        <f>IF(VIPcric_1!F2300="","",VIPcric_1!F2300)</f>
        <v/>
      </c>
      <c r="G2325" t="str">
        <f>IF(VIPcric_1!G2300="","",VIPcric_1!G2300)</f>
        <v/>
      </c>
      <c r="H2325" t="str">
        <f>IF(VIPcric_1!H2300="","",VIPcric_1!H2300)</f>
        <v/>
      </c>
      <c r="I2325" t="str">
        <f>IF(VIPcric_1!M2300="","",VIPcric_1!M2300)</f>
        <v>CRIC-芜湖-市场监测.商品房市场.项目累计.库存.xlsx</v>
      </c>
    </row>
    <row r="2326" spans="1:9">
      <c r="A2326" t="str">
        <f>IF(VIPcric_1!A2301="","",VIPcric_1!A2301)</f>
        <v>2020年</v>
      </c>
      <c r="B2326">
        <f>IF(VIPcric_1!B2301="","",VIPcric_1!B2301)</f>
        <v>1965343</v>
      </c>
      <c r="C2326">
        <f>IF(VIPcric_1!C2301="","",VIPcric_1!C2301)</f>
        <v>16160</v>
      </c>
      <c r="D2326">
        <f>IF(VIPcric_1!D2301="","",VIPcric_1!D2301)</f>
        <v>9.8000000000000007</v>
      </c>
      <c r="E2326" t="str">
        <f>IF(VIPcric_1!E2301="","",VIPcric_1!E2301)</f>
        <v/>
      </c>
      <c r="F2326" t="str">
        <f>IF(VIPcric_1!F2301="","",VIPcric_1!F2301)</f>
        <v/>
      </c>
      <c r="G2326" t="str">
        <f>IF(VIPcric_1!G2301="","",VIPcric_1!G2301)</f>
        <v/>
      </c>
      <c r="H2326" t="str">
        <f>IF(VIPcric_1!H2301="","",VIPcric_1!H2301)</f>
        <v/>
      </c>
      <c r="I2326" t="str">
        <f>IF(VIPcric_1!M2301="","",VIPcric_1!M2301)</f>
        <v>CRIC-芜湖-市场监测.商品房市场.项目累计.库存.xlsx</v>
      </c>
    </row>
    <row r="2327" spans="1:9">
      <c r="A2327" t="str">
        <f>IF(VIPcric_1!A2302="","",VIPcric_1!A2302)</f>
        <v>2019年</v>
      </c>
      <c r="B2327">
        <f>IF(VIPcric_1!B2302="","",VIPcric_1!B2302)</f>
        <v>1772351</v>
      </c>
      <c r="C2327">
        <f>IF(VIPcric_1!C2302="","",VIPcric_1!C2302)</f>
        <v>13900</v>
      </c>
      <c r="D2327">
        <f>IF(VIPcric_1!D2302="","",VIPcric_1!D2302)</f>
        <v>8</v>
      </c>
      <c r="E2327" t="str">
        <f>IF(VIPcric_1!E2302="","",VIPcric_1!E2302)</f>
        <v/>
      </c>
      <c r="F2327" t="str">
        <f>IF(VIPcric_1!F2302="","",VIPcric_1!F2302)</f>
        <v/>
      </c>
      <c r="G2327" t="str">
        <f>IF(VIPcric_1!G2302="","",VIPcric_1!G2302)</f>
        <v/>
      </c>
      <c r="H2327" t="str">
        <f>IF(VIPcric_1!H2302="","",VIPcric_1!H2302)</f>
        <v/>
      </c>
      <c r="I2327" t="str">
        <f>IF(VIPcric_1!M2302="","",VIPcric_1!M2302)</f>
        <v>CRIC-芜湖-市场监测.商品房市场.项目累计.库存.xlsx</v>
      </c>
    </row>
    <row r="2328" spans="1:9">
      <c r="A2328" t="str">
        <f>IF(VIPcric_1!A2303="","",VIPcric_1!A2303)</f>
        <v/>
      </c>
      <c r="B2328" t="str">
        <f>IF(VIPcric_1!B2303="","",VIPcric_1!B2303)</f>
        <v/>
      </c>
      <c r="C2328" t="str">
        <f>IF(VIPcric_1!C2303="","",VIPcric_1!C2303)</f>
        <v/>
      </c>
      <c r="D2328" t="str">
        <f>IF(VIPcric_1!D2303="","",VIPcric_1!D2303)</f>
        <v/>
      </c>
      <c r="E2328" t="str">
        <f>IF(VIPcric_1!E2303="","",VIPcric_1!E2303)</f>
        <v/>
      </c>
      <c r="F2328" t="str">
        <f>IF(VIPcric_1!F2303="","",VIPcric_1!F2303)</f>
        <v/>
      </c>
      <c r="G2328" t="str">
        <f>IF(VIPcric_1!G2303="","",VIPcric_1!G2303)</f>
        <v/>
      </c>
      <c r="H2328" t="str">
        <f>IF(VIPcric_1!H2303="","",VIPcric_1!H2303)</f>
        <v/>
      </c>
      <c r="I2328" t="str">
        <f>IF(VIPcric_1!M2303="","",VIPcric_1!M2303)</f>
        <v/>
      </c>
    </row>
    <row r="2329" spans="1:9">
      <c r="A2329" t="str">
        <f>IF(VIPcric_1!A2304="","",VIPcric_1!A2304)</f>
        <v/>
      </c>
      <c r="B2329" t="str">
        <f>IF(VIPcric_1!B2304="","",VIPcric_1!B2304)</f>
        <v/>
      </c>
      <c r="C2329" t="str">
        <f>IF(VIPcric_1!C2304="","",VIPcric_1!C2304)</f>
        <v/>
      </c>
      <c r="D2329" t="str">
        <f>IF(VIPcric_1!D2304="","",VIPcric_1!D2304)</f>
        <v/>
      </c>
      <c r="E2329" t="str">
        <f>IF(VIPcric_1!E2304="","",VIPcric_1!E2304)</f>
        <v/>
      </c>
      <c r="F2329" t="str">
        <f>IF(VIPcric_1!F2304="","",VIPcric_1!F2304)</f>
        <v/>
      </c>
      <c r="G2329" t="str">
        <f>IF(VIPcric_1!G2304="","",VIPcric_1!G2304)</f>
        <v/>
      </c>
      <c r="H2329" t="str">
        <f>IF(VIPcric_1!H2304="","",VIPcric_1!H2304)</f>
        <v/>
      </c>
      <c r="I2329" t="str">
        <f>IF(VIPcric_1!M2304="","",VIPcric_1!M2304)</f>
        <v>CRIC-苏州-市场监测.商品房市场.项目累计.供求.xlsx</v>
      </c>
    </row>
    <row r="2330" spans="1:9">
      <c r="A2330" t="str">
        <f>IF(VIPcric_1!A2305="","",VIPcric_1!A2305)</f>
        <v>时间(年)</v>
      </c>
      <c r="B2330" t="str">
        <f>IF(VIPcric_1!B2305="","",VIPcric_1!B2305)</f>
        <v>供应面积(㎡)</v>
      </c>
      <c r="C2330" t="str">
        <f>IF(VIPcric_1!C2305="","",VIPcric_1!C2305)</f>
        <v>供应套数(套)</v>
      </c>
      <c r="D2330" t="str">
        <f>IF(VIPcric_1!D2305="","",VIPcric_1!D2305)</f>
        <v>成交面积(㎡)</v>
      </c>
      <c r="E2330" t="str">
        <f>IF(VIPcric_1!E2305="","",VIPcric_1!E2305)</f>
        <v>成交套数(套)</v>
      </c>
      <c r="F2330" t="str">
        <f>IF(VIPcric_1!F2305="","",VIPcric_1!F2305)</f>
        <v>成交均价(元/㎡)</v>
      </c>
      <c r="G2330" t="str">
        <f>IF(VIPcric_1!G2305="","",VIPcric_1!G2305)</f>
        <v>成交金额(元)</v>
      </c>
      <c r="H2330" t="str">
        <f>IF(VIPcric_1!H2305="","",VIPcric_1!H2305)</f>
        <v>供求比</v>
      </c>
      <c r="I2330" t="str">
        <f>IF(VIPcric_1!M2305="","",VIPcric_1!M2305)</f>
        <v>CRIC-苏州-市场监测.商品房市场.项目累计.供求.xlsx</v>
      </c>
    </row>
    <row r="2331" spans="1:9">
      <c r="A2331" t="str">
        <f>IF(VIPcric_1!A2306="","",VIPcric_1!A2306)</f>
        <v>2023年</v>
      </c>
      <c r="B2331">
        <f>IF(VIPcric_1!B2306="","",VIPcric_1!B2306)</f>
        <v>4793589</v>
      </c>
      <c r="C2331">
        <f>IF(VIPcric_1!C2306="","",VIPcric_1!C2306)</f>
        <v>35040</v>
      </c>
      <c r="D2331">
        <f>IF(VIPcric_1!D2306="","",VIPcric_1!D2306)</f>
        <v>5355278</v>
      </c>
      <c r="E2331">
        <f>IF(VIPcric_1!E2306="","",VIPcric_1!E2306)</f>
        <v>41472</v>
      </c>
      <c r="F2331">
        <f>IF(VIPcric_1!F2306="","",VIPcric_1!F2306)</f>
        <v>27955</v>
      </c>
      <c r="G2331">
        <f>IF(VIPcric_1!G2306="","",VIPcric_1!G2306)</f>
        <v>149706279464</v>
      </c>
      <c r="H2331">
        <f>IF(VIPcric_1!H2306="","",VIPcric_1!H2306)</f>
        <v>0.9</v>
      </c>
      <c r="I2331" t="str">
        <f>IF(VIPcric_1!M2306="","",VIPcric_1!M2306)</f>
        <v>CRIC-苏州-市场监测.商品房市场.项目累计.供求.xlsx</v>
      </c>
    </row>
    <row r="2332" spans="1:9">
      <c r="A2332" t="str">
        <f>IF(VIPcric_1!A2307="","",VIPcric_1!A2307)</f>
        <v>2022年</v>
      </c>
      <c r="B2332">
        <f>IF(VIPcric_1!B2307="","",VIPcric_1!B2307)</f>
        <v>4745269</v>
      </c>
      <c r="C2332">
        <f>IF(VIPcric_1!C2307="","",VIPcric_1!C2307)</f>
        <v>36472</v>
      </c>
      <c r="D2332">
        <f>IF(VIPcric_1!D2307="","",VIPcric_1!D2307)</f>
        <v>6695507</v>
      </c>
      <c r="E2332">
        <f>IF(VIPcric_1!E2307="","",VIPcric_1!E2307)</f>
        <v>54497</v>
      </c>
      <c r="F2332">
        <f>IF(VIPcric_1!F2307="","",VIPcric_1!F2307)</f>
        <v>25871</v>
      </c>
      <c r="G2332">
        <f>IF(VIPcric_1!G2307="","",VIPcric_1!G2307)</f>
        <v>173217597070</v>
      </c>
      <c r="H2332">
        <f>IF(VIPcric_1!H2307="","",VIPcric_1!H2307)</f>
        <v>0.71</v>
      </c>
      <c r="I2332" t="str">
        <f>IF(VIPcric_1!M2307="","",VIPcric_1!M2307)</f>
        <v>CRIC-苏州-市场监测.商品房市场.项目累计.供求.xlsx</v>
      </c>
    </row>
    <row r="2333" spans="1:9">
      <c r="A2333" t="str">
        <f>IF(VIPcric_1!A2308="","",VIPcric_1!A2308)</f>
        <v>2021年</v>
      </c>
      <c r="B2333">
        <f>IF(VIPcric_1!B2308="","",VIPcric_1!B2308)</f>
        <v>8626249</v>
      </c>
      <c r="C2333">
        <f>IF(VIPcric_1!C2308="","",VIPcric_1!C2308)</f>
        <v>73713</v>
      </c>
      <c r="D2333">
        <f>IF(VIPcric_1!D2308="","",VIPcric_1!D2308)</f>
        <v>8201106</v>
      </c>
      <c r="E2333">
        <f>IF(VIPcric_1!E2308="","",VIPcric_1!E2308)</f>
        <v>69595</v>
      </c>
      <c r="F2333">
        <f>IF(VIPcric_1!F2308="","",VIPcric_1!F2308)</f>
        <v>25711</v>
      </c>
      <c r="G2333">
        <f>IF(VIPcric_1!G2308="","",VIPcric_1!G2308)</f>
        <v>210856216022</v>
      </c>
      <c r="H2333">
        <f>IF(VIPcric_1!H2308="","",VIPcric_1!H2308)</f>
        <v>1.05</v>
      </c>
      <c r="I2333" t="str">
        <f>IF(VIPcric_1!M2308="","",VIPcric_1!M2308)</f>
        <v>CRIC-苏州-市场监测.商品房市场.项目累计.供求.xlsx</v>
      </c>
    </row>
    <row r="2334" spans="1:9">
      <c r="A2334" t="str">
        <f>IF(VIPcric_1!A2309="","",VIPcric_1!A2309)</f>
        <v>2020年</v>
      </c>
      <c r="B2334">
        <f>IF(VIPcric_1!B2309="","",VIPcric_1!B2309)</f>
        <v>10046834</v>
      </c>
      <c r="C2334">
        <f>IF(VIPcric_1!C2309="","",VIPcric_1!C2309)</f>
        <v>84798</v>
      </c>
      <c r="D2334">
        <f>IF(VIPcric_1!D2309="","",VIPcric_1!D2309)</f>
        <v>7084927</v>
      </c>
      <c r="E2334">
        <f>IF(VIPcric_1!E2309="","",VIPcric_1!E2309)</f>
        <v>59218</v>
      </c>
      <c r="F2334">
        <f>IF(VIPcric_1!F2309="","",VIPcric_1!F2309)</f>
        <v>26333</v>
      </c>
      <c r="G2334">
        <f>IF(VIPcric_1!G2309="","",VIPcric_1!G2309)</f>
        <v>186568054091</v>
      </c>
      <c r="H2334">
        <f>IF(VIPcric_1!H2309="","",VIPcric_1!H2309)</f>
        <v>1.42</v>
      </c>
      <c r="I2334" t="str">
        <f>IF(VIPcric_1!M2309="","",VIPcric_1!M2309)</f>
        <v>CRIC-苏州-市场监测.商品房市场.项目累计.供求.xlsx</v>
      </c>
    </row>
    <row r="2335" spans="1:9">
      <c r="A2335" t="str">
        <f>IF(VIPcric_1!A2310="","",VIPcric_1!A2310)</f>
        <v>2019年</v>
      </c>
      <c r="B2335">
        <f>IF(VIPcric_1!B2310="","",VIPcric_1!B2310)</f>
        <v>7648249</v>
      </c>
      <c r="C2335">
        <f>IF(VIPcric_1!C2310="","",VIPcric_1!C2310)</f>
        <v>65467</v>
      </c>
      <c r="D2335">
        <f>IF(VIPcric_1!D2310="","",VIPcric_1!D2310)</f>
        <v>7665042</v>
      </c>
      <c r="E2335">
        <f>IF(VIPcric_1!E2310="","",VIPcric_1!E2310)</f>
        <v>65423</v>
      </c>
      <c r="F2335">
        <f>IF(VIPcric_1!F2310="","",VIPcric_1!F2310)</f>
        <v>21612</v>
      </c>
      <c r="G2335">
        <f>IF(VIPcric_1!G2310="","",VIPcric_1!G2310)</f>
        <v>165659620618</v>
      </c>
      <c r="H2335">
        <f>IF(VIPcric_1!H2310="","",VIPcric_1!H2310)</f>
        <v>1</v>
      </c>
      <c r="I2335" t="str">
        <f>IF(VIPcric_1!M2310="","",VIPcric_1!M2310)</f>
        <v>CRIC-苏州-市场监测.商品房市场.项目累计.供求.xlsx</v>
      </c>
    </row>
    <row r="2336" spans="1:9">
      <c r="A2336" t="str">
        <f>IF(VIPcric_1!A2311="","",VIPcric_1!A2311)</f>
        <v>汇总</v>
      </c>
      <c r="B2336">
        <f>IF(VIPcric_1!B2311="","",VIPcric_1!B2311)</f>
        <v>35860191</v>
      </c>
      <c r="C2336">
        <f>IF(VIPcric_1!C2311="","",VIPcric_1!C2311)</f>
        <v>295490</v>
      </c>
      <c r="D2336">
        <f>IF(VIPcric_1!D2311="","",VIPcric_1!D2311)</f>
        <v>35001860</v>
      </c>
      <c r="E2336">
        <f>IF(VIPcric_1!E2311="","",VIPcric_1!E2311)</f>
        <v>290205</v>
      </c>
      <c r="F2336">
        <f>IF(VIPcric_1!F2311="","",VIPcric_1!F2311)</f>
        <v>25313</v>
      </c>
      <c r="G2336">
        <f>IF(VIPcric_1!G2311="","",VIPcric_1!G2311)</f>
        <v>886007767266</v>
      </c>
      <c r="H2336">
        <f>IF(VIPcric_1!H2311="","",VIPcric_1!H2311)</f>
        <v>1.02</v>
      </c>
      <c r="I2336" t="str">
        <f>IF(VIPcric_1!M2311="","",VIPcric_1!M2311)</f>
        <v>CRIC-苏州-市场监测.商品房市场.项目累计.供求.xlsx</v>
      </c>
    </row>
    <row r="2337" spans="1:9">
      <c r="A2337" t="str">
        <f>IF(VIPcric_1!A2312="","",VIPcric_1!A2312)</f>
        <v/>
      </c>
      <c r="B2337" t="str">
        <f>IF(VIPcric_1!B2312="","",VIPcric_1!B2312)</f>
        <v/>
      </c>
      <c r="C2337" t="str">
        <f>IF(VIPcric_1!C2312="","",VIPcric_1!C2312)</f>
        <v/>
      </c>
      <c r="D2337" t="str">
        <f>IF(VIPcric_1!D2312="","",VIPcric_1!D2312)</f>
        <v/>
      </c>
      <c r="E2337" t="str">
        <f>IF(VIPcric_1!E2312="","",VIPcric_1!E2312)</f>
        <v/>
      </c>
      <c r="F2337" t="str">
        <f>IF(VIPcric_1!F2312="","",VIPcric_1!F2312)</f>
        <v/>
      </c>
      <c r="G2337" t="str">
        <f>IF(VIPcric_1!G2312="","",VIPcric_1!G2312)</f>
        <v/>
      </c>
      <c r="H2337" t="str">
        <f>IF(VIPcric_1!H2312="","",VIPcric_1!H2312)</f>
        <v/>
      </c>
      <c r="I2337" t="str">
        <f>IF(VIPcric_1!M2312="","",VIPcric_1!M2312)</f>
        <v/>
      </c>
    </row>
    <row r="2338" spans="1:9">
      <c r="A2338" t="str">
        <f>IF(VIPcric_1!A2313="","",VIPcric_1!A2313)</f>
        <v/>
      </c>
      <c r="B2338" t="str">
        <f>IF(VIPcric_1!B2313="","",VIPcric_1!B2313)</f>
        <v/>
      </c>
      <c r="C2338" t="str">
        <f>IF(VIPcric_1!C2313="","",VIPcric_1!C2313)</f>
        <v/>
      </c>
      <c r="D2338" t="str">
        <f>IF(VIPcric_1!D2313="","",VIPcric_1!D2313)</f>
        <v/>
      </c>
      <c r="E2338" t="str">
        <f>IF(VIPcric_1!E2313="","",VIPcric_1!E2313)</f>
        <v/>
      </c>
      <c r="F2338" t="str">
        <f>IF(VIPcric_1!F2313="","",VIPcric_1!F2313)</f>
        <v/>
      </c>
      <c r="G2338" t="str">
        <f>IF(VIPcric_1!G2313="","",VIPcric_1!G2313)</f>
        <v/>
      </c>
      <c r="H2338" t="str">
        <f>IF(VIPcric_1!H2313="","",VIPcric_1!H2313)</f>
        <v/>
      </c>
      <c r="I2338" t="str">
        <f>IF(VIPcric_1!M2313="","",VIPcric_1!M2313)</f>
        <v>CRIC-苏州-市场监测.商品房市场.项目累计.库存.xlsx</v>
      </c>
    </row>
    <row r="2339" spans="1:9">
      <c r="A2339" t="str">
        <f>IF(VIPcric_1!A2314="","",VIPcric_1!A2314)</f>
        <v>时间(年)</v>
      </c>
      <c r="B2339" t="str">
        <f>IF(VIPcric_1!B2314="","",VIPcric_1!B2314)</f>
        <v>库存面积(㎡)</v>
      </c>
      <c r="C2339" t="str">
        <f>IF(VIPcric_1!C2314="","",VIPcric_1!C2314)</f>
        <v>库存套数(套)</v>
      </c>
      <c r="D2339" t="str">
        <f>IF(VIPcric_1!D2314="","",VIPcric_1!D2314)</f>
        <v>去化周期12'(月)</v>
      </c>
      <c r="E2339" t="str">
        <f>IF(VIPcric_1!E2314="","",VIPcric_1!E2314)</f>
        <v>去化周期24'(月)</v>
      </c>
      <c r="F2339" t="str">
        <f>IF(VIPcric_1!F2314="","",VIPcric_1!F2314)</f>
        <v/>
      </c>
      <c r="G2339" t="str">
        <f>IF(VIPcric_1!G2314="","",VIPcric_1!G2314)</f>
        <v/>
      </c>
      <c r="H2339" t="str">
        <f>IF(VIPcric_1!H2314="","",VIPcric_1!H2314)</f>
        <v/>
      </c>
      <c r="I2339" t="str">
        <f>IF(VIPcric_1!M2314="","",VIPcric_1!M2314)</f>
        <v>CRIC-苏州-市场监测.商品房市场.项目累计.库存.xlsx</v>
      </c>
    </row>
    <row r="2340" spans="1:9">
      <c r="A2340" t="str">
        <f>IF(VIPcric_1!A2315="","",VIPcric_1!A2315)</f>
        <v>2023年</v>
      </c>
      <c r="B2340">
        <f>IF(VIPcric_1!B2315="","",VIPcric_1!B2315)</f>
        <v>6645812</v>
      </c>
      <c r="C2340">
        <f>IF(VIPcric_1!C2315="","",VIPcric_1!C2315)</f>
        <v>52300</v>
      </c>
      <c r="D2340">
        <f>IF(VIPcric_1!D2315="","",VIPcric_1!D2315)</f>
        <v>14.9</v>
      </c>
      <c r="E2340">
        <f>IF(VIPcric_1!E2315="","",VIPcric_1!E2315)</f>
        <v>13.2</v>
      </c>
      <c r="F2340" t="str">
        <f>IF(VIPcric_1!F2315="","",VIPcric_1!F2315)</f>
        <v/>
      </c>
      <c r="G2340" t="str">
        <f>IF(VIPcric_1!G2315="","",VIPcric_1!G2315)</f>
        <v/>
      </c>
      <c r="H2340" t="str">
        <f>IF(VIPcric_1!H2315="","",VIPcric_1!H2315)</f>
        <v/>
      </c>
      <c r="I2340" t="str">
        <f>IF(VIPcric_1!M2315="","",VIPcric_1!M2315)</f>
        <v>CRIC-苏州-市场监测.商品房市场.项目累计.库存.xlsx</v>
      </c>
    </row>
    <row r="2341" spans="1:9">
      <c r="A2341" t="str">
        <f>IF(VIPcric_1!A2316="","",VIPcric_1!A2316)</f>
        <v>2022年</v>
      </c>
      <c r="B2341">
        <f>IF(VIPcric_1!B2316="","",VIPcric_1!B2316)</f>
        <v>7057253</v>
      </c>
      <c r="C2341">
        <f>IF(VIPcric_1!C2316="","",VIPcric_1!C2316)</f>
        <v>57712</v>
      </c>
      <c r="D2341">
        <f>IF(VIPcric_1!D2316="","",VIPcric_1!D2316)</f>
        <v>12.6</v>
      </c>
      <c r="E2341">
        <f>IF(VIPcric_1!E2316="","",VIPcric_1!E2316)</f>
        <v>11.4</v>
      </c>
      <c r="F2341" t="str">
        <f>IF(VIPcric_1!F2316="","",VIPcric_1!F2316)</f>
        <v/>
      </c>
      <c r="G2341" t="str">
        <f>IF(VIPcric_1!G2316="","",VIPcric_1!G2316)</f>
        <v/>
      </c>
      <c r="H2341" t="str">
        <f>IF(VIPcric_1!H2316="","",VIPcric_1!H2316)</f>
        <v/>
      </c>
      <c r="I2341" t="str">
        <f>IF(VIPcric_1!M2316="","",VIPcric_1!M2316)</f>
        <v>CRIC-苏州-市场监测.商品房市场.项目累计.库存.xlsx</v>
      </c>
    </row>
    <row r="2342" spans="1:9">
      <c r="A2342" t="str">
        <f>IF(VIPcric_1!A2317="","",VIPcric_1!A2317)</f>
        <v>2021年</v>
      </c>
      <c r="B2342">
        <f>IF(VIPcric_1!B2317="","",VIPcric_1!B2317)</f>
        <v>8525208</v>
      </c>
      <c r="C2342">
        <f>IF(VIPcric_1!C2317="","",VIPcric_1!C2317)</f>
        <v>71744</v>
      </c>
      <c r="D2342">
        <f>IF(VIPcric_1!D2317="","",VIPcric_1!D2317)</f>
        <v>12.5</v>
      </c>
      <c r="E2342">
        <f>IF(VIPcric_1!E2317="","",VIPcric_1!E2317)</f>
        <v>13.4</v>
      </c>
      <c r="F2342" t="str">
        <f>IF(VIPcric_1!F2317="","",VIPcric_1!F2317)</f>
        <v/>
      </c>
      <c r="G2342" t="str">
        <f>IF(VIPcric_1!G2317="","",VIPcric_1!G2317)</f>
        <v/>
      </c>
      <c r="H2342" t="str">
        <f>IF(VIPcric_1!H2317="","",VIPcric_1!H2317)</f>
        <v/>
      </c>
      <c r="I2342" t="str">
        <f>IF(VIPcric_1!M2317="","",VIPcric_1!M2317)</f>
        <v>CRIC-苏州-市场监测.商品房市场.项目累计.库存.xlsx</v>
      </c>
    </row>
    <row r="2343" spans="1:9">
      <c r="A2343" t="str">
        <f>IF(VIPcric_1!A2318="","",VIPcric_1!A2318)</f>
        <v>2020年</v>
      </c>
      <c r="B2343">
        <f>IF(VIPcric_1!B2318="","",VIPcric_1!B2318)</f>
        <v>9079847</v>
      </c>
      <c r="C2343">
        <f>IF(VIPcric_1!C2318="","",VIPcric_1!C2318)</f>
        <v>75344</v>
      </c>
      <c r="D2343">
        <f>IF(VIPcric_1!D2318="","",VIPcric_1!D2318)</f>
        <v>15.4</v>
      </c>
      <c r="E2343">
        <f>IF(VIPcric_1!E2318="","",VIPcric_1!E2318)</f>
        <v>14.8</v>
      </c>
      <c r="F2343" t="str">
        <f>IF(VIPcric_1!F2318="","",VIPcric_1!F2318)</f>
        <v/>
      </c>
      <c r="G2343" t="str">
        <f>IF(VIPcric_1!G2318="","",VIPcric_1!G2318)</f>
        <v/>
      </c>
      <c r="H2343" t="str">
        <f>IF(VIPcric_1!H2318="","",VIPcric_1!H2318)</f>
        <v/>
      </c>
      <c r="I2343" t="str">
        <f>IF(VIPcric_1!M2318="","",VIPcric_1!M2318)</f>
        <v>CRIC-苏州-市场监测.商品房市场.项目累计.库存.xlsx</v>
      </c>
    </row>
    <row r="2344" spans="1:9">
      <c r="A2344" t="str">
        <f>IF(VIPcric_1!A2319="","",VIPcric_1!A2319)</f>
        <v>2019年</v>
      </c>
      <c r="B2344">
        <f>IF(VIPcric_1!B2319="","",VIPcric_1!B2319)</f>
        <v>5456565</v>
      </c>
      <c r="C2344">
        <f>IF(VIPcric_1!C2319="","",VIPcric_1!C2319)</f>
        <v>44233</v>
      </c>
      <c r="D2344">
        <f>IF(VIPcric_1!D2319="","",VIPcric_1!D2319)</f>
        <v>8.5</v>
      </c>
      <c r="E2344">
        <f>IF(VIPcric_1!E2319="","",VIPcric_1!E2319)</f>
        <v>9.6</v>
      </c>
      <c r="F2344" t="str">
        <f>IF(VIPcric_1!F2319="","",VIPcric_1!F2319)</f>
        <v/>
      </c>
      <c r="G2344" t="str">
        <f>IF(VIPcric_1!G2319="","",VIPcric_1!G2319)</f>
        <v/>
      </c>
      <c r="H2344" t="str">
        <f>IF(VIPcric_1!H2319="","",VIPcric_1!H2319)</f>
        <v/>
      </c>
      <c r="I2344" t="str">
        <f>IF(VIPcric_1!M2319="","",VIPcric_1!M2319)</f>
        <v>CRIC-苏州-市场监测.商品房市场.项目累计.库存.xlsx</v>
      </c>
    </row>
    <row r="2345" spans="1:9">
      <c r="A2345" t="str">
        <f>IF(VIPcric_1!A2320="","",VIPcric_1!A2320)</f>
        <v/>
      </c>
      <c r="B2345" t="str">
        <f>IF(VIPcric_1!B2320="","",VIPcric_1!B2320)</f>
        <v/>
      </c>
      <c r="C2345" t="str">
        <f>IF(VIPcric_1!C2320="","",VIPcric_1!C2320)</f>
        <v/>
      </c>
      <c r="D2345" t="str">
        <f>IF(VIPcric_1!D2320="","",VIPcric_1!D2320)</f>
        <v/>
      </c>
      <c r="E2345" t="str">
        <f>IF(VIPcric_1!E2320="","",VIPcric_1!E2320)</f>
        <v/>
      </c>
      <c r="F2345" t="str">
        <f>IF(VIPcric_1!F2320="","",VIPcric_1!F2320)</f>
        <v/>
      </c>
      <c r="G2345" t="str">
        <f>IF(VIPcric_1!G2320="","",VIPcric_1!G2320)</f>
        <v/>
      </c>
      <c r="H2345" t="str">
        <f>IF(VIPcric_1!H2320="","",VIPcric_1!H2320)</f>
        <v/>
      </c>
      <c r="I2345" t="str">
        <f>IF(VIPcric_1!M2320="","",VIPcric_1!M2320)</f>
        <v/>
      </c>
    </row>
    <row r="2346" spans="1:9">
      <c r="A2346" t="str">
        <f>IF(VIPcric_1!A2321="","",VIPcric_1!A2321)</f>
        <v/>
      </c>
      <c r="B2346" t="str">
        <f>IF(VIPcric_1!B2321="","",VIPcric_1!B2321)</f>
        <v/>
      </c>
      <c r="C2346" t="str">
        <f>IF(VIPcric_1!C2321="","",VIPcric_1!C2321)</f>
        <v/>
      </c>
      <c r="D2346" t="str">
        <f>IF(VIPcric_1!D2321="","",VIPcric_1!D2321)</f>
        <v/>
      </c>
      <c r="E2346" t="str">
        <f>IF(VIPcric_1!E2321="","",VIPcric_1!E2321)</f>
        <v/>
      </c>
      <c r="F2346" t="str">
        <f>IF(VIPcric_1!F2321="","",VIPcric_1!F2321)</f>
        <v/>
      </c>
      <c r="G2346" t="str">
        <f>IF(VIPcric_1!G2321="","",VIPcric_1!G2321)</f>
        <v/>
      </c>
      <c r="H2346" t="str">
        <f>IF(VIPcric_1!H2321="","",VIPcric_1!H2321)</f>
        <v/>
      </c>
      <c r="I2346" t="str">
        <f>IF(VIPcric_1!M2321="","",VIPcric_1!M2321)</f>
        <v>CRIC-荆门-市场监测.商品房市场.项目累计.供求.xlsx</v>
      </c>
    </row>
    <row r="2347" spans="1:9">
      <c r="A2347" t="str">
        <f>IF(VIPcric_1!A2322="","",VIPcric_1!A2322)</f>
        <v>时间(年)</v>
      </c>
      <c r="B2347" t="str">
        <f>IF(VIPcric_1!B2322="","",VIPcric_1!B2322)</f>
        <v>供应面积(㎡)</v>
      </c>
      <c r="C2347" t="str">
        <f>IF(VIPcric_1!C2322="","",VIPcric_1!C2322)</f>
        <v>供应套数(套)</v>
      </c>
      <c r="D2347" t="str">
        <f>IF(VIPcric_1!D2322="","",VIPcric_1!D2322)</f>
        <v>成交面积(㎡)</v>
      </c>
      <c r="E2347" t="str">
        <f>IF(VIPcric_1!E2322="","",VIPcric_1!E2322)</f>
        <v>成交套数(套)</v>
      </c>
      <c r="F2347" t="str">
        <f>IF(VIPcric_1!F2322="","",VIPcric_1!F2322)</f>
        <v>成交均价(元/㎡)</v>
      </c>
      <c r="G2347" t="str">
        <f>IF(VIPcric_1!G2322="","",VIPcric_1!G2322)</f>
        <v>成交金额(元)</v>
      </c>
      <c r="H2347" t="str">
        <f>IF(VIPcric_1!H2322="","",VIPcric_1!H2322)</f>
        <v>供求比</v>
      </c>
      <c r="I2347" t="str">
        <f>IF(VIPcric_1!M2322="","",VIPcric_1!M2322)</f>
        <v>CRIC-荆门-市场监测.商品房市场.项目累计.供求.xlsx</v>
      </c>
    </row>
    <row r="2348" spans="1:9">
      <c r="A2348" t="str">
        <f>IF(VIPcric_1!A2323="","",VIPcric_1!A2323)</f>
        <v>2023年</v>
      </c>
      <c r="B2348">
        <f>IF(VIPcric_1!B2323="","",VIPcric_1!B2323)</f>
        <v>615902</v>
      </c>
      <c r="C2348">
        <f>IF(VIPcric_1!C2323="","",VIPcric_1!C2323)</f>
        <v>5091</v>
      </c>
      <c r="D2348">
        <f>IF(VIPcric_1!D2323="","",VIPcric_1!D2323)</f>
        <v>802618</v>
      </c>
      <c r="E2348">
        <f>IF(VIPcric_1!E2323="","",VIPcric_1!E2323)</f>
        <v>6711</v>
      </c>
      <c r="F2348">
        <f>IF(VIPcric_1!F2323="","",VIPcric_1!F2323)</f>
        <v>5487</v>
      </c>
      <c r="G2348">
        <f>IF(VIPcric_1!G2323="","",VIPcric_1!G2323)</f>
        <v>4403944453</v>
      </c>
      <c r="H2348">
        <f>IF(VIPcric_1!H2323="","",VIPcric_1!H2323)</f>
        <v>0.77</v>
      </c>
      <c r="I2348" t="str">
        <f>IF(VIPcric_1!M2323="","",VIPcric_1!M2323)</f>
        <v>CRIC-荆门-市场监测.商品房市场.项目累计.供求.xlsx</v>
      </c>
    </row>
    <row r="2349" spans="1:9">
      <c r="A2349" t="str">
        <f>IF(VIPcric_1!A2324="","",VIPcric_1!A2324)</f>
        <v>2022年</v>
      </c>
      <c r="B2349">
        <f>IF(VIPcric_1!B2324="","",VIPcric_1!B2324)</f>
        <v>886539</v>
      </c>
      <c r="C2349">
        <f>IF(VIPcric_1!C2324="","",VIPcric_1!C2324)</f>
        <v>7467</v>
      </c>
      <c r="D2349">
        <f>IF(VIPcric_1!D2324="","",VIPcric_1!D2324)</f>
        <v>1002917</v>
      </c>
      <c r="E2349">
        <f>IF(VIPcric_1!E2324="","",VIPcric_1!E2324)</f>
        <v>8312</v>
      </c>
      <c r="F2349">
        <f>IF(VIPcric_1!F2324="","",VIPcric_1!F2324)</f>
        <v>5435</v>
      </c>
      <c r="G2349">
        <f>IF(VIPcric_1!G2324="","",VIPcric_1!G2324)</f>
        <v>5451171287</v>
      </c>
      <c r="H2349">
        <f>IF(VIPcric_1!H2324="","",VIPcric_1!H2324)</f>
        <v>0.88</v>
      </c>
      <c r="I2349" t="str">
        <f>IF(VIPcric_1!M2324="","",VIPcric_1!M2324)</f>
        <v>CRIC-荆门-市场监测.商品房市场.项目累计.供求.xlsx</v>
      </c>
    </row>
    <row r="2350" spans="1:9">
      <c r="A2350" t="str">
        <f>IF(VIPcric_1!A2325="","",VIPcric_1!A2325)</f>
        <v>2021年</v>
      </c>
      <c r="B2350">
        <f>IF(VIPcric_1!B2325="","",VIPcric_1!B2325)</f>
        <v>1285682</v>
      </c>
      <c r="C2350">
        <f>IF(VIPcric_1!C2325="","",VIPcric_1!C2325)</f>
        <v>10842</v>
      </c>
      <c r="D2350">
        <f>IF(VIPcric_1!D2325="","",VIPcric_1!D2325)</f>
        <v>707269</v>
      </c>
      <c r="E2350">
        <f>IF(VIPcric_1!E2325="","",VIPcric_1!E2325)</f>
        <v>6068</v>
      </c>
      <c r="F2350">
        <f>IF(VIPcric_1!F2325="","",VIPcric_1!F2325)</f>
        <v>5187</v>
      </c>
      <c r="G2350">
        <f>IF(VIPcric_1!G2325="","",VIPcric_1!G2325)</f>
        <v>3668416466</v>
      </c>
      <c r="H2350">
        <f>IF(VIPcric_1!H2325="","",VIPcric_1!H2325)</f>
        <v>1.82</v>
      </c>
      <c r="I2350" t="str">
        <f>IF(VIPcric_1!M2325="","",VIPcric_1!M2325)</f>
        <v>CRIC-荆门-市场监测.商品房市场.项目累计.供求.xlsx</v>
      </c>
    </row>
    <row r="2351" spans="1:9">
      <c r="A2351" t="str">
        <f>IF(VIPcric_1!A2326="","",VIPcric_1!A2326)</f>
        <v>2020年</v>
      </c>
      <c r="B2351">
        <f>IF(VIPcric_1!B2326="","",VIPcric_1!B2326)</f>
        <v>1509110</v>
      </c>
      <c r="C2351">
        <f>IF(VIPcric_1!C2326="","",VIPcric_1!C2326)</f>
        <v>12714</v>
      </c>
      <c r="D2351">
        <f>IF(VIPcric_1!D2326="","",VIPcric_1!D2326)</f>
        <v>0</v>
      </c>
      <c r="E2351">
        <f>IF(VIPcric_1!E2326="","",VIPcric_1!E2326)</f>
        <v>0</v>
      </c>
      <c r="F2351">
        <f>IF(VIPcric_1!F2326="","",VIPcric_1!F2326)</f>
        <v>0</v>
      </c>
      <c r="G2351">
        <f>IF(VIPcric_1!G2326="","",VIPcric_1!G2326)</f>
        <v>0</v>
      </c>
      <c r="H2351">
        <f>IF(VIPcric_1!H2326="","",VIPcric_1!H2326)</f>
        <v>0</v>
      </c>
      <c r="I2351" t="str">
        <f>IF(VIPcric_1!M2326="","",VIPcric_1!M2326)</f>
        <v>CRIC-荆门-市场监测.商品房市场.项目累计.供求.xlsx</v>
      </c>
    </row>
    <row r="2352" spans="1:9">
      <c r="A2352" t="str">
        <f>IF(VIPcric_1!A2327="","",VIPcric_1!A2327)</f>
        <v>2019年</v>
      </c>
      <c r="B2352">
        <f>IF(VIPcric_1!B2327="","",VIPcric_1!B2327)</f>
        <v>2497311</v>
      </c>
      <c r="C2352">
        <f>IF(VIPcric_1!C2327="","",VIPcric_1!C2327)</f>
        <v>21545</v>
      </c>
      <c r="D2352">
        <f>IF(VIPcric_1!D2327="","",VIPcric_1!D2327)</f>
        <v>0</v>
      </c>
      <c r="E2352">
        <f>IF(VIPcric_1!E2327="","",VIPcric_1!E2327)</f>
        <v>0</v>
      </c>
      <c r="F2352">
        <f>IF(VIPcric_1!F2327="","",VIPcric_1!F2327)</f>
        <v>0</v>
      </c>
      <c r="G2352">
        <f>IF(VIPcric_1!G2327="","",VIPcric_1!G2327)</f>
        <v>0</v>
      </c>
      <c r="H2352">
        <f>IF(VIPcric_1!H2327="","",VIPcric_1!H2327)</f>
        <v>0</v>
      </c>
      <c r="I2352" t="str">
        <f>IF(VIPcric_1!M2327="","",VIPcric_1!M2327)</f>
        <v>CRIC-荆门-市场监测.商品房市场.项目累计.供求.xlsx</v>
      </c>
    </row>
    <row r="2353" spans="1:9">
      <c r="A2353" t="str">
        <f>IF(VIPcric_1!A2328="","",VIPcric_1!A2328)</f>
        <v>汇总</v>
      </c>
      <c r="B2353">
        <f>IF(VIPcric_1!B2328="","",VIPcric_1!B2328)</f>
        <v>6794543</v>
      </c>
      <c r="C2353">
        <f>IF(VIPcric_1!C2328="","",VIPcric_1!C2328)</f>
        <v>57659</v>
      </c>
      <c r="D2353">
        <f>IF(VIPcric_1!D2328="","",VIPcric_1!D2328)</f>
        <v>2512805</v>
      </c>
      <c r="E2353">
        <f>IF(VIPcric_1!E2328="","",VIPcric_1!E2328)</f>
        <v>21091</v>
      </c>
      <c r="F2353">
        <f>IF(VIPcric_1!F2328="","",VIPcric_1!F2328)</f>
        <v>5382</v>
      </c>
      <c r="G2353">
        <f>IF(VIPcric_1!G2328="","",VIPcric_1!G2328)</f>
        <v>13523532206</v>
      </c>
      <c r="H2353">
        <f>IF(VIPcric_1!H2328="","",VIPcric_1!H2328)</f>
        <v>2.7</v>
      </c>
      <c r="I2353" t="str">
        <f>IF(VIPcric_1!M2328="","",VIPcric_1!M2328)</f>
        <v>CRIC-荆门-市场监测.商品房市场.项目累计.供求.xlsx</v>
      </c>
    </row>
    <row r="2354" spans="1:9">
      <c r="A2354" t="str">
        <f>IF(VIPcric_1!A2329="","",VIPcric_1!A2329)</f>
        <v/>
      </c>
      <c r="B2354" t="str">
        <f>IF(VIPcric_1!B2329="","",VIPcric_1!B2329)</f>
        <v/>
      </c>
      <c r="C2354" t="str">
        <f>IF(VIPcric_1!C2329="","",VIPcric_1!C2329)</f>
        <v/>
      </c>
      <c r="D2354" t="str">
        <f>IF(VIPcric_1!D2329="","",VIPcric_1!D2329)</f>
        <v/>
      </c>
      <c r="E2354" t="str">
        <f>IF(VIPcric_1!E2329="","",VIPcric_1!E2329)</f>
        <v/>
      </c>
      <c r="F2354" t="str">
        <f>IF(VIPcric_1!F2329="","",VIPcric_1!F2329)</f>
        <v/>
      </c>
      <c r="G2354" t="str">
        <f>IF(VIPcric_1!G2329="","",VIPcric_1!G2329)</f>
        <v/>
      </c>
      <c r="H2354" t="str">
        <f>IF(VIPcric_1!H2329="","",VIPcric_1!H2329)</f>
        <v/>
      </c>
      <c r="I2354" t="str">
        <f>IF(VIPcric_1!M2329="","",VIPcric_1!M2329)</f>
        <v/>
      </c>
    </row>
    <row r="2355" spans="1:9">
      <c r="A2355" t="str">
        <f>IF(VIPcric_1!A2330="","",VIPcric_1!A2330)</f>
        <v/>
      </c>
      <c r="B2355" t="str">
        <f>IF(VIPcric_1!B2330="","",VIPcric_1!B2330)</f>
        <v/>
      </c>
      <c r="C2355" t="str">
        <f>IF(VIPcric_1!C2330="","",VIPcric_1!C2330)</f>
        <v/>
      </c>
      <c r="D2355" t="str">
        <f>IF(VIPcric_1!D2330="","",VIPcric_1!D2330)</f>
        <v/>
      </c>
      <c r="E2355" t="str">
        <f>IF(VIPcric_1!E2330="","",VIPcric_1!E2330)</f>
        <v/>
      </c>
      <c r="F2355" t="str">
        <f>IF(VIPcric_1!F2330="","",VIPcric_1!F2330)</f>
        <v/>
      </c>
      <c r="G2355" t="str">
        <f>IF(VIPcric_1!G2330="","",VIPcric_1!G2330)</f>
        <v/>
      </c>
      <c r="H2355" t="str">
        <f>IF(VIPcric_1!H2330="","",VIPcric_1!H2330)</f>
        <v/>
      </c>
      <c r="I2355" t="str">
        <f>IF(VIPcric_1!M2330="","",VIPcric_1!M2330)</f>
        <v>CRIC-荆门-市场监测.商品房市场.项目累计.库存.xlsx</v>
      </c>
    </row>
    <row r="2356" spans="1:9">
      <c r="A2356" t="str">
        <f>IF(VIPcric_1!A2331="","",VIPcric_1!A2331)</f>
        <v>时间(年)</v>
      </c>
      <c r="B2356" t="str">
        <f>IF(VIPcric_1!B2331="","",VIPcric_1!B2331)</f>
        <v>库存面积(㎡)</v>
      </c>
      <c r="C2356" t="str">
        <f>IF(VIPcric_1!C2331="","",VIPcric_1!C2331)</f>
        <v>库存套数(套)</v>
      </c>
      <c r="D2356" t="str">
        <f>IF(VIPcric_1!D2331="","",VIPcric_1!D2331)</f>
        <v>去化周期12'(月)</v>
      </c>
      <c r="E2356" t="str">
        <f>IF(VIPcric_1!E2331="","",VIPcric_1!E2331)</f>
        <v>去化周期24'(月)</v>
      </c>
      <c r="F2356" t="str">
        <f>IF(VIPcric_1!F2331="","",VIPcric_1!F2331)</f>
        <v/>
      </c>
      <c r="G2356" t="str">
        <f>IF(VIPcric_1!G2331="","",VIPcric_1!G2331)</f>
        <v/>
      </c>
      <c r="H2356" t="str">
        <f>IF(VIPcric_1!H2331="","",VIPcric_1!H2331)</f>
        <v/>
      </c>
      <c r="I2356" t="str">
        <f>IF(VIPcric_1!M2331="","",VIPcric_1!M2331)</f>
        <v>CRIC-荆门-市场监测.商品房市场.项目累计.库存.xlsx</v>
      </c>
    </row>
    <row r="2357" spans="1:9">
      <c r="A2357" t="str">
        <f>IF(VIPcric_1!A2332="","",VIPcric_1!A2332)</f>
        <v>2024年</v>
      </c>
      <c r="B2357">
        <f>IF(VIPcric_1!B2332="","",VIPcric_1!B2332)</f>
        <v>1534826</v>
      </c>
      <c r="C2357">
        <f>IF(VIPcric_1!C2332="","",VIPcric_1!C2332)</f>
        <v>13144</v>
      </c>
      <c r="D2357">
        <f>IF(VIPcric_1!D2332="","",VIPcric_1!D2332)</f>
        <v>24.1</v>
      </c>
      <c r="E2357">
        <f>IF(VIPcric_1!E2332="","",VIPcric_1!E2332)</f>
        <v>21.1</v>
      </c>
      <c r="F2357" t="str">
        <f>IF(VIPcric_1!F2332="","",VIPcric_1!F2332)</f>
        <v/>
      </c>
      <c r="G2357" t="str">
        <f>IF(VIPcric_1!G2332="","",VIPcric_1!G2332)</f>
        <v/>
      </c>
      <c r="H2357" t="str">
        <f>IF(VIPcric_1!H2332="","",VIPcric_1!H2332)</f>
        <v/>
      </c>
      <c r="I2357" t="str">
        <f>IF(VIPcric_1!M2332="","",VIPcric_1!M2332)</f>
        <v>CRIC-荆门-市场监测.商品房市场.项目累计.库存.xlsx</v>
      </c>
    </row>
    <row r="2358" spans="1:9">
      <c r="A2358" t="str">
        <f>IF(VIPcric_1!A2333="","",VIPcric_1!A2333)</f>
        <v>2023年</v>
      </c>
      <c r="B2358">
        <f>IF(VIPcric_1!B2333="","",VIPcric_1!B2333)</f>
        <v>1583800</v>
      </c>
      <c r="C2358">
        <f>IF(VIPcric_1!C2333="","",VIPcric_1!C2333)</f>
        <v>13553</v>
      </c>
      <c r="D2358">
        <f>IF(VIPcric_1!D2333="","",VIPcric_1!D2333)</f>
        <v>23.7</v>
      </c>
      <c r="E2358">
        <f>IF(VIPcric_1!E2333="","",VIPcric_1!E2333)</f>
        <v>21.1</v>
      </c>
      <c r="F2358" t="str">
        <f>IF(VIPcric_1!F2333="","",VIPcric_1!F2333)</f>
        <v/>
      </c>
      <c r="G2358" t="str">
        <f>IF(VIPcric_1!G2333="","",VIPcric_1!G2333)</f>
        <v/>
      </c>
      <c r="H2358" t="str">
        <f>IF(VIPcric_1!H2333="","",VIPcric_1!H2333)</f>
        <v/>
      </c>
      <c r="I2358" t="str">
        <f>IF(VIPcric_1!M2333="","",VIPcric_1!M2333)</f>
        <v>CRIC-荆门-市场监测.商品房市场.项目累计.库存.xlsx</v>
      </c>
    </row>
    <row r="2359" spans="1:9">
      <c r="A2359" t="str">
        <f>IF(VIPcric_1!A2334="","",VIPcric_1!A2334)</f>
        <v>2022年</v>
      </c>
      <c r="B2359">
        <f>IF(VIPcric_1!B2334="","",VIPcric_1!B2334)</f>
        <v>1817431</v>
      </c>
      <c r="C2359">
        <f>IF(VIPcric_1!C2334="","",VIPcric_1!C2334)</f>
        <v>15873</v>
      </c>
      <c r="D2359">
        <f>IF(VIPcric_1!D2334="","",VIPcric_1!D2334)</f>
        <v>21.7</v>
      </c>
      <c r="E2359">
        <f>IF(VIPcric_1!E2334="","",VIPcric_1!E2334)</f>
        <v>25.5</v>
      </c>
      <c r="F2359" t="str">
        <f>IF(VIPcric_1!F2334="","",VIPcric_1!F2334)</f>
        <v/>
      </c>
      <c r="G2359" t="str">
        <f>IF(VIPcric_1!G2334="","",VIPcric_1!G2334)</f>
        <v/>
      </c>
      <c r="H2359" t="str">
        <f>IF(VIPcric_1!H2334="","",VIPcric_1!H2334)</f>
        <v/>
      </c>
      <c r="I2359" t="str">
        <f>IF(VIPcric_1!M2334="","",VIPcric_1!M2334)</f>
        <v>CRIC-荆门-市场监测.商品房市场.项目累计.库存.xlsx</v>
      </c>
    </row>
    <row r="2360" spans="1:9">
      <c r="A2360" t="str">
        <f>IF(VIPcric_1!A2335="","",VIPcric_1!A2335)</f>
        <v>2021年</v>
      </c>
      <c r="B2360">
        <f>IF(VIPcric_1!B2335="","",VIPcric_1!B2335)</f>
        <v>1959963</v>
      </c>
      <c r="C2360">
        <f>IF(VIPcric_1!C2335="","",VIPcric_1!C2335)</f>
        <v>16873</v>
      </c>
      <c r="D2360">
        <f>IF(VIPcric_1!D2335="","",VIPcric_1!D2335)</f>
        <v>33.299999999999997</v>
      </c>
      <c r="E2360">
        <f>IF(VIPcric_1!E2335="","",VIPcric_1!E2335)</f>
        <v>66.5</v>
      </c>
      <c r="F2360" t="str">
        <f>IF(VIPcric_1!F2335="","",VIPcric_1!F2335)</f>
        <v/>
      </c>
      <c r="G2360" t="str">
        <f>IF(VIPcric_1!G2335="","",VIPcric_1!G2335)</f>
        <v/>
      </c>
      <c r="H2360" t="str">
        <f>IF(VIPcric_1!H2335="","",VIPcric_1!H2335)</f>
        <v/>
      </c>
      <c r="I2360" t="str">
        <f>IF(VIPcric_1!M2335="","",VIPcric_1!M2335)</f>
        <v>CRIC-荆门-市场监测.商品房市场.项目累计.库存.xlsx</v>
      </c>
    </row>
    <row r="2361" spans="1:9">
      <c r="A2361" t="str">
        <f>IF(VIPcric_1!A2336="","",VIPcric_1!A2336)</f>
        <v/>
      </c>
      <c r="B2361" t="str">
        <f>IF(VIPcric_1!B2336="","",VIPcric_1!B2336)</f>
        <v/>
      </c>
      <c r="C2361" t="str">
        <f>IF(VIPcric_1!C2336="","",VIPcric_1!C2336)</f>
        <v/>
      </c>
      <c r="D2361" t="str">
        <f>IF(VIPcric_1!D2336="","",VIPcric_1!D2336)</f>
        <v/>
      </c>
      <c r="E2361" t="str">
        <f>IF(VIPcric_1!E2336="","",VIPcric_1!E2336)</f>
        <v/>
      </c>
      <c r="F2361" t="str">
        <f>IF(VIPcric_1!F2336="","",VIPcric_1!F2336)</f>
        <v/>
      </c>
      <c r="G2361" t="str">
        <f>IF(VIPcric_1!G2336="","",VIPcric_1!G2336)</f>
        <v/>
      </c>
      <c r="H2361" t="str">
        <f>IF(VIPcric_1!H2336="","",VIPcric_1!H2336)</f>
        <v/>
      </c>
      <c r="I2361" t="str">
        <f>IF(VIPcric_1!M2336="","",VIPcric_1!M2336)</f>
        <v/>
      </c>
    </row>
    <row r="2362" spans="1:9">
      <c r="A2362" t="str">
        <f>IF(VIPcric_1!A2337="","",VIPcric_1!A2337)</f>
        <v/>
      </c>
      <c r="B2362" t="str">
        <f>IF(VIPcric_1!B2337="","",VIPcric_1!B2337)</f>
        <v/>
      </c>
      <c r="C2362" t="str">
        <f>IF(VIPcric_1!C2337="","",VIPcric_1!C2337)</f>
        <v/>
      </c>
      <c r="D2362" t="str">
        <f>IF(VIPcric_1!D2337="","",VIPcric_1!D2337)</f>
        <v/>
      </c>
      <c r="E2362" t="str">
        <f>IF(VIPcric_1!E2337="","",VIPcric_1!E2337)</f>
        <v/>
      </c>
      <c r="F2362" t="str">
        <f>IF(VIPcric_1!F2337="","",VIPcric_1!F2337)</f>
        <v/>
      </c>
      <c r="G2362" t="str">
        <f>IF(VIPcric_1!G2337="","",VIPcric_1!G2337)</f>
        <v/>
      </c>
      <c r="H2362" t="str">
        <f>IF(VIPcric_1!H2337="","",VIPcric_1!H2337)</f>
        <v/>
      </c>
      <c r="I2362" t="str">
        <f>IF(VIPcric_1!M2337="","",VIPcric_1!M2337)</f>
        <v>CRIC-菏泽-市场监测.商品房市场.项目累计.供求.xlsx</v>
      </c>
    </row>
    <row r="2363" spans="1:9">
      <c r="A2363" t="str">
        <f>IF(VIPcric_1!A2338="","",VIPcric_1!A2338)</f>
        <v>时间(年)</v>
      </c>
      <c r="B2363" t="str">
        <f>IF(VIPcric_1!B2338="","",VIPcric_1!B2338)</f>
        <v>供应面积(㎡)</v>
      </c>
      <c r="C2363" t="str">
        <f>IF(VIPcric_1!C2338="","",VIPcric_1!C2338)</f>
        <v>供应套数(套)</v>
      </c>
      <c r="D2363" t="str">
        <f>IF(VIPcric_1!D2338="","",VIPcric_1!D2338)</f>
        <v>成交面积(㎡)</v>
      </c>
      <c r="E2363" t="str">
        <f>IF(VIPcric_1!E2338="","",VIPcric_1!E2338)</f>
        <v>成交套数(套)</v>
      </c>
      <c r="F2363" t="str">
        <f>IF(VIPcric_1!F2338="","",VIPcric_1!F2338)</f>
        <v>成交均价(元/㎡)</v>
      </c>
      <c r="G2363" t="str">
        <f>IF(VIPcric_1!G2338="","",VIPcric_1!G2338)</f>
        <v>成交金额(元)</v>
      </c>
      <c r="H2363" t="str">
        <f>IF(VIPcric_1!H2338="","",VIPcric_1!H2338)</f>
        <v>供求比</v>
      </c>
      <c r="I2363" t="str">
        <f>IF(VIPcric_1!M2338="","",VIPcric_1!M2338)</f>
        <v>CRIC-菏泽-市场监测.商品房市场.项目累计.供求.xlsx</v>
      </c>
    </row>
    <row r="2364" spans="1:9">
      <c r="A2364" t="str">
        <f>IF(VIPcric_1!A2339="","",VIPcric_1!A2339)</f>
        <v>2023年</v>
      </c>
      <c r="B2364">
        <f>IF(VIPcric_1!B2339="","",VIPcric_1!B2339)</f>
        <v>1979623</v>
      </c>
      <c r="C2364">
        <f>IF(VIPcric_1!C2339="","",VIPcric_1!C2339)</f>
        <v>15659</v>
      </c>
      <c r="D2364">
        <f>IF(VIPcric_1!D2339="","",VIPcric_1!D2339)</f>
        <v>1906969</v>
      </c>
      <c r="E2364">
        <f>IF(VIPcric_1!E2339="","",VIPcric_1!E2339)</f>
        <v>14746</v>
      </c>
      <c r="F2364">
        <f>IF(VIPcric_1!F2339="","",VIPcric_1!F2339)</f>
        <v>6813</v>
      </c>
      <c r="G2364">
        <f>IF(VIPcric_1!G2339="","",VIPcric_1!G2339)</f>
        <v>12991987595</v>
      </c>
      <c r="H2364">
        <f>IF(VIPcric_1!H2339="","",VIPcric_1!H2339)</f>
        <v>1.04</v>
      </c>
      <c r="I2364" t="str">
        <f>IF(VIPcric_1!M2339="","",VIPcric_1!M2339)</f>
        <v>CRIC-菏泽-市场监测.商品房市场.项目累计.供求.xlsx</v>
      </c>
    </row>
    <row r="2365" spans="1:9">
      <c r="A2365" t="str">
        <f>IF(VIPcric_1!A2340="","",VIPcric_1!A2340)</f>
        <v>2022年</v>
      </c>
      <c r="B2365">
        <f>IF(VIPcric_1!B2340="","",VIPcric_1!B2340)</f>
        <v>2325388</v>
      </c>
      <c r="C2365">
        <f>IF(VIPcric_1!C2340="","",VIPcric_1!C2340)</f>
        <v>18159</v>
      </c>
      <c r="D2365">
        <f>IF(VIPcric_1!D2340="","",VIPcric_1!D2340)</f>
        <v>2308342</v>
      </c>
      <c r="E2365">
        <f>IF(VIPcric_1!E2340="","",VIPcric_1!E2340)</f>
        <v>17713</v>
      </c>
      <c r="F2365">
        <f>IF(VIPcric_1!F2340="","",VIPcric_1!F2340)</f>
        <v>6898</v>
      </c>
      <c r="G2365">
        <f>IF(VIPcric_1!G2340="","",VIPcric_1!G2340)</f>
        <v>15923015205</v>
      </c>
      <c r="H2365">
        <f>IF(VIPcric_1!H2340="","",VIPcric_1!H2340)</f>
        <v>1.01</v>
      </c>
      <c r="I2365" t="str">
        <f>IF(VIPcric_1!M2340="","",VIPcric_1!M2340)</f>
        <v>CRIC-菏泽-市场监测.商品房市场.项目累计.供求.xlsx</v>
      </c>
    </row>
    <row r="2366" spans="1:9">
      <c r="A2366" t="str">
        <f>IF(VIPcric_1!A2341="","",VIPcric_1!A2341)</f>
        <v>2021年</v>
      </c>
      <c r="B2366">
        <f>IF(VIPcric_1!B2341="","",VIPcric_1!B2341)</f>
        <v>3228051</v>
      </c>
      <c r="C2366">
        <f>IF(VIPcric_1!C2341="","",VIPcric_1!C2341)</f>
        <v>25626</v>
      </c>
      <c r="D2366">
        <f>IF(VIPcric_1!D2341="","",VIPcric_1!D2341)</f>
        <v>3469403</v>
      </c>
      <c r="E2366">
        <f>IF(VIPcric_1!E2341="","",VIPcric_1!E2341)</f>
        <v>26701</v>
      </c>
      <c r="F2366">
        <f>IF(VIPcric_1!F2341="","",VIPcric_1!F2341)</f>
        <v>6954</v>
      </c>
      <c r="G2366">
        <f>IF(VIPcric_1!G2341="","",VIPcric_1!G2341)</f>
        <v>24124626571</v>
      </c>
      <c r="H2366">
        <f>IF(VIPcric_1!H2341="","",VIPcric_1!H2341)</f>
        <v>0.93</v>
      </c>
      <c r="I2366" t="str">
        <f>IF(VIPcric_1!M2341="","",VIPcric_1!M2341)</f>
        <v>CRIC-菏泽-市场监测.商品房市场.项目累计.供求.xlsx</v>
      </c>
    </row>
    <row r="2367" spans="1:9">
      <c r="A2367" t="str">
        <f>IF(VIPcric_1!A2342="","",VIPcric_1!A2342)</f>
        <v>2020年</v>
      </c>
      <c r="B2367">
        <f>IF(VIPcric_1!B2342="","",VIPcric_1!B2342)</f>
        <v>3793700</v>
      </c>
      <c r="C2367">
        <f>IF(VIPcric_1!C2342="","",VIPcric_1!C2342)</f>
        <v>29570</v>
      </c>
      <c r="D2367">
        <f>IF(VIPcric_1!D2342="","",VIPcric_1!D2342)</f>
        <v>515088</v>
      </c>
      <c r="E2367">
        <f>IF(VIPcric_1!E2342="","",VIPcric_1!E2342)</f>
        <v>4137</v>
      </c>
      <c r="F2367">
        <f>IF(VIPcric_1!F2342="","",VIPcric_1!F2342)</f>
        <v>6978</v>
      </c>
      <c r="G2367">
        <f>IF(VIPcric_1!G2342="","",VIPcric_1!G2342)</f>
        <v>3594348334</v>
      </c>
      <c r="H2367">
        <f>IF(VIPcric_1!H2342="","",VIPcric_1!H2342)</f>
        <v>7.37</v>
      </c>
      <c r="I2367" t="str">
        <f>IF(VIPcric_1!M2342="","",VIPcric_1!M2342)</f>
        <v>CRIC-菏泽-市场监测.商品房市场.项目累计.供求.xlsx</v>
      </c>
    </row>
    <row r="2368" spans="1:9">
      <c r="A2368" t="str">
        <f>IF(VIPcric_1!A2343="","",VIPcric_1!A2343)</f>
        <v>2019年</v>
      </c>
      <c r="B2368">
        <f>IF(VIPcric_1!B2343="","",VIPcric_1!B2343)</f>
        <v>5768854</v>
      </c>
      <c r="C2368">
        <f>IF(VIPcric_1!C2343="","",VIPcric_1!C2343)</f>
        <v>44533</v>
      </c>
      <c r="D2368">
        <f>IF(VIPcric_1!D2343="","",VIPcric_1!D2343)</f>
        <v>0</v>
      </c>
      <c r="E2368">
        <f>IF(VIPcric_1!E2343="","",VIPcric_1!E2343)</f>
        <v>0</v>
      </c>
      <c r="F2368">
        <f>IF(VIPcric_1!F2343="","",VIPcric_1!F2343)</f>
        <v>0</v>
      </c>
      <c r="G2368">
        <f>IF(VIPcric_1!G2343="","",VIPcric_1!G2343)</f>
        <v>0</v>
      </c>
      <c r="H2368">
        <f>IF(VIPcric_1!H2343="","",VIPcric_1!H2343)</f>
        <v>0</v>
      </c>
      <c r="I2368" t="str">
        <f>IF(VIPcric_1!M2343="","",VIPcric_1!M2343)</f>
        <v>CRIC-菏泽-市场监测.商品房市场.项目累计.供求.xlsx</v>
      </c>
    </row>
    <row r="2369" spans="1:9">
      <c r="A2369" t="str">
        <f>IF(VIPcric_1!A2344="","",VIPcric_1!A2344)</f>
        <v>汇总</v>
      </c>
      <c r="B2369">
        <f>IF(VIPcric_1!B2344="","",VIPcric_1!B2344)</f>
        <v>17095617</v>
      </c>
      <c r="C2369">
        <f>IF(VIPcric_1!C2344="","",VIPcric_1!C2344)</f>
        <v>133547</v>
      </c>
      <c r="D2369">
        <f>IF(VIPcric_1!D2344="","",VIPcric_1!D2344)</f>
        <v>8199803</v>
      </c>
      <c r="E2369">
        <f>IF(VIPcric_1!E2344="","",VIPcric_1!E2344)</f>
        <v>63297</v>
      </c>
      <c r="F2369">
        <f>IF(VIPcric_1!F2344="","",VIPcric_1!F2344)</f>
        <v>6907</v>
      </c>
      <c r="G2369">
        <f>IF(VIPcric_1!G2344="","",VIPcric_1!G2344)</f>
        <v>56633977705</v>
      </c>
      <c r="H2369">
        <f>IF(VIPcric_1!H2344="","",VIPcric_1!H2344)</f>
        <v>2.08</v>
      </c>
      <c r="I2369" t="str">
        <f>IF(VIPcric_1!M2344="","",VIPcric_1!M2344)</f>
        <v>CRIC-菏泽-市场监测.商品房市场.项目累计.供求.xlsx</v>
      </c>
    </row>
    <row r="2370" spans="1:9">
      <c r="A2370" t="str">
        <f>IF(VIPcric_1!A2345="","",VIPcric_1!A2345)</f>
        <v/>
      </c>
      <c r="B2370" t="str">
        <f>IF(VIPcric_1!B2345="","",VIPcric_1!B2345)</f>
        <v/>
      </c>
      <c r="C2370" t="str">
        <f>IF(VIPcric_1!C2345="","",VIPcric_1!C2345)</f>
        <v/>
      </c>
      <c r="D2370" t="str">
        <f>IF(VIPcric_1!D2345="","",VIPcric_1!D2345)</f>
        <v/>
      </c>
      <c r="E2370" t="str">
        <f>IF(VIPcric_1!E2345="","",VIPcric_1!E2345)</f>
        <v/>
      </c>
      <c r="F2370" t="str">
        <f>IF(VIPcric_1!F2345="","",VIPcric_1!F2345)</f>
        <v/>
      </c>
      <c r="G2370" t="str">
        <f>IF(VIPcric_1!G2345="","",VIPcric_1!G2345)</f>
        <v/>
      </c>
      <c r="H2370" t="str">
        <f>IF(VIPcric_1!H2345="","",VIPcric_1!H2345)</f>
        <v/>
      </c>
      <c r="I2370" t="str">
        <f>IF(VIPcric_1!M2345="","",VIPcric_1!M2345)</f>
        <v/>
      </c>
    </row>
    <row r="2371" spans="1:9">
      <c r="A2371" t="str">
        <f>IF(VIPcric_1!A2346="","",VIPcric_1!A2346)</f>
        <v/>
      </c>
      <c r="B2371" t="str">
        <f>IF(VIPcric_1!B2346="","",VIPcric_1!B2346)</f>
        <v/>
      </c>
      <c r="C2371" t="str">
        <f>IF(VIPcric_1!C2346="","",VIPcric_1!C2346)</f>
        <v/>
      </c>
      <c r="D2371" t="str">
        <f>IF(VIPcric_1!D2346="","",VIPcric_1!D2346)</f>
        <v/>
      </c>
      <c r="E2371" t="str">
        <f>IF(VIPcric_1!E2346="","",VIPcric_1!E2346)</f>
        <v/>
      </c>
      <c r="F2371" t="str">
        <f>IF(VIPcric_1!F2346="","",VIPcric_1!F2346)</f>
        <v/>
      </c>
      <c r="G2371" t="str">
        <f>IF(VIPcric_1!G2346="","",VIPcric_1!G2346)</f>
        <v/>
      </c>
      <c r="H2371" t="str">
        <f>IF(VIPcric_1!H2346="","",VIPcric_1!H2346)</f>
        <v/>
      </c>
      <c r="I2371" t="str">
        <f>IF(VIPcric_1!M2346="","",VIPcric_1!M2346)</f>
        <v>CRIC-菏泽-市场监测.商品房市场.项目累计.库存.xlsx</v>
      </c>
    </row>
    <row r="2372" spans="1:9">
      <c r="A2372" t="str">
        <f>IF(VIPcric_1!A2347="","",VIPcric_1!A2347)</f>
        <v>时间(年)</v>
      </c>
      <c r="B2372" t="str">
        <f>IF(VIPcric_1!B2347="","",VIPcric_1!B2347)</f>
        <v>库存面积(㎡)</v>
      </c>
      <c r="C2372" t="str">
        <f>IF(VIPcric_1!C2347="","",VIPcric_1!C2347)</f>
        <v>库存套数(套)</v>
      </c>
      <c r="D2372" t="str">
        <f>IF(VIPcric_1!D2347="","",VIPcric_1!D2347)</f>
        <v>去化周期12'(月)</v>
      </c>
      <c r="E2372" t="str">
        <f>IF(VIPcric_1!E2347="","",VIPcric_1!E2347)</f>
        <v/>
      </c>
      <c r="F2372" t="str">
        <f>IF(VIPcric_1!F2347="","",VIPcric_1!F2347)</f>
        <v/>
      </c>
      <c r="G2372" t="str">
        <f>IF(VIPcric_1!G2347="","",VIPcric_1!G2347)</f>
        <v/>
      </c>
      <c r="H2372" t="str">
        <f>IF(VIPcric_1!H2347="","",VIPcric_1!H2347)</f>
        <v/>
      </c>
      <c r="I2372" t="str">
        <f>IF(VIPcric_1!M2347="","",VIPcric_1!M2347)</f>
        <v>CRIC-菏泽-市场监测.商品房市场.项目累计.库存.xlsx</v>
      </c>
    </row>
    <row r="2373" spans="1:9">
      <c r="A2373" t="str">
        <f>IF(VIPcric_1!A2348="","",VIPcric_1!A2348)</f>
        <v>2023年</v>
      </c>
      <c r="B2373">
        <f>IF(VIPcric_1!B2348="","",VIPcric_1!B2348)</f>
        <v>2664296</v>
      </c>
      <c r="C2373">
        <f>IF(VIPcric_1!C2348="","",VIPcric_1!C2348)</f>
        <v>20529</v>
      </c>
      <c r="D2373">
        <f>IF(VIPcric_1!D2348="","",VIPcric_1!D2348)</f>
        <v>16.8</v>
      </c>
      <c r="E2373" t="str">
        <f>IF(VIPcric_1!E2348="","",VIPcric_1!E2348)</f>
        <v/>
      </c>
      <c r="F2373" t="str">
        <f>IF(VIPcric_1!F2348="","",VIPcric_1!F2348)</f>
        <v/>
      </c>
      <c r="G2373" t="str">
        <f>IF(VIPcric_1!G2348="","",VIPcric_1!G2348)</f>
        <v/>
      </c>
      <c r="H2373" t="str">
        <f>IF(VIPcric_1!H2348="","",VIPcric_1!H2348)</f>
        <v/>
      </c>
      <c r="I2373" t="str">
        <f>IF(VIPcric_1!M2348="","",VIPcric_1!M2348)</f>
        <v>CRIC-菏泽-市场监测.商品房市场.项目累计.库存.xlsx</v>
      </c>
    </row>
    <row r="2374" spans="1:9">
      <c r="A2374" t="str">
        <f>IF(VIPcric_1!A2349="","",VIPcric_1!A2349)</f>
        <v>2022年</v>
      </c>
      <c r="B2374">
        <f>IF(VIPcric_1!B2349="","",VIPcric_1!B2349)</f>
        <v>2895505</v>
      </c>
      <c r="C2374">
        <f>IF(VIPcric_1!C2349="","",VIPcric_1!C2349)</f>
        <v>22075</v>
      </c>
      <c r="D2374">
        <f>IF(VIPcric_1!D2349="","",VIPcric_1!D2349)</f>
        <v>15.1</v>
      </c>
      <c r="E2374" t="str">
        <f>IF(VIPcric_1!E2349="","",VIPcric_1!E2349)</f>
        <v/>
      </c>
      <c r="F2374" t="str">
        <f>IF(VIPcric_1!F2349="","",VIPcric_1!F2349)</f>
        <v/>
      </c>
      <c r="G2374" t="str">
        <f>IF(VIPcric_1!G2349="","",VIPcric_1!G2349)</f>
        <v/>
      </c>
      <c r="H2374" t="str">
        <f>IF(VIPcric_1!H2349="","",VIPcric_1!H2349)</f>
        <v/>
      </c>
      <c r="I2374" t="str">
        <f>IF(VIPcric_1!M2349="","",VIPcric_1!M2349)</f>
        <v>CRIC-菏泽-市场监测.商品房市场.项目累计.库存.xlsx</v>
      </c>
    </row>
    <row r="2375" spans="1:9">
      <c r="A2375" t="str">
        <f>IF(VIPcric_1!A2350="","",VIPcric_1!A2350)</f>
        <v>2021年</v>
      </c>
      <c r="B2375">
        <f>IF(VIPcric_1!B2350="","",VIPcric_1!B2350)</f>
        <v>3609557</v>
      </c>
      <c r="C2375">
        <f>IF(VIPcric_1!C2350="","",VIPcric_1!C2350)</f>
        <v>27583</v>
      </c>
      <c r="D2375">
        <f>IF(VIPcric_1!D2350="","",VIPcric_1!D2350)</f>
        <v>12.5</v>
      </c>
      <c r="E2375" t="str">
        <f>IF(VIPcric_1!E2350="","",VIPcric_1!E2350)</f>
        <v/>
      </c>
      <c r="F2375" t="str">
        <f>IF(VIPcric_1!F2350="","",VIPcric_1!F2350)</f>
        <v/>
      </c>
      <c r="G2375" t="str">
        <f>IF(VIPcric_1!G2350="","",VIPcric_1!G2350)</f>
        <v/>
      </c>
      <c r="H2375" t="str">
        <f>IF(VIPcric_1!H2350="","",VIPcric_1!H2350)</f>
        <v/>
      </c>
      <c r="I2375" t="str">
        <f>IF(VIPcric_1!M2350="","",VIPcric_1!M2350)</f>
        <v>CRIC-菏泽-市场监测.商品房市场.项目累计.库存.xlsx</v>
      </c>
    </row>
    <row r="2376" spans="1:9">
      <c r="A2376" t="str">
        <f>IF(VIPcric_1!A2351="","",VIPcric_1!A2351)</f>
        <v>2020年</v>
      </c>
      <c r="B2376">
        <f>IF(VIPcric_1!B2351="","",VIPcric_1!B2351)</f>
        <v>4586468</v>
      </c>
      <c r="C2376">
        <f>IF(VIPcric_1!C2351="","",VIPcric_1!C2351)</f>
        <v>34822</v>
      </c>
      <c r="D2376">
        <f>IF(VIPcric_1!D2351="","",VIPcric_1!D2351)</f>
        <v>106.9</v>
      </c>
      <c r="E2376" t="str">
        <f>IF(VIPcric_1!E2351="","",VIPcric_1!E2351)</f>
        <v/>
      </c>
      <c r="F2376" t="str">
        <f>IF(VIPcric_1!F2351="","",VIPcric_1!F2351)</f>
        <v/>
      </c>
      <c r="G2376" t="str">
        <f>IF(VIPcric_1!G2351="","",VIPcric_1!G2351)</f>
        <v/>
      </c>
      <c r="H2376" t="str">
        <f>IF(VIPcric_1!H2351="","",VIPcric_1!H2351)</f>
        <v/>
      </c>
      <c r="I2376" t="str">
        <f>IF(VIPcric_1!M2351="","",VIPcric_1!M2351)</f>
        <v>CRIC-菏泽-市场监测.商品房市场.项目累计.库存.xlsx</v>
      </c>
    </row>
    <row r="2377" spans="1:9">
      <c r="A2377" t="str">
        <f>IF(VIPcric_1!A2352="","",VIPcric_1!A2352)</f>
        <v/>
      </c>
      <c r="B2377" t="str">
        <f>IF(VIPcric_1!B2352="","",VIPcric_1!B2352)</f>
        <v/>
      </c>
      <c r="C2377" t="str">
        <f>IF(VIPcric_1!C2352="","",VIPcric_1!C2352)</f>
        <v/>
      </c>
      <c r="D2377" t="str">
        <f>IF(VIPcric_1!D2352="","",VIPcric_1!D2352)</f>
        <v/>
      </c>
      <c r="E2377" t="str">
        <f>IF(VIPcric_1!E2352="","",VIPcric_1!E2352)</f>
        <v/>
      </c>
      <c r="F2377" t="str">
        <f>IF(VIPcric_1!F2352="","",VIPcric_1!F2352)</f>
        <v/>
      </c>
      <c r="G2377" t="str">
        <f>IF(VIPcric_1!G2352="","",VIPcric_1!G2352)</f>
        <v/>
      </c>
      <c r="H2377" t="str">
        <f>IF(VIPcric_1!H2352="","",VIPcric_1!H2352)</f>
        <v/>
      </c>
      <c r="I2377" t="str">
        <f>IF(VIPcric_1!M2352="","",VIPcric_1!M2352)</f>
        <v/>
      </c>
    </row>
    <row r="2378" spans="1:9">
      <c r="A2378" t="str">
        <f>IF(VIPcric_1!A2353="","",VIPcric_1!A2353)</f>
        <v/>
      </c>
      <c r="B2378" t="str">
        <f>IF(VIPcric_1!B2353="","",VIPcric_1!B2353)</f>
        <v/>
      </c>
      <c r="C2378" t="str">
        <f>IF(VIPcric_1!C2353="","",VIPcric_1!C2353)</f>
        <v/>
      </c>
      <c r="D2378" t="str">
        <f>IF(VIPcric_1!D2353="","",VIPcric_1!D2353)</f>
        <v/>
      </c>
      <c r="E2378" t="str">
        <f>IF(VIPcric_1!E2353="","",VIPcric_1!E2353)</f>
        <v/>
      </c>
      <c r="F2378" t="str">
        <f>IF(VIPcric_1!F2353="","",VIPcric_1!F2353)</f>
        <v/>
      </c>
      <c r="G2378" t="str">
        <f>IF(VIPcric_1!G2353="","",VIPcric_1!G2353)</f>
        <v/>
      </c>
      <c r="H2378" t="str">
        <f>IF(VIPcric_1!H2353="","",VIPcric_1!H2353)</f>
        <v/>
      </c>
      <c r="I2378" t="str">
        <f>IF(VIPcric_1!M2353="","",VIPcric_1!M2353)</f>
        <v>CRIC-蚌埠-市场监测.商品房市场.项目累计.供求.xlsx</v>
      </c>
    </row>
    <row r="2379" spans="1:9">
      <c r="A2379" t="str">
        <f>IF(VIPcric_1!A2354="","",VIPcric_1!A2354)</f>
        <v>时间(年)</v>
      </c>
      <c r="B2379" t="str">
        <f>IF(VIPcric_1!B2354="","",VIPcric_1!B2354)</f>
        <v>供应面积(㎡)</v>
      </c>
      <c r="C2379" t="str">
        <f>IF(VIPcric_1!C2354="","",VIPcric_1!C2354)</f>
        <v>供应套数(套)</v>
      </c>
      <c r="D2379" t="str">
        <f>IF(VIPcric_1!D2354="","",VIPcric_1!D2354)</f>
        <v>成交面积(㎡)</v>
      </c>
      <c r="E2379" t="str">
        <f>IF(VIPcric_1!E2354="","",VIPcric_1!E2354)</f>
        <v>成交套数(套)</v>
      </c>
      <c r="F2379" t="str">
        <f>IF(VIPcric_1!F2354="","",VIPcric_1!F2354)</f>
        <v>成交均价(元/㎡)</v>
      </c>
      <c r="G2379" t="str">
        <f>IF(VIPcric_1!G2354="","",VIPcric_1!G2354)</f>
        <v>成交金额(元)</v>
      </c>
      <c r="H2379" t="str">
        <f>IF(VIPcric_1!H2354="","",VIPcric_1!H2354)</f>
        <v>供求比</v>
      </c>
      <c r="I2379" t="str">
        <f>IF(VIPcric_1!M2354="","",VIPcric_1!M2354)</f>
        <v>CRIC-蚌埠-市场监测.商品房市场.项目累计.供求.xlsx</v>
      </c>
    </row>
    <row r="2380" spans="1:9">
      <c r="A2380" t="str">
        <f>IF(VIPcric_1!A2355="","",VIPcric_1!A2355)</f>
        <v>2022年</v>
      </c>
      <c r="B2380">
        <f>IF(VIPcric_1!B2355="","",VIPcric_1!B2355)</f>
        <v>584350</v>
      </c>
      <c r="C2380">
        <f>IF(VIPcric_1!C2355="","",VIPcric_1!C2355)</f>
        <v>4616</v>
      </c>
      <c r="D2380">
        <f>IF(VIPcric_1!D2355="","",VIPcric_1!D2355)</f>
        <v>1095447</v>
      </c>
      <c r="E2380">
        <f>IF(VIPcric_1!E2355="","",VIPcric_1!E2355)</f>
        <v>9343</v>
      </c>
      <c r="F2380">
        <f>IF(VIPcric_1!F2355="","",VIPcric_1!F2355)</f>
        <v>9161</v>
      </c>
      <c r="G2380">
        <f>IF(VIPcric_1!G2355="","",VIPcric_1!G2355)</f>
        <v>10035738323</v>
      </c>
      <c r="H2380">
        <f>IF(VIPcric_1!H2355="","",VIPcric_1!H2355)</f>
        <v>0.53</v>
      </c>
      <c r="I2380" t="str">
        <f>IF(VIPcric_1!M2355="","",VIPcric_1!M2355)</f>
        <v>CRIC-蚌埠-市场监测.商品房市场.项目累计.供求.xlsx</v>
      </c>
    </row>
    <row r="2381" spans="1:9">
      <c r="A2381" t="str">
        <f>IF(VIPcric_1!A2356="","",VIPcric_1!A2356)</f>
        <v>2021年</v>
      </c>
      <c r="B2381">
        <f>IF(VIPcric_1!B2356="","",VIPcric_1!B2356)</f>
        <v>2114344</v>
      </c>
      <c r="C2381">
        <f>IF(VIPcric_1!C2356="","",VIPcric_1!C2356)</f>
        <v>18158</v>
      </c>
      <c r="D2381">
        <f>IF(VIPcric_1!D2356="","",VIPcric_1!D2356)</f>
        <v>1610651</v>
      </c>
      <c r="E2381">
        <f>IF(VIPcric_1!E2356="","",VIPcric_1!E2356)</f>
        <v>13877</v>
      </c>
      <c r="F2381">
        <f>IF(VIPcric_1!F2356="","",VIPcric_1!F2356)</f>
        <v>9579</v>
      </c>
      <c r="G2381">
        <f>IF(VIPcric_1!G2356="","",VIPcric_1!G2356)</f>
        <v>15428667509</v>
      </c>
      <c r="H2381">
        <f>IF(VIPcric_1!H2356="","",VIPcric_1!H2356)</f>
        <v>1.31</v>
      </c>
      <c r="I2381" t="str">
        <f>IF(VIPcric_1!M2356="","",VIPcric_1!M2356)</f>
        <v>CRIC-蚌埠-市场监测.商品房市场.项目累计.供求.xlsx</v>
      </c>
    </row>
    <row r="2382" spans="1:9">
      <c r="A2382" t="str">
        <f>IF(VIPcric_1!A2357="","",VIPcric_1!A2357)</f>
        <v>汇总</v>
      </c>
      <c r="B2382">
        <f>IF(VIPcric_1!B2357="","",VIPcric_1!B2357)</f>
        <v>2698694</v>
      </c>
      <c r="C2382">
        <f>IF(VIPcric_1!C2357="","",VIPcric_1!C2357)</f>
        <v>22774</v>
      </c>
      <c r="D2382">
        <f>IF(VIPcric_1!D2357="","",VIPcric_1!D2357)</f>
        <v>2706098</v>
      </c>
      <c r="E2382">
        <f>IF(VIPcric_1!E2357="","",VIPcric_1!E2357)</f>
        <v>23220</v>
      </c>
      <c r="F2382">
        <f>IF(VIPcric_1!F2357="","",VIPcric_1!F2357)</f>
        <v>9410</v>
      </c>
      <c r="G2382">
        <f>IF(VIPcric_1!G2357="","",VIPcric_1!G2357)</f>
        <v>25464405832</v>
      </c>
      <c r="H2382">
        <f>IF(VIPcric_1!H2357="","",VIPcric_1!H2357)</f>
        <v>1</v>
      </c>
      <c r="I2382" t="str">
        <f>IF(VIPcric_1!M2357="","",VIPcric_1!M2357)</f>
        <v>CRIC-蚌埠-市场监测.商品房市场.项目累计.供求.xlsx</v>
      </c>
    </row>
    <row r="2383" spans="1:9">
      <c r="A2383" t="str">
        <f>IF(VIPcric_1!A2358="","",VIPcric_1!A2358)</f>
        <v/>
      </c>
      <c r="B2383" t="str">
        <f>IF(VIPcric_1!B2358="","",VIPcric_1!B2358)</f>
        <v/>
      </c>
      <c r="C2383" t="str">
        <f>IF(VIPcric_1!C2358="","",VIPcric_1!C2358)</f>
        <v/>
      </c>
      <c r="D2383" t="str">
        <f>IF(VIPcric_1!D2358="","",VIPcric_1!D2358)</f>
        <v/>
      </c>
      <c r="E2383" t="str">
        <f>IF(VIPcric_1!E2358="","",VIPcric_1!E2358)</f>
        <v/>
      </c>
      <c r="F2383" t="str">
        <f>IF(VIPcric_1!F2358="","",VIPcric_1!F2358)</f>
        <v/>
      </c>
      <c r="G2383" t="str">
        <f>IF(VIPcric_1!G2358="","",VIPcric_1!G2358)</f>
        <v/>
      </c>
      <c r="H2383" t="str">
        <f>IF(VIPcric_1!H2358="","",VIPcric_1!H2358)</f>
        <v/>
      </c>
      <c r="I2383" t="str">
        <f>IF(VIPcric_1!M2358="","",VIPcric_1!M2358)</f>
        <v/>
      </c>
    </row>
    <row r="2384" spans="1:9">
      <c r="A2384" t="str">
        <f>IF(VIPcric_1!A2359="","",VIPcric_1!A2359)</f>
        <v/>
      </c>
      <c r="B2384" t="str">
        <f>IF(VIPcric_1!B2359="","",VIPcric_1!B2359)</f>
        <v/>
      </c>
      <c r="C2384" t="str">
        <f>IF(VIPcric_1!C2359="","",VIPcric_1!C2359)</f>
        <v/>
      </c>
      <c r="D2384" t="str">
        <f>IF(VIPcric_1!D2359="","",VIPcric_1!D2359)</f>
        <v/>
      </c>
      <c r="E2384" t="str">
        <f>IF(VIPcric_1!E2359="","",VIPcric_1!E2359)</f>
        <v/>
      </c>
      <c r="F2384" t="str">
        <f>IF(VIPcric_1!F2359="","",VIPcric_1!F2359)</f>
        <v/>
      </c>
      <c r="G2384" t="str">
        <f>IF(VIPcric_1!G2359="","",VIPcric_1!G2359)</f>
        <v/>
      </c>
      <c r="H2384" t="str">
        <f>IF(VIPcric_1!H2359="","",VIPcric_1!H2359)</f>
        <v/>
      </c>
      <c r="I2384" t="str">
        <f>IF(VIPcric_1!M2359="","",VIPcric_1!M2359)</f>
        <v>CRIC-蚌埠-市场监测.商品房市场.项目累计.库存.xlsx</v>
      </c>
    </row>
    <row r="2385" spans="1:9">
      <c r="A2385" t="str">
        <f>IF(VIPcric_1!A2360="","",VIPcric_1!A2360)</f>
        <v>时间(年)</v>
      </c>
      <c r="B2385" t="str">
        <f>IF(VIPcric_1!B2360="","",VIPcric_1!B2360)</f>
        <v>库存面积(㎡)</v>
      </c>
      <c r="C2385" t="str">
        <f>IF(VIPcric_1!C2360="","",VIPcric_1!C2360)</f>
        <v>库存套数(套)</v>
      </c>
      <c r="D2385" t="str">
        <f>IF(VIPcric_1!D2360="","",VIPcric_1!D2360)</f>
        <v>去化周期12'(月)</v>
      </c>
      <c r="E2385" t="str">
        <f>IF(VIPcric_1!E2360="","",VIPcric_1!E2360)</f>
        <v>去化周期24'(月)</v>
      </c>
      <c r="F2385" t="str">
        <f>IF(VIPcric_1!F2360="","",VIPcric_1!F2360)</f>
        <v/>
      </c>
      <c r="G2385" t="str">
        <f>IF(VIPcric_1!G2360="","",VIPcric_1!G2360)</f>
        <v/>
      </c>
      <c r="H2385" t="str">
        <f>IF(VIPcric_1!H2360="","",VIPcric_1!H2360)</f>
        <v/>
      </c>
      <c r="I2385" t="str">
        <f>IF(VIPcric_1!M2360="","",VIPcric_1!M2360)</f>
        <v>CRIC-蚌埠-市场监测.商品房市场.项目累计.库存.xlsx</v>
      </c>
    </row>
    <row r="2386" spans="1:9">
      <c r="A2386" t="str">
        <f>IF(VIPcric_1!A2361="","",VIPcric_1!A2361)</f>
        <v>2022年</v>
      </c>
      <c r="B2386">
        <f>IF(VIPcric_1!B2361="","",VIPcric_1!B2361)</f>
        <v>1619429</v>
      </c>
      <c r="C2386">
        <f>IF(VIPcric_1!C2361="","",VIPcric_1!C2361)</f>
        <v>14097</v>
      </c>
      <c r="D2386">
        <f>IF(VIPcric_1!D2361="","",VIPcric_1!D2361)</f>
        <v>14.3</v>
      </c>
      <c r="E2386">
        <f>IF(VIPcric_1!E2361="","",VIPcric_1!E2361)</f>
        <v>14.4</v>
      </c>
      <c r="F2386" t="str">
        <f>IF(VIPcric_1!F2361="","",VIPcric_1!F2361)</f>
        <v/>
      </c>
      <c r="G2386" t="str">
        <f>IF(VIPcric_1!G2361="","",VIPcric_1!G2361)</f>
        <v/>
      </c>
      <c r="H2386" t="str">
        <f>IF(VIPcric_1!H2361="","",VIPcric_1!H2361)</f>
        <v/>
      </c>
      <c r="I2386" t="str">
        <f>IF(VIPcric_1!M2361="","",VIPcric_1!M2361)</f>
        <v>CRIC-蚌埠-市场监测.商品房市场.项目累计.库存.xlsx</v>
      </c>
    </row>
    <row r="2387" spans="1:9">
      <c r="A2387" t="str">
        <f>IF(VIPcric_1!A2362="","",VIPcric_1!A2362)</f>
        <v>2021年</v>
      </c>
      <c r="B2387">
        <f>IF(VIPcric_1!B2362="","",VIPcric_1!B2362)</f>
        <v>2078721</v>
      </c>
      <c r="C2387">
        <f>IF(VIPcric_1!C2362="","",VIPcric_1!C2362)</f>
        <v>18039</v>
      </c>
      <c r="D2387">
        <f>IF(VIPcric_1!D2362="","",VIPcric_1!D2362)</f>
        <v>15.5</v>
      </c>
      <c r="E2387">
        <f>IF(VIPcric_1!E2362="","",VIPcric_1!E2362)</f>
        <v>31</v>
      </c>
      <c r="F2387" t="str">
        <f>IF(VIPcric_1!F2362="","",VIPcric_1!F2362)</f>
        <v/>
      </c>
      <c r="G2387" t="str">
        <f>IF(VIPcric_1!G2362="","",VIPcric_1!G2362)</f>
        <v/>
      </c>
      <c r="H2387" t="str">
        <f>IF(VIPcric_1!H2362="","",VIPcric_1!H2362)</f>
        <v/>
      </c>
      <c r="I2387" t="str">
        <f>IF(VIPcric_1!M2362="","",VIPcric_1!M2362)</f>
        <v>CRIC-蚌埠-市场监测.商品房市场.项目累计.库存.xlsx</v>
      </c>
    </row>
    <row r="2388" spans="1:9">
      <c r="A2388" t="str">
        <f>IF(VIPcric_1!A2363="","",VIPcric_1!A2363)</f>
        <v/>
      </c>
      <c r="B2388" t="str">
        <f>IF(VIPcric_1!B2363="","",VIPcric_1!B2363)</f>
        <v/>
      </c>
      <c r="C2388" t="str">
        <f>IF(VIPcric_1!C2363="","",VIPcric_1!C2363)</f>
        <v/>
      </c>
      <c r="D2388" t="str">
        <f>IF(VIPcric_1!D2363="","",VIPcric_1!D2363)</f>
        <v/>
      </c>
      <c r="E2388" t="str">
        <f>IF(VIPcric_1!E2363="","",VIPcric_1!E2363)</f>
        <v/>
      </c>
      <c r="F2388" t="str">
        <f>IF(VIPcric_1!F2363="","",VIPcric_1!F2363)</f>
        <v/>
      </c>
      <c r="G2388" t="str">
        <f>IF(VIPcric_1!G2363="","",VIPcric_1!G2363)</f>
        <v/>
      </c>
      <c r="H2388" t="str">
        <f>IF(VIPcric_1!H2363="","",VIPcric_1!H2363)</f>
        <v/>
      </c>
      <c r="I2388" t="str">
        <f>IF(VIPcric_1!M2363="","",VIPcric_1!M2363)</f>
        <v/>
      </c>
    </row>
    <row r="2389" spans="1:9">
      <c r="A2389" t="str">
        <f>IF(VIPcric_1!A2364="","",VIPcric_1!A2364)</f>
        <v/>
      </c>
      <c r="B2389" t="str">
        <f>IF(VIPcric_1!B2364="","",VIPcric_1!B2364)</f>
        <v/>
      </c>
      <c r="C2389" t="str">
        <f>IF(VIPcric_1!C2364="","",VIPcric_1!C2364)</f>
        <v/>
      </c>
      <c r="D2389" t="str">
        <f>IF(VIPcric_1!D2364="","",VIPcric_1!D2364)</f>
        <v/>
      </c>
      <c r="E2389" t="str">
        <f>IF(VIPcric_1!E2364="","",VIPcric_1!E2364)</f>
        <v/>
      </c>
      <c r="F2389" t="str">
        <f>IF(VIPcric_1!F2364="","",VIPcric_1!F2364)</f>
        <v/>
      </c>
      <c r="G2389" t="str">
        <f>IF(VIPcric_1!G2364="","",VIPcric_1!G2364)</f>
        <v/>
      </c>
      <c r="H2389" t="str">
        <f>IF(VIPcric_1!H2364="","",VIPcric_1!H2364)</f>
        <v/>
      </c>
      <c r="I2389" t="str">
        <f>IF(VIPcric_1!M2364="","",VIPcric_1!M2364)</f>
        <v>CRIC-衡阳-市场监测.商品房市场.项目累计.供求.xlsx</v>
      </c>
    </row>
    <row r="2390" spans="1:9">
      <c r="A2390" t="str">
        <f>IF(VIPcric_1!A2365="","",VIPcric_1!A2365)</f>
        <v>时间(年)</v>
      </c>
      <c r="B2390" t="str">
        <f>IF(VIPcric_1!B2365="","",VIPcric_1!B2365)</f>
        <v>供应面积(㎡)</v>
      </c>
      <c r="C2390" t="str">
        <f>IF(VIPcric_1!C2365="","",VIPcric_1!C2365)</f>
        <v>供应套数(套)</v>
      </c>
      <c r="D2390" t="str">
        <f>IF(VIPcric_1!D2365="","",VIPcric_1!D2365)</f>
        <v>成交面积(㎡)</v>
      </c>
      <c r="E2390" t="str">
        <f>IF(VIPcric_1!E2365="","",VIPcric_1!E2365)</f>
        <v>成交套数(套)</v>
      </c>
      <c r="F2390" t="str">
        <f>IF(VIPcric_1!F2365="","",VIPcric_1!F2365)</f>
        <v>成交均价(元/㎡)</v>
      </c>
      <c r="G2390" t="str">
        <f>IF(VIPcric_1!G2365="","",VIPcric_1!G2365)</f>
        <v>成交金额(元)</v>
      </c>
      <c r="H2390" t="str">
        <f>IF(VIPcric_1!H2365="","",VIPcric_1!H2365)</f>
        <v>供求比</v>
      </c>
      <c r="I2390" t="str">
        <f>IF(VIPcric_1!M2365="","",VIPcric_1!M2365)</f>
        <v>CRIC-衡阳-市场监测.商品房市场.项目累计.供求.xlsx</v>
      </c>
    </row>
    <row r="2391" spans="1:9">
      <c r="A2391" t="str">
        <f>IF(VIPcric_1!A2366="","",VIPcric_1!A2366)</f>
        <v>2022年</v>
      </c>
      <c r="B2391">
        <f>IF(VIPcric_1!B2366="","",VIPcric_1!B2366)</f>
        <v>1144508</v>
      </c>
      <c r="C2391">
        <f>IF(VIPcric_1!C2366="","",VIPcric_1!C2366)</f>
        <v>8812</v>
      </c>
      <c r="D2391">
        <f>IF(VIPcric_1!D2366="","",VIPcric_1!D2366)</f>
        <v>1619907</v>
      </c>
      <c r="E2391">
        <f>IF(VIPcric_1!E2366="","",VIPcric_1!E2366)</f>
        <v>12683</v>
      </c>
      <c r="F2391">
        <f>IF(VIPcric_1!F2366="","",VIPcric_1!F2366)</f>
        <v>5922</v>
      </c>
      <c r="G2391">
        <f>IF(VIPcric_1!G2366="","",VIPcric_1!G2366)</f>
        <v>9593189656</v>
      </c>
      <c r="H2391">
        <f>IF(VIPcric_1!H2366="","",VIPcric_1!H2366)</f>
        <v>0.71</v>
      </c>
      <c r="I2391" t="str">
        <f>IF(VIPcric_1!M2366="","",VIPcric_1!M2366)</f>
        <v>CRIC-衡阳-市场监测.商品房市场.项目累计.供求.xlsx</v>
      </c>
    </row>
    <row r="2392" spans="1:9">
      <c r="A2392" t="str">
        <f>IF(VIPcric_1!A2367="","",VIPcric_1!A2367)</f>
        <v>2021年</v>
      </c>
      <c r="B2392">
        <f>IF(VIPcric_1!B2367="","",VIPcric_1!B2367)</f>
        <v>2633372</v>
      </c>
      <c r="C2392">
        <f>IF(VIPcric_1!C2367="","",VIPcric_1!C2367)</f>
        <v>20871</v>
      </c>
      <c r="D2392">
        <f>IF(VIPcric_1!D2367="","",VIPcric_1!D2367)</f>
        <v>2479678</v>
      </c>
      <c r="E2392">
        <f>IF(VIPcric_1!E2367="","",VIPcric_1!E2367)</f>
        <v>19733</v>
      </c>
      <c r="F2392">
        <f>IF(VIPcric_1!F2367="","",VIPcric_1!F2367)</f>
        <v>5908</v>
      </c>
      <c r="G2392">
        <f>IF(VIPcric_1!G2367="","",VIPcric_1!G2367)</f>
        <v>14650116830</v>
      </c>
      <c r="H2392">
        <f>IF(VIPcric_1!H2367="","",VIPcric_1!H2367)</f>
        <v>1.06</v>
      </c>
      <c r="I2392" t="str">
        <f>IF(VIPcric_1!M2367="","",VIPcric_1!M2367)</f>
        <v>CRIC-衡阳-市场监测.商品房市场.项目累计.供求.xlsx</v>
      </c>
    </row>
    <row r="2393" spans="1:9">
      <c r="A2393" t="str">
        <f>IF(VIPcric_1!A2368="","",VIPcric_1!A2368)</f>
        <v>2020年</v>
      </c>
      <c r="B2393">
        <f>IF(VIPcric_1!B2368="","",VIPcric_1!B2368)</f>
        <v>3679423</v>
      </c>
      <c r="C2393">
        <f>IF(VIPcric_1!C2368="","",VIPcric_1!C2368)</f>
        <v>29328</v>
      </c>
      <c r="D2393">
        <f>IF(VIPcric_1!D2368="","",VIPcric_1!D2368)</f>
        <v>3120345</v>
      </c>
      <c r="E2393">
        <f>IF(VIPcric_1!E2368="","",VIPcric_1!E2368)</f>
        <v>24696</v>
      </c>
      <c r="F2393">
        <f>IF(VIPcric_1!F2368="","",VIPcric_1!F2368)</f>
        <v>6164</v>
      </c>
      <c r="G2393">
        <f>IF(VIPcric_1!G2368="","",VIPcric_1!G2368)</f>
        <v>19232845995</v>
      </c>
      <c r="H2393">
        <f>IF(VIPcric_1!H2368="","",VIPcric_1!H2368)</f>
        <v>1.18</v>
      </c>
      <c r="I2393" t="str">
        <f>IF(VIPcric_1!M2368="","",VIPcric_1!M2368)</f>
        <v>CRIC-衡阳-市场监测.商品房市场.项目累计.供求.xlsx</v>
      </c>
    </row>
    <row r="2394" spans="1:9">
      <c r="A2394" t="str">
        <f>IF(VIPcric_1!A2369="","",VIPcric_1!A2369)</f>
        <v>2019年</v>
      </c>
      <c r="B2394">
        <f>IF(VIPcric_1!B2369="","",VIPcric_1!B2369)</f>
        <v>3260565</v>
      </c>
      <c r="C2394">
        <f>IF(VIPcric_1!C2369="","",VIPcric_1!C2369)</f>
        <v>26284</v>
      </c>
      <c r="D2394">
        <f>IF(VIPcric_1!D2369="","",VIPcric_1!D2369)</f>
        <v>3010456</v>
      </c>
      <c r="E2394">
        <f>IF(VIPcric_1!E2369="","",VIPcric_1!E2369)</f>
        <v>24368</v>
      </c>
      <c r="F2394">
        <f>IF(VIPcric_1!F2369="","",VIPcric_1!F2369)</f>
        <v>6116</v>
      </c>
      <c r="G2394">
        <f>IF(VIPcric_1!G2369="","",VIPcric_1!G2369)</f>
        <v>18411858288</v>
      </c>
      <c r="H2394">
        <f>IF(VIPcric_1!H2369="","",VIPcric_1!H2369)</f>
        <v>1.08</v>
      </c>
      <c r="I2394" t="str">
        <f>IF(VIPcric_1!M2369="","",VIPcric_1!M2369)</f>
        <v>CRIC-衡阳-市场监测.商品房市场.项目累计.供求.xlsx</v>
      </c>
    </row>
    <row r="2395" spans="1:9">
      <c r="A2395" t="str">
        <f>IF(VIPcric_1!A2370="","",VIPcric_1!A2370)</f>
        <v>2018年</v>
      </c>
      <c r="B2395">
        <f>IF(VIPcric_1!B2370="","",VIPcric_1!B2370)</f>
        <v>4503886</v>
      </c>
      <c r="C2395">
        <f>IF(VIPcric_1!C2370="","",VIPcric_1!C2370)</f>
        <v>37118</v>
      </c>
      <c r="D2395">
        <f>IF(VIPcric_1!D2370="","",VIPcric_1!D2370)</f>
        <v>3026910</v>
      </c>
      <c r="E2395">
        <f>IF(VIPcric_1!E2370="","",VIPcric_1!E2370)</f>
        <v>25553</v>
      </c>
      <c r="F2395">
        <f>IF(VIPcric_1!F2370="","",VIPcric_1!F2370)</f>
        <v>6342</v>
      </c>
      <c r="G2395">
        <f>IF(VIPcric_1!G2370="","",VIPcric_1!G2370)</f>
        <v>19197465325</v>
      </c>
      <c r="H2395">
        <f>IF(VIPcric_1!H2370="","",VIPcric_1!H2370)</f>
        <v>1.49</v>
      </c>
      <c r="I2395" t="str">
        <f>IF(VIPcric_1!M2370="","",VIPcric_1!M2370)</f>
        <v>CRIC-衡阳-市场监测.商品房市场.项目累计.供求.xlsx</v>
      </c>
    </row>
    <row r="2396" spans="1:9">
      <c r="A2396" t="str">
        <f>IF(VIPcric_1!A2371="","",VIPcric_1!A2371)</f>
        <v>2017年</v>
      </c>
      <c r="B2396">
        <f>IF(VIPcric_1!B2371="","",VIPcric_1!B2371)</f>
        <v>3423467</v>
      </c>
      <c r="C2396">
        <f>IF(VIPcric_1!C2371="","",VIPcric_1!C2371)</f>
        <v>29125</v>
      </c>
      <c r="D2396">
        <f>IF(VIPcric_1!D2371="","",VIPcric_1!D2371)</f>
        <v>4291240</v>
      </c>
      <c r="E2396">
        <f>IF(VIPcric_1!E2371="","",VIPcric_1!E2371)</f>
        <v>35522</v>
      </c>
      <c r="F2396">
        <f>IF(VIPcric_1!F2371="","",VIPcric_1!F2371)</f>
        <v>4750</v>
      </c>
      <c r="G2396">
        <f>IF(VIPcric_1!G2371="","",VIPcric_1!G2371)</f>
        <v>20384756287</v>
      </c>
      <c r="H2396">
        <f>IF(VIPcric_1!H2371="","",VIPcric_1!H2371)</f>
        <v>0.8</v>
      </c>
      <c r="I2396" t="str">
        <f>IF(VIPcric_1!M2371="","",VIPcric_1!M2371)</f>
        <v>CRIC-衡阳-市场监测.商品房市场.项目累计.供求.xlsx</v>
      </c>
    </row>
    <row r="2397" spans="1:9">
      <c r="A2397" t="str">
        <f>IF(VIPcric_1!A2372="","",VIPcric_1!A2372)</f>
        <v>汇总</v>
      </c>
      <c r="B2397">
        <f>IF(VIPcric_1!B2372="","",VIPcric_1!B2372)</f>
        <v>18645221</v>
      </c>
      <c r="C2397">
        <f>IF(VIPcric_1!C2372="","",VIPcric_1!C2372)</f>
        <v>151538</v>
      </c>
      <c r="D2397">
        <f>IF(VIPcric_1!D2372="","",VIPcric_1!D2372)</f>
        <v>17548537</v>
      </c>
      <c r="E2397">
        <f>IF(VIPcric_1!E2372="","",VIPcric_1!E2372)</f>
        <v>142555</v>
      </c>
      <c r="F2397">
        <f>IF(VIPcric_1!F2372="","",VIPcric_1!F2372)</f>
        <v>5782</v>
      </c>
      <c r="G2397">
        <f>IF(VIPcric_1!G2372="","",VIPcric_1!G2372)</f>
        <v>101470232381</v>
      </c>
      <c r="H2397">
        <f>IF(VIPcric_1!H2372="","",VIPcric_1!H2372)</f>
        <v>1.06</v>
      </c>
      <c r="I2397" t="str">
        <f>IF(VIPcric_1!M2372="","",VIPcric_1!M2372)</f>
        <v>CRIC-衡阳-市场监测.商品房市场.项目累计.供求.xlsx</v>
      </c>
    </row>
    <row r="2398" spans="1:9">
      <c r="A2398" t="str">
        <f>IF(VIPcric_1!A2373="","",VIPcric_1!A2373)</f>
        <v/>
      </c>
      <c r="B2398" t="str">
        <f>IF(VIPcric_1!B2373="","",VIPcric_1!B2373)</f>
        <v/>
      </c>
      <c r="C2398" t="str">
        <f>IF(VIPcric_1!C2373="","",VIPcric_1!C2373)</f>
        <v/>
      </c>
      <c r="D2398" t="str">
        <f>IF(VIPcric_1!D2373="","",VIPcric_1!D2373)</f>
        <v/>
      </c>
      <c r="E2398" t="str">
        <f>IF(VIPcric_1!E2373="","",VIPcric_1!E2373)</f>
        <v/>
      </c>
      <c r="F2398" t="str">
        <f>IF(VIPcric_1!F2373="","",VIPcric_1!F2373)</f>
        <v/>
      </c>
      <c r="G2398" t="str">
        <f>IF(VIPcric_1!G2373="","",VIPcric_1!G2373)</f>
        <v/>
      </c>
      <c r="H2398" t="str">
        <f>IF(VIPcric_1!H2373="","",VIPcric_1!H2373)</f>
        <v/>
      </c>
      <c r="I2398" t="str">
        <f>IF(VIPcric_1!M2373="","",VIPcric_1!M2373)</f>
        <v/>
      </c>
    </row>
    <row r="2399" spans="1:9">
      <c r="A2399" t="str">
        <f>IF(VIPcric_1!A2374="","",VIPcric_1!A2374)</f>
        <v/>
      </c>
      <c r="B2399" t="str">
        <f>IF(VIPcric_1!B2374="","",VIPcric_1!B2374)</f>
        <v/>
      </c>
      <c r="C2399" t="str">
        <f>IF(VIPcric_1!C2374="","",VIPcric_1!C2374)</f>
        <v/>
      </c>
      <c r="D2399" t="str">
        <f>IF(VIPcric_1!D2374="","",VIPcric_1!D2374)</f>
        <v/>
      </c>
      <c r="E2399" t="str">
        <f>IF(VIPcric_1!E2374="","",VIPcric_1!E2374)</f>
        <v/>
      </c>
      <c r="F2399" t="str">
        <f>IF(VIPcric_1!F2374="","",VIPcric_1!F2374)</f>
        <v/>
      </c>
      <c r="G2399" t="str">
        <f>IF(VIPcric_1!G2374="","",VIPcric_1!G2374)</f>
        <v/>
      </c>
      <c r="H2399" t="str">
        <f>IF(VIPcric_1!H2374="","",VIPcric_1!H2374)</f>
        <v/>
      </c>
      <c r="I2399" t="str">
        <f>IF(VIPcric_1!M2374="","",VIPcric_1!M2374)</f>
        <v>CRIC-衡阳-市场监测.商品房市场.项目累计.库存.xlsx</v>
      </c>
    </row>
    <row r="2400" spans="1:9">
      <c r="A2400" t="str">
        <f>IF(VIPcric_1!A2375="","",VIPcric_1!A2375)</f>
        <v>时间(年)</v>
      </c>
      <c r="B2400" t="str">
        <f>IF(VIPcric_1!B2375="","",VIPcric_1!B2375)</f>
        <v>库存面积(㎡)</v>
      </c>
      <c r="C2400" t="str">
        <f>IF(VIPcric_1!C2375="","",VIPcric_1!C2375)</f>
        <v>库存套数(套)</v>
      </c>
      <c r="D2400" t="str">
        <f>IF(VIPcric_1!D2375="","",VIPcric_1!D2375)</f>
        <v>去化周期12'(月)</v>
      </c>
      <c r="E2400" t="str">
        <f>IF(VIPcric_1!E2375="","",VIPcric_1!E2375)</f>
        <v/>
      </c>
      <c r="F2400" t="str">
        <f>IF(VIPcric_1!F2375="","",VIPcric_1!F2375)</f>
        <v/>
      </c>
      <c r="G2400" t="str">
        <f>IF(VIPcric_1!G2375="","",VIPcric_1!G2375)</f>
        <v/>
      </c>
      <c r="H2400" t="str">
        <f>IF(VIPcric_1!H2375="","",VIPcric_1!H2375)</f>
        <v/>
      </c>
      <c r="I2400" t="str">
        <f>IF(VIPcric_1!M2375="","",VIPcric_1!M2375)</f>
        <v>CRIC-衡阳-市场监测.商品房市场.项目累计.库存.xlsx</v>
      </c>
    </row>
    <row r="2401" spans="1:9">
      <c r="A2401" t="str">
        <f>IF(VIPcric_1!A2376="","",VIPcric_1!A2376)</f>
        <v>2022年</v>
      </c>
      <c r="B2401">
        <f>IF(VIPcric_1!B2376="","",VIPcric_1!B2376)</f>
        <v>4051252</v>
      </c>
      <c r="C2401">
        <f>IF(VIPcric_1!C2376="","",VIPcric_1!C2376)</f>
        <v>32699</v>
      </c>
      <c r="D2401">
        <f>IF(VIPcric_1!D2376="","",VIPcric_1!D2376)</f>
        <v>30</v>
      </c>
      <c r="E2401" t="str">
        <f>IF(VIPcric_1!E2376="","",VIPcric_1!E2376)</f>
        <v/>
      </c>
      <c r="F2401" t="str">
        <f>IF(VIPcric_1!F2376="","",VIPcric_1!F2376)</f>
        <v/>
      </c>
      <c r="G2401" t="str">
        <f>IF(VIPcric_1!G2376="","",VIPcric_1!G2376)</f>
        <v/>
      </c>
      <c r="H2401" t="str">
        <f>IF(VIPcric_1!H2376="","",VIPcric_1!H2376)</f>
        <v/>
      </c>
      <c r="I2401" t="str">
        <f>IF(VIPcric_1!M2376="","",VIPcric_1!M2376)</f>
        <v>CRIC-衡阳-市场监测.商品房市场.项目累计.库存.xlsx</v>
      </c>
    </row>
    <row r="2402" spans="1:9">
      <c r="A2402" t="str">
        <f>IF(VIPcric_1!A2377="","",VIPcric_1!A2377)</f>
        <v>2021年</v>
      </c>
      <c r="B2402">
        <f>IF(VIPcric_1!B2377="","",VIPcric_1!B2377)</f>
        <v>4435433</v>
      </c>
      <c r="C2402">
        <f>IF(VIPcric_1!C2377="","",VIPcric_1!C2377)</f>
        <v>35842</v>
      </c>
      <c r="D2402">
        <f>IF(VIPcric_1!D2377="","",VIPcric_1!D2377)</f>
        <v>21.5</v>
      </c>
      <c r="E2402" t="str">
        <f>IF(VIPcric_1!E2377="","",VIPcric_1!E2377)</f>
        <v/>
      </c>
      <c r="F2402" t="str">
        <f>IF(VIPcric_1!F2377="","",VIPcric_1!F2377)</f>
        <v/>
      </c>
      <c r="G2402" t="str">
        <f>IF(VIPcric_1!G2377="","",VIPcric_1!G2377)</f>
        <v/>
      </c>
      <c r="H2402" t="str">
        <f>IF(VIPcric_1!H2377="","",VIPcric_1!H2377)</f>
        <v/>
      </c>
      <c r="I2402" t="str">
        <f>IF(VIPcric_1!M2377="","",VIPcric_1!M2377)</f>
        <v>CRIC-衡阳-市场监测.商品房市场.项目累计.库存.xlsx</v>
      </c>
    </row>
    <row r="2403" spans="1:9">
      <c r="A2403" t="str">
        <f>IF(VIPcric_1!A2378="","",VIPcric_1!A2378)</f>
        <v>2020年</v>
      </c>
      <c r="B2403">
        <f>IF(VIPcric_1!B2378="","",VIPcric_1!B2378)</f>
        <v>4212673</v>
      </c>
      <c r="C2403">
        <f>IF(VIPcric_1!C2378="","",VIPcric_1!C2378)</f>
        <v>34193</v>
      </c>
      <c r="D2403">
        <f>IF(VIPcric_1!D2378="","",VIPcric_1!D2378)</f>
        <v>16.2</v>
      </c>
      <c r="E2403" t="str">
        <f>IF(VIPcric_1!E2378="","",VIPcric_1!E2378)</f>
        <v/>
      </c>
      <c r="F2403" t="str">
        <f>IF(VIPcric_1!F2378="","",VIPcric_1!F2378)</f>
        <v/>
      </c>
      <c r="G2403" t="str">
        <f>IF(VIPcric_1!G2378="","",VIPcric_1!G2378)</f>
        <v/>
      </c>
      <c r="H2403" t="str">
        <f>IF(VIPcric_1!H2378="","",VIPcric_1!H2378)</f>
        <v/>
      </c>
      <c r="I2403" t="str">
        <f>IF(VIPcric_1!M2378="","",VIPcric_1!M2378)</f>
        <v>CRIC-衡阳-市场监测.商品房市场.项目累计.库存.xlsx</v>
      </c>
    </row>
    <row r="2404" spans="1:9">
      <c r="A2404" t="str">
        <f>IF(VIPcric_1!A2379="","",VIPcric_1!A2379)</f>
        <v/>
      </c>
      <c r="B2404" t="str">
        <f>IF(VIPcric_1!B2379="","",VIPcric_1!B2379)</f>
        <v/>
      </c>
      <c r="C2404" t="str">
        <f>IF(VIPcric_1!C2379="","",VIPcric_1!C2379)</f>
        <v/>
      </c>
      <c r="D2404" t="str">
        <f>IF(VIPcric_1!D2379="","",VIPcric_1!D2379)</f>
        <v/>
      </c>
      <c r="E2404" t="str">
        <f>IF(VIPcric_1!E2379="","",VIPcric_1!E2379)</f>
        <v/>
      </c>
      <c r="F2404" t="str">
        <f>IF(VIPcric_1!F2379="","",VIPcric_1!F2379)</f>
        <v/>
      </c>
      <c r="G2404" t="str">
        <f>IF(VIPcric_1!G2379="","",VIPcric_1!G2379)</f>
        <v/>
      </c>
      <c r="H2404" t="str">
        <f>IF(VIPcric_1!H2379="","",VIPcric_1!H2379)</f>
        <v/>
      </c>
      <c r="I2404" t="str">
        <f>IF(VIPcric_1!M2379="","",VIPcric_1!M2379)</f>
        <v/>
      </c>
    </row>
    <row r="2405" spans="1:9">
      <c r="A2405" t="str">
        <f>IF(VIPcric_1!A2380="","",VIPcric_1!A2380)</f>
        <v/>
      </c>
      <c r="B2405" t="str">
        <f>IF(VIPcric_1!B2380="","",VIPcric_1!B2380)</f>
        <v/>
      </c>
      <c r="C2405" t="str">
        <f>IF(VIPcric_1!C2380="","",VIPcric_1!C2380)</f>
        <v/>
      </c>
      <c r="D2405" t="str">
        <f>IF(VIPcric_1!D2380="","",VIPcric_1!D2380)</f>
        <v/>
      </c>
      <c r="E2405" t="str">
        <f>IF(VIPcric_1!E2380="","",VIPcric_1!E2380)</f>
        <v/>
      </c>
      <c r="F2405" t="str">
        <f>IF(VIPcric_1!F2380="","",VIPcric_1!F2380)</f>
        <v/>
      </c>
      <c r="G2405" t="str">
        <f>IF(VIPcric_1!G2380="","",VIPcric_1!G2380)</f>
        <v/>
      </c>
      <c r="H2405" t="str">
        <f>IF(VIPcric_1!H2380="","",VIPcric_1!H2380)</f>
        <v/>
      </c>
      <c r="I2405" t="str">
        <f>IF(VIPcric_1!M2380="","",VIPcric_1!M2380)</f>
        <v>CRIC-衢州-市场监测.商品房市场.项目累计.供求.xlsx</v>
      </c>
    </row>
    <row r="2406" spans="1:9">
      <c r="A2406" t="str">
        <f>IF(VIPcric_1!A2381="","",VIPcric_1!A2381)</f>
        <v>时间(年)</v>
      </c>
      <c r="B2406" t="str">
        <f>IF(VIPcric_1!B2381="","",VIPcric_1!B2381)</f>
        <v>供应面积(㎡)</v>
      </c>
      <c r="C2406" t="str">
        <f>IF(VIPcric_1!C2381="","",VIPcric_1!C2381)</f>
        <v>供应套数(套)</v>
      </c>
      <c r="D2406" t="str">
        <f>IF(VIPcric_1!D2381="","",VIPcric_1!D2381)</f>
        <v>成交面积(㎡)</v>
      </c>
      <c r="E2406" t="str">
        <f>IF(VIPcric_1!E2381="","",VIPcric_1!E2381)</f>
        <v>成交套数(套)</v>
      </c>
      <c r="F2406" t="str">
        <f>IF(VIPcric_1!F2381="","",VIPcric_1!F2381)</f>
        <v>成交均价(元/㎡)</v>
      </c>
      <c r="G2406" t="str">
        <f>IF(VIPcric_1!G2381="","",VIPcric_1!G2381)</f>
        <v>成交金额(元)</v>
      </c>
      <c r="H2406" t="str">
        <f>IF(VIPcric_1!H2381="","",VIPcric_1!H2381)</f>
        <v>供求比</v>
      </c>
      <c r="I2406" t="str">
        <f>IF(VIPcric_1!M2381="","",VIPcric_1!M2381)</f>
        <v>CRIC-衢州-市场监测.商品房市场.项目累计.供求.xlsx</v>
      </c>
    </row>
    <row r="2407" spans="1:9">
      <c r="A2407" t="str">
        <f>IF(VIPcric_1!A2382="","",VIPcric_1!A2382)</f>
        <v>2024年</v>
      </c>
      <c r="B2407">
        <f>IF(VIPcric_1!B2382="","",VIPcric_1!B2382)</f>
        <v>29116</v>
      </c>
      <c r="C2407">
        <f>IF(VIPcric_1!C2382="","",VIPcric_1!C2382)</f>
        <v>240</v>
      </c>
      <c r="D2407">
        <f>IF(VIPcric_1!D2382="","",VIPcric_1!D2382)</f>
        <v>20984</v>
      </c>
      <c r="E2407">
        <f>IF(VIPcric_1!E2382="","",VIPcric_1!E2382)</f>
        <v>203</v>
      </c>
      <c r="F2407">
        <f>IF(VIPcric_1!F2382="","",VIPcric_1!F2382)</f>
        <v>13304</v>
      </c>
      <c r="G2407">
        <f>IF(VIPcric_1!G2382="","",VIPcric_1!G2382)</f>
        <v>279172133</v>
      </c>
      <c r="H2407">
        <f>IF(VIPcric_1!H2382="","",VIPcric_1!H2382)</f>
        <v>1.39</v>
      </c>
      <c r="I2407" t="str">
        <f>IF(VIPcric_1!M2382="","",VIPcric_1!M2382)</f>
        <v>CRIC-衢州-市场监测.商品房市场.项目累计.供求.xlsx</v>
      </c>
    </row>
    <row r="2408" spans="1:9">
      <c r="A2408" t="str">
        <f>IF(VIPcric_1!A2383="","",VIPcric_1!A2383)</f>
        <v>2023年</v>
      </c>
      <c r="B2408">
        <f>IF(VIPcric_1!B2383="","",VIPcric_1!B2383)</f>
        <v>360805</v>
      </c>
      <c r="C2408">
        <f>IF(VIPcric_1!C2383="","",VIPcric_1!C2383)</f>
        <v>3391</v>
      </c>
      <c r="D2408">
        <f>IF(VIPcric_1!D2383="","",VIPcric_1!D2383)</f>
        <v>382668</v>
      </c>
      <c r="E2408">
        <f>IF(VIPcric_1!E2383="","",VIPcric_1!E2383)</f>
        <v>3470</v>
      </c>
      <c r="F2408">
        <f>IF(VIPcric_1!F2383="","",VIPcric_1!F2383)</f>
        <v>18798</v>
      </c>
      <c r="G2408">
        <f>IF(VIPcric_1!G2383="","",VIPcric_1!G2383)</f>
        <v>7193340235</v>
      </c>
      <c r="H2408">
        <f>IF(VIPcric_1!H2383="","",VIPcric_1!H2383)</f>
        <v>0.94</v>
      </c>
      <c r="I2408" t="str">
        <f>IF(VIPcric_1!M2383="","",VIPcric_1!M2383)</f>
        <v>CRIC-衢州-市场监测.商品房市场.项目累计.供求.xlsx</v>
      </c>
    </row>
    <row r="2409" spans="1:9">
      <c r="A2409" t="str">
        <f>IF(VIPcric_1!A2384="","",VIPcric_1!A2384)</f>
        <v>2022年</v>
      </c>
      <c r="B2409">
        <f>IF(VIPcric_1!B2384="","",VIPcric_1!B2384)</f>
        <v>601520</v>
      </c>
      <c r="C2409">
        <f>IF(VIPcric_1!C2384="","",VIPcric_1!C2384)</f>
        <v>5880</v>
      </c>
      <c r="D2409">
        <f>IF(VIPcric_1!D2384="","",VIPcric_1!D2384)</f>
        <v>522307</v>
      </c>
      <c r="E2409">
        <f>IF(VIPcric_1!E2384="","",VIPcric_1!E2384)</f>
        <v>5025</v>
      </c>
      <c r="F2409">
        <f>IF(VIPcric_1!F2384="","",VIPcric_1!F2384)</f>
        <v>17445</v>
      </c>
      <c r="G2409">
        <f>IF(VIPcric_1!G2384="","",VIPcric_1!G2384)</f>
        <v>9111717114</v>
      </c>
      <c r="H2409">
        <f>IF(VIPcric_1!H2384="","",VIPcric_1!H2384)</f>
        <v>1.1499999999999999</v>
      </c>
      <c r="I2409" t="str">
        <f>IF(VIPcric_1!M2384="","",VIPcric_1!M2384)</f>
        <v>CRIC-衢州-市场监测.商品房市场.项目累计.供求.xlsx</v>
      </c>
    </row>
    <row r="2410" spans="1:9">
      <c r="A2410" t="str">
        <f>IF(VIPcric_1!A2385="","",VIPcric_1!A2385)</f>
        <v>2021年</v>
      </c>
      <c r="B2410">
        <f>IF(VIPcric_1!B2385="","",VIPcric_1!B2385)</f>
        <v>1059274</v>
      </c>
      <c r="C2410">
        <f>IF(VIPcric_1!C2385="","",VIPcric_1!C2385)</f>
        <v>9940</v>
      </c>
      <c r="D2410">
        <f>IF(VIPcric_1!D2385="","",VIPcric_1!D2385)</f>
        <v>849410</v>
      </c>
      <c r="E2410">
        <f>IF(VIPcric_1!E2385="","",VIPcric_1!E2385)</f>
        <v>7667</v>
      </c>
      <c r="F2410">
        <f>IF(VIPcric_1!F2385="","",VIPcric_1!F2385)</f>
        <v>18449</v>
      </c>
      <c r="G2410">
        <f>IF(VIPcric_1!G2385="","",VIPcric_1!G2385)</f>
        <v>15670531531</v>
      </c>
      <c r="H2410">
        <f>IF(VIPcric_1!H2385="","",VIPcric_1!H2385)</f>
        <v>1.25</v>
      </c>
      <c r="I2410" t="str">
        <f>IF(VIPcric_1!M2385="","",VIPcric_1!M2385)</f>
        <v>CRIC-衢州-市场监测.商品房市场.项目累计.供求.xlsx</v>
      </c>
    </row>
    <row r="2411" spans="1:9">
      <c r="A2411" t="str">
        <f>IF(VIPcric_1!A2386="","",VIPcric_1!A2386)</f>
        <v>2020年</v>
      </c>
      <c r="B2411">
        <f>IF(VIPcric_1!B2386="","",VIPcric_1!B2386)</f>
        <v>1016490</v>
      </c>
      <c r="C2411">
        <f>IF(VIPcric_1!C2386="","",VIPcric_1!C2386)</f>
        <v>9653</v>
      </c>
      <c r="D2411">
        <f>IF(VIPcric_1!D2386="","",VIPcric_1!D2386)</f>
        <v>740147</v>
      </c>
      <c r="E2411">
        <f>IF(VIPcric_1!E2386="","",VIPcric_1!E2386)</f>
        <v>7165</v>
      </c>
      <c r="F2411">
        <f>IF(VIPcric_1!F2386="","",VIPcric_1!F2386)</f>
        <v>15386</v>
      </c>
      <c r="G2411">
        <f>IF(VIPcric_1!G2386="","",VIPcric_1!G2386)</f>
        <v>11387878923</v>
      </c>
      <c r="H2411">
        <f>IF(VIPcric_1!H2386="","",VIPcric_1!H2386)</f>
        <v>1.37</v>
      </c>
      <c r="I2411" t="str">
        <f>IF(VIPcric_1!M2386="","",VIPcric_1!M2386)</f>
        <v>CRIC-衢州-市场监测.商品房市场.项目累计.供求.xlsx</v>
      </c>
    </row>
    <row r="2412" spans="1:9">
      <c r="A2412" t="str">
        <f>IF(VIPcric_1!A2387="","",VIPcric_1!A2387)</f>
        <v>2019年</v>
      </c>
      <c r="B2412">
        <f>IF(VIPcric_1!B2387="","",VIPcric_1!B2387)</f>
        <v>405680</v>
      </c>
      <c r="C2412">
        <f>IF(VIPcric_1!C2387="","",VIPcric_1!C2387)</f>
        <v>3777</v>
      </c>
      <c r="D2412">
        <f>IF(VIPcric_1!D2387="","",VIPcric_1!D2387)</f>
        <v>473586</v>
      </c>
      <c r="E2412">
        <f>IF(VIPcric_1!E2387="","",VIPcric_1!E2387)</f>
        <v>4317</v>
      </c>
      <c r="F2412">
        <f>IF(VIPcric_1!F2387="","",VIPcric_1!F2387)</f>
        <v>13048</v>
      </c>
      <c r="G2412">
        <f>IF(VIPcric_1!G2387="","",VIPcric_1!G2387)</f>
        <v>6179322586</v>
      </c>
      <c r="H2412">
        <f>IF(VIPcric_1!H2387="","",VIPcric_1!H2387)</f>
        <v>0.86</v>
      </c>
      <c r="I2412" t="str">
        <f>IF(VIPcric_1!M2387="","",VIPcric_1!M2387)</f>
        <v>CRIC-衢州-市场监测.商品房市场.项目累计.供求.xlsx</v>
      </c>
    </row>
    <row r="2413" spans="1:9">
      <c r="A2413" t="str">
        <f>IF(VIPcric_1!A2388="","",VIPcric_1!A2388)</f>
        <v>汇总</v>
      </c>
      <c r="B2413">
        <f>IF(VIPcric_1!B2388="","",VIPcric_1!B2388)</f>
        <v>3472885</v>
      </c>
      <c r="C2413">
        <f>IF(VIPcric_1!C2388="","",VIPcric_1!C2388)</f>
        <v>32881</v>
      </c>
      <c r="D2413">
        <f>IF(VIPcric_1!D2388="","",VIPcric_1!D2388)</f>
        <v>2989102</v>
      </c>
      <c r="E2413">
        <f>IF(VIPcric_1!E2388="","",VIPcric_1!E2388)</f>
        <v>27847</v>
      </c>
      <c r="F2413">
        <f>IF(VIPcric_1!F2388="","",VIPcric_1!F2388)</f>
        <v>16668</v>
      </c>
      <c r="G2413">
        <f>IF(VIPcric_1!G2388="","",VIPcric_1!G2388)</f>
        <v>49821962522</v>
      </c>
      <c r="H2413">
        <f>IF(VIPcric_1!H2388="","",VIPcric_1!H2388)</f>
        <v>1.1599999999999999</v>
      </c>
      <c r="I2413" t="str">
        <f>IF(VIPcric_1!M2388="","",VIPcric_1!M2388)</f>
        <v>CRIC-衢州-市场监测.商品房市场.项目累计.供求.xlsx</v>
      </c>
    </row>
    <row r="2414" spans="1:9">
      <c r="A2414" t="str">
        <f>IF(VIPcric_1!A2389="","",VIPcric_1!A2389)</f>
        <v/>
      </c>
      <c r="B2414" t="str">
        <f>IF(VIPcric_1!B2389="","",VIPcric_1!B2389)</f>
        <v/>
      </c>
      <c r="C2414" t="str">
        <f>IF(VIPcric_1!C2389="","",VIPcric_1!C2389)</f>
        <v/>
      </c>
      <c r="D2414" t="str">
        <f>IF(VIPcric_1!D2389="","",VIPcric_1!D2389)</f>
        <v/>
      </c>
      <c r="E2414" t="str">
        <f>IF(VIPcric_1!E2389="","",VIPcric_1!E2389)</f>
        <v/>
      </c>
      <c r="F2414" t="str">
        <f>IF(VIPcric_1!F2389="","",VIPcric_1!F2389)</f>
        <v/>
      </c>
      <c r="G2414" t="str">
        <f>IF(VIPcric_1!G2389="","",VIPcric_1!G2389)</f>
        <v/>
      </c>
      <c r="H2414" t="str">
        <f>IF(VIPcric_1!H2389="","",VIPcric_1!H2389)</f>
        <v/>
      </c>
      <c r="I2414" t="str">
        <f>IF(VIPcric_1!M2389="","",VIPcric_1!M2389)</f>
        <v/>
      </c>
    </row>
    <row r="2415" spans="1:9">
      <c r="A2415" t="str">
        <f>IF(VIPcric_1!A2390="","",VIPcric_1!A2390)</f>
        <v/>
      </c>
      <c r="B2415" t="str">
        <f>IF(VIPcric_1!B2390="","",VIPcric_1!B2390)</f>
        <v/>
      </c>
      <c r="C2415" t="str">
        <f>IF(VIPcric_1!C2390="","",VIPcric_1!C2390)</f>
        <v/>
      </c>
      <c r="D2415" t="str">
        <f>IF(VIPcric_1!D2390="","",VIPcric_1!D2390)</f>
        <v/>
      </c>
      <c r="E2415" t="str">
        <f>IF(VIPcric_1!E2390="","",VIPcric_1!E2390)</f>
        <v/>
      </c>
      <c r="F2415" t="str">
        <f>IF(VIPcric_1!F2390="","",VIPcric_1!F2390)</f>
        <v/>
      </c>
      <c r="G2415" t="str">
        <f>IF(VIPcric_1!G2390="","",VIPcric_1!G2390)</f>
        <v/>
      </c>
      <c r="H2415" t="str">
        <f>IF(VIPcric_1!H2390="","",VIPcric_1!H2390)</f>
        <v/>
      </c>
      <c r="I2415" t="str">
        <f>IF(VIPcric_1!M2390="","",VIPcric_1!M2390)</f>
        <v>CRIC-衢州-市场监测.商品房市场.项目累计.库存.xlsx</v>
      </c>
    </row>
    <row r="2416" spans="1:9">
      <c r="A2416" t="str">
        <f>IF(VIPcric_1!A2391="","",VIPcric_1!A2391)</f>
        <v>时间(年)</v>
      </c>
      <c r="B2416" t="str">
        <f>IF(VIPcric_1!B2391="","",VIPcric_1!B2391)</f>
        <v>库存面积(㎡)</v>
      </c>
      <c r="C2416" t="str">
        <f>IF(VIPcric_1!C2391="","",VIPcric_1!C2391)</f>
        <v>库存套数(套)</v>
      </c>
      <c r="D2416" t="str">
        <f>IF(VIPcric_1!D2391="","",VIPcric_1!D2391)</f>
        <v>去化周期12'(月)</v>
      </c>
      <c r="E2416" t="str">
        <f>IF(VIPcric_1!E2391="","",VIPcric_1!E2391)</f>
        <v/>
      </c>
      <c r="F2416" t="str">
        <f>IF(VIPcric_1!F2391="","",VIPcric_1!F2391)</f>
        <v/>
      </c>
      <c r="G2416" t="str">
        <f>IF(VIPcric_1!G2391="","",VIPcric_1!G2391)</f>
        <v/>
      </c>
      <c r="H2416" t="str">
        <f>IF(VIPcric_1!H2391="","",VIPcric_1!H2391)</f>
        <v/>
      </c>
      <c r="I2416" t="str">
        <f>IF(VIPcric_1!M2391="","",VIPcric_1!M2391)</f>
        <v>CRIC-衢州-市场监测.商品房市场.项目累计.库存.xlsx</v>
      </c>
    </row>
    <row r="2417" spans="1:9">
      <c r="A2417" t="str">
        <f>IF(VIPcric_1!A2392="","",VIPcric_1!A2392)</f>
        <v>2024年</v>
      </c>
      <c r="B2417">
        <f>IF(VIPcric_1!B2392="","",VIPcric_1!B2392)</f>
        <v>780705</v>
      </c>
      <c r="C2417">
        <f>IF(VIPcric_1!C2392="","",VIPcric_1!C2392)</f>
        <v>7480</v>
      </c>
      <c r="D2417">
        <f>IF(VIPcric_1!D2392="","",VIPcric_1!D2392)</f>
        <v>23.8</v>
      </c>
      <c r="E2417" t="str">
        <f>IF(VIPcric_1!E2392="","",VIPcric_1!E2392)</f>
        <v/>
      </c>
      <c r="F2417" t="str">
        <f>IF(VIPcric_1!F2392="","",VIPcric_1!F2392)</f>
        <v/>
      </c>
      <c r="G2417" t="str">
        <f>IF(VIPcric_1!G2392="","",VIPcric_1!G2392)</f>
        <v/>
      </c>
      <c r="H2417" t="str">
        <f>IF(VIPcric_1!H2392="","",VIPcric_1!H2392)</f>
        <v/>
      </c>
      <c r="I2417" t="str">
        <f>IF(VIPcric_1!M2392="","",VIPcric_1!M2392)</f>
        <v>CRIC-衢州-市场监测.商品房市场.项目累计.库存.xlsx</v>
      </c>
    </row>
    <row r="2418" spans="1:9">
      <c r="A2418" t="str">
        <f>IF(VIPcric_1!A2393="","",VIPcric_1!A2393)</f>
        <v>2023年</v>
      </c>
      <c r="B2418">
        <f>IF(VIPcric_1!B2393="","",VIPcric_1!B2393)</f>
        <v>767045</v>
      </c>
      <c r="C2418">
        <f>IF(VIPcric_1!C2393="","",VIPcric_1!C2393)</f>
        <v>7406</v>
      </c>
      <c r="D2418">
        <f>IF(VIPcric_1!D2393="","",VIPcric_1!D2393)</f>
        <v>24.1</v>
      </c>
      <c r="E2418" t="str">
        <f>IF(VIPcric_1!E2393="","",VIPcric_1!E2393)</f>
        <v/>
      </c>
      <c r="F2418" t="str">
        <f>IF(VIPcric_1!F2393="","",VIPcric_1!F2393)</f>
        <v/>
      </c>
      <c r="G2418" t="str">
        <f>IF(VIPcric_1!G2393="","",VIPcric_1!G2393)</f>
        <v/>
      </c>
      <c r="H2418" t="str">
        <f>IF(VIPcric_1!H2393="","",VIPcric_1!H2393)</f>
        <v/>
      </c>
      <c r="I2418" t="str">
        <f>IF(VIPcric_1!M2393="","",VIPcric_1!M2393)</f>
        <v>CRIC-衢州-市场监测.商品房市场.项目累计.库存.xlsx</v>
      </c>
    </row>
    <row r="2419" spans="1:9">
      <c r="A2419" t="str">
        <f>IF(VIPcric_1!A2394="","",VIPcric_1!A2394)</f>
        <v>2022年</v>
      </c>
      <c r="B2419">
        <f>IF(VIPcric_1!B2394="","",VIPcric_1!B2394)</f>
        <v>735241</v>
      </c>
      <c r="C2419">
        <f>IF(VIPcric_1!C2394="","",VIPcric_1!C2394)</f>
        <v>6998</v>
      </c>
      <c r="D2419">
        <f>IF(VIPcric_1!D2394="","",VIPcric_1!D2394)</f>
        <v>16.899999999999999</v>
      </c>
      <c r="E2419" t="str">
        <f>IF(VIPcric_1!E2394="","",VIPcric_1!E2394)</f>
        <v/>
      </c>
      <c r="F2419" t="str">
        <f>IF(VIPcric_1!F2394="","",VIPcric_1!F2394)</f>
        <v/>
      </c>
      <c r="G2419" t="str">
        <f>IF(VIPcric_1!G2394="","",VIPcric_1!G2394)</f>
        <v/>
      </c>
      <c r="H2419" t="str">
        <f>IF(VIPcric_1!H2394="","",VIPcric_1!H2394)</f>
        <v/>
      </c>
      <c r="I2419" t="str">
        <f>IF(VIPcric_1!M2394="","",VIPcric_1!M2394)</f>
        <v>CRIC-衢州-市场监测.商品房市场.项目累计.库存.xlsx</v>
      </c>
    </row>
    <row r="2420" spans="1:9">
      <c r="A2420" t="str">
        <f>IF(VIPcric_1!A2395="","",VIPcric_1!A2395)</f>
        <v>2021年</v>
      </c>
      <c r="B2420">
        <f>IF(VIPcric_1!B2395="","",VIPcric_1!B2395)</f>
        <v>649989</v>
      </c>
      <c r="C2420">
        <f>IF(VIPcric_1!C2395="","",VIPcric_1!C2395)</f>
        <v>6147</v>
      </c>
      <c r="D2420">
        <f>IF(VIPcric_1!D2395="","",VIPcric_1!D2395)</f>
        <v>9.1999999999999993</v>
      </c>
      <c r="E2420" t="str">
        <f>IF(VIPcric_1!E2395="","",VIPcric_1!E2395)</f>
        <v/>
      </c>
      <c r="F2420" t="str">
        <f>IF(VIPcric_1!F2395="","",VIPcric_1!F2395)</f>
        <v/>
      </c>
      <c r="G2420" t="str">
        <f>IF(VIPcric_1!G2395="","",VIPcric_1!G2395)</f>
        <v/>
      </c>
      <c r="H2420" t="str">
        <f>IF(VIPcric_1!H2395="","",VIPcric_1!H2395)</f>
        <v/>
      </c>
      <c r="I2420" t="str">
        <f>IF(VIPcric_1!M2395="","",VIPcric_1!M2395)</f>
        <v>CRIC-衢州-市场监测.商品房市场.项目累计.库存.xlsx</v>
      </c>
    </row>
    <row r="2421" spans="1:9">
      <c r="A2421" t="str">
        <f>IF(VIPcric_1!A2396="","",VIPcric_1!A2396)</f>
        <v>2020年</v>
      </c>
      <c r="B2421">
        <f>IF(VIPcric_1!B2396="","",VIPcric_1!B2396)</f>
        <v>555104</v>
      </c>
      <c r="C2421">
        <f>IF(VIPcric_1!C2396="","",VIPcric_1!C2396)</f>
        <v>5080</v>
      </c>
      <c r="D2421">
        <f>IF(VIPcric_1!D2396="","",VIPcric_1!D2396)</f>
        <v>9</v>
      </c>
      <c r="E2421" t="str">
        <f>IF(VIPcric_1!E2396="","",VIPcric_1!E2396)</f>
        <v/>
      </c>
      <c r="F2421" t="str">
        <f>IF(VIPcric_1!F2396="","",VIPcric_1!F2396)</f>
        <v/>
      </c>
      <c r="G2421" t="str">
        <f>IF(VIPcric_1!G2396="","",VIPcric_1!G2396)</f>
        <v/>
      </c>
      <c r="H2421" t="str">
        <f>IF(VIPcric_1!H2396="","",VIPcric_1!H2396)</f>
        <v/>
      </c>
      <c r="I2421" t="str">
        <f>IF(VIPcric_1!M2396="","",VIPcric_1!M2396)</f>
        <v>CRIC-衢州-市场监测.商品房市场.项目累计.库存.xlsx</v>
      </c>
    </row>
    <row r="2422" spans="1:9">
      <c r="A2422" t="str">
        <f>IF(VIPcric_1!A2397="","",VIPcric_1!A2397)</f>
        <v>2019年</v>
      </c>
      <c r="B2422">
        <f>IF(VIPcric_1!B2397="","",VIPcric_1!B2397)</f>
        <v>504297</v>
      </c>
      <c r="C2422">
        <f>IF(VIPcric_1!C2397="","",VIPcric_1!C2397)</f>
        <v>4844</v>
      </c>
      <c r="D2422">
        <f>IF(VIPcric_1!D2397="","",VIPcric_1!D2397)</f>
        <v>12.8</v>
      </c>
      <c r="E2422" t="str">
        <f>IF(VIPcric_1!E2397="","",VIPcric_1!E2397)</f>
        <v/>
      </c>
      <c r="F2422" t="str">
        <f>IF(VIPcric_1!F2397="","",VIPcric_1!F2397)</f>
        <v/>
      </c>
      <c r="G2422" t="str">
        <f>IF(VIPcric_1!G2397="","",VIPcric_1!G2397)</f>
        <v/>
      </c>
      <c r="H2422" t="str">
        <f>IF(VIPcric_1!H2397="","",VIPcric_1!H2397)</f>
        <v/>
      </c>
      <c r="I2422" t="str">
        <f>IF(VIPcric_1!M2397="","",VIPcric_1!M2397)</f>
        <v>CRIC-衢州-市场监测.商品房市场.项目累计.库存.xlsx</v>
      </c>
    </row>
    <row r="2423" spans="1:9">
      <c r="A2423" t="str">
        <f>IF(VIPcric_1!A2398="","",VIPcric_1!A2398)</f>
        <v/>
      </c>
      <c r="B2423" t="str">
        <f>IF(VIPcric_1!B2398="","",VIPcric_1!B2398)</f>
        <v/>
      </c>
      <c r="C2423" t="str">
        <f>IF(VIPcric_1!C2398="","",VIPcric_1!C2398)</f>
        <v/>
      </c>
      <c r="D2423" t="str">
        <f>IF(VIPcric_1!D2398="","",VIPcric_1!D2398)</f>
        <v/>
      </c>
      <c r="E2423" t="str">
        <f>IF(VIPcric_1!E2398="","",VIPcric_1!E2398)</f>
        <v/>
      </c>
      <c r="F2423" t="str">
        <f>IF(VIPcric_1!F2398="","",VIPcric_1!F2398)</f>
        <v/>
      </c>
      <c r="G2423" t="str">
        <f>IF(VIPcric_1!G2398="","",VIPcric_1!G2398)</f>
        <v/>
      </c>
      <c r="H2423" t="str">
        <f>IF(VIPcric_1!H2398="","",VIPcric_1!H2398)</f>
        <v/>
      </c>
      <c r="I2423" t="str">
        <f>IF(VIPcric_1!M2398="","",VIPcric_1!M2398)</f>
        <v/>
      </c>
    </row>
    <row r="2424" spans="1:9">
      <c r="A2424" t="str">
        <f>IF(VIPcric_1!A2399="","",VIPcric_1!A2399)</f>
        <v/>
      </c>
      <c r="B2424" t="str">
        <f>IF(VIPcric_1!B2399="","",VIPcric_1!B2399)</f>
        <v/>
      </c>
      <c r="C2424" t="str">
        <f>IF(VIPcric_1!C2399="","",VIPcric_1!C2399)</f>
        <v/>
      </c>
      <c r="D2424" t="str">
        <f>IF(VIPcric_1!D2399="","",VIPcric_1!D2399)</f>
        <v/>
      </c>
      <c r="E2424" t="str">
        <f>IF(VIPcric_1!E2399="","",VIPcric_1!E2399)</f>
        <v/>
      </c>
      <c r="F2424" t="str">
        <f>IF(VIPcric_1!F2399="","",VIPcric_1!F2399)</f>
        <v/>
      </c>
      <c r="G2424" t="str">
        <f>IF(VIPcric_1!G2399="","",VIPcric_1!G2399)</f>
        <v/>
      </c>
      <c r="H2424" t="str">
        <f>IF(VIPcric_1!H2399="","",VIPcric_1!H2399)</f>
        <v/>
      </c>
      <c r="I2424" t="str">
        <f>IF(VIPcric_1!M2399="","",VIPcric_1!M2399)</f>
        <v>CRIC-西宁-市场监测.商品房市场.项目累计.供求.xlsx</v>
      </c>
    </row>
    <row r="2425" spans="1:9">
      <c r="A2425" t="str">
        <f>IF(VIPcric_1!A2400="","",VIPcric_1!A2400)</f>
        <v>时间(年)</v>
      </c>
      <c r="B2425" t="str">
        <f>IF(VIPcric_1!B2400="","",VIPcric_1!B2400)</f>
        <v>供应面积(㎡)</v>
      </c>
      <c r="C2425" t="str">
        <f>IF(VIPcric_1!C2400="","",VIPcric_1!C2400)</f>
        <v>供应套数(套)</v>
      </c>
      <c r="D2425" t="str">
        <f>IF(VIPcric_1!D2400="","",VIPcric_1!D2400)</f>
        <v>成交面积(㎡)</v>
      </c>
      <c r="E2425" t="str">
        <f>IF(VIPcric_1!E2400="","",VIPcric_1!E2400)</f>
        <v>成交套数(套)</v>
      </c>
      <c r="F2425" t="str">
        <f>IF(VIPcric_1!F2400="","",VIPcric_1!F2400)</f>
        <v>成交均价(元/㎡)</v>
      </c>
      <c r="G2425" t="str">
        <f>IF(VIPcric_1!G2400="","",VIPcric_1!G2400)</f>
        <v>成交金额(元)</v>
      </c>
      <c r="H2425" t="str">
        <f>IF(VIPcric_1!H2400="","",VIPcric_1!H2400)</f>
        <v>供求比</v>
      </c>
      <c r="I2425" t="str">
        <f>IF(VIPcric_1!M2400="","",VIPcric_1!M2400)</f>
        <v>CRIC-西宁-市场监测.商品房市场.项目累计.供求.xlsx</v>
      </c>
    </row>
    <row r="2426" spans="1:9">
      <c r="A2426" t="str">
        <f>IF(VIPcric_1!A2401="","",VIPcric_1!A2401)</f>
        <v>2024年</v>
      </c>
      <c r="B2426">
        <f>IF(VIPcric_1!B2401="","",VIPcric_1!B2401)</f>
        <v>61268</v>
      </c>
      <c r="C2426">
        <f>IF(VIPcric_1!C2401="","",VIPcric_1!C2401)</f>
        <v>474</v>
      </c>
      <c r="D2426">
        <f>IF(VIPcric_1!D2401="","",VIPcric_1!D2401)</f>
        <v>70346</v>
      </c>
      <c r="E2426">
        <f>IF(VIPcric_1!E2401="","",VIPcric_1!E2401)</f>
        <v>600</v>
      </c>
      <c r="F2426">
        <f>IF(VIPcric_1!F2401="","",VIPcric_1!F2401)</f>
        <v>9399</v>
      </c>
      <c r="G2426">
        <f>IF(VIPcric_1!G2401="","",VIPcric_1!G2401)</f>
        <v>661190568</v>
      </c>
      <c r="H2426">
        <f>IF(VIPcric_1!H2401="","",VIPcric_1!H2401)</f>
        <v>0.87</v>
      </c>
      <c r="I2426" t="str">
        <f>IF(VIPcric_1!M2401="","",VIPcric_1!M2401)</f>
        <v>CRIC-西宁-市场监测.商品房市场.项目累计.供求.xlsx</v>
      </c>
    </row>
    <row r="2427" spans="1:9">
      <c r="A2427" t="str">
        <f>IF(VIPcric_1!A2402="","",VIPcric_1!A2402)</f>
        <v>2023年</v>
      </c>
      <c r="B2427">
        <f>IF(VIPcric_1!B2402="","",VIPcric_1!B2402)</f>
        <v>1333733</v>
      </c>
      <c r="C2427">
        <f>IF(VIPcric_1!C2402="","",VIPcric_1!C2402)</f>
        <v>11848</v>
      </c>
      <c r="D2427">
        <f>IF(VIPcric_1!D2402="","",VIPcric_1!D2402)</f>
        <v>1251994</v>
      </c>
      <c r="E2427">
        <f>IF(VIPcric_1!E2402="","",VIPcric_1!E2402)</f>
        <v>10665</v>
      </c>
      <c r="F2427">
        <f>IF(VIPcric_1!F2402="","",VIPcric_1!F2402)</f>
        <v>9539</v>
      </c>
      <c r="G2427">
        <f>IF(VIPcric_1!G2402="","",VIPcric_1!G2402)</f>
        <v>11943292172</v>
      </c>
      <c r="H2427">
        <f>IF(VIPcric_1!H2402="","",VIPcric_1!H2402)</f>
        <v>1.07</v>
      </c>
      <c r="I2427" t="str">
        <f>IF(VIPcric_1!M2402="","",VIPcric_1!M2402)</f>
        <v>CRIC-西宁-市场监测.商品房市场.项目累计.供求.xlsx</v>
      </c>
    </row>
    <row r="2428" spans="1:9">
      <c r="A2428" t="str">
        <f>IF(VIPcric_1!A2403="","",VIPcric_1!A2403)</f>
        <v>2022年</v>
      </c>
      <c r="B2428">
        <f>IF(VIPcric_1!B2403="","",VIPcric_1!B2403)</f>
        <v>1579026</v>
      </c>
      <c r="C2428">
        <f>IF(VIPcric_1!C2403="","",VIPcric_1!C2403)</f>
        <v>14385</v>
      </c>
      <c r="D2428">
        <f>IF(VIPcric_1!D2403="","",VIPcric_1!D2403)</f>
        <v>1082045</v>
      </c>
      <c r="E2428">
        <f>IF(VIPcric_1!E2403="","",VIPcric_1!E2403)</f>
        <v>9619</v>
      </c>
      <c r="F2428">
        <f>IF(VIPcric_1!F2403="","",VIPcric_1!F2403)</f>
        <v>10509</v>
      </c>
      <c r="G2428">
        <f>IF(VIPcric_1!G2403="","",VIPcric_1!G2403)</f>
        <v>11371275073</v>
      </c>
      <c r="H2428">
        <f>IF(VIPcric_1!H2403="","",VIPcric_1!H2403)</f>
        <v>1.46</v>
      </c>
      <c r="I2428" t="str">
        <f>IF(VIPcric_1!M2403="","",VIPcric_1!M2403)</f>
        <v>CRIC-西宁-市场监测.商品房市场.项目累计.供求.xlsx</v>
      </c>
    </row>
    <row r="2429" spans="1:9">
      <c r="A2429" t="str">
        <f>IF(VIPcric_1!A2404="","",VIPcric_1!A2404)</f>
        <v>2021年</v>
      </c>
      <c r="B2429">
        <f>IF(VIPcric_1!B2404="","",VIPcric_1!B2404)</f>
        <v>3050160</v>
      </c>
      <c r="C2429">
        <f>IF(VIPcric_1!C2404="","",VIPcric_1!C2404)</f>
        <v>26791</v>
      </c>
      <c r="D2429">
        <f>IF(VIPcric_1!D2404="","",VIPcric_1!D2404)</f>
        <v>2106799</v>
      </c>
      <c r="E2429">
        <f>IF(VIPcric_1!E2404="","",VIPcric_1!E2404)</f>
        <v>18459</v>
      </c>
      <c r="F2429">
        <f>IF(VIPcric_1!F2404="","",VIPcric_1!F2404)</f>
        <v>9378</v>
      </c>
      <c r="G2429">
        <f>IF(VIPcric_1!G2404="","",VIPcric_1!G2404)</f>
        <v>19757835264</v>
      </c>
      <c r="H2429">
        <f>IF(VIPcric_1!H2404="","",VIPcric_1!H2404)</f>
        <v>1.45</v>
      </c>
      <c r="I2429" t="str">
        <f>IF(VIPcric_1!M2404="","",VIPcric_1!M2404)</f>
        <v>CRIC-西宁-市场监测.商品房市场.项目累计.供求.xlsx</v>
      </c>
    </row>
    <row r="2430" spans="1:9">
      <c r="A2430" t="str">
        <f>IF(VIPcric_1!A2405="","",VIPcric_1!A2405)</f>
        <v>2020年</v>
      </c>
      <c r="B2430">
        <f>IF(VIPcric_1!B2405="","",VIPcric_1!B2405)</f>
        <v>3789618</v>
      </c>
      <c r="C2430">
        <f>IF(VIPcric_1!C2405="","",VIPcric_1!C2405)</f>
        <v>32516</v>
      </c>
      <c r="D2430">
        <f>IF(VIPcric_1!D2405="","",VIPcric_1!D2405)</f>
        <v>3856620</v>
      </c>
      <c r="E2430">
        <f>IF(VIPcric_1!E2405="","",VIPcric_1!E2405)</f>
        <v>33948</v>
      </c>
      <c r="F2430">
        <f>IF(VIPcric_1!F2405="","",VIPcric_1!F2405)</f>
        <v>8469</v>
      </c>
      <c r="G2430">
        <f>IF(VIPcric_1!G2405="","",VIPcric_1!G2405)</f>
        <v>32663395318</v>
      </c>
      <c r="H2430">
        <f>IF(VIPcric_1!H2405="","",VIPcric_1!H2405)</f>
        <v>0.98</v>
      </c>
      <c r="I2430" t="str">
        <f>IF(VIPcric_1!M2405="","",VIPcric_1!M2405)</f>
        <v>CRIC-西宁-市场监测.商品房市场.项目累计.供求.xlsx</v>
      </c>
    </row>
    <row r="2431" spans="1:9">
      <c r="A2431" t="str">
        <f>IF(VIPcric_1!A2406="","",VIPcric_1!A2406)</f>
        <v>2019年</v>
      </c>
      <c r="B2431">
        <f>IF(VIPcric_1!B2406="","",VIPcric_1!B2406)</f>
        <v>4883235</v>
      </c>
      <c r="C2431">
        <f>IF(VIPcric_1!C2406="","",VIPcric_1!C2406)</f>
        <v>42394</v>
      </c>
      <c r="D2431">
        <f>IF(VIPcric_1!D2406="","",VIPcric_1!D2406)</f>
        <v>2899438</v>
      </c>
      <c r="E2431">
        <f>IF(VIPcric_1!E2406="","",VIPcric_1!E2406)</f>
        <v>25435</v>
      </c>
      <c r="F2431">
        <f>IF(VIPcric_1!F2406="","",VIPcric_1!F2406)</f>
        <v>8506</v>
      </c>
      <c r="G2431">
        <f>IF(VIPcric_1!G2406="","",VIPcric_1!G2406)</f>
        <v>24661224463</v>
      </c>
      <c r="H2431">
        <f>IF(VIPcric_1!H2406="","",VIPcric_1!H2406)</f>
        <v>1.68</v>
      </c>
      <c r="I2431" t="str">
        <f>IF(VIPcric_1!M2406="","",VIPcric_1!M2406)</f>
        <v>CRIC-西宁-市场监测.商品房市场.项目累计.供求.xlsx</v>
      </c>
    </row>
    <row r="2432" spans="1:9">
      <c r="A2432" t="str">
        <f>IF(VIPcric_1!A2407="","",VIPcric_1!A2407)</f>
        <v>汇总</v>
      </c>
      <c r="B2432">
        <f>IF(VIPcric_1!B2407="","",VIPcric_1!B2407)</f>
        <v>14697041</v>
      </c>
      <c r="C2432">
        <f>IF(VIPcric_1!C2407="","",VIPcric_1!C2407)</f>
        <v>128408</v>
      </c>
      <c r="D2432">
        <f>IF(VIPcric_1!D2407="","",VIPcric_1!D2407)</f>
        <v>11267242</v>
      </c>
      <c r="E2432">
        <f>IF(VIPcric_1!E2407="","",VIPcric_1!E2407)</f>
        <v>98726</v>
      </c>
      <c r="F2432">
        <f>IF(VIPcric_1!F2407="","",VIPcric_1!F2407)</f>
        <v>8969</v>
      </c>
      <c r="G2432">
        <f>IF(VIPcric_1!G2407="","",VIPcric_1!G2407)</f>
        <v>101058212857</v>
      </c>
      <c r="H2432">
        <f>IF(VIPcric_1!H2407="","",VIPcric_1!H2407)</f>
        <v>1.3</v>
      </c>
      <c r="I2432" t="str">
        <f>IF(VIPcric_1!M2407="","",VIPcric_1!M2407)</f>
        <v>CRIC-西宁-市场监测.商品房市场.项目累计.供求.xlsx</v>
      </c>
    </row>
    <row r="2433" spans="1:9">
      <c r="A2433" t="str">
        <f>IF(VIPcric_1!A2408="","",VIPcric_1!A2408)</f>
        <v/>
      </c>
      <c r="B2433" t="str">
        <f>IF(VIPcric_1!B2408="","",VIPcric_1!B2408)</f>
        <v/>
      </c>
      <c r="C2433" t="str">
        <f>IF(VIPcric_1!C2408="","",VIPcric_1!C2408)</f>
        <v/>
      </c>
      <c r="D2433" t="str">
        <f>IF(VIPcric_1!D2408="","",VIPcric_1!D2408)</f>
        <v/>
      </c>
      <c r="E2433" t="str">
        <f>IF(VIPcric_1!E2408="","",VIPcric_1!E2408)</f>
        <v/>
      </c>
      <c r="F2433" t="str">
        <f>IF(VIPcric_1!F2408="","",VIPcric_1!F2408)</f>
        <v/>
      </c>
      <c r="G2433" t="str">
        <f>IF(VIPcric_1!G2408="","",VIPcric_1!G2408)</f>
        <v/>
      </c>
      <c r="H2433" t="str">
        <f>IF(VIPcric_1!H2408="","",VIPcric_1!H2408)</f>
        <v/>
      </c>
      <c r="I2433" t="str">
        <f>IF(VIPcric_1!M2408="","",VIPcric_1!M2408)</f>
        <v/>
      </c>
    </row>
    <row r="2434" spans="1:9">
      <c r="A2434" t="str">
        <f>IF(VIPcric_1!A2409="","",VIPcric_1!A2409)</f>
        <v/>
      </c>
      <c r="B2434" t="str">
        <f>IF(VIPcric_1!B2409="","",VIPcric_1!B2409)</f>
        <v/>
      </c>
      <c r="C2434" t="str">
        <f>IF(VIPcric_1!C2409="","",VIPcric_1!C2409)</f>
        <v/>
      </c>
      <c r="D2434" t="str">
        <f>IF(VIPcric_1!D2409="","",VIPcric_1!D2409)</f>
        <v/>
      </c>
      <c r="E2434" t="str">
        <f>IF(VIPcric_1!E2409="","",VIPcric_1!E2409)</f>
        <v/>
      </c>
      <c r="F2434" t="str">
        <f>IF(VIPcric_1!F2409="","",VIPcric_1!F2409)</f>
        <v/>
      </c>
      <c r="G2434" t="str">
        <f>IF(VIPcric_1!G2409="","",VIPcric_1!G2409)</f>
        <v/>
      </c>
      <c r="H2434" t="str">
        <f>IF(VIPcric_1!H2409="","",VIPcric_1!H2409)</f>
        <v/>
      </c>
      <c r="I2434" t="str">
        <f>IF(VIPcric_1!M2409="","",VIPcric_1!M2409)</f>
        <v>CRIC-西宁-市场监测.商品房市场.项目累计.库存.xlsx</v>
      </c>
    </row>
    <row r="2435" spans="1:9">
      <c r="A2435" t="str">
        <f>IF(VIPcric_1!A2410="","",VIPcric_1!A2410)</f>
        <v>时间(年)</v>
      </c>
      <c r="B2435" t="str">
        <f>IF(VIPcric_1!B2410="","",VIPcric_1!B2410)</f>
        <v>库存面积(㎡)</v>
      </c>
      <c r="C2435" t="str">
        <f>IF(VIPcric_1!C2410="","",VIPcric_1!C2410)</f>
        <v>库存套数(套)</v>
      </c>
      <c r="D2435" t="str">
        <f>IF(VIPcric_1!D2410="","",VIPcric_1!D2410)</f>
        <v>去化周期12'(月)</v>
      </c>
      <c r="E2435" t="str">
        <f>IF(VIPcric_1!E2410="","",VIPcric_1!E2410)</f>
        <v/>
      </c>
      <c r="F2435" t="str">
        <f>IF(VIPcric_1!F2410="","",VIPcric_1!F2410)</f>
        <v/>
      </c>
      <c r="G2435" t="str">
        <f>IF(VIPcric_1!G2410="","",VIPcric_1!G2410)</f>
        <v/>
      </c>
      <c r="H2435" t="str">
        <f>IF(VIPcric_1!H2410="","",VIPcric_1!H2410)</f>
        <v/>
      </c>
      <c r="I2435" t="str">
        <f>IF(VIPcric_1!M2410="","",VIPcric_1!M2410)</f>
        <v>CRIC-西宁-市场监测.商品房市场.项目累计.库存.xlsx</v>
      </c>
    </row>
    <row r="2436" spans="1:9">
      <c r="A2436" t="str">
        <f>IF(VIPcric_1!A2411="","",VIPcric_1!A2411)</f>
        <v>2023年</v>
      </c>
      <c r="B2436">
        <f>IF(VIPcric_1!B2411="","",VIPcric_1!B2411)</f>
        <v>2677875</v>
      </c>
      <c r="C2436">
        <f>IF(VIPcric_1!C2411="","",VIPcric_1!C2411)</f>
        <v>22425</v>
      </c>
      <c r="D2436">
        <f>IF(VIPcric_1!D2411="","",VIPcric_1!D2411)</f>
        <v>25.7</v>
      </c>
      <c r="E2436" t="str">
        <f>IF(VIPcric_1!E2411="","",VIPcric_1!E2411)</f>
        <v/>
      </c>
      <c r="F2436" t="str">
        <f>IF(VIPcric_1!F2411="","",VIPcric_1!F2411)</f>
        <v/>
      </c>
      <c r="G2436" t="str">
        <f>IF(VIPcric_1!G2411="","",VIPcric_1!G2411)</f>
        <v/>
      </c>
      <c r="H2436" t="str">
        <f>IF(VIPcric_1!H2411="","",VIPcric_1!H2411)</f>
        <v/>
      </c>
      <c r="I2436" t="str">
        <f>IF(VIPcric_1!M2411="","",VIPcric_1!M2411)</f>
        <v>CRIC-西宁-市场监测.商品房市场.项目累计.库存.xlsx</v>
      </c>
    </row>
    <row r="2437" spans="1:9">
      <c r="A2437" t="str">
        <f>IF(VIPcric_1!A2412="","",VIPcric_1!A2412)</f>
        <v>2022年</v>
      </c>
      <c r="B2437">
        <f>IF(VIPcric_1!B2412="","",VIPcric_1!B2412)</f>
        <v>3305126</v>
      </c>
      <c r="C2437">
        <f>IF(VIPcric_1!C2412="","",VIPcric_1!C2412)</f>
        <v>28115</v>
      </c>
      <c r="D2437">
        <f>IF(VIPcric_1!D2412="","",VIPcric_1!D2412)</f>
        <v>36.700000000000003</v>
      </c>
      <c r="E2437" t="str">
        <f>IF(VIPcric_1!E2412="","",VIPcric_1!E2412)</f>
        <v/>
      </c>
      <c r="F2437" t="str">
        <f>IF(VIPcric_1!F2412="","",VIPcric_1!F2412)</f>
        <v/>
      </c>
      <c r="G2437" t="str">
        <f>IF(VIPcric_1!G2412="","",VIPcric_1!G2412)</f>
        <v/>
      </c>
      <c r="H2437" t="str">
        <f>IF(VIPcric_1!H2412="","",VIPcric_1!H2412)</f>
        <v/>
      </c>
      <c r="I2437" t="str">
        <f>IF(VIPcric_1!M2412="","",VIPcric_1!M2412)</f>
        <v>CRIC-西宁-市场监测.商品房市场.项目累计.库存.xlsx</v>
      </c>
    </row>
    <row r="2438" spans="1:9">
      <c r="A2438" t="str">
        <f>IF(VIPcric_1!A2413="","",VIPcric_1!A2413)</f>
        <v>2021年</v>
      </c>
      <c r="B2438">
        <f>IF(VIPcric_1!B2413="","",VIPcric_1!B2413)</f>
        <v>3205457</v>
      </c>
      <c r="C2438">
        <f>IF(VIPcric_1!C2413="","",VIPcric_1!C2413)</f>
        <v>26953</v>
      </c>
      <c r="D2438">
        <f>IF(VIPcric_1!D2413="","",VIPcric_1!D2413)</f>
        <v>18.3</v>
      </c>
      <c r="E2438" t="str">
        <f>IF(VIPcric_1!E2413="","",VIPcric_1!E2413)</f>
        <v/>
      </c>
      <c r="F2438" t="str">
        <f>IF(VIPcric_1!F2413="","",VIPcric_1!F2413)</f>
        <v/>
      </c>
      <c r="G2438" t="str">
        <f>IF(VIPcric_1!G2413="","",VIPcric_1!G2413)</f>
        <v/>
      </c>
      <c r="H2438" t="str">
        <f>IF(VIPcric_1!H2413="","",VIPcric_1!H2413)</f>
        <v/>
      </c>
      <c r="I2438" t="str">
        <f>IF(VIPcric_1!M2413="","",VIPcric_1!M2413)</f>
        <v>CRIC-西宁-市场监测.商品房市场.项目累计.库存.xlsx</v>
      </c>
    </row>
    <row r="2439" spans="1:9">
      <c r="A2439" t="str">
        <f>IF(VIPcric_1!A2414="","",VIPcric_1!A2414)</f>
        <v/>
      </c>
      <c r="B2439" t="str">
        <f>IF(VIPcric_1!B2414="","",VIPcric_1!B2414)</f>
        <v/>
      </c>
      <c r="C2439" t="str">
        <f>IF(VIPcric_1!C2414="","",VIPcric_1!C2414)</f>
        <v/>
      </c>
      <c r="D2439" t="str">
        <f>IF(VIPcric_1!D2414="","",VIPcric_1!D2414)</f>
        <v/>
      </c>
      <c r="E2439" t="str">
        <f>IF(VIPcric_1!E2414="","",VIPcric_1!E2414)</f>
        <v/>
      </c>
      <c r="F2439" t="str">
        <f>IF(VIPcric_1!F2414="","",VIPcric_1!F2414)</f>
        <v/>
      </c>
      <c r="G2439" t="str">
        <f>IF(VIPcric_1!G2414="","",VIPcric_1!G2414)</f>
        <v/>
      </c>
      <c r="H2439" t="str">
        <f>IF(VIPcric_1!H2414="","",VIPcric_1!H2414)</f>
        <v/>
      </c>
      <c r="I2439" t="str">
        <f>IF(VIPcric_1!M2414="","",VIPcric_1!M2414)</f>
        <v/>
      </c>
    </row>
    <row r="2440" spans="1:9">
      <c r="A2440" t="str">
        <f>IF(VIPcric_1!A2415="","",VIPcric_1!A2415)</f>
        <v/>
      </c>
      <c r="B2440" t="str">
        <f>IF(VIPcric_1!B2415="","",VIPcric_1!B2415)</f>
        <v/>
      </c>
      <c r="C2440" t="str">
        <f>IF(VIPcric_1!C2415="","",VIPcric_1!C2415)</f>
        <v/>
      </c>
      <c r="D2440" t="str">
        <f>IF(VIPcric_1!D2415="","",VIPcric_1!D2415)</f>
        <v/>
      </c>
      <c r="E2440" t="str">
        <f>IF(VIPcric_1!E2415="","",VIPcric_1!E2415)</f>
        <v/>
      </c>
      <c r="F2440" t="str">
        <f>IF(VIPcric_1!F2415="","",VIPcric_1!F2415)</f>
        <v/>
      </c>
      <c r="G2440" t="str">
        <f>IF(VIPcric_1!G2415="","",VIPcric_1!G2415)</f>
        <v/>
      </c>
      <c r="H2440" t="str">
        <f>IF(VIPcric_1!H2415="","",VIPcric_1!H2415)</f>
        <v/>
      </c>
      <c r="I2440" t="str">
        <f>IF(VIPcric_1!M2415="","",VIPcric_1!M2415)</f>
        <v>CRIC-西安-市场监测.商品房市场.项目累计.供求.xlsx</v>
      </c>
    </row>
    <row r="2441" spans="1:9">
      <c r="A2441" t="str">
        <f>IF(VIPcric_1!A2416="","",VIPcric_1!A2416)</f>
        <v>时间(年)</v>
      </c>
      <c r="B2441" t="str">
        <f>IF(VIPcric_1!B2416="","",VIPcric_1!B2416)</f>
        <v>供应面积(㎡)</v>
      </c>
      <c r="C2441" t="str">
        <f>IF(VIPcric_1!C2416="","",VIPcric_1!C2416)</f>
        <v>供应套数(套)</v>
      </c>
      <c r="D2441" t="str">
        <f>IF(VIPcric_1!D2416="","",VIPcric_1!D2416)</f>
        <v>成交面积(㎡)</v>
      </c>
      <c r="E2441" t="str">
        <f>IF(VIPcric_1!E2416="","",VIPcric_1!E2416)</f>
        <v>成交套数(套)</v>
      </c>
      <c r="F2441" t="str">
        <f>IF(VIPcric_1!F2416="","",VIPcric_1!F2416)</f>
        <v>成交均价(元/㎡)</v>
      </c>
      <c r="G2441" t="str">
        <f>IF(VIPcric_1!G2416="","",VIPcric_1!G2416)</f>
        <v>成交金额(元)</v>
      </c>
      <c r="H2441" t="str">
        <f>IF(VIPcric_1!H2416="","",VIPcric_1!H2416)</f>
        <v>供求比</v>
      </c>
      <c r="I2441" t="str">
        <f>IF(VIPcric_1!M2416="","",VIPcric_1!M2416)</f>
        <v>CRIC-西安-市场监测.商品房市场.项目累计.供求.xlsx</v>
      </c>
    </row>
    <row r="2442" spans="1:9">
      <c r="A2442" t="str">
        <f>IF(VIPcric_1!A2417="","",VIPcric_1!A2417)</f>
        <v>2024年</v>
      </c>
      <c r="B2442">
        <f>IF(VIPcric_1!B2417="","",VIPcric_1!B2417)</f>
        <v>625051</v>
      </c>
      <c r="C2442">
        <f>IF(VIPcric_1!C2417="","",VIPcric_1!C2417)</f>
        <v>4255</v>
      </c>
      <c r="D2442">
        <f>IF(VIPcric_1!D2417="","",VIPcric_1!D2417)</f>
        <v>759692</v>
      </c>
      <c r="E2442">
        <f>IF(VIPcric_1!E2417="","",VIPcric_1!E2417)</f>
        <v>5537</v>
      </c>
      <c r="F2442">
        <f>IF(VIPcric_1!F2417="","",VIPcric_1!F2417)</f>
        <v>19108</v>
      </c>
      <c r="G2442">
        <f>IF(VIPcric_1!G2417="","",VIPcric_1!G2417)</f>
        <v>14516384276</v>
      </c>
      <c r="H2442">
        <f>IF(VIPcric_1!H2417="","",VIPcric_1!H2417)</f>
        <v>0.82</v>
      </c>
      <c r="I2442" t="str">
        <f>IF(VIPcric_1!M2417="","",VIPcric_1!M2417)</f>
        <v>CRIC-西安-市场监测.商品房市场.项目累计.供求.xlsx</v>
      </c>
    </row>
    <row r="2443" spans="1:9">
      <c r="A2443" t="str">
        <f>IF(VIPcric_1!A2418="","",VIPcric_1!A2418)</f>
        <v>2023年</v>
      </c>
      <c r="B2443">
        <f>IF(VIPcric_1!B2418="","",VIPcric_1!B2418)</f>
        <v>10813001</v>
      </c>
      <c r="C2443">
        <f>IF(VIPcric_1!C2418="","",VIPcric_1!C2418)</f>
        <v>81773</v>
      </c>
      <c r="D2443">
        <f>IF(VIPcric_1!D2418="","",VIPcric_1!D2418)</f>
        <v>10635690</v>
      </c>
      <c r="E2443">
        <f>IF(VIPcric_1!E2418="","",VIPcric_1!E2418)</f>
        <v>78994</v>
      </c>
      <c r="F2443">
        <f>IF(VIPcric_1!F2418="","",VIPcric_1!F2418)</f>
        <v>18151</v>
      </c>
      <c r="G2443">
        <f>IF(VIPcric_1!G2418="","",VIPcric_1!G2418)</f>
        <v>193052890999</v>
      </c>
      <c r="H2443">
        <f>IF(VIPcric_1!H2418="","",VIPcric_1!H2418)</f>
        <v>1.02</v>
      </c>
      <c r="I2443" t="str">
        <f>IF(VIPcric_1!M2418="","",VIPcric_1!M2418)</f>
        <v>CRIC-西安-市场监测.商品房市场.项目累计.供求.xlsx</v>
      </c>
    </row>
    <row r="2444" spans="1:9">
      <c r="A2444" t="str">
        <f>IF(VIPcric_1!A2419="","",VIPcric_1!A2419)</f>
        <v>2022年</v>
      </c>
      <c r="B2444">
        <f>IF(VIPcric_1!B2419="","",VIPcric_1!B2419)</f>
        <v>10687324</v>
      </c>
      <c r="C2444">
        <f>IF(VIPcric_1!C2419="","",VIPcric_1!C2419)</f>
        <v>80447</v>
      </c>
      <c r="D2444">
        <f>IF(VIPcric_1!D2419="","",VIPcric_1!D2419)</f>
        <v>9135616</v>
      </c>
      <c r="E2444">
        <f>IF(VIPcric_1!E2419="","",VIPcric_1!E2419)</f>
        <v>68170</v>
      </c>
      <c r="F2444">
        <f>IF(VIPcric_1!F2419="","",VIPcric_1!F2419)</f>
        <v>16934</v>
      </c>
      <c r="G2444">
        <f>IF(VIPcric_1!G2419="","",VIPcric_1!G2419)</f>
        <v>154699498529</v>
      </c>
      <c r="H2444">
        <f>IF(VIPcric_1!H2419="","",VIPcric_1!H2419)</f>
        <v>1.17</v>
      </c>
      <c r="I2444" t="str">
        <f>IF(VIPcric_1!M2419="","",VIPcric_1!M2419)</f>
        <v>CRIC-西安-市场监测.商品房市场.项目累计.供求.xlsx</v>
      </c>
    </row>
    <row r="2445" spans="1:9">
      <c r="A2445" t="str">
        <f>IF(VIPcric_1!A2420="","",VIPcric_1!A2420)</f>
        <v>2021年</v>
      </c>
      <c r="B2445">
        <f>IF(VIPcric_1!B2420="","",VIPcric_1!B2420)</f>
        <v>12206623</v>
      </c>
      <c r="C2445">
        <f>IF(VIPcric_1!C2420="","",VIPcric_1!C2420)</f>
        <v>94183</v>
      </c>
      <c r="D2445">
        <f>IF(VIPcric_1!D2420="","",VIPcric_1!D2420)</f>
        <v>13034627</v>
      </c>
      <c r="E2445">
        <f>IF(VIPcric_1!E2420="","",VIPcric_1!E2420)</f>
        <v>101824</v>
      </c>
      <c r="F2445">
        <f>IF(VIPcric_1!F2420="","",VIPcric_1!F2420)</f>
        <v>14364</v>
      </c>
      <c r="G2445">
        <f>IF(VIPcric_1!G2420="","",VIPcric_1!G2420)</f>
        <v>187229611355</v>
      </c>
      <c r="H2445">
        <f>IF(VIPcric_1!H2420="","",VIPcric_1!H2420)</f>
        <v>0.94</v>
      </c>
      <c r="I2445" t="str">
        <f>IF(VIPcric_1!M2420="","",VIPcric_1!M2420)</f>
        <v>CRIC-西安-市场监测.商品房市场.项目累计.供求.xlsx</v>
      </c>
    </row>
    <row r="2446" spans="1:9">
      <c r="A2446" t="str">
        <f>IF(VIPcric_1!A2421="","",VIPcric_1!A2421)</f>
        <v>2020年</v>
      </c>
      <c r="B2446">
        <f>IF(VIPcric_1!B2421="","",VIPcric_1!B2421)</f>
        <v>9885045</v>
      </c>
      <c r="C2446">
        <f>IF(VIPcric_1!C2421="","",VIPcric_1!C2421)</f>
        <v>80203</v>
      </c>
      <c r="D2446">
        <f>IF(VIPcric_1!D2421="","",VIPcric_1!D2421)</f>
        <v>10471904</v>
      </c>
      <c r="E2446">
        <f>IF(VIPcric_1!E2421="","",VIPcric_1!E2421)</f>
        <v>84427</v>
      </c>
      <c r="F2446">
        <f>IF(VIPcric_1!F2421="","",VIPcric_1!F2421)</f>
        <v>15205</v>
      </c>
      <c r="G2446">
        <f>IF(VIPcric_1!G2421="","",VIPcric_1!G2421)</f>
        <v>159224056222</v>
      </c>
      <c r="H2446">
        <f>IF(VIPcric_1!H2421="","",VIPcric_1!H2421)</f>
        <v>0.94</v>
      </c>
      <c r="I2446" t="str">
        <f>IF(VIPcric_1!M2421="","",VIPcric_1!M2421)</f>
        <v>CRIC-西安-市场监测.商品房市场.项目累计.供求.xlsx</v>
      </c>
    </row>
    <row r="2447" spans="1:9">
      <c r="A2447" t="str">
        <f>IF(VIPcric_1!A2422="","",VIPcric_1!A2422)</f>
        <v>2019年</v>
      </c>
      <c r="B2447">
        <f>IF(VIPcric_1!B2422="","",VIPcric_1!B2422)</f>
        <v>11394587</v>
      </c>
      <c r="C2447">
        <f>IF(VIPcric_1!C2422="","",VIPcric_1!C2422)</f>
        <v>90678</v>
      </c>
      <c r="D2447">
        <f>IF(VIPcric_1!D2422="","",VIPcric_1!D2422)</f>
        <v>12555808</v>
      </c>
      <c r="E2447">
        <f>IF(VIPcric_1!E2422="","",VIPcric_1!E2422)</f>
        <v>101777</v>
      </c>
      <c r="F2447">
        <f>IF(VIPcric_1!F2422="","",VIPcric_1!F2422)</f>
        <v>13968</v>
      </c>
      <c r="G2447">
        <f>IF(VIPcric_1!G2422="","",VIPcric_1!G2422)</f>
        <v>175374779110</v>
      </c>
      <c r="H2447">
        <f>IF(VIPcric_1!H2422="","",VIPcric_1!H2422)</f>
        <v>0.91</v>
      </c>
      <c r="I2447" t="str">
        <f>IF(VIPcric_1!M2422="","",VIPcric_1!M2422)</f>
        <v>CRIC-西安-市场监测.商品房市场.项目累计.供求.xlsx</v>
      </c>
    </row>
    <row r="2448" spans="1:9">
      <c r="A2448" t="str">
        <f>IF(VIPcric_1!A2423="","",VIPcric_1!A2423)</f>
        <v>汇总</v>
      </c>
      <c r="B2448">
        <f>IF(VIPcric_1!B2423="","",VIPcric_1!B2423)</f>
        <v>55611630</v>
      </c>
      <c r="C2448">
        <f>IF(VIPcric_1!C2423="","",VIPcric_1!C2423)</f>
        <v>431539</v>
      </c>
      <c r="D2448">
        <f>IF(VIPcric_1!D2423="","",VIPcric_1!D2423)</f>
        <v>56593336</v>
      </c>
      <c r="E2448">
        <f>IF(VIPcric_1!E2423="","",VIPcric_1!E2423)</f>
        <v>440729</v>
      </c>
      <c r="F2448">
        <f>IF(VIPcric_1!F2423="","",VIPcric_1!F2423)</f>
        <v>15622</v>
      </c>
      <c r="G2448">
        <f>IF(VIPcric_1!G2423="","",VIPcric_1!G2423)</f>
        <v>884097220491</v>
      </c>
      <c r="H2448">
        <f>IF(VIPcric_1!H2423="","",VIPcric_1!H2423)</f>
        <v>0.98</v>
      </c>
      <c r="I2448" t="str">
        <f>IF(VIPcric_1!M2423="","",VIPcric_1!M2423)</f>
        <v>CRIC-西安-市场监测.商品房市场.项目累计.供求.xlsx</v>
      </c>
    </row>
    <row r="2449" spans="1:9">
      <c r="A2449" t="str">
        <f>IF(VIPcric_1!A2424="","",VIPcric_1!A2424)</f>
        <v/>
      </c>
      <c r="B2449" t="str">
        <f>IF(VIPcric_1!B2424="","",VIPcric_1!B2424)</f>
        <v/>
      </c>
      <c r="C2449" t="str">
        <f>IF(VIPcric_1!C2424="","",VIPcric_1!C2424)</f>
        <v/>
      </c>
      <c r="D2449" t="str">
        <f>IF(VIPcric_1!D2424="","",VIPcric_1!D2424)</f>
        <v/>
      </c>
      <c r="E2449" t="str">
        <f>IF(VIPcric_1!E2424="","",VIPcric_1!E2424)</f>
        <v/>
      </c>
      <c r="F2449" t="str">
        <f>IF(VIPcric_1!F2424="","",VIPcric_1!F2424)</f>
        <v/>
      </c>
      <c r="G2449" t="str">
        <f>IF(VIPcric_1!G2424="","",VIPcric_1!G2424)</f>
        <v/>
      </c>
      <c r="H2449" t="str">
        <f>IF(VIPcric_1!H2424="","",VIPcric_1!H2424)</f>
        <v/>
      </c>
      <c r="I2449" t="str">
        <f>IF(VIPcric_1!M2424="","",VIPcric_1!M2424)</f>
        <v/>
      </c>
    </row>
    <row r="2450" spans="1:9">
      <c r="A2450" t="str">
        <f>IF(VIPcric_1!A2425="","",VIPcric_1!A2425)</f>
        <v/>
      </c>
      <c r="B2450" t="str">
        <f>IF(VIPcric_1!B2425="","",VIPcric_1!B2425)</f>
        <v/>
      </c>
      <c r="C2450" t="str">
        <f>IF(VIPcric_1!C2425="","",VIPcric_1!C2425)</f>
        <v/>
      </c>
      <c r="D2450" t="str">
        <f>IF(VIPcric_1!D2425="","",VIPcric_1!D2425)</f>
        <v/>
      </c>
      <c r="E2450" t="str">
        <f>IF(VIPcric_1!E2425="","",VIPcric_1!E2425)</f>
        <v/>
      </c>
      <c r="F2450" t="str">
        <f>IF(VIPcric_1!F2425="","",VIPcric_1!F2425)</f>
        <v/>
      </c>
      <c r="G2450" t="str">
        <f>IF(VIPcric_1!G2425="","",VIPcric_1!G2425)</f>
        <v/>
      </c>
      <c r="H2450" t="str">
        <f>IF(VIPcric_1!H2425="","",VIPcric_1!H2425)</f>
        <v/>
      </c>
      <c r="I2450" t="str">
        <f>IF(VIPcric_1!M2425="","",VIPcric_1!M2425)</f>
        <v>CRIC-西安-市场监测.商品房市场.项目累计.库存.xlsx</v>
      </c>
    </row>
    <row r="2451" spans="1:9">
      <c r="A2451" t="str">
        <f>IF(VIPcric_1!A2426="","",VIPcric_1!A2426)</f>
        <v>时间(年)</v>
      </c>
      <c r="B2451" t="str">
        <f>IF(VIPcric_1!B2426="","",VIPcric_1!B2426)</f>
        <v>库存面积(㎡)</v>
      </c>
      <c r="C2451" t="str">
        <f>IF(VIPcric_1!C2426="","",VIPcric_1!C2426)</f>
        <v>库存套数(套)</v>
      </c>
      <c r="D2451" t="str">
        <f>IF(VIPcric_1!D2426="","",VIPcric_1!D2426)</f>
        <v>去化周期12'(月)</v>
      </c>
      <c r="E2451" t="str">
        <f>IF(VIPcric_1!E2426="","",VIPcric_1!E2426)</f>
        <v>去化周期24'(月)</v>
      </c>
      <c r="F2451" t="str">
        <f>IF(VIPcric_1!F2426="","",VIPcric_1!F2426)</f>
        <v/>
      </c>
      <c r="G2451" t="str">
        <f>IF(VIPcric_1!G2426="","",VIPcric_1!G2426)</f>
        <v/>
      </c>
      <c r="H2451" t="str">
        <f>IF(VIPcric_1!H2426="","",VIPcric_1!H2426)</f>
        <v/>
      </c>
      <c r="I2451" t="str">
        <f>IF(VIPcric_1!M2426="","",VIPcric_1!M2426)</f>
        <v>CRIC-西安-市场监测.商品房市场.项目累计.库存.xlsx</v>
      </c>
    </row>
    <row r="2452" spans="1:9">
      <c r="A2452" t="str">
        <f>IF(VIPcric_1!A2427="","",VIPcric_1!A2427)</f>
        <v>2024年</v>
      </c>
      <c r="B2452">
        <f>IF(VIPcric_1!B2427="","",VIPcric_1!B2427)</f>
        <v>10776416</v>
      </c>
      <c r="C2452">
        <f>IF(VIPcric_1!C2427="","",VIPcric_1!C2427)</f>
        <v>84520</v>
      </c>
      <c r="D2452">
        <f>IF(VIPcric_1!D2427="","",VIPcric_1!D2427)</f>
        <v>13.6</v>
      </c>
      <c r="E2452">
        <f>IF(VIPcric_1!E2427="","",VIPcric_1!E2427)</f>
        <v>14.7</v>
      </c>
      <c r="F2452" t="str">
        <f>IF(VIPcric_1!F2427="","",VIPcric_1!F2427)</f>
        <v/>
      </c>
      <c r="G2452" t="str">
        <f>IF(VIPcric_1!G2427="","",VIPcric_1!G2427)</f>
        <v/>
      </c>
      <c r="H2452" t="str">
        <f>IF(VIPcric_1!H2427="","",VIPcric_1!H2427)</f>
        <v/>
      </c>
      <c r="I2452" t="str">
        <f>IF(VIPcric_1!M2427="","",VIPcric_1!M2427)</f>
        <v>CRIC-西安-市场监测.商品房市场.项目累计.库存.xlsx</v>
      </c>
    </row>
    <row r="2453" spans="1:9">
      <c r="A2453" t="str">
        <f>IF(VIPcric_1!A2428="","",VIPcric_1!A2428)</f>
        <v>2023年</v>
      </c>
      <c r="B2453">
        <f>IF(VIPcric_1!B2428="","",VIPcric_1!B2428)</f>
        <v>6853100</v>
      </c>
      <c r="C2453">
        <f>IF(VIPcric_1!C2428="","",VIPcric_1!C2428)</f>
        <v>53852</v>
      </c>
      <c r="D2453">
        <f>IF(VIPcric_1!D2428="","",VIPcric_1!D2428)</f>
        <v>8.8000000000000007</v>
      </c>
      <c r="E2453">
        <f>IF(VIPcric_1!E2428="","",VIPcric_1!E2428)</f>
        <v>9.5</v>
      </c>
      <c r="F2453" t="str">
        <f>IF(VIPcric_1!F2428="","",VIPcric_1!F2428)</f>
        <v/>
      </c>
      <c r="G2453" t="str">
        <f>IF(VIPcric_1!G2428="","",VIPcric_1!G2428)</f>
        <v/>
      </c>
      <c r="H2453" t="str">
        <f>IF(VIPcric_1!H2428="","",VIPcric_1!H2428)</f>
        <v/>
      </c>
      <c r="I2453" t="str">
        <f>IF(VIPcric_1!M2428="","",VIPcric_1!M2428)</f>
        <v>CRIC-西安-市场监测.商品房市场.项目累计.库存.xlsx</v>
      </c>
    </row>
    <row r="2454" spans="1:9">
      <c r="A2454" t="str">
        <f>IF(VIPcric_1!A2429="","",VIPcric_1!A2429)</f>
        <v>2022年</v>
      </c>
      <c r="B2454">
        <f>IF(VIPcric_1!B2429="","",VIPcric_1!B2429)</f>
        <v>9699649</v>
      </c>
      <c r="C2454">
        <f>IF(VIPcric_1!C2429="","",VIPcric_1!C2429)</f>
        <v>78670</v>
      </c>
      <c r="D2454">
        <f>IF(VIPcric_1!D2429="","",VIPcric_1!D2429)</f>
        <v>14.8</v>
      </c>
      <c r="E2454">
        <f>IF(VIPcric_1!E2429="","",VIPcric_1!E2429)</f>
        <v>13.6</v>
      </c>
      <c r="F2454" t="str">
        <f>IF(VIPcric_1!F2429="","",VIPcric_1!F2429)</f>
        <v/>
      </c>
      <c r="G2454" t="str">
        <f>IF(VIPcric_1!G2429="","",VIPcric_1!G2429)</f>
        <v/>
      </c>
      <c r="H2454" t="str">
        <f>IF(VIPcric_1!H2429="","",VIPcric_1!H2429)</f>
        <v/>
      </c>
      <c r="I2454" t="str">
        <f>IF(VIPcric_1!M2429="","",VIPcric_1!M2429)</f>
        <v>CRIC-西安-市场监测.商品房市场.项目累计.库存.xlsx</v>
      </c>
    </row>
    <row r="2455" spans="1:9">
      <c r="A2455" t="str">
        <f>IF(VIPcric_1!A2430="","",VIPcric_1!A2430)</f>
        <v>2021年</v>
      </c>
      <c r="B2455">
        <f>IF(VIPcric_1!B2430="","",VIPcric_1!B2430)</f>
        <v>8238867</v>
      </c>
      <c r="C2455">
        <f>IF(VIPcric_1!C2430="","",VIPcric_1!C2430)</f>
        <v>67227</v>
      </c>
      <c r="D2455">
        <f>IF(VIPcric_1!D2430="","",VIPcric_1!D2430)</f>
        <v>10.6</v>
      </c>
      <c r="E2455">
        <f>IF(VIPcric_1!E2430="","",VIPcric_1!E2430)</f>
        <v>10</v>
      </c>
      <c r="F2455" t="str">
        <f>IF(VIPcric_1!F2430="","",VIPcric_1!F2430)</f>
        <v/>
      </c>
      <c r="G2455" t="str">
        <f>IF(VIPcric_1!G2430="","",VIPcric_1!G2430)</f>
        <v/>
      </c>
      <c r="H2455" t="str">
        <f>IF(VIPcric_1!H2430="","",VIPcric_1!H2430)</f>
        <v/>
      </c>
      <c r="I2455" t="str">
        <f>IF(VIPcric_1!M2430="","",VIPcric_1!M2430)</f>
        <v>CRIC-西安-市场监测.商品房市场.项目累计.库存.xlsx</v>
      </c>
    </row>
    <row r="2456" spans="1:9">
      <c r="A2456" t="str">
        <f>IF(VIPcric_1!A2431="","",VIPcric_1!A2431)</f>
        <v>2020年</v>
      </c>
      <c r="B2456">
        <f>IF(VIPcric_1!B2431="","",VIPcric_1!B2431)</f>
        <v>6895403</v>
      </c>
      <c r="C2456">
        <f>IF(VIPcric_1!C2431="","",VIPcric_1!C2431)</f>
        <v>57286</v>
      </c>
      <c r="D2456">
        <f>IF(VIPcric_1!D2431="","",VIPcric_1!D2431)</f>
        <v>7.9</v>
      </c>
      <c r="E2456">
        <f>IF(VIPcric_1!E2431="","",VIPcric_1!E2431)</f>
        <v>7.2</v>
      </c>
      <c r="F2456" t="str">
        <f>IF(VIPcric_1!F2431="","",VIPcric_1!F2431)</f>
        <v/>
      </c>
      <c r="G2456" t="str">
        <f>IF(VIPcric_1!G2431="","",VIPcric_1!G2431)</f>
        <v/>
      </c>
      <c r="H2456" t="str">
        <f>IF(VIPcric_1!H2431="","",VIPcric_1!H2431)</f>
        <v/>
      </c>
      <c r="I2456" t="str">
        <f>IF(VIPcric_1!M2431="","",VIPcric_1!M2431)</f>
        <v>CRIC-西安-市场监测.商品房市场.项目累计.库存.xlsx</v>
      </c>
    </row>
    <row r="2457" spans="1:9">
      <c r="A2457" t="str">
        <f>IF(VIPcric_1!A2432="","",VIPcric_1!A2432)</f>
        <v>2019年</v>
      </c>
      <c r="B2457">
        <f>IF(VIPcric_1!B2432="","",VIPcric_1!B2432)</f>
        <v>7485390</v>
      </c>
      <c r="C2457">
        <f>IF(VIPcric_1!C2432="","",VIPcric_1!C2432)</f>
        <v>64416</v>
      </c>
      <c r="D2457">
        <f>IF(VIPcric_1!D2432="","",VIPcric_1!D2432)</f>
        <v>7.2</v>
      </c>
      <c r="E2457">
        <f>IF(VIPcric_1!E2432="","",VIPcric_1!E2432)</f>
        <v>6.2</v>
      </c>
      <c r="F2457" t="str">
        <f>IF(VIPcric_1!F2432="","",VIPcric_1!F2432)</f>
        <v/>
      </c>
      <c r="G2457" t="str">
        <f>IF(VIPcric_1!G2432="","",VIPcric_1!G2432)</f>
        <v/>
      </c>
      <c r="H2457" t="str">
        <f>IF(VIPcric_1!H2432="","",VIPcric_1!H2432)</f>
        <v/>
      </c>
      <c r="I2457" t="str">
        <f>IF(VIPcric_1!M2432="","",VIPcric_1!M2432)</f>
        <v>CRIC-西安-市场监测.商品房市场.项目累计.库存.xlsx</v>
      </c>
    </row>
    <row r="2458" spans="1:9">
      <c r="A2458" t="str">
        <f>IF(VIPcric_1!A2433="","",VIPcric_1!A2433)</f>
        <v/>
      </c>
      <c r="B2458" t="str">
        <f>IF(VIPcric_1!B2433="","",VIPcric_1!B2433)</f>
        <v/>
      </c>
      <c r="C2458" t="str">
        <f>IF(VIPcric_1!C2433="","",VIPcric_1!C2433)</f>
        <v/>
      </c>
      <c r="D2458" t="str">
        <f>IF(VIPcric_1!D2433="","",VIPcric_1!D2433)</f>
        <v/>
      </c>
      <c r="E2458" t="str">
        <f>IF(VIPcric_1!E2433="","",VIPcric_1!E2433)</f>
        <v/>
      </c>
      <c r="F2458" t="str">
        <f>IF(VIPcric_1!F2433="","",VIPcric_1!F2433)</f>
        <v/>
      </c>
      <c r="G2458" t="str">
        <f>IF(VIPcric_1!G2433="","",VIPcric_1!G2433)</f>
        <v/>
      </c>
      <c r="H2458" t="str">
        <f>IF(VIPcric_1!H2433="","",VIPcric_1!H2433)</f>
        <v/>
      </c>
      <c r="I2458" t="str">
        <f>IF(VIPcric_1!M2433="","",VIPcric_1!M2433)</f>
        <v/>
      </c>
    </row>
    <row r="2459" spans="1:9">
      <c r="A2459" t="str">
        <f>IF(VIPcric_1!A2434="","",VIPcric_1!A2434)</f>
        <v/>
      </c>
      <c r="B2459" t="str">
        <f>IF(VIPcric_1!B2434="","",VIPcric_1!B2434)</f>
        <v/>
      </c>
      <c r="C2459" t="str">
        <f>IF(VIPcric_1!C2434="","",VIPcric_1!C2434)</f>
        <v/>
      </c>
      <c r="D2459" t="str">
        <f>IF(VIPcric_1!D2434="","",VIPcric_1!D2434)</f>
        <v/>
      </c>
      <c r="E2459" t="str">
        <f>IF(VIPcric_1!E2434="","",VIPcric_1!E2434)</f>
        <v/>
      </c>
      <c r="F2459" t="s">
        <v>858</v>
      </c>
      <c r="G2459" s="22">
        <f>C2463/E2463*12</f>
        <v>16.465984978734955</v>
      </c>
      <c r="H2459" t="str">
        <f>IF(VIPcric_1!H2434="","",VIPcric_1!H2434)</f>
        <v/>
      </c>
      <c r="I2459" t="str">
        <f>IF(VIPcric_1!M2434="","",VIPcric_1!M2434)</f>
        <v>CRIC-贵阳-市场监测.商品房市场.项目累计.供求.xlsx</v>
      </c>
    </row>
    <row r="2460" spans="1:9">
      <c r="A2460" t="str">
        <f>IF(VIPcric_1!A2435="","",VIPcric_1!A2435)</f>
        <v>时间(年)</v>
      </c>
      <c r="B2460" t="str">
        <f>IF(VIPcric_1!B2435="","",VIPcric_1!B2435)</f>
        <v>供应面积(㎡)</v>
      </c>
      <c r="C2460" t="str">
        <f>IF(VIPcric_1!C2435="","",VIPcric_1!C2435)</f>
        <v>供应套数(套)</v>
      </c>
      <c r="D2460" t="str">
        <f>IF(VIPcric_1!D2435="","",VIPcric_1!D2435)</f>
        <v>成交面积(㎡)</v>
      </c>
      <c r="E2460" t="str">
        <f>IF(VIPcric_1!E2435="","",VIPcric_1!E2435)</f>
        <v>成交套数(套)</v>
      </c>
      <c r="F2460" t="str">
        <f>IF(VIPcric_1!F2435="","",VIPcric_1!F2435)</f>
        <v>成交均价(元/㎡)</v>
      </c>
      <c r="G2460" t="str">
        <f>IF(VIPcric_1!G2435="","",VIPcric_1!G2435)</f>
        <v>成交金额(元)</v>
      </c>
      <c r="H2460" t="str">
        <f>IF(VIPcric_1!H2435="","",VIPcric_1!H2435)</f>
        <v>供求比</v>
      </c>
      <c r="I2460" t="str">
        <f>IF(VIPcric_1!M2435="","",VIPcric_1!M2435)</f>
        <v>CRIC-贵阳-市场监测.商品房市场.项目累计.供求.xlsx</v>
      </c>
    </row>
    <row r="2461" spans="1:9">
      <c r="A2461" t="str">
        <f>IF(VIPcric_1!A2436="","",VIPcric_1!A2436)</f>
        <v>2023年</v>
      </c>
      <c r="B2461">
        <f>IF(VIPcric_1!B2436="","",VIPcric_1!B2436)</f>
        <v>872119</v>
      </c>
      <c r="C2461">
        <f>IF(VIPcric_1!C2436="","",VIPcric_1!C2436)</f>
        <v>8896</v>
      </c>
      <c r="D2461">
        <f>IF(VIPcric_1!D2436="","",VIPcric_1!D2436)</f>
        <v>3333504</v>
      </c>
      <c r="E2461">
        <f>IF(VIPcric_1!E2436="","",VIPcric_1!E2436)</f>
        <v>32016</v>
      </c>
      <c r="F2461">
        <f>IF(VIPcric_1!F2436="","",VIPcric_1!F2436)</f>
        <v>11137</v>
      </c>
      <c r="G2461">
        <f>IF(VIPcric_1!G2436="","",VIPcric_1!G2436)</f>
        <v>37124677404</v>
      </c>
      <c r="H2461">
        <f>IF(VIPcric_1!H2436="","",VIPcric_1!H2436)</f>
        <v>0.26</v>
      </c>
      <c r="I2461" t="str">
        <f>IF(VIPcric_1!M2436="","",VIPcric_1!M2436)</f>
        <v>CRIC-贵阳-市场监测.商品房市场.项目累计.供求.xlsx</v>
      </c>
    </row>
    <row r="2462" spans="1:9">
      <c r="A2462" t="str">
        <f>IF(VIPcric_1!A2437="","",VIPcric_1!A2437)</f>
        <v>2022年</v>
      </c>
      <c r="B2462">
        <f>IF(VIPcric_1!B2437="","",VIPcric_1!B2437)</f>
        <v>2736527</v>
      </c>
      <c r="C2462">
        <f>IF(VIPcric_1!C2437="","",VIPcric_1!C2437)</f>
        <v>21991</v>
      </c>
      <c r="D2462">
        <f>IF(VIPcric_1!D2437="","",VIPcric_1!D2437)</f>
        <v>5991813</v>
      </c>
      <c r="E2462">
        <f>IF(VIPcric_1!E2437="","",VIPcric_1!E2437)</f>
        <v>55396</v>
      </c>
      <c r="F2462">
        <f>IF(VIPcric_1!F2437="","",VIPcric_1!F2437)</f>
        <v>11321</v>
      </c>
      <c r="G2462">
        <f>IF(VIPcric_1!G2437="","",VIPcric_1!G2437)</f>
        <v>67835439402</v>
      </c>
      <c r="H2462">
        <f>IF(VIPcric_1!H2437="","",VIPcric_1!H2437)</f>
        <v>0.46</v>
      </c>
      <c r="I2462" t="str">
        <f>IF(VIPcric_1!M2437="","",VIPcric_1!M2437)</f>
        <v>CRIC-贵阳-市场监测.商品房市场.项目累计.供求.xlsx</v>
      </c>
    </row>
    <row r="2463" spans="1:9">
      <c r="A2463" t="str">
        <f>IF(VIPcric_1!A2438="","",VIPcric_1!A2438)</f>
        <v>2021年</v>
      </c>
      <c r="B2463">
        <f>IF(VIPcric_1!B2438="","",VIPcric_1!B2438)</f>
        <v>8756002</v>
      </c>
      <c r="C2463">
        <f>IF(VIPcric_1!C2438="","",VIPcric_1!C2438)</f>
        <v>75819</v>
      </c>
      <c r="D2463">
        <f>IF(VIPcric_1!D2438="","",VIPcric_1!D2438)</f>
        <v>5142237</v>
      </c>
      <c r="E2463">
        <f>IF(VIPcric_1!E2438="","",VIPcric_1!E2438)</f>
        <v>55255</v>
      </c>
      <c r="F2463">
        <f>IF(VIPcric_1!F2438="","",VIPcric_1!F2438)</f>
        <v>11307</v>
      </c>
      <c r="G2463">
        <f>IF(VIPcric_1!G2438="","",VIPcric_1!G2438)</f>
        <v>58144760956</v>
      </c>
      <c r="H2463">
        <f>IF(VIPcric_1!H2438="","",VIPcric_1!H2438)</f>
        <v>1.7</v>
      </c>
      <c r="I2463" t="str">
        <f>IF(VIPcric_1!M2438="","",VIPcric_1!M2438)</f>
        <v>CRIC-贵阳-市场监测.商品房市场.项目累计.供求.xlsx</v>
      </c>
    </row>
    <row r="2464" spans="1:9">
      <c r="A2464" t="str">
        <f>IF(VIPcric_1!A2439="","",VIPcric_1!A2439)</f>
        <v>2020年</v>
      </c>
      <c r="B2464">
        <f>IF(VIPcric_1!B2439="","",VIPcric_1!B2439)</f>
        <v>11550761</v>
      </c>
      <c r="C2464">
        <f>IF(VIPcric_1!C2439="","",VIPcric_1!C2439)</f>
        <v>103630</v>
      </c>
      <c r="D2464">
        <f>IF(VIPcric_1!D2439="","",VIPcric_1!D2439)</f>
        <v>11108964</v>
      </c>
      <c r="E2464">
        <f>IF(VIPcric_1!E2439="","",VIPcric_1!E2439)</f>
        <v>108693</v>
      </c>
      <c r="F2464">
        <f>IF(VIPcric_1!F2439="","",VIPcric_1!F2439)</f>
        <v>10869</v>
      </c>
      <c r="G2464">
        <f>IF(VIPcric_1!G2439="","",VIPcric_1!G2439)</f>
        <v>120741615129</v>
      </c>
      <c r="H2464">
        <f>IF(VIPcric_1!H2439="","",VIPcric_1!H2439)</f>
        <v>1.04</v>
      </c>
      <c r="I2464" t="str">
        <f>IF(VIPcric_1!M2439="","",VIPcric_1!M2439)</f>
        <v>CRIC-贵阳-市场监测.商品房市场.项目累计.供求.xlsx</v>
      </c>
    </row>
    <row r="2465" spans="1:9">
      <c r="A2465" t="str">
        <f>IF(VIPcric_1!A2440="","",VIPcric_1!A2440)</f>
        <v>2019年</v>
      </c>
      <c r="B2465">
        <f>IF(VIPcric_1!B2440="","",VIPcric_1!B2440)</f>
        <v>14271925</v>
      </c>
      <c r="C2465">
        <f>IF(VIPcric_1!C2440="","",VIPcric_1!C2440)</f>
        <v>125670</v>
      </c>
      <c r="D2465">
        <f>IF(VIPcric_1!D2440="","",VIPcric_1!D2440)</f>
        <v>7104076</v>
      </c>
      <c r="E2465">
        <f>IF(VIPcric_1!E2440="","",VIPcric_1!E2440)</f>
        <v>74165</v>
      </c>
      <c r="F2465">
        <f>IF(VIPcric_1!F2440="","",VIPcric_1!F2440)</f>
        <v>11480</v>
      </c>
      <c r="G2465">
        <f>IF(VIPcric_1!G2440="","",VIPcric_1!G2440)</f>
        <v>81552655057</v>
      </c>
      <c r="H2465">
        <f>IF(VIPcric_1!H2440="","",VIPcric_1!H2440)</f>
        <v>2.0099999999999998</v>
      </c>
      <c r="I2465" t="str">
        <f>IF(VIPcric_1!M2440="","",VIPcric_1!M2440)</f>
        <v>CRIC-贵阳-市场监测.商品房市场.项目累计.供求.xlsx</v>
      </c>
    </row>
    <row r="2466" spans="1:9">
      <c r="A2466" t="str">
        <f>IF(VIPcric_1!A2441="","",VIPcric_1!A2441)</f>
        <v>2018年</v>
      </c>
      <c r="B2466">
        <f>IF(VIPcric_1!B2441="","",VIPcric_1!B2441)</f>
        <v>15915132</v>
      </c>
      <c r="C2466">
        <f>IF(VIPcric_1!C2441="","",VIPcric_1!C2441)</f>
        <v>150739</v>
      </c>
      <c r="D2466">
        <f>IF(VIPcric_1!D2441="","",VIPcric_1!D2441)</f>
        <v>6507510</v>
      </c>
      <c r="E2466">
        <f>IF(VIPcric_1!E2441="","",VIPcric_1!E2441)</f>
        <v>69698</v>
      </c>
      <c r="F2466">
        <f>IF(VIPcric_1!F2441="","",VIPcric_1!F2441)</f>
        <v>10645</v>
      </c>
      <c r="G2466">
        <f>IF(VIPcric_1!G2441="","",VIPcric_1!G2441)</f>
        <v>69271653708</v>
      </c>
      <c r="H2466">
        <f>IF(VIPcric_1!H2441="","",VIPcric_1!H2441)</f>
        <v>2.4500000000000002</v>
      </c>
      <c r="I2466" t="str">
        <f>IF(VIPcric_1!M2441="","",VIPcric_1!M2441)</f>
        <v>CRIC-贵阳-市场监测.商品房市场.项目累计.供求.xlsx</v>
      </c>
    </row>
    <row r="2467" spans="1:9">
      <c r="A2467" t="str">
        <f>IF(VIPcric_1!A2442="","",VIPcric_1!A2442)</f>
        <v>汇总</v>
      </c>
      <c r="B2467">
        <f>IF(VIPcric_1!B2442="","",VIPcric_1!B2442)</f>
        <v>54102465</v>
      </c>
      <c r="C2467">
        <f>IF(VIPcric_1!C2442="","",VIPcric_1!C2442)</f>
        <v>486745</v>
      </c>
      <c r="D2467">
        <f>IF(VIPcric_1!D2442="","",VIPcric_1!D2442)</f>
        <v>39188104</v>
      </c>
      <c r="E2467">
        <f>IF(VIPcric_1!E2442="","",VIPcric_1!E2442)</f>
        <v>395223</v>
      </c>
      <c r="F2467">
        <f>IF(VIPcric_1!F2442="","",VIPcric_1!F2442)</f>
        <v>11092</v>
      </c>
      <c r="G2467">
        <f>IF(VIPcric_1!G2442="","",VIPcric_1!G2442)</f>
        <v>434670801657</v>
      </c>
      <c r="H2467">
        <f>IF(VIPcric_1!H2442="","",VIPcric_1!H2442)</f>
        <v>1.38</v>
      </c>
      <c r="I2467" t="str">
        <f>IF(VIPcric_1!M2442="","",VIPcric_1!M2442)</f>
        <v>CRIC-贵阳-市场监测.商品房市场.项目累计.供求.xlsx</v>
      </c>
    </row>
    <row r="2468" spans="1:9">
      <c r="A2468" t="str">
        <f>IF(VIPcric_1!A2443="","",VIPcric_1!A2443)</f>
        <v/>
      </c>
      <c r="B2468" t="str">
        <f>IF(VIPcric_1!B2443="","",VIPcric_1!B2443)</f>
        <v/>
      </c>
      <c r="C2468" t="str">
        <f>IF(VIPcric_1!C2443="","",VIPcric_1!C2443)</f>
        <v/>
      </c>
      <c r="D2468" t="str">
        <f>IF(VIPcric_1!D2443="","",VIPcric_1!D2443)</f>
        <v/>
      </c>
      <c r="E2468" t="str">
        <f>IF(VIPcric_1!E2443="","",VIPcric_1!E2443)</f>
        <v/>
      </c>
      <c r="F2468" t="str">
        <f>IF(VIPcric_1!F2443="","",VIPcric_1!F2443)</f>
        <v/>
      </c>
      <c r="G2468" t="str">
        <f>IF(VIPcric_1!G2443="","",VIPcric_1!G2443)</f>
        <v/>
      </c>
      <c r="H2468" t="str">
        <f>IF(VIPcric_1!H2443="","",VIPcric_1!H2443)</f>
        <v/>
      </c>
      <c r="I2468" t="str">
        <f>IF(VIPcric_1!M2443="","",VIPcric_1!M2443)</f>
        <v/>
      </c>
    </row>
    <row r="2469" spans="1:9">
      <c r="A2469" t="str">
        <f>IF(VIPcric_1!A2444="","",VIPcric_1!A2444)</f>
        <v/>
      </c>
      <c r="B2469" t="str">
        <f>IF(VIPcric_1!B2444="","",VIPcric_1!B2444)</f>
        <v/>
      </c>
      <c r="C2469" t="str">
        <f>IF(VIPcric_1!C2444="","",VIPcric_1!C2444)</f>
        <v/>
      </c>
      <c r="D2469" t="str">
        <f>IF(VIPcric_1!D2444="","",VIPcric_1!D2444)</f>
        <v/>
      </c>
      <c r="E2469" t="str">
        <f>IF(VIPcric_1!E2444="","",VIPcric_1!E2444)</f>
        <v/>
      </c>
      <c r="F2469" t="str">
        <f>IF(VIPcric_1!F2444="","",VIPcric_1!F2444)</f>
        <v/>
      </c>
      <c r="G2469" t="str">
        <f>IF(VIPcric_1!G2444="","",VIPcric_1!G2444)</f>
        <v/>
      </c>
      <c r="H2469" t="str">
        <f>IF(VIPcric_1!H2444="","",VIPcric_1!H2444)</f>
        <v/>
      </c>
      <c r="I2469" t="str">
        <f>IF(VIPcric_1!M2444="","",VIPcric_1!M2444)</f>
        <v>CRIC-资阳-市场监测.商品房市场.项目累计.供求.xlsx</v>
      </c>
    </row>
    <row r="2470" spans="1:9">
      <c r="A2470" t="str">
        <f>IF(VIPcric_1!A2445="","",VIPcric_1!A2445)</f>
        <v>时间(年)</v>
      </c>
      <c r="B2470" t="str">
        <f>IF(VIPcric_1!B2445="","",VIPcric_1!B2445)</f>
        <v>供应面积(㎡)</v>
      </c>
      <c r="C2470" t="str">
        <f>IF(VIPcric_1!C2445="","",VIPcric_1!C2445)</f>
        <v>供应套数(套)</v>
      </c>
      <c r="D2470" t="str">
        <f>IF(VIPcric_1!D2445="","",VIPcric_1!D2445)</f>
        <v>成交面积(㎡)</v>
      </c>
      <c r="E2470" t="str">
        <f>IF(VIPcric_1!E2445="","",VIPcric_1!E2445)</f>
        <v>成交套数(套)</v>
      </c>
      <c r="F2470" t="str">
        <f>IF(VIPcric_1!F2445="","",VIPcric_1!F2445)</f>
        <v>成交均价(元/㎡)</v>
      </c>
      <c r="G2470" t="str">
        <f>IF(VIPcric_1!G2445="","",VIPcric_1!G2445)</f>
        <v>成交金额(元)</v>
      </c>
      <c r="H2470" t="str">
        <f>IF(VIPcric_1!H2445="","",VIPcric_1!H2445)</f>
        <v>供求比</v>
      </c>
      <c r="I2470" t="str">
        <f>IF(VIPcric_1!M2445="","",VIPcric_1!M2445)</f>
        <v>CRIC-资阳-市场监测.商品房市场.项目累计.供求.xlsx</v>
      </c>
    </row>
    <row r="2471" spans="1:9">
      <c r="A2471" t="str">
        <f>IF(VIPcric_1!A2446="","",VIPcric_1!A2446)</f>
        <v>2024年</v>
      </c>
      <c r="B2471">
        <f>IF(VIPcric_1!B2446="","",VIPcric_1!B2446)</f>
        <v>69940</v>
      </c>
      <c r="C2471">
        <f>IF(VIPcric_1!C2446="","",VIPcric_1!C2446)</f>
        <v>1347</v>
      </c>
      <c r="D2471">
        <f>IF(VIPcric_1!D2446="","",VIPcric_1!D2446)</f>
        <v>55395</v>
      </c>
      <c r="E2471">
        <f>IF(VIPcric_1!E2446="","",VIPcric_1!E2446)</f>
        <v>511</v>
      </c>
      <c r="F2471">
        <f>IF(VIPcric_1!F2446="","",VIPcric_1!F2446)</f>
        <v>7083</v>
      </c>
      <c r="G2471">
        <f>IF(VIPcric_1!G2446="","",VIPcric_1!G2446)</f>
        <v>392358656</v>
      </c>
      <c r="H2471">
        <f>IF(VIPcric_1!H2446="","",VIPcric_1!H2446)</f>
        <v>1.26</v>
      </c>
      <c r="I2471" t="str">
        <f>IF(VIPcric_1!M2446="","",VIPcric_1!M2446)</f>
        <v>CRIC-资阳-市场监测.商品房市场.项目累计.供求.xlsx</v>
      </c>
    </row>
    <row r="2472" spans="1:9">
      <c r="A2472" t="str">
        <f>IF(VIPcric_1!A2447="","",VIPcric_1!A2447)</f>
        <v>2023年</v>
      </c>
      <c r="B2472">
        <f>IF(VIPcric_1!B2447="","",VIPcric_1!B2447)</f>
        <v>544875</v>
      </c>
      <c r="C2472">
        <f>IF(VIPcric_1!C2447="","",VIPcric_1!C2447)</f>
        <v>6747</v>
      </c>
      <c r="D2472">
        <f>IF(VIPcric_1!D2447="","",VIPcric_1!D2447)</f>
        <v>574302</v>
      </c>
      <c r="E2472">
        <f>IF(VIPcric_1!E2447="","",VIPcric_1!E2447)</f>
        <v>5426</v>
      </c>
      <c r="F2472">
        <f>IF(VIPcric_1!F2447="","",VIPcric_1!F2447)</f>
        <v>7408</v>
      </c>
      <c r="G2472">
        <f>IF(VIPcric_1!G2447="","",VIPcric_1!G2447)</f>
        <v>4254549453</v>
      </c>
      <c r="H2472">
        <f>IF(VIPcric_1!H2447="","",VIPcric_1!H2447)</f>
        <v>0.95</v>
      </c>
      <c r="I2472" t="str">
        <f>IF(VIPcric_1!M2447="","",VIPcric_1!M2447)</f>
        <v>CRIC-资阳-市场监测.商品房市场.项目累计.供求.xlsx</v>
      </c>
    </row>
    <row r="2473" spans="1:9">
      <c r="A2473" t="str">
        <f>IF(VIPcric_1!A2448="","",VIPcric_1!A2448)</f>
        <v>2022年</v>
      </c>
      <c r="B2473">
        <f>IF(VIPcric_1!B2448="","",VIPcric_1!B2448)</f>
        <v>785100</v>
      </c>
      <c r="C2473">
        <f>IF(VIPcric_1!C2448="","",VIPcric_1!C2448)</f>
        <v>8423</v>
      </c>
      <c r="D2473">
        <f>IF(VIPcric_1!D2448="","",VIPcric_1!D2448)</f>
        <v>608044</v>
      </c>
      <c r="E2473">
        <f>IF(VIPcric_1!E2448="","",VIPcric_1!E2448)</f>
        <v>5841</v>
      </c>
      <c r="F2473">
        <f>IF(VIPcric_1!F2448="","",VIPcric_1!F2448)</f>
        <v>7352</v>
      </c>
      <c r="G2473">
        <f>IF(VIPcric_1!G2448="","",VIPcric_1!G2448)</f>
        <v>4470143414</v>
      </c>
      <c r="H2473">
        <f>IF(VIPcric_1!H2448="","",VIPcric_1!H2448)</f>
        <v>1.29</v>
      </c>
      <c r="I2473" t="str">
        <f>IF(VIPcric_1!M2448="","",VIPcric_1!M2448)</f>
        <v>CRIC-资阳-市场监测.商品房市场.项目累计.供求.xlsx</v>
      </c>
    </row>
    <row r="2474" spans="1:9">
      <c r="A2474" t="str">
        <f>IF(VIPcric_1!A2449="","",VIPcric_1!A2449)</f>
        <v>2021年</v>
      </c>
      <c r="B2474">
        <f>IF(VIPcric_1!B2449="","",VIPcric_1!B2449)</f>
        <v>1370620</v>
      </c>
      <c r="C2474">
        <f>IF(VIPcric_1!C2449="","",VIPcric_1!C2449)</f>
        <v>13308</v>
      </c>
      <c r="D2474">
        <f>IF(VIPcric_1!D2449="","",VIPcric_1!D2449)</f>
        <v>1440142</v>
      </c>
      <c r="E2474">
        <f>IF(VIPcric_1!E2449="","",VIPcric_1!E2449)</f>
        <v>13743</v>
      </c>
      <c r="F2474">
        <f>IF(VIPcric_1!F2449="","",VIPcric_1!F2449)</f>
        <v>7605</v>
      </c>
      <c r="G2474">
        <f>IF(VIPcric_1!G2449="","",VIPcric_1!G2449)</f>
        <v>10952936890</v>
      </c>
      <c r="H2474">
        <f>IF(VIPcric_1!H2449="","",VIPcric_1!H2449)</f>
        <v>0.95</v>
      </c>
      <c r="I2474" t="str">
        <f>IF(VIPcric_1!M2449="","",VIPcric_1!M2449)</f>
        <v>CRIC-资阳-市场监测.商品房市场.项目累计.供求.xlsx</v>
      </c>
    </row>
    <row r="2475" spans="1:9">
      <c r="A2475" t="str">
        <f>IF(VIPcric_1!A2450="","",VIPcric_1!A2450)</f>
        <v>2020年</v>
      </c>
      <c r="B2475">
        <f>IF(VIPcric_1!B2450="","",VIPcric_1!B2450)</f>
        <v>1347499</v>
      </c>
      <c r="C2475">
        <f>IF(VIPcric_1!C2450="","",VIPcric_1!C2450)</f>
        <v>13997</v>
      </c>
      <c r="D2475">
        <f>IF(VIPcric_1!D2450="","",VIPcric_1!D2450)</f>
        <v>597382</v>
      </c>
      <c r="E2475">
        <f>IF(VIPcric_1!E2450="","",VIPcric_1!E2450)</f>
        <v>5658</v>
      </c>
      <c r="F2475">
        <f>IF(VIPcric_1!F2450="","",VIPcric_1!F2450)</f>
        <v>7275</v>
      </c>
      <c r="G2475">
        <f>IF(VIPcric_1!G2450="","",VIPcric_1!G2450)</f>
        <v>4345666146</v>
      </c>
      <c r="H2475">
        <f>IF(VIPcric_1!H2450="","",VIPcric_1!H2450)</f>
        <v>2.2599999999999998</v>
      </c>
      <c r="I2475" t="str">
        <f>IF(VIPcric_1!M2450="","",VIPcric_1!M2450)</f>
        <v>CRIC-资阳-市场监测.商品房市场.项目累计.供求.xlsx</v>
      </c>
    </row>
    <row r="2476" spans="1:9">
      <c r="A2476" t="str">
        <f>IF(VIPcric_1!A2451="","",VIPcric_1!A2451)</f>
        <v>2019年</v>
      </c>
      <c r="B2476">
        <f>IF(VIPcric_1!B2451="","",VIPcric_1!B2451)</f>
        <v>1677331</v>
      </c>
      <c r="C2476">
        <f>IF(VIPcric_1!C2451="","",VIPcric_1!C2451)</f>
        <v>15154</v>
      </c>
      <c r="D2476">
        <f>IF(VIPcric_1!D2451="","",VIPcric_1!D2451)</f>
        <v>1243401</v>
      </c>
      <c r="E2476">
        <f>IF(VIPcric_1!E2451="","",VIPcric_1!E2451)</f>
        <v>11776</v>
      </c>
      <c r="F2476">
        <f>IF(VIPcric_1!F2451="","",VIPcric_1!F2451)</f>
        <v>7334</v>
      </c>
      <c r="G2476">
        <f>IF(VIPcric_1!G2451="","",VIPcric_1!G2451)</f>
        <v>9118613296</v>
      </c>
      <c r="H2476">
        <f>IF(VIPcric_1!H2451="","",VIPcric_1!H2451)</f>
        <v>1.35</v>
      </c>
      <c r="I2476" t="str">
        <f>IF(VIPcric_1!M2451="","",VIPcric_1!M2451)</f>
        <v>CRIC-资阳-市场监测.商品房市场.项目累计.供求.xlsx</v>
      </c>
    </row>
    <row r="2477" spans="1:9">
      <c r="A2477" t="str">
        <f>IF(VIPcric_1!A2452="","",VIPcric_1!A2452)</f>
        <v>汇总</v>
      </c>
      <c r="B2477">
        <f>IF(VIPcric_1!B2452="","",VIPcric_1!B2452)</f>
        <v>5795364</v>
      </c>
      <c r="C2477">
        <f>IF(VIPcric_1!C2452="","",VIPcric_1!C2452)</f>
        <v>58976</v>
      </c>
      <c r="D2477">
        <f>IF(VIPcric_1!D2452="","",VIPcric_1!D2452)</f>
        <v>4518667</v>
      </c>
      <c r="E2477">
        <f>IF(VIPcric_1!E2452="","",VIPcric_1!E2452)</f>
        <v>42955</v>
      </c>
      <c r="F2477">
        <f>IF(VIPcric_1!F2452="","",VIPcric_1!F2452)</f>
        <v>7421</v>
      </c>
      <c r="G2477">
        <f>IF(VIPcric_1!G2452="","",VIPcric_1!G2452)</f>
        <v>33534267856</v>
      </c>
      <c r="H2477">
        <f>IF(VIPcric_1!H2452="","",VIPcric_1!H2452)</f>
        <v>1.28</v>
      </c>
      <c r="I2477" t="str">
        <f>IF(VIPcric_1!M2452="","",VIPcric_1!M2452)</f>
        <v>CRIC-资阳-市场监测.商品房市场.项目累计.供求.xlsx</v>
      </c>
    </row>
    <row r="2478" spans="1:9">
      <c r="A2478" t="str">
        <f>IF(VIPcric_1!A2453="","",VIPcric_1!A2453)</f>
        <v/>
      </c>
      <c r="B2478" t="str">
        <f>IF(VIPcric_1!B2453="","",VIPcric_1!B2453)</f>
        <v/>
      </c>
      <c r="C2478" t="str">
        <f>IF(VIPcric_1!C2453="","",VIPcric_1!C2453)</f>
        <v/>
      </c>
      <c r="D2478" t="str">
        <f>IF(VIPcric_1!D2453="","",VIPcric_1!D2453)</f>
        <v/>
      </c>
      <c r="E2478" t="str">
        <f>IF(VIPcric_1!E2453="","",VIPcric_1!E2453)</f>
        <v/>
      </c>
      <c r="F2478" t="str">
        <f>IF(VIPcric_1!F2453="","",VIPcric_1!F2453)</f>
        <v/>
      </c>
      <c r="G2478" t="str">
        <f>IF(VIPcric_1!G2453="","",VIPcric_1!G2453)</f>
        <v/>
      </c>
      <c r="H2478" t="str">
        <f>IF(VIPcric_1!H2453="","",VIPcric_1!H2453)</f>
        <v/>
      </c>
      <c r="I2478" t="str">
        <f>IF(VIPcric_1!M2453="","",VIPcric_1!M2453)</f>
        <v/>
      </c>
    </row>
    <row r="2479" spans="1:9">
      <c r="A2479" t="str">
        <f>IF(VIPcric_1!A2454="","",VIPcric_1!A2454)</f>
        <v/>
      </c>
      <c r="B2479" t="str">
        <f>IF(VIPcric_1!B2454="","",VIPcric_1!B2454)</f>
        <v/>
      </c>
      <c r="C2479" t="str">
        <f>IF(VIPcric_1!C2454="","",VIPcric_1!C2454)</f>
        <v/>
      </c>
      <c r="D2479" t="str">
        <f>IF(VIPcric_1!D2454="","",VIPcric_1!D2454)</f>
        <v/>
      </c>
      <c r="E2479" t="str">
        <f>IF(VIPcric_1!E2454="","",VIPcric_1!E2454)</f>
        <v/>
      </c>
      <c r="F2479" t="str">
        <f>IF(VIPcric_1!F2454="","",VIPcric_1!F2454)</f>
        <v/>
      </c>
      <c r="G2479" t="str">
        <f>IF(VIPcric_1!G2454="","",VIPcric_1!G2454)</f>
        <v/>
      </c>
      <c r="H2479" t="str">
        <f>IF(VIPcric_1!H2454="","",VIPcric_1!H2454)</f>
        <v/>
      </c>
      <c r="I2479" t="str">
        <f>IF(VIPcric_1!M2454="","",VIPcric_1!M2454)</f>
        <v>CRIC-资阳-市场监测.商品房市场.项目累计.库存.xlsx</v>
      </c>
    </row>
    <row r="2480" spans="1:9">
      <c r="A2480" t="str">
        <f>IF(VIPcric_1!A2455="","",VIPcric_1!A2455)</f>
        <v>时间(年)</v>
      </c>
      <c r="B2480" t="str">
        <f>IF(VIPcric_1!B2455="","",VIPcric_1!B2455)</f>
        <v>库存面积(㎡)</v>
      </c>
      <c r="C2480" t="str">
        <f>IF(VIPcric_1!C2455="","",VIPcric_1!C2455)</f>
        <v>库存套数(套)</v>
      </c>
      <c r="D2480" t="str">
        <f>IF(VIPcric_1!D2455="","",VIPcric_1!D2455)</f>
        <v>去化周期12'(月)</v>
      </c>
      <c r="E2480" t="str">
        <f>IF(VIPcric_1!E2455="","",VIPcric_1!E2455)</f>
        <v/>
      </c>
      <c r="F2480" t="str">
        <f>IF(VIPcric_1!F2455="","",VIPcric_1!F2455)</f>
        <v/>
      </c>
      <c r="G2480" t="str">
        <f>IF(VIPcric_1!G2455="","",VIPcric_1!G2455)</f>
        <v/>
      </c>
      <c r="H2480" t="str">
        <f>IF(VIPcric_1!H2455="","",VIPcric_1!H2455)</f>
        <v/>
      </c>
      <c r="I2480" t="str">
        <f>IF(VIPcric_1!M2455="","",VIPcric_1!M2455)</f>
        <v>CRIC-资阳-市场监测.商品房市场.项目累计.库存.xlsx</v>
      </c>
    </row>
    <row r="2481" spans="1:9">
      <c r="A2481" t="str">
        <f>IF(VIPcric_1!A2456="","",VIPcric_1!A2456)</f>
        <v>2024年</v>
      </c>
      <c r="B2481">
        <f>IF(VIPcric_1!B2456="","",VIPcric_1!B2456)</f>
        <v>831135</v>
      </c>
      <c r="C2481">
        <f>IF(VIPcric_1!C2456="","",VIPcric_1!C2456)</f>
        <v>7769</v>
      </c>
      <c r="D2481">
        <f>IF(VIPcric_1!D2456="","",VIPcric_1!D2456)</f>
        <v>16.600000000000001</v>
      </c>
      <c r="E2481" t="str">
        <f>IF(VIPcric_1!E2456="","",VIPcric_1!E2456)</f>
        <v/>
      </c>
      <c r="F2481" t="str">
        <f>IF(VIPcric_1!F2456="","",VIPcric_1!F2456)</f>
        <v/>
      </c>
      <c r="G2481" t="str">
        <f>IF(VIPcric_1!G2456="","",VIPcric_1!G2456)</f>
        <v/>
      </c>
      <c r="H2481" t="str">
        <f>IF(VIPcric_1!H2456="","",VIPcric_1!H2456)</f>
        <v/>
      </c>
      <c r="I2481" t="str">
        <f>IF(VIPcric_1!M2456="","",VIPcric_1!M2456)</f>
        <v>CRIC-资阳-市场监测.商品房市场.项目累计.库存.xlsx</v>
      </c>
    </row>
    <row r="2482" spans="1:9">
      <c r="A2482" t="str">
        <f>IF(VIPcric_1!A2457="","",VIPcric_1!A2457)</f>
        <v>2023年</v>
      </c>
      <c r="B2482">
        <f>IF(VIPcric_1!B2457="","",VIPcric_1!B2457)</f>
        <v>888028</v>
      </c>
      <c r="C2482">
        <f>IF(VIPcric_1!C2457="","",VIPcric_1!C2457)</f>
        <v>8262</v>
      </c>
      <c r="D2482">
        <f>IF(VIPcric_1!D2457="","",VIPcric_1!D2457)</f>
        <v>18.600000000000001</v>
      </c>
      <c r="E2482" t="str">
        <f>IF(VIPcric_1!E2457="","",VIPcric_1!E2457)</f>
        <v/>
      </c>
      <c r="F2482" t="str">
        <f>IF(VIPcric_1!F2457="","",VIPcric_1!F2457)</f>
        <v/>
      </c>
      <c r="G2482" t="str">
        <f>IF(VIPcric_1!G2457="","",VIPcric_1!G2457)</f>
        <v/>
      </c>
      <c r="H2482" t="str">
        <f>IF(VIPcric_1!H2457="","",VIPcric_1!H2457)</f>
        <v/>
      </c>
      <c r="I2482" t="str">
        <f>IF(VIPcric_1!M2457="","",VIPcric_1!M2457)</f>
        <v>CRIC-资阳-市场监测.商品房市场.项目累计.库存.xlsx</v>
      </c>
    </row>
    <row r="2483" spans="1:9">
      <c r="A2483" t="str">
        <f>IF(VIPcric_1!A2458="","",VIPcric_1!A2458)</f>
        <v>2022年</v>
      </c>
      <c r="B2483">
        <f>IF(VIPcric_1!B2458="","",VIPcric_1!B2458)</f>
        <v>893444</v>
      </c>
      <c r="C2483">
        <f>IF(VIPcric_1!C2458="","",VIPcric_1!C2458)</f>
        <v>8093</v>
      </c>
      <c r="D2483">
        <f>IF(VIPcric_1!D2458="","",VIPcric_1!D2458)</f>
        <v>17.600000000000001</v>
      </c>
      <c r="E2483" t="str">
        <f>IF(VIPcric_1!E2458="","",VIPcric_1!E2458)</f>
        <v/>
      </c>
      <c r="F2483" t="str">
        <f>IF(VIPcric_1!F2458="","",VIPcric_1!F2458)</f>
        <v/>
      </c>
      <c r="G2483" t="str">
        <f>IF(VIPcric_1!G2458="","",VIPcric_1!G2458)</f>
        <v/>
      </c>
      <c r="H2483" t="str">
        <f>IF(VIPcric_1!H2458="","",VIPcric_1!H2458)</f>
        <v/>
      </c>
      <c r="I2483" t="str">
        <f>IF(VIPcric_1!M2458="","",VIPcric_1!M2458)</f>
        <v>CRIC-资阳-市场监测.商品房市场.项目累计.库存.xlsx</v>
      </c>
    </row>
    <row r="2484" spans="1:9">
      <c r="A2484" t="str">
        <f>IF(VIPcric_1!A2459="","",VIPcric_1!A2459)</f>
        <v>2021年</v>
      </c>
      <c r="B2484">
        <f>IF(VIPcric_1!B2459="","",VIPcric_1!B2459)</f>
        <v>942116</v>
      </c>
      <c r="C2484">
        <f>IF(VIPcric_1!C2459="","",VIPcric_1!C2459)</f>
        <v>8483</v>
      </c>
      <c r="D2484">
        <f>IF(VIPcric_1!D2459="","",VIPcric_1!D2459)</f>
        <v>7.9</v>
      </c>
      <c r="E2484" t="str">
        <f>IF(VIPcric_1!E2459="","",VIPcric_1!E2459)</f>
        <v/>
      </c>
      <c r="F2484" t="str">
        <f>IF(VIPcric_1!F2459="","",VIPcric_1!F2459)</f>
        <v/>
      </c>
      <c r="G2484" t="str">
        <f>IF(VIPcric_1!G2459="","",VIPcric_1!G2459)</f>
        <v/>
      </c>
      <c r="H2484" t="str">
        <f>IF(VIPcric_1!H2459="","",VIPcric_1!H2459)</f>
        <v/>
      </c>
      <c r="I2484" t="str">
        <f>IF(VIPcric_1!M2459="","",VIPcric_1!M2459)</f>
        <v>CRIC-资阳-市场监测.商品房市场.项目累计.库存.xlsx</v>
      </c>
    </row>
    <row r="2485" spans="1:9">
      <c r="A2485" t="str">
        <f>IF(VIPcric_1!A2460="","",VIPcric_1!A2460)</f>
        <v/>
      </c>
      <c r="B2485" t="str">
        <f>IF(VIPcric_1!B2460="","",VIPcric_1!B2460)</f>
        <v/>
      </c>
      <c r="C2485" t="str">
        <f>IF(VIPcric_1!C2460="","",VIPcric_1!C2460)</f>
        <v/>
      </c>
      <c r="D2485" t="str">
        <f>IF(VIPcric_1!D2460="","",VIPcric_1!D2460)</f>
        <v/>
      </c>
      <c r="E2485" t="str">
        <f>IF(VIPcric_1!E2460="","",VIPcric_1!E2460)</f>
        <v/>
      </c>
      <c r="F2485" t="str">
        <f>IF(VIPcric_1!F2460="","",VIPcric_1!F2460)</f>
        <v/>
      </c>
      <c r="G2485" t="str">
        <f>IF(VIPcric_1!G2460="","",VIPcric_1!G2460)</f>
        <v/>
      </c>
      <c r="H2485" t="str">
        <f>IF(VIPcric_1!H2460="","",VIPcric_1!H2460)</f>
        <v/>
      </c>
      <c r="I2485" t="str">
        <f>IF(VIPcric_1!M2460="","",VIPcric_1!M2460)</f>
        <v/>
      </c>
    </row>
    <row r="2486" spans="1:9">
      <c r="A2486" t="str">
        <f>IF(VIPcric_1!A2461="","",VIPcric_1!A2461)</f>
        <v/>
      </c>
      <c r="B2486" t="str">
        <f>IF(VIPcric_1!B2461="","",VIPcric_1!B2461)</f>
        <v/>
      </c>
      <c r="C2486" t="str">
        <f>IF(VIPcric_1!C2461="","",VIPcric_1!C2461)</f>
        <v/>
      </c>
      <c r="D2486" t="str">
        <f>IF(VIPcric_1!D2461="","",VIPcric_1!D2461)</f>
        <v/>
      </c>
      <c r="E2486" t="str">
        <f>IF(VIPcric_1!E2461="","",VIPcric_1!E2461)</f>
        <v/>
      </c>
      <c r="F2486" t="str">
        <f>IF(VIPcric_1!F2461="","",VIPcric_1!F2461)</f>
        <v/>
      </c>
      <c r="G2486" t="str">
        <f>IF(VIPcric_1!G2461="","",VIPcric_1!G2461)</f>
        <v/>
      </c>
      <c r="H2486" t="str">
        <f>IF(VIPcric_1!H2461="","",VIPcric_1!H2461)</f>
        <v/>
      </c>
      <c r="I2486" t="str">
        <f>IF(VIPcric_1!M2461="","",VIPcric_1!M2461)</f>
        <v>CRIC-赣州-市场监测.商品房市场.项目累计.供求.xlsx</v>
      </c>
    </row>
    <row r="2487" spans="1:9">
      <c r="A2487" t="str">
        <f>IF(VIPcric_1!A2462="","",VIPcric_1!A2462)</f>
        <v>时间(年)</v>
      </c>
      <c r="B2487" t="str">
        <f>IF(VIPcric_1!B2462="","",VIPcric_1!B2462)</f>
        <v>供应面积(㎡)</v>
      </c>
      <c r="C2487" t="str">
        <f>IF(VIPcric_1!C2462="","",VIPcric_1!C2462)</f>
        <v>供应套数(套)</v>
      </c>
      <c r="D2487" t="str">
        <f>IF(VIPcric_1!D2462="","",VIPcric_1!D2462)</f>
        <v>成交面积(㎡)</v>
      </c>
      <c r="E2487" t="str">
        <f>IF(VIPcric_1!E2462="","",VIPcric_1!E2462)</f>
        <v>成交套数(套)</v>
      </c>
      <c r="F2487" t="str">
        <f>IF(VIPcric_1!F2462="","",VIPcric_1!F2462)</f>
        <v>成交均价(元/㎡)</v>
      </c>
      <c r="G2487" t="str">
        <f>IF(VIPcric_1!G2462="","",VIPcric_1!G2462)</f>
        <v>成交金额(元)</v>
      </c>
      <c r="H2487" t="str">
        <f>IF(VIPcric_1!H2462="","",VIPcric_1!H2462)</f>
        <v>供求比</v>
      </c>
      <c r="I2487" t="str">
        <f>IF(VIPcric_1!M2462="","",VIPcric_1!M2462)</f>
        <v>CRIC-赣州-市场监测.商品房市场.项目累计.供求.xlsx</v>
      </c>
    </row>
    <row r="2488" spans="1:9">
      <c r="A2488" t="str">
        <f>IF(VIPcric_1!A2463="","",VIPcric_1!A2463)</f>
        <v>2023年</v>
      </c>
      <c r="B2488">
        <f>IF(VIPcric_1!B2463="","",VIPcric_1!B2463)</f>
        <v>4513224</v>
      </c>
      <c r="C2488">
        <f>IF(VIPcric_1!C2463="","",VIPcric_1!C2463)</f>
        <v>35311</v>
      </c>
      <c r="D2488">
        <f>IF(VIPcric_1!D2463="","",VIPcric_1!D2463)</f>
        <v>3814590</v>
      </c>
      <c r="E2488">
        <f>IF(VIPcric_1!E2463="","",VIPcric_1!E2463)</f>
        <v>30724</v>
      </c>
      <c r="F2488">
        <f>IF(VIPcric_1!F2463="","",VIPcric_1!F2463)</f>
        <v>7092</v>
      </c>
      <c r="G2488">
        <f>IF(VIPcric_1!G2463="","",VIPcric_1!G2463)</f>
        <v>27054600581</v>
      </c>
      <c r="H2488">
        <f>IF(VIPcric_1!H2463="","",VIPcric_1!H2463)</f>
        <v>1.18</v>
      </c>
      <c r="I2488" t="str">
        <f>IF(VIPcric_1!M2463="","",VIPcric_1!M2463)</f>
        <v>CRIC-赣州-市场监测.商品房市场.项目累计.供求.xlsx</v>
      </c>
    </row>
    <row r="2489" spans="1:9">
      <c r="A2489" t="str">
        <f>IF(VIPcric_1!A2464="","",VIPcric_1!A2464)</f>
        <v>2022年</v>
      </c>
      <c r="B2489">
        <f>IF(VIPcric_1!B2464="","",VIPcric_1!B2464)</f>
        <v>5426295</v>
      </c>
      <c r="C2489">
        <f>IF(VIPcric_1!C2464="","",VIPcric_1!C2464)</f>
        <v>44237</v>
      </c>
      <c r="D2489">
        <f>IF(VIPcric_1!D2464="","",VIPcric_1!D2464)</f>
        <v>1349018</v>
      </c>
      <c r="E2489">
        <f>IF(VIPcric_1!E2464="","",VIPcric_1!E2464)</f>
        <v>10856</v>
      </c>
      <c r="F2489">
        <f>IF(VIPcric_1!F2464="","",VIPcric_1!F2464)</f>
        <v>7177</v>
      </c>
      <c r="G2489">
        <f>IF(VIPcric_1!G2464="","",VIPcric_1!G2464)</f>
        <v>9681288898</v>
      </c>
      <c r="H2489">
        <f>IF(VIPcric_1!H2464="","",VIPcric_1!H2464)</f>
        <v>4.0199999999999996</v>
      </c>
      <c r="I2489" t="str">
        <f>IF(VIPcric_1!M2464="","",VIPcric_1!M2464)</f>
        <v>CRIC-赣州-市场监测.商品房市场.项目累计.供求.xlsx</v>
      </c>
    </row>
    <row r="2490" spans="1:9">
      <c r="A2490" t="str">
        <f>IF(VIPcric_1!A2465="","",VIPcric_1!A2465)</f>
        <v>2021年</v>
      </c>
      <c r="B2490">
        <f>IF(VIPcric_1!B2465="","",VIPcric_1!B2465)</f>
        <v>8487525</v>
      </c>
      <c r="C2490">
        <f>IF(VIPcric_1!C2465="","",VIPcric_1!C2465)</f>
        <v>69872</v>
      </c>
      <c r="D2490">
        <f>IF(VIPcric_1!D2465="","",VIPcric_1!D2465)</f>
        <v>0</v>
      </c>
      <c r="E2490">
        <f>IF(VIPcric_1!E2465="","",VIPcric_1!E2465)</f>
        <v>0</v>
      </c>
      <c r="F2490">
        <f>IF(VIPcric_1!F2465="","",VIPcric_1!F2465)</f>
        <v>0</v>
      </c>
      <c r="G2490">
        <f>IF(VIPcric_1!G2465="","",VIPcric_1!G2465)</f>
        <v>0</v>
      </c>
      <c r="H2490">
        <f>IF(VIPcric_1!H2465="","",VIPcric_1!H2465)</f>
        <v>0</v>
      </c>
      <c r="I2490" t="str">
        <f>IF(VIPcric_1!M2465="","",VIPcric_1!M2465)</f>
        <v>CRIC-赣州-市场监测.商品房市场.项目累计.供求.xlsx</v>
      </c>
    </row>
    <row r="2491" spans="1:9">
      <c r="A2491" t="str">
        <f>IF(VIPcric_1!A2466="","",VIPcric_1!A2466)</f>
        <v>2020年</v>
      </c>
      <c r="B2491">
        <f>IF(VIPcric_1!B2466="","",VIPcric_1!B2466)</f>
        <v>9601736</v>
      </c>
      <c r="C2491">
        <f>IF(VIPcric_1!C2466="","",VIPcric_1!C2466)</f>
        <v>78726</v>
      </c>
      <c r="D2491">
        <f>IF(VIPcric_1!D2466="","",VIPcric_1!D2466)</f>
        <v>0</v>
      </c>
      <c r="E2491">
        <f>IF(VIPcric_1!E2466="","",VIPcric_1!E2466)</f>
        <v>0</v>
      </c>
      <c r="F2491">
        <f>IF(VIPcric_1!F2466="","",VIPcric_1!F2466)</f>
        <v>0</v>
      </c>
      <c r="G2491">
        <f>IF(VIPcric_1!G2466="","",VIPcric_1!G2466)</f>
        <v>0</v>
      </c>
      <c r="H2491">
        <f>IF(VIPcric_1!H2466="","",VIPcric_1!H2466)</f>
        <v>0</v>
      </c>
      <c r="I2491" t="str">
        <f>IF(VIPcric_1!M2466="","",VIPcric_1!M2466)</f>
        <v>CRIC-赣州-市场监测.商品房市场.项目累计.供求.xlsx</v>
      </c>
    </row>
    <row r="2492" spans="1:9">
      <c r="A2492" t="str">
        <f>IF(VIPcric_1!A2467="","",VIPcric_1!A2467)</f>
        <v>汇总</v>
      </c>
      <c r="B2492">
        <f>IF(VIPcric_1!B2467="","",VIPcric_1!B2467)</f>
        <v>28028781</v>
      </c>
      <c r="C2492">
        <f>IF(VIPcric_1!C2467="","",VIPcric_1!C2467)</f>
        <v>228146</v>
      </c>
      <c r="D2492">
        <f>IF(VIPcric_1!D2467="","",VIPcric_1!D2467)</f>
        <v>5163608</v>
      </c>
      <c r="E2492">
        <f>IF(VIPcric_1!E2467="","",VIPcric_1!E2467)</f>
        <v>41580</v>
      </c>
      <c r="F2492">
        <f>IF(VIPcric_1!F2467="","",VIPcric_1!F2467)</f>
        <v>7114</v>
      </c>
      <c r="G2492">
        <f>IF(VIPcric_1!G2467="","",VIPcric_1!G2467)</f>
        <v>36735889479</v>
      </c>
      <c r="H2492">
        <f>IF(VIPcric_1!H2467="","",VIPcric_1!H2467)</f>
        <v>5.43</v>
      </c>
      <c r="I2492" t="str">
        <f>IF(VIPcric_1!M2467="","",VIPcric_1!M2467)</f>
        <v>CRIC-赣州-市场监测.商品房市场.项目累计.供求.xlsx</v>
      </c>
    </row>
    <row r="2493" spans="1:9">
      <c r="A2493" t="str">
        <f>IF(VIPcric_1!A2468="","",VIPcric_1!A2468)</f>
        <v/>
      </c>
      <c r="B2493" t="str">
        <f>IF(VIPcric_1!B2468="","",VIPcric_1!B2468)</f>
        <v/>
      </c>
      <c r="C2493" t="str">
        <f>IF(VIPcric_1!C2468="","",VIPcric_1!C2468)</f>
        <v/>
      </c>
      <c r="D2493" t="str">
        <f>IF(VIPcric_1!D2468="","",VIPcric_1!D2468)</f>
        <v/>
      </c>
      <c r="E2493" t="str">
        <f>IF(VIPcric_1!E2468="","",VIPcric_1!E2468)</f>
        <v/>
      </c>
      <c r="F2493" t="str">
        <f>IF(VIPcric_1!F2468="","",VIPcric_1!F2468)</f>
        <v/>
      </c>
      <c r="G2493" t="str">
        <f>IF(VIPcric_1!G2468="","",VIPcric_1!G2468)</f>
        <v/>
      </c>
      <c r="H2493" t="str">
        <f>IF(VIPcric_1!H2468="","",VIPcric_1!H2468)</f>
        <v/>
      </c>
      <c r="I2493" t="str">
        <f>IF(VIPcric_1!M2468="","",VIPcric_1!M2468)</f>
        <v/>
      </c>
    </row>
    <row r="2494" spans="1:9">
      <c r="A2494" t="str">
        <f>IF(VIPcric_1!A2469="","",VIPcric_1!A2469)</f>
        <v/>
      </c>
      <c r="B2494" t="str">
        <f>IF(VIPcric_1!B2469="","",VIPcric_1!B2469)</f>
        <v/>
      </c>
      <c r="C2494" t="str">
        <f>IF(VIPcric_1!C2469="","",VIPcric_1!C2469)</f>
        <v/>
      </c>
      <c r="D2494" t="str">
        <f>IF(VIPcric_1!D2469="","",VIPcric_1!D2469)</f>
        <v/>
      </c>
      <c r="E2494" t="str">
        <f>IF(VIPcric_1!E2469="","",VIPcric_1!E2469)</f>
        <v/>
      </c>
      <c r="F2494" t="str">
        <f>IF(VIPcric_1!F2469="","",VIPcric_1!F2469)</f>
        <v/>
      </c>
      <c r="G2494" t="str">
        <f>IF(VIPcric_1!G2469="","",VIPcric_1!G2469)</f>
        <v/>
      </c>
      <c r="H2494" t="str">
        <f>IF(VIPcric_1!H2469="","",VIPcric_1!H2469)</f>
        <v/>
      </c>
      <c r="I2494" t="str">
        <f>IF(VIPcric_1!M2469="","",VIPcric_1!M2469)</f>
        <v>CRIC-赣州-市场监测.商品房市场.项目累计.库存.xlsx</v>
      </c>
    </row>
    <row r="2495" spans="1:9">
      <c r="A2495" t="str">
        <f>IF(VIPcric_1!A2470="","",VIPcric_1!A2470)</f>
        <v>时间(年)</v>
      </c>
      <c r="B2495" t="str">
        <f>IF(VIPcric_1!B2470="","",VIPcric_1!B2470)</f>
        <v>库存面积(㎡)</v>
      </c>
      <c r="C2495" t="str">
        <f>IF(VIPcric_1!C2470="","",VIPcric_1!C2470)</f>
        <v>库存套数(套)</v>
      </c>
      <c r="D2495" t="str">
        <f>IF(VIPcric_1!D2470="","",VIPcric_1!D2470)</f>
        <v>去化周期12'(月)</v>
      </c>
      <c r="E2495" t="str">
        <f>IF(VIPcric_1!E2470="","",VIPcric_1!E2470)</f>
        <v>去化周期24'(月)</v>
      </c>
      <c r="F2495" t="str">
        <f>IF(VIPcric_1!F2470="","",VIPcric_1!F2470)</f>
        <v/>
      </c>
      <c r="G2495" t="str">
        <f>IF(VIPcric_1!G2470="","",VIPcric_1!G2470)</f>
        <v/>
      </c>
      <c r="H2495" t="str">
        <f>IF(VIPcric_1!H2470="","",VIPcric_1!H2470)</f>
        <v/>
      </c>
      <c r="I2495" t="str">
        <f>IF(VIPcric_1!M2470="","",VIPcric_1!M2470)</f>
        <v>CRIC-赣州-市场监测.商品房市场.项目累计.库存.xlsx</v>
      </c>
    </row>
    <row r="2496" spans="1:9">
      <c r="A2496" t="str">
        <f>IF(VIPcric_1!A2471="","",VIPcric_1!A2471)</f>
        <v>2023年</v>
      </c>
      <c r="B2496">
        <f>IF(VIPcric_1!B2471="","",VIPcric_1!B2471)</f>
        <v>5728968</v>
      </c>
      <c r="C2496">
        <f>IF(VIPcric_1!C2471="","",VIPcric_1!C2471)</f>
        <v>49162</v>
      </c>
      <c r="D2496">
        <f>IF(VIPcric_1!D2471="","",VIPcric_1!D2471)</f>
        <v>18</v>
      </c>
      <c r="E2496">
        <f>IF(VIPcric_1!E2471="","",VIPcric_1!E2471)</f>
        <v>26.6</v>
      </c>
      <c r="F2496" t="str">
        <f>IF(VIPcric_1!F2471="","",VIPcric_1!F2471)</f>
        <v/>
      </c>
      <c r="G2496" t="str">
        <f>IF(VIPcric_1!G2471="","",VIPcric_1!G2471)</f>
        <v/>
      </c>
      <c r="H2496" t="str">
        <f>IF(VIPcric_1!H2471="","",VIPcric_1!H2471)</f>
        <v/>
      </c>
      <c r="I2496" t="str">
        <f>IF(VIPcric_1!M2471="","",VIPcric_1!M2471)</f>
        <v>CRIC-赣州-市场监测.商品房市场.项目累计.库存.xlsx</v>
      </c>
    </row>
    <row r="2497" spans="1:9">
      <c r="A2497" t="str">
        <f>IF(VIPcric_1!A2472="","",VIPcric_1!A2472)</f>
        <v>2022年</v>
      </c>
      <c r="B2497">
        <f>IF(VIPcric_1!B2472="","",VIPcric_1!B2472)</f>
        <v>5497043</v>
      </c>
      <c r="C2497">
        <f>IF(VIPcric_1!C2472="","",VIPcric_1!C2472)</f>
        <v>48255</v>
      </c>
      <c r="D2497">
        <f>IF(VIPcric_1!D2472="","",VIPcric_1!D2472)</f>
        <v>48.9</v>
      </c>
      <c r="E2497">
        <f>IF(VIPcric_1!E2472="","",VIPcric_1!E2472)</f>
        <v>97.8</v>
      </c>
      <c r="F2497" t="str">
        <f>IF(VIPcric_1!F2472="","",VIPcric_1!F2472)</f>
        <v/>
      </c>
      <c r="G2497" t="str">
        <f>IF(VIPcric_1!G2472="","",VIPcric_1!G2472)</f>
        <v/>
      </c>
      <c r="H2497" t="str">
        <f>IF(VIPcric_1!H2472="","",VIPcric_1!H2472)</f>
        <v/>
      </c>
      <c r="I2497" t="str">
        <f>IF(VIPcric_1!M2472="","",VIPcric_1!M2472)</f>
        <v>CRIC-赣州-市场监测.商品房市场.项目累计.库存.xlsx</v>
      </c>
    </row>
    <row r="2498" spans="1:9">
      <c r="A2498" t="str">
        <f>IF(VIPcric_1!A2473="","",VIPcric_1!A2473)</f>
        <v/>
      </c>
      <c r="B2498" t="str">
        <f>IF(VIPcric_1!B2473="","",VIPcric_1!B2473)</f>
        <v/>
      </c>
      <c r="C2498" t="str">
        <f>IF(VIPcric_1!C2473="","",VIPcric_1!C2473)</f>
        <v/>
      </c>
      <c r="D2498" t="str">
        <f>IF(VIPcric_1!D2473="","",VIPcric_1!D2473)</f>
        <v/>
      </c>
      <c r="E2498" t="str">
        <f>IF(VIPcric_1!E2473="","",VIPcric_1!E2473)</f>
        <v/>
      </c>
      <c r="F2498" t="str">
        <f>IF(VIPcric_1!F2473="","",VIPcric_1!F2473)</f>
        <v/>
      </c>
      <c r="G2498" t="str">
        <f>IF(VIPcric_1!G2473="","",VIPcric_1!G2473)</f>
        <v/>
      </c>
      <c r="H2498" t="str">
        <f>IF(VIPcric_1!H2473="","",VIPcric_1!H2473)</f>
        <v/>
      </c>
      <c r="I2498" t="str">
        <f>IF(VIPcric_1!M2473="","",VIPcric_1!M2473)</f>
        <v/>
      </c>
    </row>
    <row r="2499" spans="1:9">
      <c r="A2499" t="str">
        <f>IF(VIPcric_1!A2474="","",VIPcric_1!A2474)</f>
        <v/>
      </c>
      <c r="B2499" t="str">
        <f>IF(VIPcric_1!B2474="","",VIPcric_1!B2474)</f>
        <v/>
      </c>
      <c r="C2499" t="str">
        <f>IF(VIPcric_1!C2474="","",VIPcric_1!C2474)</f>
        <v/>
      </c>
      <c r="D2499" t="str">
        <f>IF(VIPcric_1!D2474="","",VIPcric_1!D2474)</f>
        <v/>
      </c>
      <c r="E2499" t="str">
        <f>IF(VIPcric_1!E2474="","",VIPcric_1!E2474)</f>
        <v/>
      </c>
      <c r="F2499" t="str">
        <f>IF(VIPcric_1!F2474="","",VIPcric_1!F2474)</f>
        <v/>
      </c>
      <c r="G2499" t="str">
        <f>IF(VIPcric_1!G2474="","",VIPcric_1!G2474)</f>
        <v/>
      </c>
      <c r="H2499" t="str">
        <f>IF(VIPcric_1!H2474="","",VIPcric_1!H2474)</f>
        <v/>
      </c>
      <c r="I2499" t="str">
        <f>IF(VIPcric_1!M2474="","",VIPcric_1!M2474)</f>
        <v>CRIC-赤峰-市场监测.商品房市场.项目累计.供求.xlsx</v>
      </c>
    </row>
    <row r="2500" spans="1:9">
      <c r="A2500" t="str">
        <f>IF(VIPcric_1!A2475="","",VIPcric_1!A2475)</f>
        <v>时间(年)</v>
      </c>
      <c r="B2500" t="str">
        <f>IF(VIPcric_1!B2475="","",VIPcric_1!B2475)</f>
        <v>供应面积(㎡)</v>
      </c>
      <c r="C2500" t="str">
        <f>IF(VIPcric_1!C2475="","",VIPcric_1!C2475)</f>
        <v>供应套数(套)</v>
      </c>
      <c r="D2500" t="str">
        <f>IF(VIPcric_1!D2475="","",VIPcric_1!D2475)</f>
        <v>成交面积(㎡)</v>
      </c>
      <c r="E2500" t="str">
        <f>IF(VIPcric_1!E2475="","",VIPcric_1!E2475)</f>
        <v>成交套数(套)</v>
      </c>
      <c r="F2500" t="str">
        <f>IF(VIPcric_1!F2475="","",VIPcric_1!F2475)</f>
        <v>成交均价(元/㎡)</v>
      </c>
      <c r="G2500" t="str">
        <f>IF(VIPcric_1!G2475="","",VIPcric_1!G2475)</f>
        <v>成交金额(元)</v>
      </c>
      <c r="H2500" t="str">
        <f>IF(VIPcric_1!H2475="","",VIPcric_1!H2475)</f>
        <v>供求比</v>
      </c>
      <c r="I2500" t="str">
        <f>IF(VIPcric_1!M2475="","",VIPcric_1!M2475)</f>
        <v>CRIC-赤峰-市场监测.商品房市场.项目累计.供求.xlsx</v>
      </c>
    </row>
    <row r="2501" spans="1:9">
      <c r="A2501" t="str">
        <f>IF(VIPcric_1!A2476="","",VIPcric_1!A2476)</f>
        <v>2023年</v>
      </c>
      <c r="B2501">
        <f>IF(VIPcric_1!B2476="","",VIPcric_1!B2476)</f>
        <v>777928</v>
      </c>
      <c r="C2501">
        <f>IF(VIPcric_1!C2476="","",VIPcric_1!C2476)</f>
        <v>7175</v>
      </c>
      <c r="D2501">
        <f>IF(VIPcric_1!D2476="","",VIPcric_1!D2476)</f>
        <v>964855</v>
      </c>
      <c r="E2501">
        <f>IF(VIPcric_1!E2476="","",VIPcric_1!E2476)</f>
        <v>8242</v>
      </c>
      <c r="F2501">
        <f>IF(VIPcric_1!F2476="","",VIPcric_1!F2476)</f>
        <v>9239</v>
      </c>
      <c r="G2501">
        <f>IF(VIPcric_1!G2476="","",VIPcric_1!G2476)</f>
        <v>8914021538</v>
      </c>
      <c r="H2501">
        <f>IF(VIPcric_1!H2476="","",VIPcric_1!H2476)</f>
        <v>0.81</v>
      </c>
      <c r="I2501" t="str">
        <f>IF(VIPcric_1!M2476="","",VIPcric_1!M2476)</f>
        <v>CRIC-赤峰-市场监测.商品房市场.项目累计.供求.xlsx</v>
      </c>
    </row>
    <row r="2502" spans="1:9">
      <c r="A2502" t="str">
        <f>IF(VIPcric_1!A2477="","",VIPcric_1!A2477)</f>
        <v>2022年</v>
      </c>
      <c r="B2502">
        <f>IF(VIPcric_1!B2477="","",VIPcric_1!B2477)</f>
        <v>672589</v>
      </c>
      <c r="C2502">
        <f>IF(VIPcric_1!C2477="","",VIPcric_1!C2477)</f>
        <v>6168</v>
      </c>
      <c r="D2502">
        <f>IF(VIPcric_1!D2477="","",VIPcric_1!D2477)</f>
        <v>1365896</v>
      </c>
      <c r="E2502">
        <f>IF(VIPcric_1!E2477="","",VIPcric_1!E2477)</f>
        <v>11867</v>
      </c>
      <c r="F2502">
        <f>IF(VIPcric_1!F2477="","",VIPcric_1!F2477)</f>
        <v>9546</v>
      </c>
      <c r="G2502">
        <f>IF(VIPcric_1!G2477="","",VIPcric_1!G2477)</f>
        <v>13038676244</v>
      </c>
      <c r="H2502">
        <f>IF(VIPcric_1!H2477="","",VIPcric_1!H2477)</f>
        <v>0.49</v>
      </c>
      <c r="I2502" t="str">
        <f>IF(VIPcric_1!M2477="","",VIPcric_1!M2477)</f>
        <v>CRIC-赤峰-市场监测.商品房市场.项目累计.供求.xlsx</v>
      </c>
    </row>
    <row r="2503" spans="1:9">
      <c r="A2503" t="str">
        <f>IF(VIPcric_1!A2478="","",VIPcric_1!A2478)</f>
        <v>2021年</v>
      </c>
      <c r="B2503">
        <f>IF(VIPcric_1!B2478="","",VIPcric_1!B2478)</f>
        <v>1535240</v>
      </c>
      <c r="C2503">
        <f>IF(VIPcric_1!C2478="","",VIPcric_1!C2478)</f>
        <v>13237</v>
      </c>
      <c r="D2503">
        <f>IF(VIPcric_1!D2478="","",VIPcric_1!D2478)</f>
        <v>817259</v>
      </c>
      <c r="E2503">
        <f>IF(VIPcric_1!E2478="","",VIPcric_1!E2478)</f>
        <v>7249</v>
      </c>
      <c r="F2503">
        <f>IF(VIPcric_1!F2478="","",VIPcric_1!F2478)</f>
        <v>10109</v>
      </c>
      <c r="G2503">
        <f>IF(VIPcric_1!G2478="","",VIPcric_1!G2478)</f>
        <v>8261654880</v>
      </c>
      <c r="H2503">
        <f>IF(VIPcric_1!H2478="","",VIPcric_1!H2478)</f>
        <v>1.88</v>
      </c>
      <c r="I2503" t="str">
        <f>IF(VIPcric_1!M2478="","",VIPcric_1!M2478)</f>
        <v>CRIC-赤峰-市场监测.商品房市场.项目累计.供求.xlsx</v>
      </c>
    </row>
    <row r="2504" spans="1:9">
      <c r="A2504" t="str">
        <f>IF(VIPcric_1!A2479="","",VIPcric_1!A2479)</f>
        <v>2020年</v>
      </c>
      <c r="B2504">
        <f>IF(VIPcric_1!B2479="","",VIPcric_1!B2479)</f>
        <v>3687409</v>
      </c>
      <c r="C2504">
        <f>IF(VIPcric_1!C2479="","",VIPcric_1!C2479)</f>
        <v>32506</v>
      </c>
      <c r="D2504">
        <f>IF(VIPcric_1!D2479="","",VIPcric_1!D2479)</f>
        <v>0</v>
      </c>
      <c r="E2504">
        <f>IF(VIPcric_1!E2479="","",VIPcric_1!E2479)</f>
        <v>0</v>
      </c>
      <c r="F2504">
        <f>IF(VIPcric_1!F2479="","",VIPcric_1!F2479)</f>
        <v>0</v>
      </c>
      <c r="G2504">
        <f>IF(VIPcric_1!G2479="","",VIPcric_1!G2479)</f>
        <v>0</v>
      </c>
      <c r="H2504">
        <f>IF(VIPcric_1!H2479="","",VIPcric_1!H2479)</f>
        <v>0</v>
      </c>
      <c r="I2504" t="str">
        <f>IF(VIPcric_1!M2479="","",VIPcric_1!M2479)</f>
        <v>CRIC-赤峰-市场监测.商品房市场.项目累计.供求.xlsx</v>
      </c>
    </row>
    <row r="2505" spans="1:9">
      <c r="A2505" t="str">
        <f>IF(VIPcric_1!A2480="","",VIPcric_1!A2480)</f>
        <v>2019年</v>
      </c>
      <c r="B2505">
        <f>IF(VIPcric_1!B2480="","",VIPcric_1!B2480)</f>
        <v>2567210</v>
      </c>
      <c r="C2505">
        <f>IF(VIPcric_1!C2480="","",VIPcric_1!C2480)</f>
        <v>23305</v>
      </c>
      <c r="D2505">
        <f>IF(VIPcric_1!D2480="","",VIPcric_1!D2480)</f>
        <v>0</v>
      </c>
      <c r="E2505">
        <f>IF(VIPcric_1!E2480="","",VIPcric_1!E2480)</f>
        <v>0</v>
      </c>
      <c r="F2505">
        <f>IF(VIPcric_1!F2480="","",VIPcric_1!F2480)</f>
        <v>0</v>
      </c>
      <c r="G2505">
        <f>IF(VIPcric_1!G2480="","",VIPcric_1!G2480)</f>
        <v>0</v>
      </c>
      <c r="H2505">
        <f>IF(VIPcric_1!H2480="","",VIPcric_1!H2480)</f>
        <v>0</v>
      </c>
      <c r="I2505" t="str">
        <f>IF(VIPcric_1!M2480="","",VIPcric_1!M2480)</f>
        <v>CRIC-赤峰-市场监测.商品房市场.项目累计.供求.xlsx</v>
      </c>
    </row>
    <row r="2506" spans="1:9">
      <c r="A2506" t="str">
        <f>IF(VIPcric_1!A2481="","",VIPcric_1!A2481)</f>
        <v>汇总</v>
      </c>
      <c r="B2506">
        <f>IF(VIPcric_1!B2481="","",VIPcric_1!B2481)</f>
        <v>9240376</v>
      </c>
      <c r="C2506">
        <f>IF(VIPcric_1!C2481="","",VIPcric_1!C2481)</f>
        <v>82391</v>
      </c>
      <c r="D2506">
        <f>IF(VIPcric_1!D2481="","",VIPcric_1!D2481)</f>
        <v>3148011</v>
      </c>
      <c r="E2506">
        <f>IF(VIPcric_1!E2481="","",VIPcric_1!E2481)</f>
        <v>27358</v>
      </c>
      <c r="F2506">
        <f>IF(VIPcric_1!F2481="","",VIPcric_1!F2481)</f>
        <v>9598</v>
      </c>
      <c r="G2506">
        <f>IF(VIPcric_1!G2481="","",VIPcric_1!G2481)</f>
        <v>30214352661</v>
      </c>
      <c r="H2506">
        <f>IF(VIPcric_1!H2481="","",VIPcric_1!H2481)</f>
        <v>2.94</v>
      </c>
      <c r="I2506" t="str">
        <f>IF(VIPcric_1!M2481="","",VIPcric_1!M2481)</f>
        <v>CRIC-赤峰-市场监测.商品房市场.项目累计.供求.xlsx</v>
      </c>
    </row>
    <row r="2507" spans="1:9">
      <c r="A2507" t="str">
        <f>IF(VIPcric_1!A2482="","",VIPcric_1!A2482)</f>
        <v/>
      </c>
      <c r="B2507" t="str">
        <f>IF(VIPcric_1!B2482="","",VIPcric_1!B2482)</f>
        <v/>
      </c>
      <c r="C2507" t="str">
        <f>IF(VIPcric_1!C2482="","",VIPcric_1!C2482)</f>
        <v/>
      </c>
      <c r="D2507" t="str">
        <f>IF(VIPcric_1!D2482="","",VIPcric_1!D2482)</f>
        <v/>
      </c>
      <c r="E2507" t="str">
        <f>IF(VIPcric_1!E2482="","",VIPcric_1!E2482)</f>
        <v/>
      </c>
      <c r="F2507" t="str">
        <f>IF(VIPcric_1!F2482="","",VIPcric_1!F2482)</f>
        <v/>
      </c>
      <c r="G2507" t="str">
        <f>IF(VIPcric_1!G2482="","",VIPcric_1!G2482)</f>
        <v/>
      </c>
      <c r="H2507" t="str">
        <f>IF(VIPcric_1!H2482="","",VIPcric_1!H2482)</f>
        <v/>
      </c>
      <c r="I2507" t="str">
        <f>IF(VIPcric_1!M2482="","",VIPcric_1!M2482)</f>
        <v/>
      </c>
    </row>
    <row r="2508" spans="1:9">
      <c r="A2508" t="str">
        <f>IF(VIPcric_1!A2483="","",VIPcric_1!A2483)</f>
        <v/>
      </c>
      <c r="B2508" t="str">
        <f>IF(VIPcric_1!B2483="","",VIPcric_1!B2483)</f>
        <v/>
      </c>
      <c r="C2508" t="str">
        <f>IF(VIPcric_1!C2483="","",VIPcric_1!C2483)</f>
        <v/>
      </c>
      <c r="D2508" t="str">
        <f>IF(VIPcric_1!D2483="","",VIPcric_1!D2483)</f>
        <v/>
      </c>
      <c r="E2508" t="str">
        <f>IF(VIPcric_1!E2483="","",VIPcric_1!E2483)</f>
        <v/>
      </c>
      <c r="F2508" t="str">
        <f>IF(VIPcric_1!F2483="","",VIPcric_1!F2483)</f>
        <v/>
      </c>
      <c r="G2508" t="str">
        <f>IF(VIPcric_1!G2483="","",VIPcric_1!G2483)</f>
        <v/>
      </c>
      <c r="H2508" t="str">
        <f>IF(VIPcric_1!H2483="","",VIPcric_1!H2483)</f>
        <v/>
      </c>
      <c r="I2508" t="str">
        <f>IF(VIPcric_1!M2483="","",VIPcric_1!M2483)</f>
        <v>CRIC-赤峰-市场监测.商品房市场.项目累计.库存.xlsx</v>
      </c>
    </row>
    <row r="2509" spans="1:9">
      <c r="A2509" t="str">
        <f>IF(VIPcric_1!A2484="","",VIPcric_1!A2484)</f>
        <v>时间(年)</v>
      </c>
      <c r="B2509" t="str">
        <f>IF(VIPcric_1!B2484="","",VIPcric_1!B2484)</f>
        <v>库存面积(㎡)</v>
      </c>
      <c r="C2509" t="str">
        <f>IF(VIPcric_1!C2484="","",VIPcric_1!C2484)</f>
        <v>库存套数(套)</v>
      </c>
      <c r="D2509" t="str">
        <f>IF(VIPcric_1!D2484="","",VIPcric_1!D2484)</f>
        <v>去化周期12'(月)</v>
      </c>
      <c r="E2509" t="str">
        <f>IF(VIPcric_1!E2484="","",VIPcric_1!E2484)</f>
        <v>去化周期24'(月)</v>
      </c>
      <c r="F2509" t="str">
        <f>IF(VIPcric_1!F2484="","",VIPcric_1!F2484)</f>
        <v/>
      </c>
      <c r="G2509" t="str">
        <f>IF(VIPcric_1!G2484="","",VIPcric_1!G2484)</f>
        <v/>
      </c>
      <c r="H2509" t="str">
        <f>IF(VIPcric_1!H2484="","",VIPcric_1!H2484)</f>
        <v/>
      </c>
      <c r="I2509" t="str">
        <f>IF(VIPcric_1!M2484="","",VIPcric_1!M2484)</f>
        <v>CRIC-赤峰-市场监测.商品房市场.项目累计.库存.xlsx</v>
      </c>
    </row>
    <row r="2510" spans="1:9">
      <c r="A2510" t="str">
        <f>IF(VIPcric_1!A2485="","",VIPcric_1!A2485)</f>
        <v>2024年</v>
      </c>
      <c r="B2510">
        <f>IF(VIPcric_1!B2485="","",VIPcric_1!B2485)</f>
        <v>2103310</v>
      </c>
      <c r="C2510">
        <f>IF(VIPcric_1!C2485="","",VIPcric_1!C2485)</f>
        <v>18637</v>
      </c>
      <c r="D2510">
        <f>IF(VIPcric_1!D2485="","",VIPcric_1!D2485)</f>
        <v>26.2</v>
      </c>
      <c r="E2510">
        <f>IF(VIPcric_1!E2485="","",VIPcric_1!E2485)</f>
        <v>22.5</v>
      </c>
      <c r="F2510" t="str">
        <f>IF(VIPcric_1!F2485="","",VIPcric_1!F2485)</f>
        <v/>
      </c>
      <c r="G2510" t="str">
        <f>IF(VIPcric_1!G2485="","",VIPcric_1!G2485)</f>
        <v/>
      </c>
      <c r="H2510" t="str">
        <f>IF(VIPcric_1!H2485="","",VIPcric_1!H2485)</f>
        <v/>
      </c>
      <c r="I2510" t="str">
        <f>IF(VIPcric_1!M2485="","",VIPcric_1!M2485)</f>
        <v>CRIC-赤峰-市场监测.商品房市场.项目累计.库存.xlsx</v>
      </c>
    </row>
    <row r="2511" spans="1:9">
      <c r="A2511" t="str">
        <f>IF(VIPcric_1!A2486="","",VIPcric_1!A2486)</f>
        <v>2023年</v>
      </c>
      <c r="B2511">
        <f>IF(VIPcric_1!B2486="","",VIPcric_1!B2486)</f>
        <v>2045121</v>
      </c>
      <c r="C2511">
        <f>IF(VIPcric_1!C2486="","",VIPcric_1!C2486)</f>
        <v>17945</v>
      </c>
      <c r="D2511">
        <f>IF(VIPcric_1!D2486="","",VIPcric_1!D2486)</f>
        <v>25.4</v>
      </c>
      <c r="E2511">
        <f>IF(VIPcric_1!E2486="","",VIPcric_1!E2486)</f>
        <v>21.1</v>
      </c>
      <c r="F2511" t="str">
        <f>IF(VIPcric_1!F2486="","",VIPcric_1!F2486)</f>
        <v/>
      </c>
      <c r="G2511" t="str">
        <f>IF(VIPcric_1!G2486="","",VIPcric_1!G2486)</f>
        <v/>
      </c>
      <c r="H2511" t="str">
        <f>IF(VIPcric_1!H2486="","",VIPcric_1!H2486)</f>
        <v/>
      </c>
      <c r="I2511" t="str">
        <f>IF(VIPcric_1!M2486="","",VIPcric_1!M2486)</f>
        <v>CRIC-赤峰-市场监测.商品房市场.项目累计.库存.xlsx</v>
      </c>
    </row>
    <row r="2512" spans="1:9">
      <c r="A2512" t="str">
        <f>IF(VIPcric_1!A2487="","",VIPcric_1!A2487)</f>
        <v>2022年</v>
      </c>
      <c r="B2512">
        <f>IF(VIPcric_1!B2487="","",VIPcric_1!B2487)</f>
        <v>2271464</v>
      </c>
      <c r="C2512">
        <f>IF(VIPcric_1!C2487="","",VIPcric_1!C2487)</f>
        <v>19663</v>
      </c>
      <c r="D2512">
        <f>IF(VIPcric_1!D2487="","",VIPcric_1!D2487)</f>
        <v>20</v>
      </c>
      <c r="E2512">
        <f>IF(VIPcric_1!E2487="","",VIPcric_1!E2487)</f>
        <v>25</v>
      </c>
      <c r="F2512" t="str">
        <f>IF(VIPcric_1!F2487="","",VIPcric_1!F2487)</f>
        <v/>
      </c>
      <c r="G2512" t="str">
        <f>IF(VIPcric_1!G2487="","",VIPcric_1!G2487)</f>
        <v/>
      </c>
      <c r="H2512" t="str">
        <f>IF(VIPcric_1!H2487="","",VIPcric_1!H2487)</f>
        <v/>
      </c>
      <c r="I2512" t="str">
        <f>IF(VIPcric_1!M2487="","",VIPcric_1!M2487)</f>
        <v>CRIC-赤峰-市场监测.商品房市场.项目累计.库存.xlsx</v>
      </c>
    </row>
    <row r="2513" spans="1:9">
      <c r="A2513" t="str">
        <f>IF(VIPcric_1!A2488="","",VIPcric_1!A2488)</f>
        <v>2021年</v>
      </c>
      <c r="B2513">
        <f>IF(VIPcric_1!B2488="","",VIPcric_1!B2488)</f>
        <v>2913228</v>
      </c>
      <c r="C2513">
        <f>IF(VIPcric_1!C2488="","",VIPcric_1!C2488)</f>
        <v>24936</v>
      </c>
      <c r="D2513">
        <f>IF(VIPcric_1!D2488="","",VIPcric_1!D2488)</f>
        <v>42.8</v>
      </c>
      <c r="E2513">
        <f>IF(VIPcric_1!E2488="","",VIPcric_1!E2488)</f>
        <v>85.6</v>
      </c>
      <c r="F2513" t="str">
        <f>IF(VIPcric_1!F2488="","",VIPcric_1!F2488)</f>
        <v/>
      </c>
      <c r="G2513" t="str">
        <f>IF(VIPcric_1!G2488="","",VIPcric_1!G2488)</f>
        <v/>
      </c>
      <c r="H2513" t="str">
        <f>IF(VIPcric_1!H2488="","",VIPcric_1!H2488)</f>
        <v/>
      </c>
      <c r="I2513" t="str">
        <f>IF(VIPcric_1!M2488="","",VIPcric_1!M2488)</f>
        <v>CRIC-赤峰-市场监测.商品房市场.项目累计.库存.xlsx</v>
      </c>
    </row>
    <row r="2514" spans="1:9">
      <c r="A2514" t="str">
        <f>IF(VIPcric_1!A2489="","",VIPcric_1!A2489)</f>
        <v/>
      </c>
      <c r="B2514" t="str">
        <f>IF(VIPcric_1!B2489="","",VIPcric_1!B2489)</f>
        <v/>
      </c>
      <c r="C2514" t="str">
        <f>IF(VIPcric_1!C2489="","",VIPcric_1!C2489)</f>
        <v/>
      </c>
      <c r="D2514" t="str">
        <f>IF(VIPcric_1!D2489="","",VIPcric_1!D2489)</f>
        <v/>
      </c>
      <c r="E2514" t="str">
        <f>IF(VIPcric_1!E2489="","",VIPcric_1!E2489)</f>
        <v/>
      </c>
      <c r="F2514" t="str">
        <f>IF(VIPcric_1!F2489="","",VIPcric_1!F2489)</f>
        <v/>
      </c>
      <c r="G2514" t="str">
        <f>IF(VIPcric_1!G2489="","",VIPcric_1!G2489)</f>
        <v/>
      </c>
      <c r="H2514" t="str">
        <f>IF(VIPcric_1!H2489="","",VIPcric_1!H2489)</f>
        <v/>
      </c>
      <c r="I2514" t="str">
        <f>IF(VIPcric_1!M2489="","",VIPcric_1!M2489)</f>
        <v/>
      </c>
    </row>
    <row r="2515" spans="1:9">
      <c r="A2515" t="str">
        <f>IF(VIPcric_1!A2490="","",VIPcric_1!A2490)</f>
        <v/>
      </c>
      <c r="B2515" t="str">
        <f>IF(VIPcric_1!B2490="","",VIPcric_1!B2490)</f>
        <v/>
      </c>
      <c r="C2515" t="str">
        <f>IF(VIPcric_1!C2490="","",VIPcric_1!C2490)</f>
        <v/>
      </c>
      <c r="D2515" t="str">
        <f>IF(VIPcric_1!D2490="","",VIPcric_1!D2490)</f>
        <v/>
      </c>
      <c r="E2515" t="str">
        <f>IF(VIPcric_1!E2490="","",VIPcric_1!E2490)</f>
        <v/>
      </c>
      <c r="F2515" t="str">
        <f>IF(VIPcric_1!F2490="","",VIPcric_1!F2490)</f>
        <v/>
      </c>
      <c r="G2515" t="str">
        <f>IF(VIPcric_1!G2490="","",VIPcric_1!G2490)</f>
        <v/>
      </c>
      <c r="H2515" t="str">
        <f>IF(VIPcric_1!H2490="","",VIPcric_1!H2490)</f>
        <v/>
      </c>
      <c r="I2515" t="str">
        <f>IF(VIPcric_1!M2490="","",VIPcric_1!M2490)</f>
        <v>CRIC-运城-市场监测.商品房市场.项目累计.供求.xlsx</v>
      </c>
    </row>
    <row r="2516" spans="1:9">
      <c r="A2516" t="str">
        <f>IF(VIPcric_1!A2491="","",VIPcric_1!A2491)</f>
        <v>时间(年)</v>
      </c>
      <c r="B2516" t="str">
        <f>IF(VIPcric_1!B2491="","",VIPcric_1!B2491)</f>
        <v>供应面积(㎡)</v>
      </c>
      <c r="C2516" t="str">
        <f>IF(VIPcric_1!C2491="","",VIPcric_1!C2491)</f>
        <v>供应套数(套)</v>
      </c>
      <c r="D2516" t="str">
        <f>IF(VIPcric_1!D2491="","",VIPcric_1!D2491)</f>
        <v>成交面积(㎡)</v>
      </c>
      <c r="E2516" t="str">
        <f>IF(VIPcric_1!E2491="","",VIPcric_1!E2491)</f>
        <v>成交套数(套)</v>
      </c>
      <c r="F2516" t="str">
        <f>IF(VIPcric_1!F2491="","",VIPcric_1!F2491)</f>
        <v>成交均价(元/㎡)</v>
      </c>
      <c r="G2516" t="str">
        <f>IF(VIPcric_1!G2491="","",VIPcric_1!G2491)</f>
        <v>成交金额(元)</v>
      </c>
      <c r="H2516" t="str">
        <f>IF(VIPcric_1!H2491="","",VIPcric_1!H2491)</f>
        <v>供求比</v>
      </c>
      <c r="I2516" t="str">
        <f>IF(VIPcric_1!M2491="","",VIPcric_1!M2491)</f>
        <v>CRIC-运城-市场监测.商品房市场.项目累计.供求.xlsx</v>
      </c>
    </row>
    <row r="2517" spans="1:9">
      <c r="A2517" t="str">
        <f>IF(VIPcric_1!A2492="","",VIPcric_1!A2492)</f>
        <v>2024年</v>
      </c>
      <c r="B2517">
        <f>IF(VIPcric_1!B2492="","",VIPcric_1!B2492)</f>
        <v>0</v>
      </c>
      <c r="C2517">
        <f>IF(VIPcric_1!C2492="","",VIPcric_1!C2492)</f>
        <v>0</v>
      </c>
      <c r="D2517">
        <f>IF(VIPcric_1!D2492="","",VIPcric_1!D2492)</f>
        <v>96426</v>
      </c>
      <c r="E2517">
        <f>IF(VIPcric_1!E2492="","",VIPcric_1!E2492)</f>
        <v>745</v>
      </c>
      <c r="F2517">
        <f>IF(VIPcric_1!F2492="","",VIPcric_1!F2492)</f>
        <v>6664</v>
      </c>
      <c r="G2517">
        <f>IF(VIPcric_1!G2492="","",VIPcric_1!G2492)</f>
        <v>642586835</v>
      </c>
      <c r="H2517">
        <f>IF(VIPcric_1!H2492="","",VIPcric_1!H2492)</f>
        <v>0</v>
      </c>
      <c r="I2517" t="str">
        <f>IF(VIPcric_1!M2492="","",VIPcric_1!M2492)</f>
        <v>CRIC-运城-市场监测.商品房市场.项目累计.供求.xlsx</v>
      </c>
    </row>
    <row r="2518" spans="1:9">
      <c r="A2518" t="str">
        <f>IF(VIPcric_1!A2493="","",VIPcric_1!A2493)</f>
        <v>2023年</v>
      </c>
      <c r="B2518">
        <f>IF(VIPcric_1!B2493="","",VIPcric_1!B2493)</f>
        <v>1237027</v>
      </c>
      <c r="C2518">
        <f>IF(VIPcric_1!C2493="","",VIPcric_1!C2493)</f>
        <v>9397</v>
      </c>
      <c r="D2518">
        <f>IF(VIPcric_1!D2493="","",VIPcric_1!D2493)</f>
        <v>1343756</v>
      </c>
      <c r="E2518">
        <f>IF(VIPcric_1!E2493="","",VIPcric_1!E2493)</f>
        <v>10795</v>
      </c>
      <c r="F2518">
        <f>IF(VIPcric_1!F2493="","",VIPcric_1!F2493)</f>
        <v>6363</v>
      </c>
      <c r="G2518">
        <f>IF(VIPcric_1!G2493="","",VIPcric_1!G2493)</f>
        <v>8550783530</v>
      </c>
      <c r="H2518">
        <f>IF(VIPcric_1!H2493="","",VIPcric_1!H2493)</f>
        <v>0.92</v>
      </c>
      <c r="I2518" t="str">
        <f>IF(VIPcric_1!M2493="","",VIPcric_1!M2493)</f>
        <v>CRIC-运城-市场监测.商品房市场.项目累计.供求.xlsx</v>
      </c>
    </row>
    <row r="2519" spans="1:9">
      <c r="A2519" t="str">
        <f>IF(VIPcric_1!A2494="","",VIPcric_1!A2494)</f>
        <v>2022年</v>
      </c>
      <c r="B2519">
        <f>IF(VIPcric_1!B2494="","",VIPcric_1!B2494)</f>
        <v>1123570</v>
      </c>
      <c r="C2519">
        <f>IF(VIPcric_1!C2494="","",VIPcric_1!C2494)</f>
        <v>8814</v>
      </c>
      <c r="D2519">
        <f>IF(VIPcric_1!D2494="","",VIPcric_1!D2494)</f>
        <v>1180740</v>
      </c>
      <c r="E2519">
        <f>IF(VIPcric_1!E2494="","",VIPcric_1!E2494)</f>
        <v>9367</v>
      </c>
      <c r="F2519">
        <f>IF(VIPcric_1!F2494="","",VIPcric_1!F2494)</f>
        <v>6250</v>
      </c>
      <c r="G2519">
        <f>IF(VIPcric_1!G2494="","",VIPcric_1!G2494)</f>
        <v>7379548726</v>
      </c>
      <c r="H2519">
        <f>IF(VIPcric_1!H2494="","",VIPcric_1!H2494)</f>
        <v>0.95</v>
      </c>
      <c r="I2519" t="str">
        <f>IF(VIPcric_1!M2494="","",VIPcric_1!M2494)</f>
        <v>CRIC-运城-市场监测.商品房市场.项目累计.供求.xlsx</v>
      </c>
    </row>
    <row r="2520" spans="1:9">
      <c r="A2520" t="str">
        <f>IF(VIPcric_1!A2495="","",VIPcric_1!A2495)</f>
        <v>2021年</v>
      </c>
      <c r="B2520">
        <f>IF(VIPcric_1!B2495="","",VIPcric_1!B2495)</f>
        <v>2219978</v>
      </c>
      <c r="C2520">
        <f>IF(VIPcric_1!C2495="","",VIPcric_1!C2495)</f>
        <v>17634</v>
      </c>
      <c r="D2520">
        <f>IF(VIPcric_1!D2495="","",VIPcric_1!D2495)</f>
        <v>1906475</v>
      </c>
      <c r="E2520">
        <f>IF(VIPcric_1!E2495="","",VIPcric_1!E2495)</f>
        <v>15487</v>
      </c>
      <c r="F2520">
        <f>IF(VIPcric_1!F2495="","",VIPcric_1!F2495)</f>
        <v>6119</v>
      </c>
      <c r="G2520">
        <f>IF(VIPcric_1!G2495="","",VIPcric_1!G2495)</f>
        <v>11665752890</v>
      </c>
      <c r="H2520">
        <f>IF(VIPcric_1!H2495="","",VIPcric_1!H2495)</f>
        <v>1.1599999999999999</v>
      </c>
      <c r="I2520" t="str">
        <f>IF(VIPcric_1!M2495="","",VIPcric_1!M2495)</f>
        <v>CRIC-运城-市场监测.商品房市场.项目累计.供求.xlsx</v>
      </c>
    </row>
    <row r="2521" spans="1:9">
      <c r="A2521" t="str">
        <f>IF(VIPcric_1!A2496="","",VIPcric_1!A2496)</f>
        <v>2020年</v>
      </c>
      <c r="B2521">
        <f>IF(VIPcric_1!B2496="","",VIPcric_1!B2496)</f>
        <v>2466503</v>
      </c>
      <c r="C2521">
        <f>IF(VIPcric_1!C2496="","",VIPcric_1!C2496)</f>
        <v>19920</v>
      </c>
      <c r="D2521">
        <f>IF(VIPcric_1!D2496="","",VIPcric_1!D2496)</f>
        <v>2348516</v>
      </c>
      <c r="E2521">
        <f>IF(VIPcric_1!E2496="","",VIPcric_1!E2496)</f>
        <v>19322</v>
      </c>
      <c r="F2521">
        <f>IF(VIPcric_1!F2496="","",VIPcric_1!F2496)</f>
        <v>5674</v>
      </c>
      <c r="G2521">
        <f>IF(VIPcric_1!G2496="","",VIPcric_1!G2496)</f>
        <v>13325983212</v>
      </c>
      <c r="H2521">
        <f>IF(VIPcric_1!H2496="","",VIPcric_1!H2496)</f>
        <v>1.05</v>
      </c>
      <c r="I2521" t="str">
        <f>IF(VIPcric_1!M2496="","",VIPcric_1!M2496)</f>
        <v>CRIC-运城-市场监测.商品房市场.项目累计.供求.xlsx</v>
      </c>
    </row>
    <row r="2522" spans="1:9">
      <c r="A2522" t="str">
        <f>IF(VIPcric_1!A2497="","",VIPcric_1!A2497)</f>
        <v>2019年</v>
      </c>
      <c r="B2522">
        <f>IF(VIPcric_1!B2497="","",VIPcric_1!B2497)</f>
        <v>1778142</v>
      </c>
      <c r="C2522">
        <f>IF(VIPcric_1!C2497="","",VIPcric_1!C2497)</f>
        <v>13585</v>
      </c>
      <c r="D2522">
        <f>IF(VIPcric_1!D2497="","",VIPcric_1!D2497)</f>
        <v>1110686</v>
      </c>
      <c r="E2522">
        <f>IF(VIPcric_1!E2497="","",VIPcric_1!E2497)</f>
        <v>9051</v>
      </c>
      <c r="F2522">
        <f>IF(VIPcric_1!F2497="","",VIPcric_1!F2497)</f>
        <v>5464</v>
      </c>
      <c r="G2522">
        <f>IF(VIPcric_1!G2497="","",VIPcric_1!G2497)</f>
        <v>6068884155</v>
      </c>
      <c r="H2522">
        <f>IF(VIPcric_1!H2497="","",VIPcric_1!H2497)</f>
        <v>1.6</v>
      </c>
      <c r="I2522" t="str">
        <f>IF(VIPcric_1!M2497="","",VIPcric_1!M2497)</f>
        <v>CRIC-运城-市场监测.商品房市场.项目累计.供求.xlsx</v>
      </c>
    </row>
    <row r="2523" spans="1:9">
      <c r="A2523" t="str">
        <f>IF(VIPcric_1!A2498="","",VIPcric_1!A2498)</f>
        <v>汇总</v>
      </c>
      <c r="B2523">
        <f>IF(VIPcric_1!B2498="","",VIPcric_1!B2498)</f>
        <v>8825220</v>
      </c>
      <c r="C2523">
        <f>IF(VIPcric_1!C2498="","",VIPcric_1!C2498)</f>
        <v>69350</v>
      </c>
      <c r="D2523">
        <f>IF(VIPcric_1!D2498="","",VIPcric_1!D2498)</f>
        <v>7986600</v>
      </c>
      <c r="E2523">
        <f>IF(VIPcric_1!E2498="","",VIPcric_1!E2498)</f>
        <v>64767</v>
      </c>
      <c r="F2523">
        <f>IF(VIPcric_1!F2498="","",VIPcric_1!F2498)</f>
        <v>5964</v>
      </c>
      <c r="G2523">
        <f>IF(VIPcric_1!G2498="","",VIPcric_1!G2498)</f>
        <v>47633539349</v>
      </c>
      <c r="H2523">
        <f>IF(VIPcric_1!H2498="","",VIPcric_1!H2498)</f>
        <v>1.1100000000000001</v>
      </c>
      <c r="I2523" t="str">
        <f>IF(VIPcric_1!M2498="","",VIPcric_1!M2498)</f>
        <v>CRIC-运城-市场监测.商品房市场.项目累计.供求.xlsx</v>
      </c>
    </row>
    <row r="2524" spans="1:9">
      <c r="A2524" t="str">
        <f>IF(VIPcric_1!A2499="","",VIPcric_1!A2499)</f>
        <v/>
      </c>
      <c r="B2524" t="str">
        <f>IF(VIPcric_1!B2499="","",VIPcric_1!B2499)</f>
        <v/>
      </c>
      <c r="C2524" t="str">
        <f>IF(VIPcric_1!C2499="","",VIPcric_1!C2499)</f>
        <v/>
      </c>
      <c r="D2524" t="str">
        <f>IF(VIPcric_1!D2499="","",VIPcric_1!D2499)</f>
        <v/>
      </c>
      <c r="E2524" t="str">
        <f>IF(VIPcric_1!E2499="","",VIPcric_1!E2499)</f>
        <v/>
      </c>
      <c r="F2524" t="str">
        <f>IF(VIPcric_1!F2499="","",VIPcric_1!F2499)</f>
        <v/>
      </c>
      <c r="G2524" t="str">
        <f>IF(VIPcric_1!G2499="","",VIPcric_1!G2499)</f>
        <v/>
      </c>
      <c r="H2524" t="str">
        <f>IF(VIPcric_1!H2499="","",VIPcric_1!H2499)</f>
        <v/>
      </c>
      <c r="I2524" t="str">
        <f>IF(VIPcric_1!M2499="","",VIPcric_1!M2499)</f>
        <v/>
      </c>
    </row>
    <row r="2525" spans="1:9">
      <c r="A2525" t="str">
        <f>IF(VIPcric_1!A2500="","",VIPcric_1!A2500)</f>
        <v/>
      </c>
      <c r="B2525" t="str">
        <f>IF(VIPcric_1!B2500="","",VIPcric_1!B2500)</f>
        <v/>
      </c>
      <c r="C2525" t="str">
        <f>IF(VIPcric_1!C2500="","",VIPcric_1!C2500)</f>
        <v/>
      </c>
      <c r="D2525" t="str">
        <f>IF(VIPcric_1!D2500="","",VIPcric_1!D2500)</f>
        <v/>
      </c>
      <c r="E2525" t="str">
        <f>IF(VIPcric_1!E2500="","",VIPcric_1!E2500)</f>
        <v/>
      </c>
      <c r="F2525" t="str">
        <f>IF(VIPcric_1!F2500="","",VIPcric_1!F2500)</f>
        <v/>
      </c>
      <c r="G2525" t="str">
        <f>IF(VIPcric_1!G2500="","",VIPcric_1!G2500)</f>
        <v/>
      </c>
      <c r="H2525" t="str">
        <f>IF(VIPcric_1!H2500="","",VIPcric_1!H2500)</f>
        <v/>
      </c>
      <c r="I2525" t="str">
        <f>IF(VIPcric_1!M2500="","",VIPcric_1!M2500)</f>
        <v>CRIC-运城-市场监测.商品房市场.项目累计.库存.xlsx</v>
      </c>
    </row>
    <row r="2526" spans="1:9">
      <c r="A2526" t="str">
        <f>IF(VIPcric_1!A2501="","",VIPcric_1!A2501)</f>
        <v>时间(年)</v>
      </c>
      <c r="B2526" t="str">
        <f>IF(VIPcric_1!B2501="","",VIPcric_1!B2501)</f>
        <v>库存面积(㎡)</v>
      </c>
      <c r="C2526" t="str">
        <f>IF(VIPcric_1!C2501="","",VIPcric_1!C2501)</f>
        <v>库存套数(套)</v>
      </c>
      <c r="D2526" t="str">
        <f>IF(VIPcric_1!D2501="","",VIPcric_1!D2501)</f>
        <v>去化周期12'(月)</v>
      </c>
      <c r="E2526" t="str">
        <f>IF(VIPcric_1!E2501="","",VIPcric_1!E2501)</f>
        <v>去化周期24'(月)</v>
      </c>
      <c r="F2526" t="str">
        <f>IF(VIPcric_1!F2501="","",VIPcric_1!F2501)</f>
        <v/>
      </c>
      <c r="G2526" t="str">
        <f>IF(VIPcric_1!G2501="","",VIPcric_1!G2501)</f>
        <v/>
      </c>
      <c r="H2526" t="str">
        <f>IF(VIPcric_1!H2501="","",VIPcric_1!H2501)</f>
        <v/>
      </c>
      <c r="I2526" t="str">
        <f>IF(VIPcric_1!M2501="","",VIPcric_1!M2501)</f>
        <v>CRIC-运城-市场监测.商品房市场.项目累计.库存.xlsx</v>
      </c>
    </row>
    <row r="2527" spans="1:9">
      <c r="A2527" t="str">
        <f>IF(VIPcric_1!A2502="","",VIPcric_1!A2502)</f>
        <v>2024年</v>
      </c>
      <c r="B2527">
        <f>IF(VIPcric_1!B2502="","",VIPcric_1!B2502)</f>
        <v>3252332</v>
      </c>
      <c r="C2527">
        <f>IF(VIPcric_1!C2502="","",VIPcric_1!C2502)</f>
        <v>24624</v>
      </c>
      <c r="D2527">
        <f>IF(VIPcric_1!D2502="","",VIPcric_1!D2502)</f>
        <v>29.3</v>
      </c>
      <c r="E2527">
        <f>IF(VIPcric_1!E2502="","",VIPcric_1!E2502)</f>
        <v>30.8</v>
      </c>
      <c r="F2527" t="str">
        <f>IF(VIPcric_1!F2502="","",VIPcric_1!F2502)</f>
        <v/>
      </c>
      <c r="G2527" t="str">
        <f>IF(VIPcric_1!G2502="","",VIPcric_1!G2502)</f>
        <v/>
      </c>
      <c r="H2527" t="str">
        <f>IF(VIPcric_1!H2502="","",VIPcric_1!H2502)</f>
        <v/>
      </c>
      <c r="I2527" t="str">
        <f>IF(VIPcric_1!M2502="","",VIPcric_1!M2502)</f>
        <v>CRIC-运城-市场监测.商品房市场.项目累计.库存.xlsx</v>
      </c>
    </row>
    <row r="2528" spans="1:9">
      <c r="A2528" t="str">
        <f>IF(VIPcric_1!A2503="","",VIPcric_1!A2503)</f>
        <v>2023年</v>
      </c>
      <c r="B2528">
        <f>IF(VIPcric_1!B2503="","",VIPcric_1!B2503)</f>
        <v>3318457</v>
      </c>
      <c r="C2528">
        <f>IF(VIPcric_1!C2503="","",VIPcric_1!C2503)</f>
        <v>25166</v>
      </c>
      <c r="D2528">
        <f>IF(VIPcric_1!D2503="","",VIPcric_1!D2503)</f>
        <v>29.6</v>
      </c>
      <c r="E2528">
        <f>IF(VIPcric_1!E2503="","",VIPcric_1!E2503)</f>
        <v>31.5</v>
      </c>
      <c r="F2528" t="str">
        <f>IF(VIPcric_1!F2503="","",VIPcric_1!F2503)</f>
        <v/>
      </c>
      <c r="G2528" t="str">
        <f>IF(VIPcric_1!G2503="","",VIPcric_1!G2503)</f>
        <v/>
      </c>
      <c r="H2528" t="str">
        <f>IF(VIPcric_1!H2503="","",VIPcric_1!H2503)</f>
        <v/>
      </c>
      <c r="I2528" t="str">
        <f>IF(VIPcric_1!M2503="","",VIPcric_1!M2503)</f>
        <v>CRIC-运城-市场监测.商品房市场.项目累计.库存.xlsx</v>
      </c>
    </row>
    <row r="2529" spans="1:9">
      <c r="A2529" t="str">
        <f>IF(VIPcric_1!A2504="","",VIPcric_1!A2504)</f>
        <v>2022年</v>
      </c>
      <c r="B2529">
        <f>IF(VIPcric_1!B2504="","",VIPcric_1!B2504)</f>
        <v>3136214</v>
      </c>
      <c r="C2529">
        <f>IF(VIPcric_1!C2504="","",VIPcric_1!C2504)</f>
        <v>24246</v>
      </c>
      <c r="D2529">
        <f>IF(VIPcric_1!D2504="","",VIPcric_1!D2504)</f>
        <v>31.9</v>
      </c>
      <c r="E2529">
        <f>IF(VIPcric_1!E2504="","",VIPcric_1!E2504)</f>
        <v>24.4</v>
      </c>
      <c r="F2529" t="str">
        <f>IF(VIPcric_1!F2504="","",VIPcric_1!F2504)</f>
        <v/>
      </c>
      <c r="G2529" t="str">
        <f>IF(VIPcric_1!G2504="","",VIPcric_1!G2504)</f>
        <v/>
      </c>
      <c r="H2529" t="str">
        <f>IF(VIPcric_1!H2504="","",VIPcric_1!H2504)</f>
        <v/>
      </c>
      <c r="I2529" t="str">
        <f>IF(VIPcric_1!M2504="","",VIPcric_1!M2504)</f>
        <v>CRIC-运城-市场监测.商品房市场.项目累计.库存.xlsx</v>
      </c>
    </row>
    <row r="2530" spans="1:9">
      <c r="A2530" t="str">
        <f>IF(VIPcric_1!A2505="","",VIPcric_1!A2505)</f>
        <v>2021年</v>
      </c>
      <c r="B2530">
        <f>IF(VIPcric_1!B2505="","",VIPcric_1!B2505)</f>
        <v>3136351</v>
      </c>
      <c r="C2530">
        <f>IF(VIPcric_1!C2505="","",VIPcric_1!C2505)</f>
        <v>24440</v>
      </c>
      <c r="D2530">
        <f>IF(VIPcric_1!D2505="","",VIPcric_1!D2505)</f>
        <v>19.7</v>
      </c>
      <c r="E2530">
        <f>IF(VIPcric_1!E2505="","",VIPcric_1!E2505)</f>
        <v>17.7</v>
      </c>
      <c r="F2530" t="str">
        <f>IF(VIPcric_1!F2505="","",VIPcric_1!F2505)</f>
        <v/>
      </c>
      <c r="G2530" t="str">
        <f>IF(VIPcric_1!G2505="","",VIPcric_1!G2505)</f>
        <v/>
      </c>
      <c r="H2530" t="str">
        <f>IF(VIPcric_1!H2505="","",VIPcric_1!H2505)</f>
        <v/>
      </c>
      <c r="I2530" t="str">
        <f>IF(VIPcric_1!M2505="","",VIPcric_1!M2505)</f>
        <v>CRIC-运城-市场监测.商品房市场.项目累计.库存.xlsx</v>
      </c>
    </row>
    <row r="2531" spans="1:9">
      <c r="A2531" t="str">
        <f>IF(VIPcric_1!A2506="","",VIPcric_1!A2506)</f>
        <v>2020年</v>
      </c>
      <c r="B2531">
        <f>IF(VIPcric_1!B2506="","",VIPcric_1!B2506)</f>
        <v>2672387</v>
      </c>
      <c r="C2531">
        <f>IF(VIPcric_1!C2506="","",VIPcric_1!C2506)</f>
        <v>21105</v>
      </c>
      <c r="D2531">
        <f>IF(VIPcric_1!D2506="","",VIPcric_1!D2506)</f>
        <v>13.7</v>
      </c>
      <c r="E2531">
        <f>IF(VIPcric_1!E2506="","",VIPcric_1!E2506)</f>
        <v>18.5</v>
      </c>
      <c r="F2531" t="str">
        <f>IF(VIPcric_1!F2506="","",VIPcric_1!F2506)</f>
        <v/>
      </c>
      <c r="G2531" t="str">
        <f>IF(VIPcric_1!G2506="","",VIPcric_1!G2506)</f>
        <v/>
      </c>
      <c r="H2531" t="str">
        <f>IF(VIPcric_1!H2506="","",VIPcric_1!H2506)</f>
        <v/>
      </c>
      <c r="I2531" t="str">
        <f>IF(VIPcric_1!M2506="","",VIPcric_1!M2506)</f>
        <v>CRIC-运城-市场监测.商品房市场.项目累计.库存.xlsx</v>
      </c>
    </row>
    <row r="2532" spans="1:9">
      <c r="A2532" t="str">
        <f>IF(VIPcric_1!A2507="","",VIPcric_1!A2507)</f>
        <v>2019年</v>
      </c>
      <c r="B2532">
        <f>IF(VIPcric_1!B2507="","",VIPcric_1!B2507)</f>
        <v>1980548</v>
      </c>
      <c r="C2532">
        <f>IF(VIPcric_1!C2507="","",VIPcric_1!C2507)</f>
        <v>15872</v>
      </c>
      <c r="D2532">
        <f>IF(VIPcric_1!D2507="","",VIPcric_1!D2507)</f>
        <v>21.4</v>
      </c>
      <c r="E2532">
        <f>IF(VIPcric_1!E2507="","",VIPcric_1!E2507)</f>
        <v>42.8</v>
      </c>
      <c r="F2532" t="str">
        <f>IF(VIPcric_1!F2507="","",VIPcric_1!F2507)</f>
        <v/>
      </c>
      <c r="G2532" t="str">
        <f>IF(VIPcric_1!G2507="","",VIPcric_1!G2507)</f>
        <v/>
      </c>
      <c r="H2532" t="str">
        <f>IF(VIPcric_1!H2507="","",VIPcric_1!H2507)</f>
        <v/>
      </c>
      <c r="I2532" t="str">
        <f>IF(VIPcric_1!M2507="","",VIPcric_1!M2507)</f>
        <v>CRIC-运城-市场监测.商品房市场.项目累计.库存.xlsx</v>
      </c>
    </row>
    <row r="2533" spans="1:9">
      <c r="A2533" t="str">
        <f>IF(VIPcric_1!A2508="","",VIPcric_1!A2508)</f>
        <v/>
      </c>
      <c r="B2533" t="str">
        <f>IF(VIPcric_1!B2508="","",VIPcric_1!B2508)</f>
        <v/>
      </c>
      <c r="C2533" t="str">
        <f>IF(VIPcric_1!C2508="","",VIPcric_1!C2508)</f>
        <v/>
      </c>
      <c r="D2533" t="str">
        <f>IF(VIPcric_1!D2508="","",VIPcric_1!D2508)</f>
        <v/>
      </c>
      <c r="E2533" t="str">
        <f>IF(VIPcric_1!E2508="","",VIPcric_1!E2508)</f>
        <v/>
      </c>
      <c r="F2533" t="str">
        <f>IF(VIPcric_1!F2508="","",VIPcric_1!F2508)</f>
        <v/>
      </c>
      <c r="G2533" t="str">
        <f>IF(VIPcric_1!G2508="","",VIPcric_1!G2508)</f>
        <v/>
      </c>
      <c r="H2533" t="str">
        <f>IF(VIPcric_1!H2508="","",VIPcric_1!H2508)</f>
        <v/>
      </c>
      <c r="I2533" t="str">
        <f>IF(VIPcric_1!M2508="","",VIPcric_1!M2508)</f>
        <v/>
      </c>
    </row>
    <row r="2534" spans="1:9">
      <c r="A2534" t="str">
        <f>IF(VIPcric_1!A2509="","",VIPcric_1!A2509)</f>
        <v/>
      </c>
      <c r="B2534" t="str">
        <f>IF(VIPcric_1!B2509="","",VIPcric_1!B2509)</f>
        <v/>
      </c>
      <c r="C2534" t="str">
        <f>IF(VIPcric_1!C2509="","",VIPcric_1!C2509)</f>
        <v/>
      </c>
      <c r="D2534" t="str">
        <f>IF(VIPcric_1!D2509="","",VIPcric_1!D2509)</f>
        <v/>
      </c>
      <c r="E2534" t="str">
        <f>IF(VIPcric_1!E2509="","",VIPcric_1!E2509)</f>
        <v/>
      </c>
      <c r="F2534" t="s">
        <v>858</v>
      </c>
      <c r="G2534">
        <f>C2536/E2536*12</f>
        <v>13.192067372996469</v>
      </c>
      <c r="H2534" t="str">
        <f>IF(VIPcric_1!H2509="","",VIPcric_1!H2509)</f>
        <v/>
      </c>
      <c r="I2534" t="str">
        <f>IF(VIPcric_1!M2509="","",VIPcric_1!M2509)</f>
        <v>CRIC-连云港-市场监测.商品房市场.项目累计.供求.xlsx</v>
      </c>
    </row>
    <row r="2535" spans="1:9">
      <c r="A2535" t="str">
        <f>IF(VIPcric_1!A2510="","",VIPcric_1!A2510)</f>
        <v>时间(年)</v>
      </c>
      <c r="B2535" t="str">
        <f>IF(VIPcric_1!B2510="","",VIPcric_1!B2510)</f>
        <v>供应面积(㎡)</v>
      </c>
      <c r="C2535" t="str">
        <f>IF(VIPcric_1!C2510="","",VIPcric_1!C2510)</f>
        <v>供应套数(套)</v>
      </c>
      <c r="D2535" t="str">
        <f>IF(VIPcric_1!D2510="","",VIPcric_1!D2510)</f>
        <v>成交面积(㎡)</v>
      </c>
      <c r="E2535" t="str">
        <f>IF(VIPcric_1!E2510="","",VIPcric_1!E2510)</f>
        <v>成交套数(套)</v>
      </c>
      <c r="F2535" t="str">
        <f>IF(VIPcric_1!F2510="","",VIPcric_1!F2510)</f>
        <v>成交均价(元/㎡)</v>
      </c>
      <c r="G2535" t="str">
        <f>IF(VIPcric_1!G2510="","",VIPcric_1!G2510)</f>
        <v>成交金额(元)</v>
      </c>
      <c r="H2535" t="str">
        <f>IF(VIPcric_1!H2510="","",VIPcric_1!H2510)</f>
        <v>供求比</v>
      </c>
      <c r="I2535" t="str">
        <f>IF(VIPcric_1!M2510="","",VIPcric_1!M2510)</f>
        <v>CRIC-连云港-市场监测.商品房市场.项目累计.供求.xlsx</v>
      </c>
    </row>
    <row r="2536" spans="1:9">
      <c r="A2536" t="str">
        <f>IF(VIPcric_1!A2511="","",VIPcric_1!A2511)</f>
        <v>2022年</v>
      </c>
      <c r="B2536">
        <f>IF(VIPcric_1!B2511="","",VIPcric_1!B2511)</f>
        <v>1562444</v>
      </c>
      <c r="C2536">
        <f>IF(VIPcric_1!C2511="","",VIPcric_1!C2511)</f>
        <v>12140</v>
      </c>
      <c r="D2536">
        <f>IF(VIPcric_1!D2511="","",VIPcric_1!D2511)</f>
        <v>1410923</v>
      </c>
      <c r="E2536">
        <f>IF(VIPcric_1!E2511="","",VIPcric_1!E2511)</f>
        <v>11043</v>
      </c>
      <c r="F2536">
        <f>IF(VIPcric_1!F2511="","",VIPcric_1!F2511)</f>
        <v>11053</v>
      </c>
      <c r="G2536">
        <f>IF(VIPcric_1!G2511="","",VIPcric_1!G2511)</f>
        <v>15594515682</v>
      </c>
      <c r="H2536">
        <f>IF(VIPcric_1!H2511="","",VIPcric_1!H2511)</f>
        <v>1.1100000000000001</v>
      </c>
      <c r="I2536" t="str">
        <f>IF(VIPcric_1!M2511="","",VIPcric_1!M2511)</f>
        <v>CRIC-连云港-市场监测.商品房市场.项目累计.供求.xlsx</v>
      </c>
    </row>
    <row r="2537" spans="1:9">
      <c r="A2537" t="str">
        <f>IF(VIPcric_1!A2512="","",VIPcric_1!A2512)</f>
        <v>2021年</v>
      </c>
      <c r="B2537">
        <f>IF(VIPcric_1!B2512="","",VIPcric_1!B2512)</f>
        <v>2301922</v>
      </c>
      <c r="C2537">
        <f>IF(VIPcric_1!C2512="","",VIPcric_1!C2512)</f>
        <v>18916</v>
      </c>
      <c r="D2537">
        <f>IF(VIPcric_1!D2512="","",VIPcric_1!D2512)</f>
        <v>2652402</v>
      </c>
      <c r="E2537">
        <f>IF(VIPcric_1!E2512="","",VIPcric_1!E2512)</f>
        <v>21676</v>
      </c>
      <c r="F2537">
        <f>IF(VIPcric_1!F2512="","",VIPcric_1!F2512)</f>
        <v>9580</v>
      </c>
      <c r="G2537">
        <f>IF(VIPcric_1!G2512="","",VIPcric_1!G2512)</f>
        <v>25411202212</v>
      </c>
      <c r="H2537">
        <f>IF(VIPcric_1!H2512="","",VIPcric_1!H2512)</f>
        <v>0.87</v>
      </c>
      <c r="I2537" t="str">
        <f>IF(VIPcric_1!M2512="","",VIPcric_1!M2512)</f>
        <v>CRIC-连云港-市场监测.商品房市场.项目累计.供求.xlsx</v>
      </c>
    </row>
    <row r="2538" spans="1:9">
      <c r="A2538" t="str">
        <f>IF(VIPcric_1!A2513="","",VIPcric_1!A2513)</f>
        <v>2020年</v>
      </c>
      <c r="B2538">
        <f>IF(VIPcric_1!B2513="","",VIPcric_1!B2513)</f>
        <v>2207081</v>
      </c>
      <c r="C2538">
        <f>IF(VIPcric_1!C2513="","",VIPcric_1!C2513)</f>
        <v>18101</v>
      </c>
      <c r="D2538">
        <f>IF(VIPcric_1!D2513="","",VIPcric_1!D2513)</f>
        <v>3575623</v>
      </c>
      <c r="E2538">
        <f>IF(VIPcric_1!E2513="","",VIPcric_1!E2513)</f>
        <v>29156</v>
      </c>
      <c r="F2538">
        <f>IF(VIPcric_1!F2513="","",VIPcric_1!F2513)</f>
        <v>9046</v>
      </c>
      <c r="G2538">
        <f>IF(VIPcric_1!G2513="","",VIPcric_1!G2513)</f>
        <v>32346226863</v>
      </c>
      <c r="H2538">
        <f>IF(VIPcric_1!H2513="","",VIPcric_1!H2513)</f>
        <v>0.62</v>
      </c>
      <c r="I2538" t="str">
        <f>IF(VIPcric_1!M2513="","",VIPcric_1!M2513)</f>
        <v>CRIC-连云港-市场监测.商品房市场.项目累计.供求.xlsx</v>
      </c>
    </row>
    <row r="2539" spans="1:9">
      <c r="A2539" t="str">
        <f>IF(VIPcric_1!A2514="","",VIPcric_1!A2514)</f>
        <v>2019年</v>
      </c>
      <c r="B2539">
        <f>IF(VIPcric_1!B2514="","",VIPcric_1!B2514)</f>
        <v>2382051</v>
      </c>
      <c r="C2539">
        <f>IF(VIPcric_1!C2514="","",VIPcric_1!C2514)</f>
        <v>19373</v>
      </c>
      <c r="D2539">
        <f>IF(VIPcric_1!D2514="","",VIPcric_1!D2514)</f>
        <v>1887623</v>
      </c>
      <c r="E2539">
        <f>IF(VIPcric_1!E2514="","",VIPcric_1!E2514)</f>
        <v>15609</v>
      </c>
      <c r="F2539">
        <f>IF(VIPcric_1!F2514="","",VIPcric_1!F2514)</f>
        <v>8725</v>
      </c>
      <c r="G2539">
        <f>IF(VIPcric_1!G2514="","",VIPcric_1!G2514)</f>
        <v>16470231266</v>
      </c>
      <c r="H2539">
        <f>IF(VIPcric_1!H2514="","",VIPcric_1!H2514)</f>
        <v>1.26</v>
      </c>
      <c r="I2539" t="str">
        <f>IF(VIPcric_1!M2514="","",VIPcric_1!M2514)</f>
        <v>CRIC-连云港-市场监测.商品房市场.项目累计.供求.xlsx</v>
      </c>
    </row>
    <row r="2540" spans="1:9">
      <c r="A2540" t="str">
        <f>IF(VIPcric_1!A2515="","",VIPcric_1!A2515)</f>
        <v>2018年</v>
      </c>
      <c r="B2540">
        <f>IF(VIPcric_1!B2515="","",VIPcric_1!B2515)</f>
        <v>60728</v>
      </c>
      <c r="C2540">
        <f>IF(VIPcric_1!C2515="","",VIPcric_1!C2515)</f>
        <v>480</v>
      </c>
      <c r="D2540">
        <f>IF(VIPcric_1!D2515="","",VIPcric_1!D2515)</f>
        <v>0</v>
      </c>
      <c r="E2540">
        <f>IF(VIPcric_1!E2515="","",VIPcric_1!E2515)</f>
        <v>0</v>
      </c>
      <c r="F2540">
        <f>IF(VIPcric_1!F2515="","",VIPcric_1!F2515)</f>
        <v>0</v>
      </c>
      <c r="G2540">
        <f>IF(VIPcric_1!G2515="","",VIPcric_1!G2515)</f>
        <v>0</v>
      </c>
      <c r="H2540">
        <f>IF(VIPcric_1!H2515="","",VIPcric_1!H2515)</f>
        <v>0</v>
      </c>
      <c r="I2540" t="str">
        <f>IF(VIPcric_1!M2515="","",VIPcric_1!M2515)</f>
        <v>CRIC-连云港-市场监测.商品房市场.项目累计.供求.xlsx</v>
      </c>
    </row>
    <row r="2541" spans="1:9">
      <c r="A2541" t="str">
        <f>IF(VIPcric_1!A2516="","",VIPcric_1!A2516)</f>
        <v>2017年</v>
      </c>
      <c r="B2541">
        <f>IF(VIPcric_1!B2516="","",VIPcric_1!B2516)</f>
        <v>14612</v>
      </c>
      <c r="C2541">
        <f>IF(VIPcric_1!C2516="","",VIPcric_1!C2516)</f>
        <v>120</v>
      </c>
      <c r="D2541">
        <f>IF(VIPcric_1!D2516="","",VIPcric_1!D2516)</f>
        <v>0</v>
      </c>
      <c r="E2541">
        <f>IF(VIPcric_1!E2516="","",VIPcric_1!E2516)</f>
        <v>0</v>
      </c>
      <c r="F2541">
        <f>IF(VIPcric_1!F2516="","",VIPcric_1!F2516)</f>
        <v>0</v>
      </c>
      <c r="G2541">
        <f>IF(VIPcric_1!G2516="","",VIPcric_1!G2516)</f>
        <v>0</v>
      </c>
      <c r="H2541">
        <f>IF(VIPcric_1!H2516="","",VIPcric_1!H2516)</f>
        <v>0</v>
      </c>
      <c r="I2541" t="str">
        <f>IF(VIPcric_1!M2516="","",VIPcric_1!M2516)</f>
        <v>CRIC-连云港-市场监测.商品房市场.项目累计.供求.xlsx</v>
      </c>
    </row>
    <row r="2542" spans="1:9">
      <c r="A2542" t="str">
        <f>IF(VIPcric_1!A2517="","",VIPcric_1!A2517)</f>
        <v>汇总</v>
      </c>
      <c r="B2542">
        <f>IF(VIPcric_1!B2517="","",VIPcric_1!B2517)</f>
        <v>8528837</v>
      </c>
      <c r="C2542">
        <f>IF(VIPcric_1!C2517="","",VIPcric_1!C2517)</f>
        <v>69130</v>
      </c>
      <c r="D2542">
        <f>IF(VIPcric_1!D2517="","",VIPcric_1!D2517)</f>
        <v>9526571</v>
      </c>
      <c r="E2542">
        <f>IF(VIPcric_1!E2517="","",VIPcric_1!E2517)</f>
        <v>77484</v>
      </c>
      <c r="F2542">
        <f>IF(VIPcric_1!F2517="","",VIPcric_1!F2517)</f>
        <v>9429</v>
      </c>
      <c r="G2542">
        <f>IF(VIPcric_1!G2517="","",VIPcric_1!G2517)</f>
        <v>89822176023</v>
      </c>
      <c r="H2542">
        <f>IF(VIPcric_1!H2517="","",VIPcric_1!H2517)</f>
        <v>0.9</v>
      </c>
      <c r="I2542" t="str">
        <f>IF(VIPcric_1!M2517="","",VIPcric_1!M2517)</f>
        <v>CRIC-连云港-市场监测.商品房市场.项目累计.供求.xlsx</v>
      </c>
    </row>
    <row r="2543" spans="1:9">
      <c r="A2543" t="str">
        <f>IF(VIPcric_1!A2518="","",VIPcric_1!A2518)</f>
        <v/>
      </c>
      <c r="B2543" t="str">
        <f>IF(VIPcric_1!B2518="","",VIPcric_1!B2518)</f>
        <v/>
      </c>
      <c r="C2543" t="str">
        <f>IF(VIPcric_1!C2518="","",VIPcric_1!C2518)</f>
        <v/>
      </c>
      <c r="D2543" t="str">
        <f>IF(VIPcric_1!D2518="","",VIPcric_1!D2518)</f>
        <v/>
      </c>
      <c r="E2543" t="str">
        <f>IF(VIPcric_1!E2518="","",VIPcric_1!E2518)</f>
        <v/>
      </c>
      <c r="F2543" t="str">
        <f>IF(VIPcric_1!F2518="","",VIPcric_1!F2518)</f>
        <v/>
      </c>
      <c r="G2543" t="str">
        <f>IF(VIPcric_1!G2518="","",VIPcric_1!G2518)</f>
        <v/>
      </c>
      <c r="H2543" t="str">
        <f>IF(VIPcric_1!H2518="","",VIPcric_1!H2518)</f>
        <v/>
      </c>
      <c r="I2543" t="str">
        <f>IF(VIPcric_1!M2518="","",VIPcric_1!M2518)</f>
        <v/>
      </c>
    </row>
    <row r="2544" spans="1:9">
      <c r="A2544" t="str">
        <f>IF(VIPcric_1!A2519="","",VIPcric_1!A2519)</f>
        <v/>
      </c>
      <c r="B2544" t="str">
        <f>IF(VIPcric_1!B2519="","",VIPcric_1!B2519)</f>
        <v/>
      </c>
      <c r="C2544" t="str">
        <f>IF(VIPcric_1!C2519="","",VIPcric_1!C2519)</f>
        <v/>
      </c>
      <c r="D2544" t="str">
        <f>IF(VIPcric_1!D2519="","",VIPcric_1!D2519)</f>
        <v/>
      </c>
      <c r="E2544" t="str">
        <f>IF(VIPcric_1!E2519="","",VIPcric_1!E2519)</f>
        <v/>
      </c>
      <c r="F2544" t="str">
        <f>IF(VIPcric_1!F2519="","",VIPcric_1!F2519)</f>
        <v/>
      </c>
      <c r="G2544" t="str">
        <f>IF(VIPcric_1!G2519="","",VIPcric_1!G2519)</f>
        <v/>
      </c>
      <c r="H2544" t="str">
        <f>IF(VIPcric_1!H2519="","",VIPcric_1!H2519)</f>
        <v/>
      </c>
      <c r="I2544" t="str">
        <f>IF(VIPcric_1!M2519="","",VIPcric_1!M2519)</f>
        <v>CRIC-郑州-市场监测.商品房市场.项目累计.供求.xlsx</v>
      </c>
    </row>
    <row r="2545" spans="1:9">
      <c r="A2545" t="str">
        <f>IF(VIPcric_1!A2520="","",VIPcric_1!A2520)</f>
        <v>时间(年)</v>
      </c>
      <c r="B2545" t="str">
        <f>IF(VIPcric_1!B2520="","",VIPcric_1!B2520)</f>
        <v>供应面积(㎡)</v>
      </c>
      <c r="C2545" t="str">
        <f>IF(VIPcric_1!C2520="","",VIPcric_1!C2520)</f>
        <v>供应套数(套)</v>
      </c>
      <c r="D2545" t="str">
        <f>IF(VIPcric_1!D2520="","",VIPcric_1!D2520)</f>
        <v>成交面积(㎡)</v>
      </c>
      <c r="E2545" t="str">
        <f>IF(VIPcric_1!E2520="","",VIPcric_1!E2520)</f>
        <v>成交套数(套)</v>
      </c>
      <c r="F2545" t="str">
        <f>IF(VIPcric_1!F2520="","",VIPcric_1!F2520)</f>
        <v>成交均价(元/㎡)</v>
      </c>
      <c r="G2545" t="str">
        <f>IF(VIPcric_1!G2520="","",VIPcric_1!G2520)</f>
        <v>供求比</v>
      </c>
      <c r="H2545" t="str">
        <f>IF(VIPcric_1!H2520="","",VIPcric_1!H2520)</f>
        <v/>
      </c>
      <c r="I2545" t="str">
        <f>IF(VIPcric_1!M2520="","",VIPcric_1!M2520)</f>
        <v>CRIC-郑州-市场监测.商品房市场.项目累计.供求.xlsx</v>
      </c>
    </row>
    <row r="2546" spans="1:9">
      <c r="A2546" t="str">
        <f>IF(VIPcric_1!A2521="","",VIPcric_1!A2521)</f>
        <v>2023年</v>
      </c>
      <c r="B2546">
        <f>IF(VIPcric_1!B2521="","",VIPcric_1!B2521)</f>
        <v>3904200</v>
      </c>
      <c r="C2546">
        <f>IF(VIPcric_1!C2521="","",VIPcric_1!C2521)</f>
        <v>31965</v>
      </c>
      <c r="D2546">
        <f>IF(VIPcric_1!D2521="","",VIPcric_1!D2521)</f>
        <v>6126061</v>
      </c>
      <c r="E2546">
        <f>IF(VIPcric_1!E2521="","",VIPcric_1!E2521)</f>
        <v>50829</v>
      </c>
      <c r="F2546">
        <f>IF(VIPcric_1!F2521="","",VIPcric_1!F2521)</f>
        <v>15086</v>
      </c>
      <c r="G2546">
        <f>IF(VIPcric_1!G2521="","",VIPcric_1!G2521)</f>
        <v>0.64</v>
      </c>
      <c r="H2546" t="str">
        <f>IF(VIPcric_1!H2521="","",VIPcric_1!H2521)</f>
        <v/>
      </c>
      <c r="I2546" t="str">
        <f>IF(VIPcric_1!M2521="","",VIPcric_1!M2521)</f>
        <v>CRIC-郑州-市场监测.商品房市场.项目累计.供求.xlsx</v>
      </c>
    </row>
    <row r="2547" spans="1:9">
      <c r="A2547" t="str">
        <f>IF(VIPcric_1!A2522="","",VIPcric_1!A2522)</f>
        <v>2022年</v>
      </c>
      <c r="B2547">
        <f>IF(VIPcric_1!B2522="","",VIPcric_1!B2522)</f>
        <v>3802910</v>
      </c>
      <c r="C2547">
        <f>IF(VIPcric_1!C2522="","",VIPcric_1!C2522)</f>
        <v>32083</v>
      </c>
      <c r="D2547">
        <f>IF(VIPcric_1!D2522="","",VIPcric_1!D2522)</f>
        <v>4940566</v>
      </c>
      <c r="E2547">
        <f>IF(VIPcric_1!E2522="","",VIPcric_1!E2522)</f>
        <v>41527</v>
      </c>
      <c r="F2547">
        <f>IF(VIPcric_1!F2522="","",VIPcric_1!F2522)</f>
        <v>15419</v>
      </c>
      <c r="G2547">
        <f>IF(VIPcric_1!G2522="","",VIPcric_1!G2522)</f>
        <v>0.77</v>
      </c>
      <c r="H2547" t="str">
        <f>IF(VIPcric_1!H2522="","",VIPcric_1!H2522)</f>
        <v/>
      </c>
      <c r="I2547" t="str">
        <f>IF(VIPcric_1!M2522="","",VIPcric_1!M2522)</f>
        <v>CRIC-郑州-市场监测.商品房市场.项目累计.供求.xlsx</v>
      </c>
    </row>
    <row r="2548" spans="1:9">
      <c r="A2548" t="str">
        <f>IF(VIPcric_1!A2523="","",VIPcric_1!A2523)</f>
        <v>2021年</v>
      </c>
      <c r="B2548">
        <f>IF(VIPcric_1!B2523="","",VIPcric_1!B2523)</f>
        <v>10975227</v>
      </c>
      <c r="C2548">
        <f>IF(VIPcric_1!C2523="","",VIPcric_1!C2523)</f>
        <v>98824</v>
      </c>
      <c r="D2548">
        <f>IF(VIPcric_1!D2523="","",VIPcric_1!D2523)</f>
        <v>8994709</v>
      </c>
      <c r="E2548">
        <f>IF(VIPcric_1!E2523="","",VIPcric_1!E2523)</f>
        <v>79794</v>
      </c>
      <c r="F2548">
        <f>IF(VIPcric_1!F2523="","",VIPcric_1!F2523)</f>
        <v>15098</v>
      </c>
      <c r="G2548">
        <f>IF(VIPcric_1!G2523="","",VIPcric_1!G2523)</f>
        <v>1.22</v>
      </c>
      <c r="H2548" t="str">
        <f>IF(VIPcric_1!H2523="","",VIPcric_1!H2523)</f>
        <v/>
      </c>
      <c r="I2548" t="str">
        <f>IF(VIPcric_1!M2523="","",VIPcric_1!M2523)</f>
        <v>CRIC-郑州-市场监测.商品房市场.项目累计.供求.xlsx</v>
      </c>
    </row>
    <row r="2549" spans="1:9">
      <c r="A2549" t="str">
        <f>IF(VIPcric_1!A2524="","",VIPcric_1!A2524)</f>
        <v>2020年</v>
      </c>
      <c r="B2549">
        <f>IF(VIPcric_1!B2524="","",VIPcric_1!B2524)</f>
        <v>14115040</v>
      </c>
      <c r="C2549">
        <f>IF(VIPcric_1!C2524="","",VIPcric_1!C2524)</f>
        <v>126468</v>
      </c>
      <c r="D2549">
        <f>IF(VIPcric_1!D2524="","",VIPcric_1!D2524)</f>
        <v>11887193</v>
      </c>
      <c r="E2549">
        <f>IF(VIPcric_1!E2524="","",VIPcric_1!E2524)</f>
        <v>103885</v>
      </c>
      <c r="F2549">
        <f>IF(VIPcric_1!F2524="","",VIPcric_1!F2524)</f>
        <v>14076</v>
      </c>
      <c r="G2549">
        <f>IF(VIPcric_1!G2524="","",VIPcric_1!G2524)</f>
        <v>1.19</v>
      </c>
      <c r="H2549" t="str">
        <f>IF(VIPcric_1!H2524="","",VIPcric_1!H2524)</f>
        <v/>
      </c>
      <c r="I2549" t="str">
        <f>IF(VIPcric_1!M2524="","",VIPcric_1!M2524)</f>
        <v>CRIC-郑州-市场监测.商品房市场.项目累计.供求.xlsx</v>
      </c>
    </row>
    <row r="2550" spans="1:9">
      <c r="A2550" t="str">
        <f>IF(VIPcric_1!A2525="","",VIPcric_1!A2525)</f>
        <v>2019年</v>
      </c>
      <c r="B2550">
        <f>IF(VIPcric_1!B2525="","",VIPcric_1!B2525)</f>
        <v>14981863</v>
      </c>
      <c r="C2550">
        <f>IF(VIPcric_1!C2525="","",VIPcric_1!C2525)</f>
        <v>132023</v>
      </c>
      <c r="D2550">
        <f>IF(VIPcric_1!D2525="","",VIPcric_1!D2525)</f>
        <v>11884767</v>
      </c>
      <c r="E2550">
        <f>IF(VIPcric_1!E2525="","",VIPcric_1!E2525)</f>
        <v>107947</v>
      </c>
      <c r="F2550">
        <f>IF(VIPcric_1!F2525="","",VIPcric_1!F2525)</f>
        <v>13862</v>
      </c>
      <c r="G2550">
        <f>IF(VIPcric_1!G2525="","",VIPcric_1!G2525)</f>
        <v>1.26</v>
      </c>
      <c r="H2550" t="str">
        <f>IF(VIPcric_1!H2525="","",VIPcric_1!H2525)</f>
        <v/>
      </c>
      <c r="I2550" t="str">
        <f>IF(VIPcric_1!M2525="","",VIPcric_1!M2525)</f>
        <v>CRIC-郑州-市场监测.商品房市场.项目累计.供求.xlsx</v>
      </c>
    </row>
    <row r="2551" spans="1:9">
      <c r="A2551" t="str">
        <f>IF(VIPcric_1!A2526="","",VIPcric_1!A2526)</f>
        <v>2018年</v>
      </c>
      <c r="B2551">
        <f>IF(VIPcric_1!B2526="","",VIPcric_1!B2526)</f>
        <v>14123487</v>
      </c>
      <c r="C2551">
        <f>IF(VIPcric_1!C2526="","",VIPcric_1!C2526)</f>
        <v>125440</v>
      </c>
      <c r="D2551">
        <f>IF(VIPcric_1!D2526="","",VIPcric_1!D2526)</f>
        <v>11450718</v>
      </c>
      <c r="E2551">
        <f>IF(VIPcric_1!E2526="","",VIPcric_1!E2526)</f>
        <v>105394</v>
      </c>
      <c r="F2551">
        <f>IF(VIPcric_1!F2526="","",VIPcric_1!F2526)</f>
        <v>13555</v>
      </c>
      <c r="G2551">
        <f>IF(VIPcric_1!G2526="","",VIPcric_1!G2526)</f>
        <v>1.23</v>
      </c>
      <c r="H2551" t="str">
        <f>IF(VIPcric_1!H2526="","",VIPcric_1!H2526)</f>
        <v/>
      </c>
      <c r="I2551" t="str">
        <f>IF(VIPcric_1!M2526="","",VIPcric_1!M2526)</f>
        <v>CRIC-郑州-市场监测.商品房市场.项目累计.供求.xlsx</v>
      </c>
    </row>
    <row r="2552" spans="1:9">
      <c r="A2552" t="str">
        <f>IF(VIPcric_1!A2527="","",VIPcric_1!A2527)</f>
        <v>汇总</v>
      </c>
      <c r="B2552">
        <f>IF(VIPcric_1!B2527="","",VIPcric_1!B2527)</f>
        <v>61902727</v>
      </c>
      <c r="C2552">
        <f>IF(VIPcric_1!C2527="","",VIPcric_1!C2527)</f>
        <v>546803</v>
      </c>
      <c r="D2552">
        <f>IF(VIPcric_1!D2527="","",VIPcric_1!D2527)</f>
        <v>55284014</v>
      </c>
      <c r="E2552">
        <f>IF(VIPcric_1!E2527="","",VIPcric_1!E2527)</f>
        <v>489376</v>
      </c>
      <c r="F2552">
        <f>IF(VIPcric_1!F2527="","",VIPcric_1!F2527)</f>
        <v>14320</v>
      </c>
      <c r="G2552">
        <f>IF(VIPcric_1!G2527="","",VIPcric_1!G2527)</f>
        <v>1.1200000000000001</v>
      </c>
      <c r="H2552" t="str">
        <f>IF(VIPcric_1!H2527="","",VIPcric_1!H2527)</f>
        <v/>
      </c>
      <c r="I2552" t="str">
        <f>IF(VIPcric_1!M2527="","",VIPcric_1!M2527)</f>
        <v>CRIC-郑州-市场监测.商品房市场.项目累计.供求.xlsx</v>
      </c>
    </row>
    <row r="2553" spans="1:9">
      <c r="A2553" t="str">
        <f>IF(VIPcric_1!A2528="","",VIPcric_1!A2528)</f>
        <v/>
      </c>
      <c r="B2553" t="str">
        <f>IF(VIPcric_1!B2528="","",VIPcric_1!B2528)</f>
        <v/>
      </c>
      <c r="C2553" t="str">
        <f>IF(VIPcric_1!C2528="","",VIPcric_1!C2528)</f>
        <v/>
      </c>
      <c r="D2553" t="str">
        <f>IF(VIPcric_1!D2528="","",VIPcric_1!D2528)</f>
        <v/>
      </c>
      <c r="E2553" t="str">
        <f>IF(VIPcric_1!E2528="","",VIPcric_1!E2528)</f>
        <v/>
      </c>
      <c r="F2553" t="str">
        <f>IF(VIPcric_1!F2528="","",VIPcric_1!F2528)</f>
        <v/>
      </c>
      <c r="G2553" t="str">
        <f>IF(VIPcric_1!G2528="","",VIPcric_1!G2528)</f>
        <v/>
      </c>
      <c r="H2553" t="str">
        <f>IF(VIPcric_1!H2528="","",VIPcric_1!H2528)</f>
        <v/>
      </c>
      <c r="I2553" t="str">
        <f>IF(VIPcric_1!M2528="","",VIPcric_1!M2528)</f>
        <v/>
      </c>
    </row>
    <row r="2554" spans="1:9">
      <c r="A2554" t="str">
        <f>IF(VIPcric_1!A2529="","",VIPcric_1!A2529)</f>
        <v/>
      </c>
      <c r="B2554" t="str">
        <f>IF(VIPcric_1!B2529="","",VIPcric_1!B2529)</f>
        <v/>
      </c>
      <c r="C2554" t="str">
        <f>IF(VIPcric_1!C2529="","",VIPcric_1!C2529)</f>
        <v/>
      </c>
      <c r="D2554" t="str">
        <f>IF(VIPcric_1!D2529="","",VIPcric_1!D2529)</f>
        <v/>
      </c>
      <c r="E2554" t="str">
        <f>IF(VIPcric_1!E2529="","",VIPcric_1!E2529)</f>
        <v/>
      </c>
      <c r="F2554" t="str">
        <f>IF(VIPcric_1!F2529="","",VIPcric_1!F2529)</f>
        <v/>
      </c>
      <c r="G2554" t="str">
        <f>IF(VIPcric_1!G2529="","",VIPcric_1!G2529)</f>
        <v/>
      </c>
      <c r="H2554" t="str">
        <f>IF(VIPcric_1!H2529="","",VIPcric_1!H2529)</f>
        <v/>
      </c>
      <c r="I2554" t="str">
        <f>IF(VIPcric_1!M2529="","",VIPcric_1!M2529)</f>
        <v>CRIC-郑州-市场监测.商品房市场.项目累计.库存.xlsx</v>
      </c>
    </row>
    <row r="2555" spans="1:9">
      <c r="A2555" t="str">
        <f>IF(VIPcric_1!A2530="","",VIPcric_1!A2530)</f>
        <v>时间(年)</v>
      </c>
      <c r="B2555" t="str">
        <f>IF(VIPcric_1!B2530="","",VIPcric_1!B2530)</f>
        <v>库存面积(㎡)</v>
      </c>
      <c r="C2555" t="str">
        <f>IF(VIPcric_1!C2530="","",VIPcric_1!C2530)</f>
        <v>库存套数(套)</v>
      </c>
      <c r="D2555" t="str">
        <f>IF(VIPcric_1!D2530="","",VIPcric_1!D2530)</f>
        <v>去化周期12'(月)</v>
      </c>
      <c r="E2555" t="str">
        <f>IF(VIPcric_1!E2530="","",VIPcric_1!E2530)</f>
        <v>去化周期24'(月)</v>
      </c>
      <c r="F2555" t="str">
        <f>IF(VIPcric_1!F2530="","",VIPcric_1!F2530)</f>
        <v/>
      </c>
      <c r="G2555" t="str">
        <f>IF(VIPcric_1!G2530="","",VIPcric_1!G2530)</f>
        <v/>
      </c>
      <c r="H2555" t="str">
        <f>IF(VIPcric_1!H2530="","",VIPcric_1!H2530)</f>
        <v/>
      </c>
      <c r="I2555" t="str">
        <f>IF(VIPcric_1!M2530="","",VIPcric_1!M2530)</f>
        <v>CRIC-郑州-市场监测.商品房市场.项目累计.库存.xlsx</v>
      </c>
    </row>
    <row r="2556" spans="1:9">
      <c r="A2556" t="str">
        <f>IF(VIPcric_1!A2531="","",VIPcric_1!A2531)</f>
        <v>2023年</v>
      </c>
      <c r="B2556">
        <f>IF(VIPcric_1!B2531="","",VIPcric_1!B2531)</f>
        <v>9011951</v>
      </c>
      <c r="C2556">
        <f>IF(VIPcric_1!C2531="","",VIPcric_1!C2531)</f>
        <v>76451</v>
      </c>
      <c r="D2556">
        <f>IF(VIPcric_1!D2531="","",VIPcric_1!D2531)</f>
        <v>17.7</v>
      </c>
      <c r="E2556">
        <f>IF(VIPcric_1!E2531="","",VIPcric_1!E2531)</f>
        <v>19.5</v>
      </c>
      <c r="F2556" t="str">
        <f>IF(VIPcric_1!F2531="","",VIPcric_1!F2531)</f>
        <v/>
      </c>
      <c r="G2556" t="str">
        <f>IF(VIPcric_1!G2531="","",VIPcric_1!G2531)</f>
        <v/>
      </c>
      <c r="H2556" t="str">
        <f>IF(VIPcric_1!H2531="","",VIPcric_1!H2531)</f>
        <v/>
      </c>
      <c r="I2556" t="str">
        <f>IF(VIPcric_1!M2531="","",VIPcric_1!M2531)</f>
        <v>CRIC-郑州-市场监测.商品房市场.项目累计.库存.xlsx</v>
      </c>
    </row>
    <row r="2557" spans="1:9">
      <c r="A2557" t="str">
        <f>IF(VIPcric_1!A2532="","",VIPcric_1!A2532)</f>
        <v>2022年</v>
      </c>
      <c r="B2557">
        <f>IF(VIPcric_1!B2532="","",VIPcric_1!B2532)</f>
        <v>10528001</v>
      </c>
      <c r="C2557">
        <f>IF(VIPcric_1!C2532="","",VIPcric_1!C2532)</f>
        <v>90419</v>
      </c>
      <c r="D2557">
        <f>IF(VIPcric_1!D2532="","",VIPcric_1!D2532)</f>
        <v>25.6</v>
      </c>
      <c r="E2557">
        <f>IF(VIPcric_1!E2532="","",VIPcric_1!E2532)</f>
        <v>18.100000000000001</v>
      </c>
      <c r="F2557" t="str">
        <f>IF(VIPcric_1!F2532="","",VIPcric_1!F2532)</f>
        <v/>
      </c>
      <c r="G2557" t="str">
        <f>IF(VIPcric_1!G2532="","",VIPcric_1!G2532)</f>
        <v/>
      </c>
      <c r="H2557" t="str">
        <f>IF(VIPcric_1!H2532="","",VIPcric_1!H2532)</f>
        <v/>
      </c>
      <c r="I2557" t="str">
        <f>IF(VIPcric_1!M2532="","",VIPcric_1!M2532)</f>
        <v>CRIC-郑州-市场监测.商品房市场.项目累计.库存.xlsx</v>
      </c>
    </row>
    <row r="2558" spans="1:9">
      <c r="A2558" t="str">
        <f>IF(VIPcric_1!A2533="","",VIPcric_1!A2533)</f>
        <v>2021年</v>
      </c>
      <c r="B2558">
        <f>IF(VIPcric_1!B2533="","",VIPcric_1!B2533)</f>
        <v>11147452</v>
      </c>
      <c r="C2558">
        <f>IF(VIPcric_1!C2533="","",VIPcric_1!C2533)</f>
        <v>96514</v>
      </c>
      <c r="D2558">
        <f>IF(VIPcric_1!D2533="","",VIPcric_1!D2533)</f>
        <v>14.9</v>
      </c>
      <c r="E2558">
        <f>IF(VIPcric_1!E2533="","",VIPcric_1!E2533)</f>
        <v>12.8</v>
      </c>
      <c r="F2558" t="str">
        <f>IF(VIPcric_1!F2533="","",VIPcric_1!F2533)</f>
        <v/>
      </c>
      <c r="G2558" t="str">
        <f>IF(VIPcric_1!G2533="","",VIPcric_1!G2533)</f>
        <v/>
      </c>
      <c r="H2558" t="str">
        <f>IF(VIPcric_1!H2533="","",VIPcric_1!H2533)</f>
        <v/>
      </c>
      <c r="I2558" t="str">
        <f>IF(VIPcric_1!M2533="","",VIPcric_1!M2533)</f>
        <v>CRIC-郑州-市场监测.商品房市场.项目累计.库存.xlsx</v>
      </c>
    </row>
    <row r="2559" spans="1:9">
      <c r="A2559" t="str">
        <f>IF(VIPcric_1!A2534="","",VIPcric_1!A2534)</f>
        <v>2020年</v>
      </c>
      <c r="B2559">
        <f>IF(VIPcric_1!B2534="","",VIPcric_1!B2534)</f>
        <v>11187746</v>
      </c>
      <c r="C2559">
        <f>IF(VIPcric_1!C2534="","",VIPcric_1!C2534)</f>
        <v>95106</v>
      </c>
      <c r="D2559">
        <f>IF(VIPcric_1!D2534="","",VIPcric_1!D2534)</f>
        <v>11.3</v>
      </c>
      <c r="E2559">
        <f>IF(VIPcric_1!E2534="","",VIPcric_1!E2534)</f>
        <v>11.3</v>
      </c>
      <c r="F2559" t="str">
        <f>IF(VIPcric_1!F2534="","",VIPcric_1!F2534)</f>
        <v/>
      </c>
      <c r="G2559" t="str">
        <f>IF(VIPcric_1!G2534="","",VIPcric_1!G2534)</f>
        <v/>
      </c>
      <c r="H2559" t="str">
        <f>IF(VIPcric_1!H2534="","",VIPcric_1!H2534)</f>
        <v/>
      </c>
      <c r="I2559" t="str">
        <f>IF(VIPcric_1!M2534="","",VIPcric_1!M2534)</f>
        <v>CRIC-郑州-市场监测.商品房市场.项目累计.库存.xlsx</v>
      </c>
    </row>
    <row r="2560" spans="1:9">
      <c r="A2560" t="str">
        <f>IF(VIPcric_1!A2535="","",VIPcric_1!A2535)</f>
        <v>2019年</v>
      </c>
      <c r="B2560">
        <f>IF(VIPcric_1!B2535="","",VIPcric_1!B2535)</f>
        <v>8187049</v>
      </c>
      <c r="C2560">
        <f>IF(VIPcric_1!C2535="","",VIPcric_1!C2535)</f>
        <v>67268</v>
      </c>
      <c r="D2560">
        <f>IF(VIPcric_1!D2535="","",VIPcric_1!D2535)</f>
        <v>8.3000000000000007</v>
      </c>
      <c r="E2560">
        <f>IF(VIPcric_1!E2535="","",VIPcric_1!E2535)</f>
        <v>8.4</v>
      </c>
      <c r="F2560" t="str">
        <f>IF(VIPcric_1!F2535="","",VIPcric_1!F2535)</f>
        <v/>
      </c>
      <c r="G2560" t="str">
        <f>IF(VIPcric_1!G2535="","",VIPcric_1!G2535)</f>
        <v/>
      </c>
      <c r="H2560" t="str">
        <f>IF(VIPcric_1!H2535="","",VIPcric_1!H2535)</f>
        <v/>
      </c>
      <c r="I2560" t="str">
        <f>IF(VIPcric_1!M2535="","",VIPcric_1!M2535)</f>
        <v>CRIC-郑州-市场监测.商品房市场.项目累计.库存.xlsx</v>
      </c>
    </row>
    <row r="2561" spans="1:9">
      <c r="A2561" t="str">
        <f>IF(VIPcric_1!A2536="","",VIPcric_1!A2536)</f>
        <v>2018年</v>
      </c>
      <c r="B2561">
        <f>IF(VIPcric_1!B2536="","",VIPcric_1!B2536)</f>
        <v>4954994</v>
      </c>
      <c r="C2561">
        <f>IF(VIPcric_1!C2536="","",VIPcric_1!C2536)</f>
        <v>41476</v>
      </c>
      <c r="D2561">
        <f>IF(VIPcric_1!D2536="","",VIPcric_1!D2536)</f>
        <v>5.2</v>
      </c>
      <c r="E2561">
        <f>IF(VIPcric_1!E2536="","",VIPcric_1!E2536)</f>
        <v>5.7</v>
      </c>
      <c r="F2561" t="str">
        <f>IF(VIPcric_1!F2536="","",VIPcric_1!F2536)</f>
        <v/>
      </c>
      <c r="G2561" t="str">
        <f>IF(VIPcric_1!G2536="","",VIPcric_1!G2536)</f>
        <v/>
      </c>
      <c r="H2561" t="str">
        <f>IF(VIPcric_1!H2536="","",VIPcric_1!H2536)</f>
        <v/>
      </c>
      <c r="I2561" t="str">
        <f>IF(VIPcric_1!M2536="","",VIPcric_1!M2536)</f>
        <v>CRIC-郑州-市场监测.商品房市场.项目累计.库存.xlsx</v>
      </c>
    </row>
    <row r="2562" spans="1:9">
      <c r="A2562" t="str">
        <f>IF(VIPcric_1!A2537="","",VIPcric_1!A2537)</f>
        <v/>
      </c>
      <c r="B2562" t="str">
        <f>IF(VIPcric_1!B2537="","",VIPcric_1!B2537)</f>
        <v/>
      </c>
      <c r="C2562" t="str">
        <f>IF(VIPcric_1!C2537="","",VIPcric_1!C2537)</f>
        <v/>
      </c>
      <c r="D2562" t="str">
        <f>IF(VIPcric_1!D2537="","",VIPcric_1!D2537)</f>
        <v/>
      </c>
      <c r="E2562" t="str">
        <f>IF(VIPcric_1!E2537="","",VIPcric_1!E2537)</f>
        <v/>
      </c>
      <c r="F2562" t="str">
        <f>IF(VIPcric_1!F2537="","",VIPcric_1!F2537)</f>
        <v/>
      </c>
      <c r="G2562" t="str">
        <f>IF(VIPcric_1!G2537="","",VIPcric_1!G2537)</f>
        <v/>
      </c>
      <c r="H2562" t="str">
        <f>IF(VIPcric_1!H2537="","",VIPcric_1!H2537)</f>
        <v/>
      </c>
      <c r="I2562" t="str">
        <f>IF(VIPcric_1!M2537="","",VIPcric_1!M2537)</f>
        <v/>
      </c>
    </row>
    <row r="2563" spans="1:9">
      <c r="A2563" t="str">
        <f>IF(VIPcric_1!A2538="","",VIPcric_1!A2538)</f>
        <v/>
      </c>
      <c r="B2563" t="str">
        <f>IF(VIPcric_1!B2538="","",VIPcric_1!B2538)</f>
        <v/>
      </c>
      <c r="C2563" t="str">
        <f>IF(VIPcric_1!C2538="","",VIPcric_1!C2538)</f>
        <v/>
      </c>
      <c r="D2563" t="str">
        <f>IF(VIPcric_1!D2538="","",VIPcric_1!D2538)</f>
        <v/>
      </c>
      <c r="E2563" t="str">
        <f>IF(VIPcric_1!E2538="","",VIPcric_1!E2538)</f>
        <v/>
      </c>
      <c r="F2563" t="str">
        <f>IF(VIPcric_1!F2538="","",VIPcric_1!F2538)</f>
        <v/>
      </c>
      <c r="G2563" t="str">
        <f>IF(VIPcric_1!G2538="","",VIPcric_1!G2538)</f>
        <v/>
      </c>
      <c r="H2563" t="str">
        <f>IF(VIPcric_1!H2538="","",VIPcric_1!H2538)</f>
        <v/>
      </c>
      <c r="I2563" t="str">
        <f>IF(VIPcric_1!M2538="","",VIPcric_1!M2538)</f>
        <v>CRIC-重庆-市场监测.商品房市场.项目累计.供求.xlsx</v>
      </c>
    </row>
    <row r="2564" spans="1:9">
      <c r="A2564" t="str">
        <f>IF(VIPcric_1!A2539="","",VIPcric_1!A2539)</f>
        <v>时间(年)</v>
      </c>
      <c r="B2564" t="str">
        <f>IF(VIPcric_1!B2539="","",VIPcric_1!B2539)</f>
        <v>供应面积(㎡)</v>
      </c>
      <c r="C2564" t="str">
        <f>IF(VIPcric_1!C2539="","",VIPcric_1!C2539)</f>
        <v>供应套数(套)</v>
      </c>
      <c r="D2564" t="str">
        <f>IF(VIPcric_1!D2539="","",VIPcric_1!D2539)</f>
        <v>成交面积(㎡)</v>
      </c>
      <c r="E2564" t="str">
        <f>IF(VIPcric_1!E2539="","",VIPcric_1!E2539)</f>
        <v>成交套数(套)</v>
      </c>
      <c r="F2564" t="str">
        <f>IF(VIPcric_1!F2539="","",VIPcric_1!F2539)</f>
        <v>成交均价(元/㎡)</v>
      </c>
      <c r="G2564" t="str">
        <f>IF(VIPcric_1!G2539="","",VIPcric_1!G2539)</f>
        <v>供求比</v>
      </c>
      <c r="H2564" t="str">
        <f>IF(VIPcric_1!H2539="","",VIPcric_1!H2539)</f>
        <v/>
      </c>
      <c r="I2564" t="str">
        <f>IF(VIPcric_1!M2539="","",VIPcric_1!M2539)</f>
        <v>CRIC-重庆-市场监测.商品房市场.项目累计.供求.xlsx</v>
      </c>
    </row>
    <row r="2565" spans="1:9">
      <c r="A2565" t="str">
        <f>IF(VIPcric_1!A2540="","",VIPcric_1!A2540)</f>
        <v>2024年</v>
      </c>
      <c r="B2565">
        <f>IF(VIPcric_1!B2540="","",VIPcric_1!B2540)</f>
        <v>263341</v>
      </c>
      <c r="C2565">
        <f>IF(VIPcric_1!C2540="","",VIPcric_1!C2540)</f>
        <v>2529</v>
      </c>
      <c r="D2565">
        <f>IF(VIPcric_1!D2540="","",VIPcric_1!D2540)</f>
        <v>344507</v>
      </c>
      <c r="E2565">
        <f>IF(VIPcric_1!E2540="","",VIPcric_1!E2540)</f>
        <v>3190</v>
      </c>
      <c r="F2565">
        <f>IF(VIPcric_1!F2540="","",VIPcric_1!F2540)</f>
        <v>14193</v>
      </c>
      <c r="G2565">
        <f>IF(VIPcric_1!G2540="","",VIPcric_1!G2540)</f>
        <v>0.76</v>
      </c>
      <c r="H2565" t="str">
        <f>IF(VIPcric_1!H2540="","",VIPcric_1!H2540)</f>
        <v/>
      </c>
      <c r="I2565" t="str">
        <f>IF(VIPcric_1!M2540="","",VIPcric_1!M2540)</f>
        <v>CRIC-重庆-市场监测.商品房市场.项目累计.供求.xlsx</v>
      </c>
    </row>
    <row r="2566" spans="1:9">
      <c r="A2566" t="str">
        <f>IF(VIPcric_1!A2541="","",VIPcric_1!A2541)</f>
        <v>2023年</v>
      </c>
      <c r="B2566">
        <f>IF(VIPcric_1!B2541="","",VIPcric_1!B2541)</f>
        <v>4262029</v>
      </c>
      <c r="C2566">
        <f>IF(VIPcric_1!C2541="","",VIPcric_1!C2541)</f>
        <v>41153</v>
      </c>
      <c r="D2566">
        <f>IF(VIPcric_1!D2541="","",VIPcric_1!D2541)</f>
        <v>5633180</v>
      </c>
      <c r="E2566">
        <f>IF(VIPcric_1!E2541="","",VIPcric_1!E2541)</f>
        <v>53435</v>
      </c>
      <c r="F2566">
        <f>IF(VIPcric_1!F2541="","",VIPcric_1!F2541)</f>
        <v>14805</v>
      </c>
      <c r="G2566">
        <f>IF(VIPcric_1!G2541="","",VIPcric_1!G2541)</f>
        <v>0.76</v>
      </c>
      <c r="H2566" t="str">
        <f>IF(VIPcric_1!H2541="","",VIPcric_1!H2541)</f>
        <v/>
      </c>
      <c r="I2566" t="str">
        <f>IF(VIPcric_1!M2541="","",VIPcric_1!M2541)</f>
        <v>CRIC-重庆-市场监测.商品房市场.项目累计.供求.xlsx</v>
      </c>
    </row>
    <row r="2567" spans="1:9">
      <c r="A2567" t="str">
        <f>IF(VIPcric_1!A2542="","",VIPcric_1!A2542)</f>
        <v>2022年</v>
      </c>
      <c r="B2567">
        <f>IF(VIPcric_1!B2542="","",VIPcric_1!B2542)</f>
        <v>5046180</v>
      </c>
      <c r="C2567">
        <f>IF(VIPcric_1!C2542="","",VIPcric_1!C2542)</f>
        <v>49248</v>
      </c>
      <c r="D2567">
        <f>IF(VIPcric_1!D2542="","",VIPcric_1!D2542)</f>
        <v>5067002</v>
      </c>
      <c r="E2567">
        <f>IF(VIPcric_1!E2542="","",VIPcric_1!E2542)</f>
        <v>47002</v>
      </c>
      <c r="F2567">
        <f>IF(VIPcric_1!F2542="","",VIPcric_1!F2542)</f>
        <v>14498</v>
      </c>
      <c r="G2567">
        <f>IF(VIPcric_1!G2542="","",VIPcric_1!G2542)</f>
        <v>1</v>
      </c>
      <c r="H2567" t="str">
        <f>IF(VIPcric_1!H2542="","",VIPcric_1!H2542)</f>
        <v/>
      </c>
      <c r="I2567" t="str">
        <f>IF(VIPcric_1!M2542="","",VIPcric_1!M2542)</f>
        <v>CRIC-重庆-市场监测.商品房市场.项目累计.供求.xlsx</v>
      </c>
    </row>
    <row r="2568" spans="1:9">
      <c r="A2568" t="str">
        <f>IF(VIPcric_1!A2543="","",VIPcric_1!A2543)</f>
        <v>2021年</v>
      </c>
      <c r="B2568">
        <f>IF(VIPcric_1!B2543="","",VIPcric_1!B2543)</f>
        <v>15047115</v>
      </c>
      <c r="C2568">
        <f>IF(VIPcric_1!C2543="","",VIPcric_1!C2543)</f>
        <v>143251</v>
      </c>
      <c r="D2568">
        <f>IF(VIPcric_1!D2543="","",VIPcric_1!D2543)</f>
        <v>17888938</v>
      </c>
      <c r="E2568">
        <f>IF(VIPcric_1!E2543="","",VIPcric_1!E2543)</f>
        <v>166874</v>
      </c>
      <c r="F2568">
        <f>IF(VIPcric_1!F2543="","",VIPcric_1!F2543)</f>
        <v>14165</v>
      </c>
      <c r="G2568">
        <f>IF(VIPcric_1!G2543="","",VIPcric_1!G2543)</f>
        <v>0.84</v>
      </c>
      <c r="H2568" t="str">
        <f>IF(VIPcric_1!H2543="","",VIPcric_1!H2543)</f>
        <v/>
      </c>
      <c r="I2568" t="str">
        <f>IF(VIPcric_1!M2543="","",VIPcric_1!M2543)</f>
        <v>CRIC-重庆-市场监测.商品房市场.项目累计.供求.xlsx</v>
      </c>
    </row>
    <row r="2569" spans="1:9">
      <c r="A2569" t="str">
        <f>IF(VIPcric_1!A2544="","",VIPcric_1!A2544)</f>
        <v>2020年</v>
      </c>
      <c r="B2569">
        <f>IF(VIPcric_1!B2544="","",VIPcric_1!B2544)</f>
        <v>18228155</v>
      </c>
      <c r="C2569">
        <f>IF(VIPcric_1!C2544="","",VIPcric_1!C2544)</f>
        <v>170226</v>
      </c>
      <c r="D2569">
        <f>IF(VIPcric_1!D2544="","",VIPcric_1!D2544)</f>
        <v>17622609</v>
      </c>
      <c r="E2569">
        <f>IF(VIPcric_1!E2544="","",VIPcric_1!E2544)</f>
        <v>161823</v>
      </c>
      <c r="F2569">
        <f>IF(VIPcric_1!F2544="","",VIPcric_1!F2544)</f>
        <v>12683</v>
      </c>
      <c r="G2569">
        <f>IF(VIPcric_1!G2544="","",VIPcric_1!G2544)</f>
        <v>1.03</v>
      </c>
      <c r="H2569" t="str">
        <f>IF(VIPcric_1!H2544="","",VIPcric_1!H2544)</f>
        <v/>
      </c>
      <c r="I2569" t="str">
        <f>IF(VIPcric_1!M2544="","",VIPcric_1!M2544)</f>
        <v>CRIC-重庆-市场监测.商品房市场.项目累计.供求.xlsx</v>
      </c>
    </row>
    <row r="2570" spans="1:9">
      <c r="A2570" t="str">
        <f>IF(VIPcric_1!A2545="","",VIPcric_1!A2545)</f>
        <v>2019年</v>
      </c>
      <c r="B2570">
        <f>IF(VIPcric_1!B2545="","",VIPcric_1!B2545)</f>
        <v>23185989</v>
      </c>
      <c r="C2570">
        <f>IF(VIPcric_1!C2545="","",VIPcric_1!C2545)</f>
        <v>211548</v>
      </c>
      <c r="D2570">
        <f>IF(VIPcric_1!D2545="","",VIPcric_1!D2545)</f>
        <v>20995327</v>
      </c>
      <c r="E2570">
        <f>IF(VIPcric_1!E2545="","",VIPcric_1!E2545)</f>
        <v>192827</v>
      </c>
      <c r="F2570">
        <f>IF(VIPcric_1!F2545="","",VIPcric_1!F2545)</f>
        <v>11758</v>
      </c>
      <c r="G2570">
        <f>IF(VIPcric_1!G2545="","",VIPcric_1!G2545)</f>
        <v>1.1000000000000001</v>
      </c>
      <c r="H2570" t="str">
        <f>IF(VIPcric_1!H2545="","",VIPcric_1!H2545)</f>
        <v/>
      </c>
      <c r="I2570" t="str">
        <f>IF(VIPcric_1!M2545="","",VIPcric_1!M2545)</f>
        <v>CRIC-重庆-市场监测.商品房市场.项目累计.供求.xlsx</v>
      </c>
    </row>
    <row r="2571" spans="1:9">
      <c r="A2571" t="str">
        <f>IF(VIPcric_1!A2546="","",VIPcric_1!A2546)</f>
        <v>汇总</v>
      </c>
      <c r="B2571">
        <f>IF(VIPcric_1!B2546="","",VIPcric_1!B2546)</f>
        <v>66032808</v>
      </c>
      <c r="C2571">
        <f>IF(VIPcric_1!C2546="","",VIPcric_1!C2546)</f>
        <v>617955</v>
      </c>
      <c r="D2571">
        <f>IF(VIPcric_1!D2546="","",VIPcric_1!D2546)</f>
        <v>67551564</v>
      </c>
      <c r="E2571">
        <f>IF(VIPcric_1!E2546="","",VIPcric_1!E2546)</f>
        <v>625151</v>
      </c>
      <c r="F2571">
        <f>IF(VIPcric_1!F2546="","",VIPcric_1!F2546)</f>
        <v>13109</v>
      </c>
      <c r="G2571">
        <f>IF(VIPcric_1!G2546="","",VIPcric_1!G2546)</f>
        <v>0.98</v>
      </c>
      <c r="H2571" t="str">
        <f>IF(VIPcric_1!H2546="","",VIPcric_1!H2546)</f>
        <v/>
      </c>
      <c r="I2571" t="str">
        <f>IF(VIPcric_1!M2546="","",VIPcric_1!M2546)</f>
        <v>CRIC-重庆-市场监测.商品房市场.项目累计.供求.xlsx</v>
      </c>
    </row>
    <row r="2572" spans="1:9">
      <c r="A2572" t="str">
        <f>IF(VIPcric_1!A2547="","",VIPcric_1!A2547)</f>
        <v/>
      </c>
      <c r="B2572" t="str">
        <f>IF(VIPcric_1!B2547="","",VIPcric_1!B2547)</f>
        <v/>
      </c>
      <c r="C2572" t="str">
        <f>IF(VIPcric_1!C2547="","",VIPcric_1!C2547)</f>
        <v/>
      </c>
      <c r="D2572" t="str">
        <f>IF(VIPcric_1!D2547="","",VIPcric_1!D2547)</f>
        <v/>
      </c>
      <c r="E2572" t="str">
        <f>IF(VIPcric_1!E2547="","",VIPcric_1!E2547)</f>
        <v/>
      </c>
      <c r="F2572" t="str">
        <f>IF(VIPcric_1!F2547="","",VIPcric_1!F2547)</f>
        <v/>
      </c>
      <c r="G2572" t="str">
        <f>IF(VIPcric_1!G2547="","",VIPcric_1!G2547)</f>
        <v/>
      </c>
      <c r="H2572" t="str">
        <f>IF(VIPcric_1!H2547="","",VIPcric_1!H2547)</f>
        <v/>
      </c>
      <c r="I2572" t="str">
        <f>IF(VIPcric_1!M2547="","",VIPcric_1!M2547)</f>
        <v/>
      </c>
    </row>
    <row r="2573" spans="1:9">
      <c r="A2573" t="str">
        <f>IF(VIPcric_1!A2548="","",VIPcric_1!A2548)</f>
        <v/>
      </c>
      <c r="B2573" t="str">
        <f>IF(VIPcric_1!B2548="","",VIPcric_1!B2548)</f>
        <v/>
      </c>
      <c r="C2573" t="str">
        <f>IF(VIPcric_1!C2548="","",VIPcric_1!C2548)</f>
        <v/>
      </c>
      <c r="D2573" t="str">
        <f>IF(VIPcric_1!D2548="","",VIPcric_1!D2548)</f>
        <v/>
      </c>
      <c r="E2573" t="str">
        <f>IF(VIPcric_1!E2548="","",VIPcric_1!E2548)</f>
        <v/>
      </c>
      <c r="F2573" t="str">
        <f>IF(VIPcric_1!F2548="","",VIPcric_1!F2548)</f>
        <v/>
      </c>
      <c r="G2573" t="str">
        <f>IF(VIPcric_1!G2548="","",VIPcric_1!G2548)</f>
        <v/>
      </c>
      <c r="H2573" t="str">
        <f>IF(VIPcric_1!H2548="","",VIPcric_1!H2548)</f>
        <v/>
      </c>
      <c r="I2573" t="str">
        <f>IF(VIPcric_1!M2548="","",VIPcric_1!M2548)</f>
        <v>CRIC-重庆-市场监测.商品房市场.项目累计.库存 (1).xlsx</v>
      </c>
    </row>
    <row r="2574" spans="1:9">
      <c r="A2574" t="str">
        <f>IF(VIPcric_1!A2549="","",VIPcric_1!A2549)</f>
        <v>时间(年)</v>
      </c>
      <c r="B2574" t="str">
        <f>IF(VIPcric_1!B2549="","",VIPcric_1!B2549)</f>
        <v>库存面积(㎡)</v>
      </c>
      <c r="C2574" t="str">
        <f>IF(VIPcric_1!C2549="","",VIPcric_1!C2549)</f>
        <v>库存套数(套)</v>
      </c>
      <c r="D2574" t="str">
        <f>IF(VIPcric_1!D2549="","",VIPcric_1!D2549)</f>
        <v>去化周期12'(月)</v>
      </c>
      <c r="E2574" t="str">
        <f>IF(VIPcric_1!E2549="","",VIPcric_1!E2549)</f>
        <v>去化周期24'(月)</v>
      </c>
      <c r="F2574" t="str">
        <f>IF(VIPcric_1!F2549="","",VIPcric_1!F2549)</f>
        <v/>
      </c>
      <c r="G2574" t="str">
        <f>IF(VIPcric_1!G2549="","",VIPcric_1!G2549)</f>
        <v/>
      </c>
      <c r="H2574" t="str">
        <f>IF(VIPcric_1!H2549="","",VIPcric_1!H2549)</f>
        <v/>
      </c>
      <c r="I2574" t="str">
        <f>IF(VIPcric_1!M2549="","",VIPcric_1!M2549)</f>
        <v>CRIC-重庆-市场监测.商品房市场.项目累计.库存 (1).xlsx</v>
      </c>
    </row>
    <row r="2575" spans="1:9">
      <c r="A2575" t="str">
        <f>IF(VIPcric_1!A2550="","",VIPcric_1!A2550)</f>
        <v>2023年</v>
      </c>
      <c r="B2575">
        <f>IF(VIPcric_1!B2550="","",VIPcric_1!B2550)</f>
        <v>7115453</v>
      </c>
      <c r="C2575">
        <f>IF(VIPcric_1!C2550="","",VIPcric_1!C2550)</f>
        <v>0</v>
      </c>
      <c r="D2575">
        <f>IF(VIPcric_1!D2550="","",VIPcric_1!D2550)</f>
        <v>15.2</v>
      </c>
      <c r="E2575">
        <f>IF(VIPcric_1!E2550="","",VIPcric_1!E2550)</f>
        <v>16</v>
      </c>
      <c r="F2575" t="str">
        <f>IF(VIPcric_1!F2550="","",VIPcric_1!F2550)</f>
        <v/>
      </c>
      <c r="G2575" t="str">
        <f>IF(VIPcric_1!G2550="","",VIPcric_1!G2550)</f>
        <v/>
      </c>
      <c r="H2575" t="str">
        <f>IF(VIPcric_1!H2550="","",VIPcric_1!H2550)</f>
        <v/>
      </c>
      <c r="I2575" t="str">
        <f>IF(VIPcric_1!M2550="","",VIPcric_1!M2550)</f>
        <v>CRIC-重庆-市场监测.商品房市场.项目累计.库存 (1).xlsx</v>
      </c>
    </row>
    <row r="2576" spans="1:9">
      <c r="A2576" t="str">
        <f>IF(VIPcric_1!A2551="","",VIPcric_1!A2551)</f>
        <v>2022年</v>
      </c>
      <c r="B2576">
        <f>IF(VIPcric_1!B2551="","",VIPcric_1!B2551)</f>
        <v>7599811</v>
      </c>
      <c r="C2576">
        <f>IF(VIPcric_1!C2551="","",VIPcric_1!C2551)</f>
        <v>0</v>
      </c>
      <c r="D2576">
        <f>IF(VIPcric_1!D2551="","",VIPcric_1!D2551)</f>
        <v>18</v>
      </c>
      <c r="E2576">
        <f>IF(VIPcric_1!E2551="","",VIPcric_1!E2551)</f>
        <v>7.9</v>
      </c>
      <c r="F2576" t="str">
        <f>IF(VIPcric_1!F2551="","",VIPcric_1!F2551)</f>
        <v/>
      </c>
      <c r="G2576" t="str">
        <f>IF(VIPcric_1!G2551="","",VIPcric_1!G2551)</f>
        <v/>
      </c>
      <c r="H2576" t="str">
        <f>IF(VIPcric_1!H2551="","",VIPcric_1!H2551)</f>
        <v/>
      </c>
      <c r="I2576" t="str">
        <f>IF(VIPcric_1!M2551="","",VIPcric_1!M2551)</f>
        <v>CRIC-重庆-市场监测.商品房市场.项目累计.库存 (1).xlsx</v>
      </c>
    </row>
    <row r="2577" spans="1:9">
      <c r="A2577" t="str">
        <f>IF(VIPcric_1!A2552="","",VIPcric_1!A2552)</f>
        <v>2021年</v>
      </c>
      <c r="B2577">
        <f>IF(VIPcric_1!B2552="","",VIPcric_1!B2552)</f>
        <v>7012585</v>
      </c>
      <c r="C2577">
        <f>IF(VIPcric_1!C2552="","",VIPcric_1!C2552)</f>
        <v>0</v>
      </c>
      <c r="D2577">
        <f>IF(VIPcric_1!D2552="","",VIPcric_1!D2552)</f>
        <v>4.7</v>
      </c>
      <c r="E2577">
        <f>IF(VIPcric_1!E2552="","",VIPcric_1!E2552)</f>
        <v>4.7</v>
      </c>
      <c r="F2577" t="str">
        <f>IF(VIPcric_1!F2552="","",VIPcric_1!F2552)</f>
        <v/>
      </c>
      <c r="G2577" t="str">
        <f>IF(VIPcric_1!G2552="","",VIPcric_1!G2552)</f>
        <v/>
      </c>
      <c r="H2577" t="str">
        <f>IF(VIPcric_1!H2552="","",VIPcric_1!H2552)</f>
        <v/>
      </c>
      <c r="I2577" t="str">
        <f>IF(VIPcric_1!M2552="","",VIPcric_1!M2552)</f>
        <v>CRIC-重庆-市场监测.商品房市场.项目累计.库存 (1).xlsx</v>
      </c>
    </row>
    <row r="2578" spans="1:9">
      <c r="A2578" t="str">
        <f>IF(VIPcric_1!A2553="","",VIPcric_1!A2553)</f>
        <v>2020年</v>
      </c>
      <c r="B2578">
        <f>IF(VIPcric_1!B2553="","",VIPcric_1!B2553)</f>
        <v>4619537</v>
      </c>
      <c r="C2578">
        <f>IF(VIPcric_1!C2553="","",VIPcric_1!C2553)</f>
        <v>0</v>
      </c>
      <c r="D2578">
        <f>IF(VIPcric_1!D2553="","",VIPcric_1!D2553)</f>
        <v>3.1</v>
      </c>
      <c r="E2578">
        <f>IF(VIPcric_1!E2553="","",VIPcric_1!E2553)</f>
        <v>2.9</v>
      </c>
      <c r="F2578" t="str">
        <f>IF(VIPcric_1!F2553="","",VIPcric_1!F2553)</f>
        <v/>
      </c>
      <c r="G2578" t="str">
        <f>IF(VIPcric_1!G2553="","",VIPcric_1!G2553)</f>
        <v/>
      </c>
      <c r="H2578" t="str">
        <f>IF(VIPcric_1!H2553="","",VIPcric_1!H2553)</f>
        <v/>
      </c>
      <c r="I2578" t="str">
        <f>IF(VIPcric_1!M2553="","",VIPcric_1!M2553)</f>
        <v>CRIC-重庆-市场监测.商品房市场.项目累计.库存 (1).xlsx</v>
      </c>
    </row>
    <row r="2579" spans="1:9">
      <c r="A2579" t="str">
        <f>IF(VIPcric_1!A2554="","",VIPcric_1!A2554)</f>
        <v>2019年</v>
      </c>
      <c r="B2579">
        <f>IF(VIPcric_1!B2554="","",VIPcric_1!B2554)</f>
        <v>7525844</v>
      </c>
      <c r="C2579">
        <f>IF(VIPcric_1!C2554="","",VIPcric_1!C2554)</f>
        <v>0</v>
      </c>
      <c r="D2579">
        <f>IF(VIPcric_1!D2554="","",VIPcric_1!D2554)</f>
        <v>4.3</v>
      </c>
      <c r="E2579">
        <f>IF(VIPcric_1!E2554="","",VIPcric_1!E2554)</f>
        <v>4</v>
      </c>
      <c r="F2579" t="str">
        <f>IF(VIPcric_1!F2554="","",VIPcric_1!F2554)</f>
        <v/>
      </c>
      <c r="G2579" t="str">
        <f>IF(VIPcric_1!G2554="","",VIPcric_1!G2554)</f>
        <v/>
      </c>
      <c r="H2579" t="str">
        <f>IF(VIPcric_1!H2554="","",VIPcric_1!H2554)</f>
        <v/>
      </c>
      <c r="I2579" t="str">
        <f>IF(VIPcric_1!M2554="","",VIPcric_1!M2554)</f>
        <v>CRIC-重庆-市场监测.商品房市场.项目累计.库存 (1).xlsx</v>
      </c>
    </row>
    <row r="2580" spans="1:9">
      <c r="A2580" t="str">
        <f>IF(VIPcric_1!A2555="","",VIPcric_1!A2555)</f>
        <v/>
      </c>
      <c r="B2580" t="str">
        <f>IF(VIPcric_1!B2555="","",VIPcric_1!B2555)</f>
        <v/>
      </c>
      <c r="C2580" t="str">
        <f>IF(VIPcric_1!C2555="","",VIPcric_1!C2555)</f>
        <v/>
      </c>
      <c r="D2580" t="str">
        <f>IF(VIPcric_1!D2555="","",VIPcric_1!D2555)</f>
        <v/>
      </c>
      <c r="E2580" t="str">
        <f>IF(VIPcric_1!E2555="","",VIPcric_1!E2555)</f>
        <v/>
      </c>
      <c r="F2580" t="str">
        <f>IF(VIPcric_1!F2555="","",VIPcric_1!F2555)</f>
        <v/>
      </c>
      <c r="G2580" t="str">
        <f>IF(VIPcric_1!G2555="","",VIPcric_1!G2555)</f>
        <v/>
      </c>
      <c r="H2580" t="str">
        <f>IF(VIPcric_1!H2555="","",VIPcric_1!H2555)</f>
        <v/>
      </c>
      <c r="I2580" t="str">
        <f>IF(VIPcric_1!M2555="","",VIPcric_1!M2555)</f>
        <v/>
      </c>
    </row>
    <row r="2581" spans="1:9">
      <c r="A2581" t="str">
        <f>IF(VIPcric_1!A2556="","",VIPcric_1!A2556)</f>
        <v/>
      </c>
      <c r="B2581" t="str">
        <f>IF(VIPcric_1!B2556="","",VIPcric_1!B2556)</f>
        <v/>
      </c>
      <c r="C2581" t="str">
        <f>IF(VIPcric_1!C2556="","",VIPcric_1!C2556)</f>
        <v/>
      </c>
      <c r="D2581" t="str">
        <f>IF(VIPcric_1!D2556="","",VIPcric_1!D2556)</f>
        <v/>
      </c>
      <c r="E2581" t="str">
        <f>IF(VIPcric_1!E2556="","",VIPcric_1!E2556)</f>
        <v/>
      </c>
      <c r="F2581" t="str">
        <f>IF(VIPcric_1!F2556="","",VIPcric_1!F2556)</f>
        <v/>
      </c>
      <c r="G2581" t="str">
        <f>IF(VIPcric_1!G2556="","",VIPcric_1!G2556)</f>
        <v/>
      </c>
      <c r="H2581" t="str">
        <f>IF(VIPcric_1!H2556="","",VIPcric_1!H2556)</f>
        <v/>
      </c>
      <c r="I2581" t="str">
        <f>IF(VIPcric_1!M2556="","",VIPcric_1!M2556)</f>
        <v>CRIC-金华-市场监测.商品房市场.项目累计.供求.xlsx</v>
      </c>
    </row>
    <row r="2582" spans="1:9">
      <c r="A2582" t="str">
        <f>IF(VIPcric_1!A2557="","",VIPcric_1!A2557)</f>
        <v>时间(年)</v>
      </c>
      <c r="B2582" t="str">
        <f>IF(VIPcric_1!B2557="","",VIPcric_1!B2557)</f>
        <v>供应面积(㎡)</v>
      </c>
      <c r="C2582" t="str">
        <f>IF(VIPcric_1!C2557="","",VIPcric_1!C2557)</f>
        <v>供应套数(套)</v>
      </c>
      <c r="D2582" t="str">
        <f>IF(VIPcric_1!D2557="","",VIPcric_1!D2557)</f>
        <v>成交面积(㎡)</v>
      </c>
      <c r="E2582" t="str">
        <f>IF(VIPcric_1!E2557="","",VIPcric_1!E2557)</f>
        <v>成交套数(套)</v>
      </c>
      <c r="F2582" t="str">
        <f>IF(VIPcric_1!F2557="","",VIPcric_1!F2557)</f>
        <v>成交均价(元/㎡)</v>
      </c>
      <c r="G2582" t="str">
        <f>IF(VIPcric_1!G2557="","",VIPcric_1!G2557)</f>
        <v>成交金额(元)</v>
      </c>
      <c r="H2582" t="str">
        <f>IF(VIPcric_1!H2557="","",VIPcric_1!H2557)</f>
        <v>供求比</v>
      </c>
      <c r="I2582" t="str">
        <f>IF(VIPcric_1!M2557="","",VIPcric_1!M2557)</f>
        <v>CRIC-金华-市场监测.商品房市场.项目累计.供求.xlsx</v>
      </c>
    </row>
    <row r="2583" spans="1:9">
      <c r="A2583" t="str">
        <f>IF(VIPcric_1!A2558="","",VIPcric_1!A2558)</f>
        <v>2023年</v>
      </c>
      <c r="B2583">
        <f>IF(VIPcric_1!B2558="","",VIPcric_1!B2558)</f>
        <v>842824</v>
      </c>
      <c r="C2583">
        <f>IF(VIPcric_1!C2558="","",VIPcric_1!C2558)</f>
        <v>7121</v>
      </c>
      <c r="D2583">
        <f>IF(VIPcric_1!D2558="","",VIPcric_1!D2558)</f>
        <v>1189870</v>
      </c>
      <c r="E2583">
        <f>IF(VIPcric_1!E2558="","",VIPcric_1!E2558)</f>
        <v>11015</v>
      </c>
      <c r="F2583">
        <f>IF(VIPcric_1!F2558="","",VIPcric_1!F2558)</f>
        <v>18894</v>
      </c>
      <c r="G2583">
        <f>IF(VIPcric_1!G2558="","",VIPcric_1!G2558)</f>
        <v>22481453155</v>
      </c>
      <c r="H2583">
        <f>IF(VIPcric_1!H2558="","",VIPcric_1!H2558)</f>
        <v>0.71</v>
      </c>
      <c r="I2583" t="str">
        <f>IF(VIPcric_1!M2558="","",VIPcric_1!M2558)</f>
        <v>CRIC-金华-市场监测.商品房市场.项目累计.供求.xlsx</v>
      </c>
    </row>
    <row r="2584" spans="1:9">
      <c r="A2584" t="str">
        <f>IF(VIPcric_1!A2559="","",VIPcric_1!A2559)</f>
        <v>2022年</v>
      </c>
      <c r="B2584">
        <f>IF(VIPcric_1!B2559="","",VIPcric_1!B2559)</f>
        <v>1080818</v>
      </c>
      <c r="C2584">
        <f>IF(VIPcric_1!C2559="","",VIPcric_1!C2559)</f>
        <v>11320</v>
      </c>
      <c r="D2584">
        <f>IF(VIPcric_1!D2559="","",VIPcric_1!D2559)</f>
        <v>1302616</v>
      </c>
      <c r="E2584">
        <f>IF(VIPcric_1!E2559="","",VIPcric_1!E2559)</f>
        <v>13157</v>
      </c>
      <c r="F2584">
        <f>IF(VIPcric_1!F2559="","",VIPcric_1!F2559)</f>
        <v>19430</v>
      </c>
      <c r="G2584">
        <f>IF(VIPcric_1!G2559="","",VIPcric_1!G2559)</f>
        <v>25309894586</v>
      </c>
      <c r="H2584">
        <f>IF(VIPcric_1!H2559="","",VIPcric_1!H2559)</f>
        <v>0.83</v>
      </c>
      <c r="I2584" t="str">
        <f>IF(VIPcric_1!M2559="","",VIPcric_1!M2559)</f>
        <v>CRIC-金华-市场监测.商品房市场.项目累计.供求.xlsx</v>
      </c>
    </row>
    <row r="2585" spans="1:9">
      <c r="A2585" t="str">
        <f>IF(VIPcric_1!A2560="","",VIPcric_1!A2560)</f>
        <v>2021年</v>
      </c>
      <c r="B2585">
        <f>IF(VIPcric_1!B2560="","",VIPcric_1!B2560)</f>
        <v>1965502</v>
      </c>
      <c r="C2585">
        <f>IF(VIPcric_1!C2560="","",VIPcric_1!C2560)</f>
        <v>19803</v>
      </c>
      <c r="D2585">
        <f>IF(VIPcric_1!D2560="","",VIPcric_1!D2560)</f>
        <v>1541067</v>
      </c>
      <c r="E2585">
        <f>IF(VIPcric_1!E2560="","",VIPcric_1!E2560)</f>
        <v>15246</v>
      </c>
      <c r="F2585">
        <f>IF(VIPcric_1!F2560="","",VIPcric_1!F2560)</f>
        <v>18411</v>
      </c>
      <c r="G2585">
        <f>IF(VIPcric_1!G2560="","",VIPcric_1!G2560)</f>
        <v>28373229369</v>
      </c>
      <c r="H2585">
        <f>IF(VIPcric_1!H2560="","",VIPcric_1!H2560)</f>
        <v>1.28</v>
      </c>
      <c r="I2585" t="str">
        <f>IF(VIPcric_1!M2560="","",VIPcric_1!M2560)</f>
        <v>CRIC-金华-市场监测.商品房市场.项目累计.供求.xlsx</v>
      </c>
    </row>
    <row r="2586" spans="1:9">
      <c r="A2586" t="str">
        <f>IF(VIPcric_1!A2561="","",VIPcric_1!A2561)</f>
        <v>2020年</v>
      </c>
      <c r="B2586">
        <f>IF(VIPcric_1!B2561="","",VIPcric_1!B2561)</f>
        <v>2290999</v>
      </c>
      <c r="C2586">
        <f>IF(VIPcric_1!C2561="","",VIPcric_1!C2561)</f>
        <v>23345</v>
      </c>
      <c r="D2586">
        <f>IF(VIPcric_1!D2561="","",VIPcric_1!D2561)</f>
        <v>1997684</v>
      </c>
      <c r="E2586">
        <f>IF(VIPcric_1!E2561="","",VIPcric_1!E2561)</f>
        <v>19841</v>
      </c>
      <c r="F2586">
        <f>IF(VIPcric_1!F2561="","",VIPcric_1!F2561)</f>
        <v>16882</v>
      </c>
      <c r="G2586">
        <f>IF(VIPcric_1!G2561="","",VIPcric_1!G2561)</f>
        <v>33724859966</v>
      </c>
      <c r="H2586">
        <f>IF(VIPcric_1!H2561="","",VIPcric_1!H2561)</f>
        <v>1.1499999999999999</v>
      </c>
      <c r="I2586" t="str">
        <f>IF(VIPcric_1!M2561="","",VIPcric_1!M2561)</f>
        <v>CRIC-金华-市场监测.商品房市场.项目累计.供求.xlsx</v>
      </c>
    </row>
    <row r="2587" spans="1:9">
      <c r="A2587" t="str">
        <f>IF(VIPcric_1!A2562="","",VIPcric_1!A2562)</f>
        <v>2019年</v>
      </c>
      <c r="B2587">
        <f>IF(VIPcric_1!B2562="","",VIPcric_1!B2562)</f>
        <v>1750242</v>
      </c>
      <c r="C2587">
        <f>IF(VIPcric_1!C2562="","",VIPcric_1!C2562)</f>
        <v>16211</v>
      </c>
      <c r="D2587">
        <f>IF(VIPcric_1!D2562="","",VIPcric_1!D2562)</f>
        <v>1582926</v>
      </c>
      <c r="E2587">
        <f>IF(VIPcric_1!E2562="","",VIPcric_1!E2562)</f>
        <v>15133</v>
      </c>
      <c r="F2587">
        <f>IF(VIPcric_1!F2562="","",VIPcric_1!F2562)</f>
        <v>13205</v>
      </c>
      <c r="G2587">
        <f>IF(VIPcric_1!G2562="","",VIPcric_1!G2562)</f>
        <v>20903111652</v>
      </c>
      <c r="H2587">
        <f>IF(VIPcric_1!H2562="","",VIPcric_1!H2562)</f>
        <v>1.1100000000000001</v>
      </c>
      <c r="I2587" t="str">
        <f>IF(VIPcric_1!M2562="","",VIPcric_1!M2562)</f>
        <v>CRIC-金华-市场监测.商品房市场.项目累计.供求.xlsx</v>
      </c>
    </row>
    <row r="2588" spans="1:9">
      <c r="A2588" t="str">
        <f>IF(VIPcric_1!A2563="","",VIPcric_1!A2563)</f>
        <v>汇总</v>
      </c>
      <c r="B2588">
        <f>IF(VIPcric_1!B2563="","",VIPcric_1!B2563)</f>
        <v>7930385</v>
      </c>
      <c r="C2588">
        <f>IF(VIPcric_1!C2563="","",VIPcric_1!C2563)</f>
        <v>77800</v>
      </c>
      <c r="D2588">
        <f>IF(VIPcric_1!D2563="","",VIPcric_1!D2563)</f>
        <v>7614163</v>
      </c>
      <c r="E2588">
        <f>IF(VIPcric_1!E2563="","",VIPcric_1!E2563)</f>
        <v>74392</v>
      </c>
      <c r="F2588">
        <f>IF(VIPcric_1!F2563="","",VIPcric_1!F2563)</f>
        <v>17178</v>
      </c>
      <c r="G2588">
        <f>IF(VIPcric_1!G2563="","",VIPcric_1!G2563)</f>
        <v>130792548728</v>
      </c>
      <c r="H2588">
        <f>IF(VIPcric_1!H2563="","",VIPcric_1!H2563)</f>
        <v>1.04</v>
      </c>
      <c r="I2588" t="str">
        <f>IF(VIPcric_1!M2563="","",VIPcric_1!M2563)</f>
        <v>CRIC-金华-市场监测.商品房市场.项目累计.供求.xlsx</v>
      </c>
    </row>
    <row r="2589" spans="1:9">
      <c r="A2589" t="str">
        <f>IF(VIPcric_1!A2564="","",VIPcric_1!A2564)</f>
        <v/>
      </c>
      <c r="B2589" t="str">
        <f>IF(VIPcric_1!B2564="","",VIPcric_1!B2564)</f>
        <v/>
      </c>
      <c r="C2589" t="str">
        <f>IF(VIPcric_1!C2564="","",VIPcric_1!C2564)</f>
        <v/>
      </c>
      <c r="D2589" t="str">
        <f>IF(VIPcric_1!D2564="","",VIPcric_1!D2564)</f>
        <v/>
      </c>
      <c r="E2589" t="str">
        <f>IF(VIPcric_1!E2564="","",VIPcric_1!E2564)</f>
        <v/>
      </c>
      <c r="F2589" t="str">
        <f>IF(VIPcric_1!F2564="","",VIPcric_1!F2564)</f>
        <v/>
      </c>
      <c r="G2589" t="str">
        <f>IF(VIPcric_1!G2564="","",VIPcric_1!G2564)</f>
        <v/>
      </c>
      <c r="H2589" t="str">
        <f>IF(VIPcric_1!H2564="","",VIPcric_1!H2564)</f>
        <v/>
      </c>
      <c r="I2589" t="str">
        <f>IF(VIPcric_1!M2564="","",VIPcric_1!M2564)</f>
        <v/>
      </c>
    </row>
    <row r="2590" spans="1:9">
      <c r="A2590" t="str">
        <f>IF(VIPcric_1!A2565="","",VIPcric_1!A2565)</f>
        <v/>
      </c>
      <c r="B2590" t="str">
        <f>IF(VIPcric_1!B2565="","",VIPcric_1!B2565)</f>
        <v/>
      </c>
      <c r="C2590" t="str">
        <f>IF(VIPcric_1!C2565="","",VIPcric_1!C2565)</f>
        <v/>
      </c>
      <c r="D2590" t="str">
        <f>IF(VIPcric_1!D2565="","",VIPcric_1!D2565)</f>
        <v/>
      </c>
      <c r="E2590" t="str">
        <f>IF(VIPcric_1!E2565="","",VIPcric_1!E2565)</f>
        <v/>
      </c>
      <c r="F2590" t="str">
        <f>IF(VIPcric_1!F2565="","",VIPcric_1!F2565)</f>
        <v/>
      </c>
      <c r="G2590" t="str">
        <f>IF(VIPcric_1!G2565="","",VIPcric_1!G2565)</f>
        <v/>
      </c>
      <c r="H2590" t="str">
        <f>IF(VIPcric_1!H2565="","",VIPcric_1!H2565)</f>
        <v/>
      </c>
      <c r="I2590" t="str">
        <f>IF(VIPcric_1!M2565="","",VIPcric_1!M2565)</f>
        <v>CRIC-金华-市场监测.商品房市场.项目累计.库存.xlsx</v>
      </c>
    </row>
    <row r="2591" spans="1:9">
      <c r="A2591" t="str">
        <f>IF(VIPcric_1!A2566="","",VIPcric_1!A2566)</f>
        <v>时间(年)</v>
      </c>
      <c r="B2591" t="str">
        <f>IF(VIPcric_1!B2566="","",VIPcric_1!B2566)</f>
        <v>库存面积(㎡)</v>
      </c>
      <c r="C2591" t="str">
        <f>IF(VIPcric_1!C2566="","",VIPcric_1!C2566)</f>
        <v>库存套数(套)</v>
      </c>
      <c r="D2591" t="str">
        <f>IF(VIPcric_1!D2566="","",VIPcric_1!D2566)</f>
        <v>去化周期12'(月)</v>
      </c>
      <c r="E2591" t="str">
        <f>IF(VIPcric_1!E2566="","",VIPcric_1!E2566)</f>
        <v>去化周期24'(月)</v>
      </c>
      <c r="F2591" t="str">
        <f>IF(VIPcric_1!F2566="","",VIPcric_1!F2566)</f>
        <v/>
      </c>
      <c r="G2591" t="str">
        <f>IF(VIPcric_1!G2566="","",VIPcric_1!G2566)</f>
        <v/>
      </c>
      <c r="H2591" t="str">
        <f>IF(VIPcric_1!H2566="","",VIPcric_1!H2566)</f>
        <v/>
      </c>
      <c r="I2591" t="str">
        <f>IF(VIPcric_1!M2566="","",VIPcric_1!M2566)</f>
        <v>CRIC-金华-市场监测.商品房市场.项目累计.库存.xlsx</v>
      </c>
    </row>
    <row r="2592" spans="1:9">
      <c r="A2592" t="str">
        <f>IF(VIPcric_1!A2567="","",VIPcric_1!A2567)</f>
        <v>2023年</v>
      </c>
      <c r="B2592">
        <f>IF(VIPcric_1!B2567="","",VIPcric_1!B2567)</f>
        <v>1735136</v>
      </c>
      <c r="C2592">
        <f>IF(VIPcric_1!C2567="","",VIPcric_1!C2567)</f>
        <v>16069</v>
      </c>
      <c r="D2592">
        <f>IF(VIPcric_1!D2567="","",VIPcric_1!D2567)</f>
        <v>17.5</v>
      </c>
      <c r="E2592">
        <f>IF(VIPcric_1!E2567="","",VIPcric_1!E2567)</f>
        <v>16.7</v>
      </c>
      <c r="F2592" t="str">
        <f>IF(VIPcric_1!F2567="","",VIPcric_1!F2567)</f>
        <v/>
      </c>
      <c r="G2592" t="str">
        <f>IF(VIPcric_1!G2567="","",VIPcric_1!G2567)</f>
        <v/>
      </c>
      <c r="H2592" t="str">
        <f>IF(VIPcric_1!H2567="","",VIPcric_1!H2567)</f>
        <v/>
      </c>
      <c r="I2592" t="str">
        <f>IF(VIPcric_1!M2567="","",VIPcric_1!M2567)</f>
        <v>CRIC-金华-市场监测.商品房市场.项目累计.库存.xlsx</v>
      </c>
    </row>
    <row r="2593" spans="1:9">
      <c r="A2593" t="str">
        <f>IF(VIPcric_1!A2568="","",VIPcric_1!A2568)</f>
        <v>2022年</v>
      </c>
      <c r="B2593">
        <f>IF(VIPcric_1!B2568="","",VIPcric_1!B2568)</f>
        <v>2059466</v>
      </c>
      <c r="C2593">
        <f>IF(VIPcric_1!C2568="","",VIPcric_1!C2568)</f>
        <v>20289</v>
      </c>
      <c r="D2593">
        <f>IF(VIPcric_1!D2568="","",VIPcric_1!D2568)</f>
        <v>19</v>
      </c>
      <c r="E2593">
        <f>IF(VIPcric_1!E2568="","",VIPcric_1!E2568)</f>
        <v>17.399999999999999</v>
      </c>
      <c r="F2593" t="str">
        <f>IF(VIPcric_1!F2568="","",VIPcric_1!F2568)</f>
        <v/>
      </c>
      <c r="G2593" t="str">
        <f>IF(VIPcric_1!G2568="","",VIPcric_1!G2568)</f>
        <v/>
      </c>
      <c r="H2593" t="str">
        <f>IF(VIPcric_1!H2568="","",VIPcric_1!H2568)</f>
        <v/>
      </c>
      <c r="I2593" t="str">
        <f>IF(VIPcric_1!M2568="","",VIPcric_1!M2568)</f>
        <v>CRIC-金华-市场监测.商品房市场.项目累计.库存.xlsx</v>
      </c>
    </row>
    <row r="2594" spans="1:9">
      <c r="A2594" t="str">
        <f>IF(VIPcric_1!A2569="","",VIPcric_1!A2569)</f>
        <v>2021年</v>
      </c>
      <c r="B2594">
        <f>IF(VIPcric_1!B2569="","",VIPcric_1!B2569)</f>
        <v>2177123</v>
      </c>
      <c r="C2594">
        <f>IF(VIPcric_1!C2569="","",VIPcric_1!C2569)</f>
        <v>21537</v>
      </c>
      <c r="D2594">
        <f>IF(VIPcric_1!D2569="","",VIPcric_1!D2569)</f>
        <v>17</v>
      </c>
      <c r="E2594">
        <f>IF(VIPcric_1!E2569="","",VIPcric_1!E2569)</f>
        <v>14.8</v>
      </c>
      <c r="F2594" t="str">
        <f>IF(VIPcric_1!F2569="","",VIPcric_1!F2569)</f>
        <v/>
      </c>
      <c r="G2594" t="str">
        <f>IF(VIPcric_1!G2569="","",VIPcric_1!G2569)</f>
        <v/>
      </c>
      <c r="H2594" t="str">
        <f>IF(VIPcric_1!H2569="","",VIPcric_1!H2569)</f>
        <v/>
      </c>
      <c r="I2594" t="str">
        <f>IF(VIPcric_1!M2569="","",VIPcric_1!M2569)</f>
        <v>CRIC-金华-市场监测.商品房市场.项目累计.库存.xlsx</v>
      </c>
    </row>
    <row r="2595" spans="1:9">
      <c r="A2595" t="str">
        <f>IF(VIPcric_1!A2570="","",VIPcric_1!A2570)</f>
        <v>2020年</v>
      </c>
      <c r="B2595">
        <f>IF(VIPcric_1!B2570="","",VIPcric_1!B2570)</f>
        <v>1655111</v>
      </c>
      <c r="C2595">
        <f>IF(VIPcric_1!C2570="","",VIPcric_1!C2570)</f>
        <v>15901</v>
      </c>
      <c r="D2595">
        <f>IF(VIPcric_1!D2570="","",VIPcric_1!D2570)</f>
        <v>9.9</v>
      </c>
      <c r="E2595">
        <f>IF(VIPcric_1!E2570="","",VIPcric_1!E2570)</f>
        <v>11.1</v>
      </c>
      <c r="F2595" t="str">
        <f>IF(VIPcric_1!F2570="","",VIPcric_1!F2570)</f>
        <v/>
      </c>
      <c r="G2595" t="str">
        <f>IF(VIPcric_1!G2570="","",VIPcric_1!G2570)</f>
        <v/>
      </c>
      <c r="H2595" t="str">
        <f>IF(VIPcric_1!H2570="","",VIPcric_1!H2570)</f>
        <v/>
      </c>
      <c r="I2595" t="str">
        <f>IF(VIPcric_1!M2570="","",VIPcric_1!M2570)</f>
        <v>CRIC-金华-市场监测.商品房市场.项目累计.库存.xlsx</v>
      </c>
    </row>
    <row r="2596" spans="1:9">
      <c r="A2596" t="str">
        <f>IF(VIPcric_1!A2571="","",VIPcric_1!A2571)</f>
        <v>2019年</v>
      </c>
      <c r="B2596">
        <f>IF(VIPcric_1!B2571="","",VIPcric_1!B2571)</f>
        <v>2052027</v>
      </c>
      <c r="C2596">
        <f>IF(VIPcric_1!C2571="","",VIPcric_1!C2571)</f>
        <v>17816</v>
      </c>
      <c r="D2596">
        <f>IF(VIPcric_1!D2571="","",VIPcric_1!D2571)</f>
        <v>15.6</v>
      </c>
      <c r="E2596">
        <f>IF(VIPcric_1!E2571="","",VIPcric_1!E2571)</f>
        <v>15.3</v>
      </c>
      <c r="F2596" t="str">
        <f>IF(VIPcric_1!F2571="","",VIPcric_1!F2571)</f>
        <v/>
      </c>
      <c r="G2596" t="str">
        <f>IF(VIPcric_1!G2571="","",VIPcric_1!G2571)</f>
        <v/>
      </c>
      <c r="H2596" t="str">
        <f>IF(VIPcric_1!H2571="","",VIPcric_1!H2571)</f>
        <v/>
      </c>
      <c r="I2596" t="str">
        <f>IF(VIPcric_1!M2571="","",VIPcric_1!M2571)</f>
        <v>CRIC-金华-市场监测.商品房市场.项目累计.库存.xlsx</v>
      </c>
    </row>
    <row r="2597" spans="1:9">
      <c r="A2597" t="str">
        <f>IF(VIPcric_1!A2572="","",VIPcric_1!A2572)</f>
        <v/>
      </c>
      <c r="B2597" t="str">
        <f>IF(VIPcric_1!B2572="","",VIPcric_1!B2572)</f>
        <v/>
      </c>
      <c r="C2597" t="str">
        <f>IF(VIPcric_1!C2572="","",VIPcric_1!C2572)</f>
        <v/>
      </c>
      <c r="D2597" t="str">
        <f>IF(VIPcric_1!D2572="","",VIPcric_1!D2572)</f>
        <v/>
      </c>
      <c r="E2597" t="str">
        <f>IF(VIPcric_1!E2572="","",VIPcric_1!E2572)</f>
        <v/>
      </c>
      <c r="F2597" t="str">
        <f>IF(VIPcric_1!F2572="","",VIPcric_1!F2572)</f>
        <v/>
      </c>
      <c r="G2597" t="str">
        <f>IF(VIPcric_1!G2572="","",VIPcric_1!G2572)</f>
        <v/>
      </c>
      <c r="H2597" t="str">
        <f>IF(VIPcric_1!H2572="","",VIPcric_1!H2572)</f>
        <v/>
      </c>
      <c r="I2597" t="str">
        <f>IF(VIPcric_1!M2572="","",VIPcric_1!M2572)</f>
        <v/>
      </c>
    </row>
    <row r="2598" spans="1:9">
      <c r="A2598" t="str">
        <f>IF(VIPcric_1!A2573="","",VIPcric_1!A2573)</f>
        <v/>
      </c>
      <c r="B2598" t="str">
        <f>IF(VIPcric_1!B2573="","",VIPcric_1!B2573)</f>
        <v/>
      </c>
      <c r="C2598" t="str">
        <f>IF(VIPcric_1!C2573="","",VIPcric_1!C2573)</f>
        <v/>
      </c>
      <c r="D2598" t="str">
        <f>IF(VIPcric_1!D2573="","",VIPcric_1!D2573)</f>
        <v/>
      </c>
      <c r="E2598" t="str">
        <f>IF(VIPcric_1!E2573="","",VIPcric_1!E2573)</f>
        <v/>
      </c>
      <c r="F2598" t="str">
        <f>IF(VIPcric_1!F2573="","",VIPcric_1!F2573)</f>
        <v/>
      </c>
      <c r="G2598" t="str">
        <f>IF(VIPcric_1!G2573="","",VIPcric_1!G2573)</f>
        <v/>
      </c>
      <c r="H2598" t="str">
        <f>IF(VIPcric_1!H2573="","",VIPcric_1!H2573)</f>
        <v/>
      </c>
      <c r="I2598" t="str">
        <f>IF(VIPcric_1!M2573="","",VIPcric_1!M2573)</f>
        <v>CRIC-铜川-市场监测.商品房市场.项目累计.供求.xlsx</v>
      </c>
    </row>
    <row r="2599" spans="1:9">
      <c r="A2599" t="str">
        <f>IF(VIPcric_1!A2574="","",VIPcric_1!A2574)</f>
        <v>时间(年)</v>
      </c>
      <c r="B2599" t="str">
        <f>IF(VIPcric_1!B2574="","",VIPcric_1!B2574)</f>
        <v>供应面积(㎡)</v>
      </c>
      <c r="C2599" t="str">
        <f>IF(VIPcric_1!C2574="","",VIPcric_1!C2574)</f>
        <v>供应套数(套)</v>
      </c>
      <c r="D2599" t="str">
        <f>IF(VIPcric_1!D2574="","",VIPcric_1!D2574)</f>
        <v>成交面积(㎡)</v>
      </c>
      <c r="E2599" t="str">
        <f>IF(VIPcric_1!E2574="","",VIPcric_1!E2574)</f>
        <v>成交套数(套)</v>
      </c>
      <c r="F2599" t="str">
        <f>IF(VIPcric_1!F2574="","",VIPcric_1!F2574)</f>
        <v>成交均价(元/㎡)</v>
      </c>
      <c r="G2599" t="str">
        <f>IF(VIPcric_1!G2574="","",VIPcric_1!G2574)</f>
        <v>成交金额(元)</v>
      </c>
      <c r="H2599" t="str">
        <f>IF(VIPcric_1!H2574="","",VIPcric_1!H2574)</f>
        <v>供求比</v>
      </c>
      <c r="I2599" t="str">
        <f>IF(VIPcric_1!M2574="","",VIPcric_1!M2574)</f>
        <v>CRIC-铜川-市场监测.商品房市场.项目累计.供求.xlsx</v>
      </c>
    </row>
    <row r="2600" spans="1:9">
      <c r="A2600" t="str">
        <f>IF(VIPcric_1!A2575="","",VIPcric_1!A2575)</f>
        <v>2023年</v>
      </c>
      <c r="B2600">
        <f>IF(VIPcric_1!B2575="","",VIPcric_1!B2575)</f>
        <v>303299</v>
      </c>
      <c r="C2600">
        <f>IF(VIPcric_1!C2575="","",VIPcric_1!C2575)</f>
        <v>2275</v>
      </c>
      <c r="D2600">
        <f>IF(VIPcric_1!D2575="","",VIPcric_1!D2575)</f>
        <v>425751</v>
      </c>
      <c r="E2600">
        <f>IF(VIPcric_1!E2575="","",VIPcric_1!E2575)</f>
        <v>3434</v>
      </c>
      <c r="F2600">
        <f>IF(VIPcric_1!F2575="","",VIPcric_1!F2575)</f>
        <v>5532</v>
      </c>
      <c r="G2600">
        <f>IF(VIPcric_1!G2575="","",VIPcric_1!G2575)</f>
        <v>2355354550</v>
      </c>
      <c r="H2600">
        <f>IF(VIPcric_1!H2575="","",VIPcric_1!H2575)</f>
        <v>0.71</v>
      </c>
      <c r="I2600" t="str">
        <f>IF(VIPcric_1!M2575="","",VIPcric_1!M2575)</f>
        <v>CRIC-铜川-市场监测.商品房市场.项目累计.供求.xlsx</v>
      </c>
    </row>
    <row r="2601" spans="1:9">
      <c r="A2601" t="str">
        <f>IF(VIPcric_1!A2576="","",VIPcric_1!A2576)</f>
        <v>2022年</v>
      </c>
      <c r="B2601">
        <f>IF(VIPcric_1!B2576="","",VIPcric_1!B2576)</f>
        <v>369229</v>
      </c>
      <c r="C2601">
        <f>IF(VIPcric_1!C2576="","",VIPcric_1!C2576)</f>
        <v>3095</v>
      </c>
      <c r="D2601">
        <f>IF(VIPcric_1!D2576="","",VIPcric_1!D2576)</f>
        <v>524872</v>
      </c>
      <c r="E2601">
        <f>IF(VIPcric_1!E2576="","",VIPcric_1!E2576)</f>
        <v>4433</v>
      </c>
      <c r="F2601">
        <f>IF(VIPcric_1!F2576="","",VIPcric_1!F2576)</f>
        <v>5421</v>
      </c>
      <c r="G2601">
        <f>IF(VIPcric_1!G2576="","",VIPcric_1!G2576)</f>
        <v>2845370458</v>
      </c>
      <c r="H2601">
        <f>IF(VIPcric_1!H2576="","",VIPcric_1!H2576)</f>
        <v>0.7</v>
      </c>
      <c r="I2601" t="str">
        <f>IF(VIPcric_1!M2576="","",VIPcric_1!M2576)</f>
        <v>CRIC-铜川-市场监测.商品房市场.项目累计.供求.xlsx</v>
      </c>
    </row>
    <row r="2602" spans="1:9">
      <c r="A2602" t="str">
        <f>IF(VIPcric_1!A2577="","",VIPcric_1!A2577)</f>
        <v>2021年</v>
      </c>
      <c r="B2602">
        <f>IF(VIPcric_1!B2577="","",VIPcric_1!B2577)</f>
        <v>1193572</v>
      </c>
      <c r="C2602">
        <f>IF(VIPcric_1!C2577="","",VIPcric_1!C2577)</f>
        <v>9765</v>
      </c>
      <c r="D2602">
        <f>IF(VIPcric_1!D2577="","",VIPcric_1!D2577)</f>
        <v>524996</v>
      </c>
      <c r="E2602">
        <f>IF(VIPcric_1!E2577="","",VIPcric_1!E2577)</f>
        <v>4391</v>
      </c>
      <c r="F2602">
        <f>IF(VIPcric_1!F2577="","",VIPcric_1!F2577)</f>
        <v>5608</v>
      </c>
      <c r="G2602">
        <f>IF(VIPcric_1!G2577="","",VIPcric_1!G2577)</f>
        <v>2944032779</v>
      </c>
      <c r="H2602">
        <f>IF(VIPcric_1!H2577="","",VIPcric_1!H2577)</f>
        <v>2.27</v>
      </c>
      <c r="I2602" t="str">
        <f>IF(VIPcric_1!M2577="","",VIPcric_1!M2577)</f>
        <v>CRIC-铜川-市场监测.商品房市场.项目累计.供求.xlsx</v>
      </c>
    </row>
    <row r="2603" spans="1:9">
      <c r="A2603" t="str">
        <f>IF(VIPcric_1!A2578="","",VIPcric_1!A2578)</f>
        <v>2020年</v>
      </c>
      <c r="B2603">
        <f>IF(VIPcric_1!B2578="","",VIPcric_1!B2578)</f>
        <v>1918477</v>
      </c>
      <c r="C2603">
        <f>IF(VIPcric_1!C2578="","",VIPcric_1!C2578)</f>
        <v>15966</v>
      </c>
      <c r="D2603">
        <f>IF(VIPcric_1!D2578="","",VIPcric_1!D2578)</f>
        <v>0</v>
      </c>
      <c r="E2603">
        <f>IF(VIPcric_1!E2578="","",VIPcric_1!E2578)</f>
        <v>0</v>
      </c>
      <c r="F2603">
        <f>IF(VIPcric_1!F2578="","",VIPcric_1!F2578)</f>
        <v>0</v>
      </c>
      <c r="G2603">
        <f>IF(VIPcric_1!G2578="","",VIPcric_1!G2578)</f>
        <v>0</v>
      </c>
      <c r="H2603">
        <f>IF(VIPcric_1!H2578="","",VIPcric_1!H2578)</f>
        <v>0</v>
      </c>
      <c r="I2603" t="str">
        <f>IF(VIPcric_1!M2578="","",VIPcric_1!M2578)</f>
        <v>CRIC-铜川-市场监测.商品房市场.项目累计.供求.xlsx</v>
      </c>
    </row>
    <row r="2604" spans="1:9">
      <c r="A2604" t="str">
        <f>IF(VIPcric_1!A2579="","",VIPcric_1!A2579)</f>
        <v>2019年</v>
      </c>
      <c r="B2604">
        <f>IF(VIPcric_1!B2579="","",VIPcric_1!B2579)</f>
        <v>1379897</v>
      </c>
      <c r="C2604">
        <f>IF(VIPcric_1!C2579="","",VIPcric_1!C2579)</f>
        <v>11983</v>
      </c>
      <c r="D2604">
        <f>IF(VIPcric_1!D2579="","",VIPcric_1!D2579)</f>
        <v>0</v>
      </c>
      <c r="E2604">
        <f>IF(VIPcric_1!E2579="","",VIPcric_1!E2579)</f>
        <v>0</v>
      </c>
      <c r="F2604">
        <f>IF(VIPcric_1!F2579="","",VIPcric_1!F2579)</f>
        <v>0</v>
      </c>
      <c r="G2604">
        <f>IF(VIPcric_1!G2579="","",VIPcric_1!G2579)</f>
        <v>0</v>
      </c>
      <c r="H2604">
        <f>IF(VIPcric_1!H2579="","",VIPcric_1!H2579)</f>
        <v>0</v>
      </c>
      <c r="I2604" t="str">
        <f>IF(VIPcric_1!M2579="","",VIPcric_1!M2579)</f>
        <v>CRIC-铜川-市场监测.商品房市场.项目累计.供求.xlsx</v>
      </c>
    </row>
    <row r="2605" spans="1:9">
      <c r="A2605" t="str">
        <f>IF(VIPcric_1!A2580="","",VIPcric_1!A2580)</f>
        <v>汇总</v>
      </c>
      <c r="B2605">
        <f>IF(VIPcric_1!B2580="","",VIPcric_1!B2580)</f>
        <v>5164474</v>
      </c>
      <c r="C2605">
        <f>IF(VIPcric_1!C2580="","",VIPcric_1!C2580)</f>
        <v>43084</v>
      </c>
      <c r="D2605">
        <f>IF(VIPcric_1!D2580="","",VIPcric_1!D2580)</f>
        <v>1475620</v>
      </c>
      <c r="E2605">
        <f>IF(VIPcric_1!E2580="","",VIPcric_1!E2580)</f>
        <v>12258</v>
      </c>
      <c r="F2605">
        <f>IF(VIPcric_1!F2580="","",VIPcric_1!F2580)</f>
        <v>5520</v>
      </c>
      <c r="G2605">
        <f>IF(VIPcric_1!G2580="","",VIPcric_1!G2580)</f>
        <v>8144757787</v>
      </c>
      <c r="H2605">
        <f>IF(VIPcric_1!H2580="","",VIPcric_1!H2580)</f>
        <v>3.5</v>
      </c>
      <c r="I2605" t="str">
        <f>IF(VIPcric_1!M2580="","",VIPcric_1!M2580)</f>
        <v>CRIC-铜川-市场监测.商品房市场.项目累计.供求.xlsx</v>
      </c>
    </row>
    <row r="2606" spans="1:9">
      <c r="A2606" t="str">
        <f>IF(VIPcric_1!A2581="","",VIPcric_1!A2581)</f>
        <v/>
      </c>
      <c r="B2606" t="str">
        <f>IF(VIPcric_1!B2581="","",VIPcric_1!B2581)</f>
        <v/>
      </c>
      <c r="C2606" t="str">
        <f>IF(VIPcric_1!C2581="","",VIPcric_1!C2581)</f>
        <v/>
      </c>
      <c r="D2606" t="str">
        <f>IF(VIPcric_1!D2581="","",VIPcric_1!D2581)</f>
        <v/>
      </c>
      <c r="E2606" t="str">
        <f>IF(VIPcric_1!E2581="","",VIPcric_1!E2581)</f>
        <v/>
      </c>
      <c r="F2606" t="str">
        <f>IF(VIPcric_1!F2581="","",VIPcric_1!F2581)</f>
        <v/>
      </c>
      <c r="G2606" t="str">
        <f>IF(VIPcric_1!G2581="","",VIPcric_1!G2581)</f>
        <v/>
      </c>
      <c r="H2606" t="str">
        <f>IF(VIPcric_1!H2581="","",VIPcric_1!H2581)</f>
        <v/>
      </c>
      <c r="I2606" t="str">
        <f>IF(VIPcric_1!M2581="","",VIPcric_1!M2581)</f>
        <v/>
      </c>
    </row>
    <row r="2607" spans="1:9">
      <c r="A2607" t="str">
        <f>IF(VIPcric_1!A2582="","",VIPcric_1!A2582)</f>
        <v/>
      </c>
      <c r="B2607" t="str">
        <f>IF(VIPcric_1!B2582="","",VIPcric_1!B2582)</f>
        <v/>
      </c>
      <c r="C2607" t="str">
        <f>IF(VIPcric_1!C2582="","",VIPcric_1!C2582)</f>
        <v/>
      </c>
      <c r="D2607" t="str">
        <f>IF(VIPcric_1!D2582="","",VIPcric_1!D2582)</f>
        <v/>
      </c>
      <c r="E2607" t="str">
        <f>IF(VIPcric_1!E2582="","",VIPcric_1!E2582)</f>
        <v/>
      </c>
      <c r="F2607" t="str">
        <f>IF(VIPcric_1!F2582="","",VIPcric_1!F2582)</f>
        <v/>
      </c>
      <c r="G2607" t="str">
        <f>IF(VIPcric_1!G2582="","",VIPcric_1!G2582)</f>
        <v/>
      </c>
      <c r="H2607" t="str">
        <f>IF(VIPcric_1!H2582="","",VIPcric_1!H2582)</f>
        <v/>
      </c>
      <c r="I2607" t="str">
        <f>IF(VIPcric_1!M2582="","",VIPcric_1!M2582)</f>
        <v>CRIC-铜川-市场监测.商品房市场.项目累计.库存.xlsx</v>
      </c>
    </row>
    <row r="2608" spans="1:9">
      <c r="A2608" t="str">
        <f>IF(VIPcric_1!A2583="","",VIPcric_1!A2583)</f>
        <v>时间(年)</v>
      </c>
      <c r="B2608" t="str">
        <f>IF(VIPcric_1!B2583="","",VIPcric_1!B2583)</f>
        <v>库存面积(㎡)</v>
      </c>
      <c r="C2608" t="str">
        <f>IF(VIPcric_1!C2583="","",VIPcric_1!C2583)</f>
        <v>库存套数(套)</v>
      </c>
      <c r="D2608" t="str">
        <f>IF(VIPcric_1!D2583="","",VIPcric_1!D2583)</f>
        <v>去化周期12'(月)</v>
      </c>
      <c r="E2608" t="str">
        <f>IF(VIPcric_1!E2583="","",VIPcric_1!E2583)</f>
        <v/>
      </c>
      <c r="F2608" t="str">
        <f>IF(VIPcric_1!F2583="","",VIPcric_1!F2583)</f>
        <v/>
      </c>
      <c r="G2608" t="str">
        <f>IF(VIPcric_1!G2583="","",VIPcric_1!G2583)</f>
        <v/>
      </c>
      <c r="H2608" t="str">
        <f>IF(VIPcric_1!H2583="","",VIPcric_1!H2583)</f>
        <v/>
      </c>
      <c r="I2608" t="str">
        <f>IF(VIPcric_1!M2583="","",VIPcric_1!M2583)</f>
        <v>CRIC-铜川-市场监测.商品房市场.项目累计.库存.xlsx</v>
      </c>
    </row>
    <row r="2609" spans="1:9">
      <c r="A2609" t="str">
        <f>IF(VIPcric_1!A2584="","",VIPcric_1!A2584)</f>
        <v>2024年</v>
      </c>
      <c r="B2609">
        <f>IF(VIPcric_1!B2584="","",VIPcric_1!B2584)</f>
        <v>2000960</v>
      </c>
      <c r="C2609">
        <f>IF(VIPcric_1!C2584="","",VIPcric_1!C2584)</f>
        <v>17038</v>
      </c>
      <c r="D2609">
        <f>IF(VIPcric_1!D2584="","",VIPcric_1!D2584)</f>
        <v>56.8</v>
      </c>
      <c r="E2609" t="str">
        <f>IF(VIPcric_1!E2584="","",VIPcric_1!E2584)</f>
        <v/>
      </c>
      <c r="F2609" t="str">
        <f>IF(VIPcric_1!F2584="","",VIPcric_1!F2584)</f>
        <v/>
      </c>
      <c r="G2609" t="str">
        <f>IF(VIPcric_1!G2584="","",VIPcric_1!G2584)</f>
        <v/>
      </c>
      <c r="H2609" t="str">
        <f>IF(VIPcric_1!H2584="","",VIPcric_1!H2584)</f>
        <v/>
      </c>
      <c r="I2609" t="str">
        <f>IF(VIPcric_1!M2584="","",VIPcric_1!M2584)</f>
        <v>CRIC-铜川-市场监测.商品房市场.项目累计.库存.xlsx</v>
      </c>
    </row>
    <row r="2610" spans="1:9">
      <c r="A2610" t="str">
        <f>IF(VIPcric_1!A2585="","",VIPcric_1!A2585)</f>
        <v>2023年</v>
      </c>
      <c r="B2610">
        <f>IF(VIPcric_1!B2585="","",VIPcric_1!B2585)</f>
        <v>2025185</v>
      </c>
      <c r="C2610">
        <f>IF(VIPcric_1!C2585="","",VIPcric_1!C2585)</f>
        <v>17226</v>
      </c>
      <c r="D2610">
        <f>IF(VIPcric_1!D2585="","",VIPcric_1!D2585)</f>
        <v>57.1</v>
      </c>
      <c r="E2610" t="str">
        <f>IF(VIPcric_1!E2585="","",VIPcric_1!E2585)</f>
        <v/>
      </c>
      <c r="F2610" t="str">
        <f>IF(VIPcric_1!F2585="","",VIPcric_1!F2585)</f>
        <v/>
      </c>
      <c r="G2610" t="str">
        <f>IF(VIPcric_1!G2585="","",VIPcric_1!G2585)</f>
        <v/>
      </c>
      <c r="H2610" t="str">
        <f>IF(VIPcric_1!H2585="","",VIPcric_1!H2585)</f>
        <v/>
      </c>
      <c r="I2610" t="str">
        <f>IF(VIPcric_1!M2585="","",VIPcric_1!M2585)</f>
        <v>CRIC-铜川-市场监测.商品房市场.项目累计.库存.xlsx</v>
      </c>
    </row>
    <row r="2611" spans="1:9">
      <c r="A2611" t="str">
        <f>IF(VIPcric_1!A2586="","",VIPcric_1!A2586)</f>
        <v>2022年</v>
      </c>
      <c r="B2611">
        <f>IF(VIPcric_1!B2586="","",VIPcric_1!B2586)</f>
        <v>1933836</v>
      </c>
      <c r="C2611">
        <f>IF(VIPcric_1!C2586="","",VIPcric_1!C2586)</f>
        <v>16589</v>
      </c>
      <c r="D2611">
        <f>IF(VIPcric_1!D2586="","",VIPcric_1!D2586)</f>
        <v>44.2</v>
      </c>
      <c r="E2611" t="str">
        <f>IF(VIPcric_1!E2586="","",VIPcric_1!E2586)</f>
        <v/>
      </c>
      <c r="F2611" t="str">
        <f>IF(VIPcric_1!F2586="","",VIPcric_1!F2586)</f>
        <v/>
      </c>
      <c r="G2611" t="str">
        <f>IF(VIPcric_1!G2586="","",VIPcric_1!G2586)</f>
        <v/>
      </c>
      <c r="H2611" t="str">
        <f>IF(VIPcric_1!H2586="","",VIPcric_1!H2586)</f>
        <v/>
      </c>
      <c r="I2611" t="str">
        <f>IF(VIPcric_1!M2586="","",VIPcric_1!M2586)</f>
        <v>CRIC-铜川-市场监测.商品房市场.项目累计.库存.xlsx</v>
      </c>
    </row>
    <row r="2612" spans="1:9">
      <c r="A2612" t="str">
        <f>IF(VIPcric_1!A2587="","",VIPcric_1!A2587)</f>
        <v>2021年</v>
      </c>
      <c r="B2612">
        <f>IF(VIPcric_1!B2587="","",VIPcric_1!B2587)</f>
        <v>2102216</v>
      </c>
      <c r="C2612">
        <f>IF(VIPcric_1!C2587="","",VIPcric_1!C2587)</f>
        <v>18036</v>
      </c>
      <c r="D2612">
        <f>IF(VIPcric_1!D2587="","",VIPcric_1!D2587)</f>
        <v>48.1</v>
      </c>
      <c r="E2612" t="str">
        <f>IF(VIPcric_1!E2587="","",VIPcric_1!E2587)</f>
        <v/>
      </c>
      <c r="F2612" t="str">
        <f>IF(VIPcric_1!F2587="","",VIPcric_1!F2587)</f>
        <v/>
      </c>
      <c r="G2612" t="str">
        <f>IF(VIPcric_1!G2587="","",VIPcric_1!G2587)</f>
        <v/>
      </c>
      <c r="H2612" t="str">
        <f>IF(VIPcric_1!H2587="","",VIPcric_1!H2587)</f>
        <v/>
      </c>
      <c r="I2612" t="str">
        <f>IF(VIPcric_1!M2587="","",VIPcric_1!M2587)</f>
        <v>CRIC-铜川-市场监测.商品房市场.项目累计.库存.xlsx</v>
      </c>
    </row>
    <row r="2613" spans="1:9">
      <c r="A2613" t="str">
        <f>IF(VIPcric_1!A2588="","",VIPcric_1!A2588)</f>
        <v/>
      </c>
      <c r="B2613" t="str">
        <f>IF(VIPcric_1!B2588="","",VIPcric_1!B2588)</f>
        <v/>
      </c>
      <c r="C2613" t="str">
        <f>IF(VIPcric_1!C2588="","",VIPcric_1!C2588)</f>
        <v/>
      </c>
      <c r="D2613" t="str">
        <f>IF(VIPcric_1!D2588="","",VIPcric_1!D2588)</f>
        <v/>
      </c>
      <c r="E2613" t="str">
        <f>IF(VIPcric_1!E2588="","",VIPcric_1!E2588)</f>
        <v/>
      </c>
      <c r="F2613" t="str">
        <f>IF(VIPcric_1!F2588="","",VIPcric_1!F2588)</f>
        <v/>
      </c>
      <c r="G2613" t="str">
        <f>IF(VIPcric_1!G2588="","",VIPcric_1!G2588)</f>
        <v/>
      </c>
      <c r="H2613" t="str">
        <f>IF(VIPcric_1!H2588="","",VIPcric_1!H2588)</f>
        <v/>
      </c>
      <c r="I2613" t="str">
        <f>IF(VIPcric_1!M2588="","",VIPcric_1!M2588)</f>
        <v/>
      </c>
    </row>
    <row r="2614" spans="1:9">
      <c r="A2614" t="str">
        <f>IF(VIPcric_1!A2589="","",VIPcric_1!A2589)</f>
        <v/>
      </c>
      <c r="B2614" t="str">
        <f>IF(VIPcric_1!B2589="","",VIPcric_1!B2589)</f>
        <v/>
      </c>
      <c r="C2614" t="str">
        <f>IF(VIPcric_1!C2589="","",VIPcric_1!C2589)</f>
        <v/>
      </c>
      <c r="D2614" t="str">
        <f>IF(VIPcric_1!D2589="","",VIPcric_1!D2589)</f>
        <v/>
      </c>
      <c r="E2614" t="str">
        <f>IF(VIPcric_1!E2589="","",VIPcric_1!E2589)</f>
        <v/>
      </c>
      <c r="F2614" t="str">
        <f>IF(VIPcric_1!F2589="","",VIPcric_1!F2589)</f>
        <v/>
      </c>
      <c r="G2614" t="str">
        <f>IF(VIPcric_1!G2589="","",VIPcric_1!G2589)</f>
        <v/>
      </c>
      <c r="H2614" t="str">
        <f>IF(VIPcric_1!H2589="","",VIPcric_1!H2589)</f>
        <v/>
      </c>
      <c r="I2614" t="str">
        <f>IF(VIPcric_1!M2589="","",VIPcric_1!M2589)</f>
        <v>CRIC-铜陵-市场监测.商品房市场.项目累计.供求.xlsx</v>
      </c>
    </row>
    <row r="2615" spans="1:9">
      <c r="A2615" t="str">
        <f>IF(VIPcric_1!A2590="","",VIPcric_1!A2590)</f>
        <v>时间(年)</v>
      </c>
      <c r="B2615" t="str">
        <f>IF(VIPcric_1!B2590="","",VIPcric_1!B2590)</f>
        <v>供应面积(㎡)</v>
      </c>
      <c r="C2615" t="str">
        <f>IF(VIPcric_1!C2590="","",VIPcric_1!C2590)</f>
        <v>供应套数(套)</v>
      </c>
      <c r="D2615" t="str">
        <f>IF(VIPcric_1!D2590="","",VIPcric_1!D2590)</f>
        <v>成交面积(㎡)</v>
      </c>
      <c r="E2615" t="str">
        <f>IF(VIPcric_1!E2590="","",VIPcric_1!E2590)</f>
        <v>成交套数(套)</v>
      </c>
      <c r="F2615" t="str">
        <f>IF(VIPcric_1!F2590="","",VIPcric_1!F2590)</f>
        <v>成交均价(元/㎡)</v>
      </c>
      <c r="G2615" t="str">
        <f>IF(VIPcric_1!G2590="","",VIPcric_1!G2590)</f>
        <v>成交金额(元)</v>
      </c>
      <c r="H2615" t="str">
        <f>IF(VIPcric_1!H2590="","",VIPcric_1!H2590)</f>
        <v>供求比</v>
      </c>
      <c r="I2615" t="str">
        <f>IF(VIPcric_1!M2590="","",VIPcric_1!M2590)</f>
        <v>CRIC-铜陵-市场监测.商品房市场.项目累计.供求.xlsx</v>
      </c>
    </row>
    <row r="2616" spans="1:9">
      <c r="A2616" t="str">
        <f>IF(VIPcric_1!A2591="","",VIPcric_1!A2591)</f>
        <v>2024年</v>
      </c>
      <c r="B2616">
        <f>IF(VIPcric_1!B2591="","",VIPcric_1!B2591)</f>
        <v>107457</v>
      </c>
      <c r="C2616">
        <f>IF(VIPcric_1!C2591="","",VIPcric_1!C2591)</f>
        <v>1092</v>
      </c>
      <c r="D2616">
        <f>IF(VIPcric_1!D2591="","",VIPcric_1!D2591)</f>
        <v>43079</v>
      </c>
      <c r="E2616">
        <f>IF(VIPcric_1!E2591="","",VIPcric_1!E2591)</f>
        <v>375</v>
      </c>
      <c r="F2616">
        <f>IF(VIPcric_1!F2591="","",VIPcric_1!F2591)</f>
        <v>7711</v>
      </c>
      <c r="G2616">
        <f>IF(VIPcric_1!G2591="","",VIPcric_1!G2591)</f>
        <v>332184627</v>
      </c>
      <c r="H2616">
        <f>IF(VIPcric_1!H2591="","",VIPcric_1!H2591)</f>
        <v>2.4900000000000002</v>
      </c>
      <c r="I2616" t="str">
        <f>IF(VIPcric_1!M2591="","",VIPcric_1!M2591)</f>
        <v>CRIC-铜陵-市场监测.商品房市场.项目累计.供求.xlsx</v>
      </c>
    </row>
    <row r="2617" spans="1:9">
      <c r="A2617" t="str">
        <f>IF(VIPcric_1!A2592="","",VIPcric_1!A2592)</f>
        <v>2023年</v>
      </c>
      <c r="B2617">
        <f>IF(VIPcric_1!B2592="","",VIPcric_1!B2592)</f>
        <v>580580</v>
      </c>
      <c r="C2617">
        <f>IF(VIPcric_1!C2592="","",VIPcric_1!C2592)</f>
        <v>5049</v>
      </c>
      <c r="D2617">
        <f>IF(VIPcric_1!D2592="","",VIPcric_1!D2592)</f>
        <v>427095</v>
      </c>
      <c r="E2617">
        <f>IF(VIPcric_1!E2592="","",VIPcric_1!E2592)</f>
        <v>3660</v>
      </c>
      <c r="F2617">
        <f>IF(VIPcric_1!F2592="","",VIPcric_1!F2592)</f>
        <v>7565</v>
      </c>
      <c r="G2617">
        <f>IF(VIPcric_1!G2592="","",VIPcric_1!G2592)</f>
        <v>3230779893</v>
      </c>
      <c r="H2617">
        <f>IF(VIPcric_1!H2592="","",VIPcric_1!H2592)</f>
        <v>1.36</v>
      </c>
      <c r="I2617" t="str">
        <f>IF(VIPcric_1!M2592="","",VIPcric_1!M2592)</f>
        <v>CRIC-铜陵-市场监测.商品房市场.项目累计.供求.xlsx</v>
      </c>
    </row>
    <row r="2618" spans="1:9">
      <c r="A2618" t="str">
        <f>IF(VIPcric_1!A2593="","",VIPcric_1!A2593)</f>
        <v>2022年</v>
      </c>
      <c r="B2618">
        <f>IF(VIPcric_1!B2593="","",VIPcric_1!B2593)</f>
        <v>500505</v>
      </c>
      <c r="C2618">
        <f>IF(VIPcric_1!C2593="","",VIPcric_1!C2593)</f>
        <v>4616</v>
      </c>
      <c r="D2618">
        <f>IF(VIPcric_1!D2593="","",VIPcric_1!D2593)</f>
        <v>361129</v>
      </c>
      <c r="E2618">
        <f>IF(VIPcric_1!E2593="","",VIPcric_1!E2593)</f>
        <v>3113</v>
      </c>
      <c r="F2618">
        <f>IF(VIPcric_1!F2593="","",VIPcric_1!F2593)</f>
        <v>7665</v>
      </c>
      <c r="G2618">
        <f>IF(VIPcric_1!G2593="","",VIPcric_1!G2593)</f>
        <v>2767949135</v>
      </c>
      <c r="H2618">
        <f>IF(VIPcric_1!H2593="","",VIPcric_1!H2593)</f>
        <v>1.39</v>
      </c>
      <c r="I2618" t="str">
        <f>IF(VIPcric_1!M2593="","",VIPcric_1!M2593)</f>
        <v>CRIC-铜陵-市场监测.商品房市场.项目累计.供求.xlsx</v>
      </c>
    </row>
    <row r="2619" spans="1:9">
      <c r="A2619" t="str">
        <f>IF(VIPcric_1!A2594="","",VIPcric_1!A2594)</f>
        <v>2021年</v>
      </c>
      <c r="B2619">
        <f>IF(VIPcric_1!B2594="","",VIPcric_1!B2594)</f>
        <v>837385</v>
      </c>
      <c r="C2619">
        <f>IF(VIPcric_1!C2594="","",VIPcric_1!C2594)</f>
        <v>7229</v>
      </c>
      <c r="D2619">
        <f>IF(VIPcric_1!D2594="","",VIPcric_1!D2594)</f>
        <v>818817</v>
      </c>
      <c r="E2619">
        <f>IF(VIPcric_1!E2594="","",VIPcric_1!E2594)</f>
        <v>6865</v>
      </c>
      <c r="F2619">
        <f>IF(VIPcric_1!F2594="","",VIPcric_1!F2594)</f>
        <v>7354</v>
      </c>
      <c r="G2619">
        <f>IF(VIPcric_1!G2594="","",VIPcric_1!G2594)</f>
        <v>6021443276</v>
      </c>
      <c r="H2619">
        <f>IF(VIPcric_1!H2594="","",VIPcric_1!H2594)</f>
        <v>1.02</v>
      </c>
      <c r="I2619" t="str">
        <f>IF(VIPcric_1!M2594="","",VIPcric_1!M2594)</f>
        <v>CRIC-铜陵-市场监测.商品房市场.项目累计.供求.xlsx</v>
      </c>
    </row>
    <row r="2620" spans="1:9">
      <c r="A2620" t="str">
        <f>IF(VIPcric_1!A2595="","",VIPcric_1!A2595)</f>
        <v>2020年</v>
      </c>
      <c r="B2620">
        <f>IF(VIPcric_1!B2595="","",VIPcric_1!B2595)</f>
        <v>932964</v>
      </c>
      <c r="C2620">
        <f>IF(VIPcric_1!C2595="","",VIPcric_1!C2595)</f>
        <v>8162</v>
      </c>
      <c r="D2620">
        <f>IF(VIPcric_1!D2595="","",VIPcric_1!D2595)</f>
        <v>926538</v>
      </c>
      <c r="E2620">
        <f>IF(VIPcric_1!E2595="","",VIPcric_1!E2595)</f>
        <v>7823</v>
      </c>
      <c r="F2620">
        <f>IF(VIPcric_1!F2595="","",VIPcric_1!F2595)</f>
        <v>7186</v>
      </c>
      <c r="G2620">
        <f>IF(VIPcric_1!G2595="","",VIPcric_1!G2595)</f>
        <v>6658353622</v>
      </c>
      <c r="H2620">
        <f>IF(VIPcric_1!H2595="","",VIPcric_1!H2595)</f>
        <v>1.01</v>
      </c>
      <c r="I2620" t="str">
        <f>IF(VIPcric_1!M2595="","",VIPcric_1!M2595)</f>
        <v>CRIC-铜陵-市场监测.商品房市场.项目累计.供求.xlsx</v>
      </c>
    </row>
    <row r="2621" spans="1:9">
      <c r="A2621" t="str">
        <f>IF(VIPcric_1!A2596="","",VIPcric_1!A2596)</f>
        <v>2019年</v>
      </c>
      <c r="B2621">
        <f>IF(VIPcric_1!B2596="","",VIPcric_1!B2596)</f>
        <v>1560780</v>
      </c>
      <c r="C2621">
        <f>IF(VIPcric_1!C2596="","",VIPcric_1!C2596)</f>
        <v>14128</v>
      </c>
      <c r="D2621">
        <f>IF(VIPcric_1!D2596="","",VIPcric_1!D2596)</f>
        <v>1286547</v>
      </c>
      <c r="E2621">
        <f>IF(VIPcric_1!E2596="","",VIPcric_1!E2596)</f>
        <v>11448</v>
      </c>
      <c r="F2621">
        <f>IF(VIPcric_1!F2596="","",VIPcric_1!F2596)</f>
        <v>6409</v>
      </c>
      <c r="G2621">
        <f>IF(VIPcric_1!G2596="","",VIPcric_1!G2596)</f>
        <v>8245898243</v>
      </c>
      <c r="H2621">
        <f>IF(VIPcric_1!H2596="","",VIPcric_1!H2596)</f>
        <v>1.21</v>
      </c>
      <c r="I2621" t="str">
        <f>IF(VIPcric_1!M2596="","",VIPcric_1!M2596)</f>
        <v>CRIC-铜陵-市场监测.商品房市场.项目累计.供求.xlsx</v>
      </c>
    </row>
    <row r="2622" spans="1:9">
      <c r="A2622" t="str">
        <f>IF(VIPcric_1!A2597="","",VIPcric_1!A2597)</f>
        <v>汇总</v>
      </c>
      <c r="B2622">
        <f>IF(VIPcric_1!B2597="","",VIPcric_1!B2597)</f>
        <v>4519671</v>
      </c>
      <c r="C2622">
        <f>IF(VIPcric_1!C2597="","",VIPcric_1!C2597)</f>
        <v>40276</v>
      </c>
      <c r="D2622">
        <f>IF(VIPcric_1!D2597="","",VIPcric_1!D2597)</f>
        <v>3863205</v>
      </c>
      <c r="E2622">
        <f>IF(VIPcric_1!E2597="","",VIPcric_1!E2597)</f>
        <v>33284</v>
      </c>
      <c r="F2622">
        <f>IF(VIPcric_1!F2597="","",VIPcric_1!F2597)</f>
        <v>7055</v>
      </c>
      <c r="G2622">
        <f>IF(VIPcric_1!G2597="","",VIPcric_1!G2597)</f>
        <v>27256608795</v>
      </c>
      <c r="H2622">
        <f>IF(VIPcric_1!H2597="","",VIPcric_1!H2597)</f>
        <v>1.17</v>
      </c>
      <c r="I2622" t="str">
        <f>IF(VIPcric_1!M2597="","",VIPcric_1!M2597)</f>
        <v>CRIC-铜陵-市场监测.商品房市场.项目累计.供求.xlsx</v>
      </c>
    </row>
    <row r="2623" spans="1:9">
      <c r="A2623" t="str">
        <f>IF(VIPcric_1!A2598="","",VIPcric_1!A2598)</f>
        <v/>
      </c>
      <c r="B2623" t="str">
        <f>IF(VIPcric_1!B2598="","",VIPcric_1!B2598)</f>
        <v/>
      </c>
      <c r="C2623" t="str">
        <f>IF(VIPcric_1!C2598="","",VIPcric_1!C2598)</f>
        <v/>
      </c>
      <c r="D2623" t="str">
        <f>IF(VIPcric_1!D2598="","",VIPcric_1!D2598)</f>
        <v/>
      </c>
      <c r="E2623" t="str">
        <f>IF(VIPcric_1!E2598="","",VIPcric_1!E2598)</f>
        <v/>
      </c>
      <c r="F2623" t="str">
        <f>IF(VIPcric_1!F2598="","",VIPcric_1!F2598)</f>
        <v/>
      </c>
      <c r="G2623" t="str">
        <f>IF(VIPcric_1!G2598="","",VIPcric_1!G2598)</f>
        <v/>
      </c>
      <c r="H2623" t="str">
        <f>IF(VIPcric_1!H2598="","",VIPcric_1!H2598)</f>
        <v/>
      </c>
      <c r="I2623" t="str">
        <f>IF(VIPcric_1!M2598="","",VIPcric_1!M2598)</f>
        <v/>
      </c>
    </row>
    <row r="2624" spans="1:9">
      <c r="A2624" t="str">
        <f>IF(VIPcric_1!A2599="","",VIPcric_1!A2599)</f>
        <v/>
      </c>
      <c r="B2624" t="str">
        <f>IF(VIPcric_1!B2599="","",VIPcric_1!B2599)</f>
        <v/>
      </c>
      <c r="C2624" t="str">
        <f>IF(VIPcric_1!C2599="","",VIPcric_1!C2599)</f>
        <v/>
      </c>
      <c r="D2624" t="str">
        <f>IF(VIPcric_1!D2599="","",VIPcric_1!D2599)</f>
        <v/>
      </c>
      <c r="E2624" t="str">
        <f>IF(VIPcric_1!E2599="","",VIPcric_1!E2599)</f>
        <v/>
      </c>
      <c r="F2624" t="str">
        <f>IF(VIPcric_1!F2599="","",VIPcric_1!F2599)</f>
        <v/>
      </c>
      <c r="G2624" t="str">
        <f>IF(VIPcric_1!G2599="","",VIPcric_1!G2599)</f>
        <v/>
      </c>
      <c r="H2624" t="str">
        <f>IF(VIPcric_1!H2599="","",VIPcric_1!H2599)</f>
        <v/>
      </c>
      <c r="I2624" t="str">
        <f>IF(VIPcric_1!M2599="","",VIPcric_1!M2599)</f>
        <v>CRIC-铜陵-市场监测.商品房市场.项目累计.库存.xlsx</v>
      </c>
    </row>
    <row r="2625" spans="1:9">
      <c r="A2625" t="str">
        <f>IF(VIPcric_1!A2600="","",VIPcric_1!A2600)</f>
        <v>时间(年)</v>
      </c>
      <c r="B2625" t="str">
        <f>IF(VIPcric_1!B2600="","",VIPcric_1!B2600)</f>
        <v>库存面积(㎡)</v>
      </c>
      <c r="C2625" t="str">
        <f>IF(VIPcric_1!C2600="","",VIPcric_1!C2600)</f>
        <v>库存套数(套)</v>
      </c>
      <c r="D2625" t="str">
        <f>IF(VIPcric_1!D2600="","",VIPcric_1!D2600)</f>
        <v>去化周期12'(月)</v>
      </c>
      <c r="E2625" t="str">
        <f>IF(VIPcric_1!E2600="","",VIPcric_1!E2600)</f>
        <v/>
      </c>
      <c r="F2625" t="str">
        <f>IF(VIPcric_1!F2600="","",VIPcric_1!F2600)</f>
        <v/>
      </c>
      <c r="G2625" t="str">
        <f>IF(VIPcric_1!G2600="","",VIPcric_1!G2600)</f>
        <v/>
      </c>
      <c r="H2625" t="str">
        <f>IF(VIPcric_1!H2600="","",VIPcric_1!H2600)</f>
        <v/>
      </c>
      <c r="I2625" t="str">
        <f>IF(VIPcric_1!M2600="","",VIPcric_1!M2600)</f>
        <v>CRIC-铜陵-市场监测.商品房市场.项目累计.库存.xlsx</v>
      </c>
    </row>
    <row r="2626" spans="1:9">
      <c r="A2626" t="str">
        <f>IF(VIPcric_1!A2601="","",VIPcric_1!A2601)</f>
        <v>2024年</v>
      </c>
      <c r="B2626">
        <f>IF(VIPcric_1!B2601="","",VIPcric_1!B2601)</f>
        <v>1775803</v>
      </c>
      <c r="C2626">
        <f>IF(VIPcric_1!C2601="","",VIPcric_1!C2601)</f>
        <v>17224</v>
      </c>
      <c r="D2626">
        <f>IF(VIPcric_1!D2601="","",VIPcric_1!D2601)</f>
        <v>47</v>
      </c>
      <c r="E2626" t="str">
        <f>IF(VIPcric_1!E2601="","",VIPcric_1!E2601)</f>
        <v/>
      </c>
      <c r="F2626" t="str">
        <f>IF(VIPcric_1!F2601="","",VIPcric_1!F2601)</f>
        <v/>
      </c>
      <c r="G2626" t="str">
        <f>IF(VIPcric_1!G2601="","",VIPcric_1!G2601)</f>
        <v/>
      </c>
      <c r="H2626" t="str">
        <f>IF(VIPcric_1!H2601="","",VIPcric_1!H2601)</f>
        <v/>
      </c>
      <c r="I2626" t="str">
        <f>IF(VIPcric_1!M2601="","",VIPcric_1!M2601)</f>
        <v>CRIC-铜陵-市场监测.商品房市场.项目累计.库存.xlsx</v>
      </c>
    </row>
    <row r="2627" spans="1:9">
      <c r="A2627" t="str">
        <f>IF(VIPcric_1!A2602="","",VIPcric_1!A2602)</f>
        <v>2023年</v>
      </c>
      <c r="B2627">
        <f>IF(VIPcric_1!B2602="","",VIPcric_1!B2602)</f>
        <v>1684943</v>
      </c>
      <c r="C2627">
        <f>IF(VIPcric_1!C2602="","",VIPcric_1!C2602)</f>
        <v>16268</v>
      </c>
      <c r="D2627">
        <f>IF(VIPcric_1!D2602="","",VIPcric_1!D2602)</f>
        <v>47.3</v>
      </c>
      <c r="E2627" t="str">
        <f>IF(VIPcric_1!E2602="","",VIPcric_1!E2602)</f>
        <v/>
      </c>
      <c r="F2627" t="str">
        <f>IF(VIPcric_1!F2602="","",VIPcric_1!F2602)</f>
        <v/>
      </c>
      <c r="G2627" t="str">
        <f>IF(VIPcric_1!G2602="","",VIPcric_1!G2602)</f>
        <v/>
      </c>
      <c r="H2627" t="str">
        <f>IF(VIPcric_1!H2602="","",VIPcric_1!H2602)</f>
        <v/>
      </c>
      <c r="I2627" t="str">
        <f>IF(VIPcric_1!M2602="","",VIPcric_1!M2602)</f>
        <v>CRIC-铜陵-市场监测.商品房市场.项目累计.库存.xlsx</v>
      </c>
    </row>
    <row r="2628" spans="1:9">
      <c r="A2628" t="str">
        <f>IF(VIPcric_1!A2603="","",VIPcric_1!A2603)</f>
        <v>2022年</v>
      </c>
      <c r="B2628">
        <f>IF(VIPcric_1!B2603="","",VIPcric_1!B2603)</f>
        <v>1769511</v>
      </c>
      <c r="C2628">
        <f>IF(VIPcric_1!C2603="","",VIPcric_1!C2603)</f>
        <v>17362</v>
      </c>
      <c r="D2628">
        <f>IF(VIPcric_1!D2603="","",VIPcric_1!D2603)</f>
        <v>58.8</v>
      </c>
      <c r="E2628" t="str">
        <f>IF(VIPcric_1!E2603="","",VIPcric_1!E2603)</f>
        <v/>
      </c>
      <c r="F2628" t="str">
        <f>IF(VIPcric_1!F2603="","",VIPcric_1!F2603)</f>
        <v/>
      </c>
      <c r="G2628" t="str">
        <f>IF(VIPcric_1!G2603="","",VIPcric_1!G2603)</f>
        <v/>
      </c>
      <c r="H2628" t="str">
        <f>IF(VIPcric_1!H2603="","",VIPcric_1!H2603)</f>
        <v/>
      </c>
      <c r="I2628" t="str">
        <f>IF(VIPcric_1!M2603="","",VIPcric_1!M2603)</f>
        <v>CRIC-铜陵-市场监测.商品房市场.项目累计.库存.xlsx</v>
      </c>
    </row>
    <row r="2629" spans="1:9">
      <c r="A2629" t="str">
        <f>IF(VIPcric_1!A2604="","",VIPcric_1!A2604)</f>
        <v>2021年</v>
      </c>
      <c r="B2629">
        <f>IF(VIPcric_1!B2604="","",VIPcric_1!B2604)</f>
        <v>1773455</v>
      </c>
      <c r="C2629">
        <f>IF(VIPcric_1!C2604="","",VIPcric_1!C2604)</f>
        <v>17321</v>
      </c>
      <c r="D2629">
        <f>IF(VIPcric_1!D2604="","",VIPcric_1!D2604)</f>
        <v>26</v>
      </c>
      <c r="E2629" t="str">
        <f>IF(VIPcric_1!E2604="","",VIPcric_1!E2604)</f>
        <v/>
      </c>
      <c r="F2629" t="str">
        <f>IF(VIPcric_1!F2604="","",VIPcric_1!F2604)</f>
        <v/>
      </c>
      <c r="G2629" t="str">
        <f>IF(VIPcric_1!G2604="","",VIPcric_1!G2604)</f>
        <v/>
      </c>
      <c r="H2629" t="str">
        <f>IF(VIPcric_1!H2604="","",VIPcric_1!H2604)</f>
        <v/>
      </c>
      <c r="I2629" t="str">
        <f>IF(VIPcric_1!M2604="","",VIPcric_1!M2604)</f>
        <v>CRIC-铜陵-市场监测.商品房市场.项目累计.库存.xlsx</v>
      </c>
    </row>
    <row r="2630" spans="1:9">
      <c r="A2630" t="str">
        <f>IF(VIPcric_1!A2605="","",VIPcric_1!A2605)</f>
        <v>2020年</v>
      </c>
      <c r="B2630">
        <f>IF(VIPcric_1!B2605="","",VIPcric_1!B2605)</f>
        <v>1741211</v>
      </c>
      <c r="C2630">
        <f>IF(VIPcric_1!C2605="","",VIPcric_1!C2605)</f>
        <v>16832</v>
      </c>
      <c r="D2630">
        <f>IF(VIPcric_1!D2605="","",VIPcric_1!D2605)</f>
        <v>22.6</v>
      </c>
      <c r="E2630" t="str">
        <f>IF(VIPcric_1!E2605="","",VIPcric_1!E2605)</f>
        <v/>
      </c>
      <c r="F2630" t="str">
        <f>IF(VIPcric_1!F2605="","",VIPcric_1!F2605)</f>
        <v/>
      </c>
      <c r="G2630" t="str">
        <f>IF(VIPcric_1!G2605="","",VIPcric_1!G2605)</f>
        <v/>
      </c>
      <c r="H2630" t="str">
        <f>IF(VIPcric_1!H2605="","",VIPcric_1!H2605)</f>
        <v/>
      </c>
      <c r="I2630" t="str">
        <f>IF(VIPcric_1!M2605="","",VIPcric_1!M2605)</f>
        <v>CRIC-铜陵-市场监测.商品房市场.项目累计.库存.xlsx</v>
      </c>
    </row>
    <row r="2631" spans="1:9">
      <c r="A2631" t="str">
        <f>IF(VIPcric_1!A2606="","",VIPcric_1!A2606)</f>
        <v>2019年</v>
      </c>
      <c r="B2631">
        <f>IF(VIPcric_1!B2606="","",VIPcric_1!B2606)</f>
        <v>1807335</v>
      </c>
      <c r="C2631">
        <f>IF(VIPcric_1!C2606="","",VIPcric_1!C2606)</f>
        <v>17228</v>
      </c>
      <c r="D2631">
        <f>IF(VIPcric_1!D2606="","",VIPcric_1!D2606)</f>
        <v>16.899999999999999</v>
      </c>
      <c r="E2631" t="str">
        <f>IF(VIPcric_1!E2606="","",VIPcric_1!E2606)</f>
        <v/>
      </c>
      <c r="F2631" t="str">
        <f>IF(VIPcric_1!F2606="","",VIPcric_1!F2606)</f>
        <v/>
      </c>
      <c r="G2631" t="str">
        <f>IF(VIPcric_1!G2606="","",VIPcric_1!G2606)</f>
        <v/>
      </c>
      <c r="H2631" t="str">
        <f>IF(VIPcric_1!H2606="","",VIPcric_1!H2606)</f>
        <v/>
      </c>
      <c r="I2631" t="str">
        <f>IF(VIPcric_1!M2606="","",VIPcric_1!M2606)</f>
        <v>CRIC-铜陵-市场监测.商品房市场.项目累计.库存.xlsx</v>
      </c>
    </row>
    <row r="2632" spans="1:9">
      <c r="A2632" t="str">
        <f>IF(VIPcric_1!A2607="","",VIPcric_1!A2607)</f>
        <v/>
      </c>
      <c r="B2632" t="str">
        <f>IF(VIPcric_1!B2607="","",VIPcric_1!B2607)</f>
        <v/>
      </c>
      <c r="C2632" t="str">
        <f>IF(VIPcric_1!C2607="","",VIPcric_1!C2607)</f>
        <v/>
      </c>
      <c r="D2632" t="str">
        <f>IF(VIPcric_1!D2607="","",VIPcric_1!D2607)</f>
        <v/>
      </c>
      <c r="E2632" t="str">
        <f>IF(VIPcric_1!E2607="","",VIPcric_1!E2607)</f>
        <v/>
      </c>
      <c r="F2632" t="str">
        <f>IF(VIPcric_1!F2607="","",VIPcric_1!F2607)</f>
        <v/>
      </c>
      <c r="G2632" t="str">
        <f>IF(VIPcric_1!G2607="","",VIPcric_1!G2607)</f>
        <v/>
      </c>
      <c r="H2632" t="str">
        <f>IF(VIPcric_1!H2607="","",VIPcric_1!H2607)</f>
        <v/>
      </c>
      <c r="I2632" t="str">
        <f>IF(VIPcric_1!M2607="","",VIPcric_1!M2607)</f>
        <v/>
      </c>
    </row>
    <row r="2633" spans="1:9">
      <c r="A2633" t="str">
        <f>IF(VIPcric_1!A2608="","",VIPcric_1!A2608)</f>
        <v/>
      </c>
      <c r="B2633" t="str">
        <f>IF(VIPcric_1!B2608="","",VIPcric_1!B2608)</f>
        <v/>
      </c>
      <c r="C2633" t="str">
        <f>IF(VIPcric_1!C2608="","",VIPcric_1!C2608)</f>
        <v/>
      </c>
      <c r="D2633" t="str">
        <f>IF(VIPcric_1!D2608="","",VIPcric_1!D2608)</f>
        <v/>
      </c>
      <c r="E2633" t="str">
        <f>IF(VIPcric_1!E2608="","",VIPcric_1!E2608)</f>
        <v/>
      </c>
      <c r="F2633" t="str">
        <f>IF(VIPcric_1!F2608="","",VIPcric_1!F2608)</f>
        <v/>
      </c>
      <c r="G2633" t="str">
        <f>IF(VIPcric_1!G2608="","",VIPcric_1!G2608)</f>
        <v/>
      </c>
      <c r="H2633" t="str">
        <f>IF(VIPcric_1!H2608="","",VIPcric_1!H2608)</f>
        <v/>
      </c>
      <c r="I2633" t="str">
        <f>IF(VIPcric_1!M2608="","",VIPcric_1!M2608)</f>
        <v>CRIC-银川-市场监测.商品房市场.项目累计.供求.xlsx</v>
      </c>
    </row>
    <row r="2634" spans="1:9">
      <c r="A2634" t="str">
        <f>IF(VIPcric_1!A2609="","",VIPcric_1!A2609)</f>
        <v>时间(年)</v>
      </c>
      <c r="B2634" t="str">
        <f>IF(VIPcric_1!B2609="","",VIPcric_1!B2609)</f>
        <v>供应面积(㎡)</v>
      </c>
      <c r="C2634" t="str">
        <f>IF(VIPcric_1!C2609="","",VIPcric_1!C2609)</f>
        <v>供应套数(套)</v>
      </c>
      <c r="D2634" t="str">
        <f>IF(VIPcric_1!D2609="","",VIPcric_1!D2609)</f>
        <v>成交面积(㎡)</v>
      </c>
      <c r="E2634" t="str">
        <f>IF(VIPcric_1!E2609="","",VIPcric_1!E2609)</f>
        <v>成交套数(套)</v>
      </c>
      <c r="F2634" t="str">
        <f>IF(VIPcric_1!F2609="","",VIPcric_1!F2609)</f>
        <v>成交均价(元/㎡)</v>
      </c>
      <c r="G2634" t="str">
        <f>IF(VIPcric_1!G2609="","",VIPcric_1!G2609)</f>
        <v>成交金额(元)</v>
      </c>
      <c r="H2634" t="str">
        <f>IF(VIPcric_1!H2609="","",VIPcric_1!H2609)</f>
        <v>供求比</v>
      </c>
      <c r="I2634" t="str">
        <f>IF(VIPcric_1!M2609="","",VIPcric_1!M2609)</f>
        <v>CRIC-银川-市场监测.商品房市场.项目累计.供求.xlsx</v>
      </c>
    </row>
    <row r="2635" spans="1:9">
      <c r="A2635" t="str">
        <f>IF(VIPcric_1!A2610="","",VIPcric_1!A2610)</f>
        <v>2024年</v>
      </c>
      <c r="B2635">
        <f>IF(VIPcric_1!B2610="","",VIPcric_1!B2610)</f>
        <v>26849</v>
      </c>
      <c r="C2635">
        <f>IF(VIPcric_1!C2610="","",VIPcric_1!C2610)</f>
        <v>200</v>
      </c>
      <c r="D2635">
        <f>IF(VIPcric_1!D2610="","",VIPcric_1!D2610)</f>
        <v>150450</v>
      </c>
      <c r="E2635">
        <f>IF(VIPcric_1!E2610="","",VIPcric_1!E2610)</f>
        <v>1154</v>
      </c>
      <c r="F2635">
        <f>IF(VIPcric_1!F2610="","",VIPcric_1!F2610)</f>
        <v>8468</v>
      </c>
      <c r="G2635">
        <f>IF(VIPcric_1!G2610="","",VIPcric_1!G2610)</f>
        <v>1274006855</v>
      </c>
      <c r="H2635">
        <f>IF(VIPcric_1!H2610="","",VIPcric_1!H2610)</f>
        <v>0.18</v>
      </c>
      <c r="I2635" t="str">
        <f>IF(VIPcric_1!M2610="","",VIPcric_1!M2610)</f>
        <v>CRIC-银川-市场监测.商品房市场.项目累计.供求.xlsx</v>
      </c>
    </row>
    <row r="2636" spans="1:9">
      <c r="A2636" t="str">
        <f>IF(VIPcric_1!A2611="","",VIPcric_1!A2611)</f>
        <v>2023年</v>
      </c>
      <c r="B2636">
        <f>IF(VIPcric_1!B2611="","",VIPcric_1!B2611)</f>
        <v>3509384</v>
      </c>
      <c r="C2636">
        <f>IF(VIPcric_1!C2611="","",VIPcric_1!C2611)</f>
        <v>26033</v>
      </c>
      <c r="D2636">
        <f>IF(VIPcric_1!D2611="","",VIPcric_1!D2611)</f>
        <v>3125308</v>
      </c>
      <c r="E2636">
        <f>IF(VIPcric_1!E2611="","",VIPcric_1!E2611)</f>
        <v>24447</v>
      </c>
      <c r="F2636">
        <f>IF(VIPcric_1!F2611="","",VIPcric_1!F2611)</f>
        <v>8194</v>
      </c>
      <c r="G2636">
        <f>IF(VIPcric_1!G2611="","",VIPcric_1!G2611)</f>
        <v>25608913115</v>
      </c>
      <c r="H2636">
        <f>IF(VIPcric_1!H2611="","",VIPcric_1!H2611)</f>
        <v>1.1200000000000001</v>
      </c>
      <c r="I2636" t="str">
        <f>IF(VIPcric_1!M2611="","",VIPcric_1!M2611)</f>
        <v>CRIC-银川-市场监测.商品房市场.项目累计.供求.xlsx</v>
      </c>
    </row>
    <row r="2637" spans="1:9">
      <c r="A2637" t="str">
        <f>IF(VIPcric_1!A2612="","",VIPcric_1!A2612)</f>
        <v>2022年</v>
      </c>
      <c r="B2637">
        <f>IF(VIPcric_1!B2612="","",VIPcric_1!B2612)</f>
        <v>3956190</v>
      </c>
      <c r="C2637">
        <f>IF(VIPcric_1!C2612="","",VIPcric_1!C2612)</f>
        <v>29884</v>
      </c>
      <c r="D2637">
        <f>IF(VIPcric_1!D2612="","",VIPcric_1!D2612)</f>
        <v>3885820</v>
      </c>
      <c r="E2637">
        <f>IF(VIPcric_1!E2612="","",VIPcric_1!E2612)</f>
        <v>29990</v>
      </c>
      <c r="F2637">
        <f>IF(VIPcric_1!F2612="","",VIPcric_1!F2612)</f>
        <v>8332</v>
      </c>
      <c r="G2637">
        <f>IF(VIPcric_1!G2612="","",VIPcric_1!G2612)</f>
        <v>32375256117</v>
      </c>
      <c r="H2637">
        <f>IF(VIPcric_1!H2612="","",VIPcric_1!H2612)</f>
        <v>1.02</v>
      </c>
      <c r="I2637" t="str">
        <f>IF(VIPcric_1!M2612="","",VIPcric_1!M2612)</f>
        <v>CRIC-银川-市场监测.商品房市场.项目累计.供求.xlsx</v>
      </c>
    </row>
    <row r="2638" spans="1:9">
      <c r="A2638" t="str">
        <f>IF(VIPcric_1!A2613="","",VIPcric_1!A2613)</f>
        <v>2021年</v>
      </c>
      <c r="B2638">
        <f>IF(VIPcric_1!B2613="","",VIPcric_1!B2613)</f>
        <v>5363617</v>
      </c>
      <c r="C2638">
        <f>IF(VIPcric_1!C2613="","",VIPcric_1!C2613)</f>
        <v>42410</v>
      </c>
      <c r="D2638">
        <f>IF(VIPcric_1!D2613="","",VIPcric_1!D2613)</f>
        <v>2663659</v>
      </c>
      <c r="E2638">
        <f>IF(VIPcric_1!E2613="","",VIPcric_1!E2613)</f>
        <v>21586</v>
      </c>
      <c r="F2638">
        <f>IF(VIPcric_1!F2613="","",VIPcric_1!F2613)</f>
        <v>7457</v>
      </c>
      <c r="G2638">
        <f>IF(VIPcric_1!G2613="","",VIPcric_1!G2613)</f>
        <v>19863845438</v>
      </c>
      <c r="H2638">
        <f>IF(VIPcric_1!H2613="","",VIPcric_1!H2613)</f>
        <v>2.0099999999999998</v>
      </c>
      <c r="I2638" t="str">
        <f>IF(VIPcric_1!M2613="","",VIPcric_1!M2613)</f>
        <v>CRIC-银川-市场监测.商品房市场.项目累计.供求.xlsx</v>
      </c>
    </row>
    <row r="2639" spans="1:9">
      <c r="A2639" t="str">
        <f>IF(VIPcric_1!A2614="","",VIPcric_1!A2614)</f>
        <v>2020年</v>
      </c>
      <c r="B2639">
        <f>IF(VIPcric_1!B2614="","",VIPcric_1!B2614)</f>
        <v>5889073</v>
      </c>
      <c r="C2639">
        <f>IF(VIPcric_1!C2614="","",VIPcric_1!C2614)</f>
        <v>46641</v>
      </c>
      <c r="D2639">
        <f>IF(VIPcric_1!D2614="","",VIPcric_1!D2614)</f>
        <v>0</v>
      </c>
      <c r="E2639">
        <f>IF(VIPcric_1!E2614="","",VIPcric_1!E2614)</f>
        <v>0</v>
      </c>
      <c r="F2639">
        <f>IF(VIPcric_1!F2614="","",VIPcric_1!F2614)</f>
        <v>0</v>
      </c>
      <c r="G2639">
        <f>IF(VIPcric_1!G2614="","",VIPcric_1!G2614)</f>
        <v>0</v>
      </c>
      <c r="H2639">
        <f>IF(VIPcric_1!H2614="","",VIPcric_1!H2614)</f>
        <v>0</v>
      </c>
      <c r="I2639" t="str">
        <f>IF(VIPcric_1!M2614="","",VIPcric_1!M2614)</f>
        <v>CRIC-银川-市场监测.商品房市场.项目累计.供求.xlsx</v>
      </c>
    </row>
    <row r="2640" spans="1:9">
      <c r="A2640" t="str">
        <f>IF(VIPcric_1!A2615="","",VIPcric_1!A2615)</f>
        <v>2019年</v>
      </c>
      <c r="B2640">
        <f>IF(VIPcric_1!B2615="","",VIPcric_1!B2615)</f>
        <v>5739271</v>
      </c>
      <c r="C2640">
        <f>IF(VIPcric_1!C2615="","",VIPcric_1!C2615)</f>
        <v>44399</v>
      </c>
      <c r="D2640">
        <f>IF(VIPcric_1!D2615="","",VIPcric_1!D2615)</f>
        <v>0</v>
      </c>
      <c r="E2640">
        <f>IF(VIPcric_1!E2615="","",VIPcric_1!E2615)</f>
        <v>0</v>
      </c>
      <c r="F2640">
        <f>IF(VIPcric_1!F2615="","",VIPcric_1!F2615)</f>
        <v>0</v>
      </c>
      <c r="G2640">
        <f>IF(VIPcric_1!G2615="","",VIPcric_1!G2615)</f>
        <v>0</v>
      </c>
      <c r="H2640">
        <f>IF(VIPcric_1!H2615="","",VIPcric_1!H2615)</f>
        <v>0</v>
      </c>
      <c r="I2640" t="str">
        <f>IF(VIPcric_1!M2615="","",VIPcric_1!M2615)</f>
        <v>CRIC-银川-市场监测.商品房市场.项目累计.供求.xlsx</v>
      </c>
    </row>
    <row r="2641" spans="1:9">
      <c r="A2641" t="str">
        <f>IF(VIPcric_1!A2616="","",VIPcric_1!A2616)</f>
        <v>汇总</v>
      </c>
      <c r="B2641">
        <f>IF(VIPcric_1!B2616="","",VIPcric_1!B2616)</f>
        <v>24484384</v>
      </c>
      <c r="C2641">
        <f>IF(VIPcric_1!C2616="","",VIPcric_1!C2616)</f>
        <v>189567</v>
      </c>
      <c r="D2641">
        <f>IF(VIPcric_1!D2616="","",VIPcric_1!D2616)</f>
        <v>9825237</v>
      </c>
      <c r="E2641">
        <f>IF(VIPcric_1!E2616="","",VIPcric_1!E2616)</f>
        <v>77177</v>
      </c>
      <c r="F2641">
        <f>IF(VIPcric_1!F2616="","",VIPcric_1!F2616)</f>
        <v>8053</v>
      </c>
      <c r="G2641">
        <f>IF(VIPcric_1!G2616="","",VIPcric_1!G2616)</f>
        <v>79122021525</v>
      </c>
      <c r="H2641">
        <f>IF(VIPcric_1!H2616="","",VIPcric_1!H2616)</f>
        <v>2.4900000000000002</v>
      </c>
      <c r="I2641" t="str">
        <f>IF(VIPcric_1!M2616="","",VIPcric_1!M2616)</f>
        <v>CRIC-银川-市场监测.商品房市场.项目累计.供求.xlsx</v>
      </c>
    </row>
    <row r="2642" spans="1:9">
      <c r="A2642" t="str">
        <f>IF(VIPcric_1!A2617="","",VIPcric_1!A2617)</f>
        <v/>
      </c>
      <c r="B2642" t="str">
        <f>IF(VIPcric_1!B2617="","",VIPcric_1!B2617)</f>
        <v/>
      </c>
      <c r="C2642" t="str">
        <f>IF(VIPcric_1!C2617="","",VIPcric_1!C2617)</f>
        <v/>
      </c>
      <c r="D2642" t="str">
        <f>IF(VIPcric_1!D2617="","",VIPcric_1!D2617)</f>
        <v/>
      </c>
      <c r="E2642" t="str">
        <f>IF(VIPcric_1!E2617="","",VIPcric_1!E2617)</f>
        <v/>
      </c>
      <c r="F2642" t="str">
        <f>IF(VIPcric_1!F2617="","",VIPcric_1!F2617)</f>
        <v/>
      </c>
      <c r="G2642" t="str">
        <f>IF(VIPcric_1!G2617="","",VIPcric_1!G2617)</f>
        <v/>
      </c>
      <c r="H2642" t="str">
        <f>IF(VIPcric_1!H2617="","",VIPcric_1!H2617)</f>
        <v/>
      </c>
      <c r="I2642" t="str">
        <f>IF(VIPcric_1!M2617="","",VIPcric_1!M2617)</f>
        <v/>
      </c>
    </row>
    <row r="2643" spans="1:9">
      <c r="A2643" t="str">
        <f>IF(VIPcric_1!A2618="","",VIPcric_1!A2618)</f>
        <v/>
      </c>
      <c r="B2643" t="str">
        <f>IF(VIPcric_1!B2618="","",VIPcric_1!B2618)</f>
        <v/>
      </c>
      <c r="C2643" t="str">
        <f>IF(VIPcric_1!C2618="","",VIPcric_1!C2618)</f>
        <v/>
      </c>
      <c r="D2643" t="str">
        <f>IF(VIPcric_1!D2618="","",VIPcric_1!D2618)</f>
        <v/>
      </c>
      <c r="E2643" t="str">
        <f>IF(VIPcric_1!E2618="","",VIPcric_1!E2618)</f>
        <v/>
      </c>
      <c r="F2643" t="str">
        <f>IF(VIPcric_1!F2618="","",VIPcric_1!F2618)</f>
        <v/>
      </c>
      <c r="G2643" t="str">
        <f>IF(VIPcric_1!G2618="","",VIPcric_1!G2618)</f>
        <v/>
      </c>
      <c r="H2643" t="str">
        <f>IF(VIPcric_1!H2618="","",VIPcric_1!H2618)</f>
        <v/>
      </c>
      <c r="I2643" t="str">
        <f>IF(VIPcric_1!M2618="","",VIPcric_1!M2618)</f>
        <v>CRIC-银川-市场监测.商品房市场.项目累计.库存.xlsx</v>
      </c>
    </row>
    <row r="2644" spans="1:9">
      <c r="A2644" t="str">
        <f>IF(VIPcric_1!A2619="","",VIPcric_1!A2619)</f>
        <v>时间(年)</v>
      </c>
      <c r="B2644" t="str">
        <f>IF(VIPcric_1!B2619="","",VIPcric_1!B2619)</f>
        <v>库存面积(㎡)</v>
      </c>
      <c r="C2644" t="str">
        <f>IF(VIPcric_1!C2619="","",VIPcric_1!C2619)</f>
        <v>库存套数(套)</v>
      </c>
      <c r="D2644" t="str">
        <f>IF(VIPcric_1!D2619="","",VIPcric_1!D2619)</f>
        <v>去化周期12'(月)</v>
      </c>
      <c r="E2644" t="str">
        <f>IF(VIPcric_1!E2619="","",VIPcric_1!E2619)</f>
        <v/>
      </c>
      <c r="F2644" t="str">
        <f>IF(VIPcric_1!F2619="","",VIPcric_1!F2619)</f>
        <v/>
      </c>
      <c r="G2644" t="str">
        <f>IF(VIPcric_1!G2619="","",VIPcric_1!G2619)</f>
        <v/>
      </c>
      <c r="H2644" t="str">
        <f>IF(VIPcric_1!H2619="","",VIPcric_1!H2619)</f>
        <v/>
      </c>
      <c r="I2644" t="str">
        <f>IF(VIPcric_1!M2619="","",VIPcric_1!M2619)</f>
        <v>CRIC-银川-市场监测.商品房市场.项目累计.库存.xlsx</v>
      </c>
    </row>
    <row r="2645" spans="1:9">
      <c r="A2645" t="str">
        <f>IF(VIPcric_1!A2620="","",VIPcric_1!A2620)</f>
        <v>2024年</v>
      </c>
      <c r="B2645">
        <f>IF(VIPcric_1!B2620="","",VIPcric_1!B2620)</f>
        <v>18352316</v>
      </c>
      <c r="C2645">
        <f>IF(VIPcric_1!C2620="","",VIPcric_1!C2620)</f>
        <v>151198</v>
      </c>
      <c r="D2645">
        <f>IF(VIPcric_1!D2620="","",VIPcric_1!D2620)</f>
        <v>70.900000000000006</v>
      </c>
      <c r="E2645" t="str">
        <f>IF(VIPcric_1!E2620="","",VIPcric_1!E2620)</f>
        <v/>
      </c>
      <c r="F2645" t="str">
        <f>IF(VIPcric_1!F2620="","",VIPcric_1!F2620)</f>
        <v/>
      </c>
      <c r="G2645" t="str">
        <f>IF(VIPcric_1!G2620="","",VIPcric_1!G2620)</f>
        <v/>
      </c>
      <c r="H2645" t="str">
        <f>IF(VIPcric_1!H2620="","",VIPcric_1!H2620)</f>
        <v/>
      </c>
      <c r="I2645" t="str">
        <f>IF(VIPcric_1!M2620="","",VIPcric_1!M2620)</f>
        <v>CRIC-银川-市场监测.商品房市场.项目累计.库存.xlsx</v>
      </c>
    </row>
    <row r="2646" spans="1:9">
      <c r="A2646" t="str">
        <f>IF(VIPcric_1!A2621="","",VIPcric_1!A2621)</f>
        <v>2023年</v>
      </c>
      <c r="B2646">
        <f>IF(VIPcric_1!B2621="","",VIPcric_1!B2621)</f>
        <v>18121523</v>
      </c>
      <c r="C2646">
        <f>IF(VIPcric_1!C2621="","",VIPcric_1!C2621)</f>
        <v>149473</v>
      </c>
      <c r="D2646">
        <f>IF(VIPcric_1!D2621="","",VIPcric_1!D2621)</f>
        <v>69.599999999999994</v>
      </c>
      <c r="E2646" t="str">
        <f>IF(VIPcric_1!E2621="","",VIPcric_1!E2621)</f>
        <v/>
      </c>
      <c r="F2646" t="str">
        <f>IF(VIPcric_1!F2621="","",VIPcric_1!F2621)</f>
        <v/>
      </c>
      <c r="G2646" t="str">
        <f>IF(VIPcric_1!G2621="","",VIPcric_1!G2621)</f>
        <v/>
      </c>
      <c r="H2646" t="str">
        <f>IF(VIPcric_1!H2621="","",VIPcric_1!H2621)</f>
        <v/>
      </c>
      <c r="I2646" t="str">
        <f>IF(VIPcric_1!M2621="","",VIPcric_1!M2621)</f>
        <v>CRIC-银川-市场监测.商品房市场.项目累计.库存.xlsx</v>
      </c>
    </row>
    <row r="2647" spans="1:9">
      <c r="A2647" t="str">
        <f>IF(VIPcric_1!A2622="","",VIPcric_1!A2622)</f>
        <v>2022年</v>
      </c>
      <c r="B2647">
        <f>IF(VIPcric_1!B2622="","",VIPcric_1!B2622)</f>
        <v>17779256</v>
      </c>
      <c r="C2647">
        <f>IF(VIPcric_1!C2622="","",VIPcric_1!C2622)</f>
        <v>148075</v>
      </c>
      <c r="D2647">
        <f>IF(VIPcric_1!D2622="","",VIPcric_1!D2622)</f>
        <v>54.9</v>
      </c>
      <c r="E2647" t="str">
        <f>IF(VIPcric_1!E2622="","",VIPcric_1!E2622)</f>
        <v/>
      </c>
      <c r="F2647" t="str">
        <f>IF(VIPcric_1!F2622="","",VIPcric_1!F2622)</f>
        <v/>
      </c>
      <c r="G2647" t="str">
        <f>IF(VIPcric_1!G2622="","",VIPcric_1!G2622)</f>
        <v/>
      </c>
      <c r="H2647" t="str">
        <f>IF(VIPcric_1!H2622="","",VIPcric_1!H2622)</f>
        <v/>
      </c>
      <c r="I2647" t="str">
        <f>IF(VIPcric_1!M2622="","",VIPcric_1!M2622)</f>
        <v>CRIC-银川-市场监测.商品房市场.项目累计.库存.xlsx</v>
      </c>
    </row>
    <row r="2648" spans="1:9">
      <c r="A2648" t="str">
        <f>IF(VIPcric_1!A2623="","",VIPcric_1!A2623)</f>
        <v/>
      </c>
      <c r="B2648" t="str">
        <f>IF(VIPcric_1!B2623="","",VIPcric_1!B2623)</f>
        <v/>
      </c>
      <c r="C2648" t="str">
        <f>IF(VIPcric_1!C2623="","",VIPcric_1!C2623)</f>
        <v/>
      </c>
      <c r="D2648" t="str">
        <f>IF(VIPcric_1!D2623="","",VIPcric_1!D2623)</f>
        <v/>
      </c>
      <c r="E2648" t="str">
        <f>IF(VIPcric_1!E2623="","",VIPcric_1!E2623)</f>
        <v/>
      </c>
      <c r="F2648" t="str">
        <f>IF(VIPcric_1!F2623="","",VIPcric_1!F2623)</f>
        <v/>
      </c>
      <c r="G2648" t="str">
        <f>IF(VIPcric_1!G2623="","",VIPcric_1!G2623)</f>
        <v/>
      </c>
      <c r="H2648" t="str">
        <f>IF(VIPcric_1!H2623="","",VIPcric_1!H2623)</f>
        <v/>
      </c>
      <c r="I2648" t="str">
        <f>IF(VIPcric_1!M2623="","",VIPcric_1!M2623)</f>
        <v/>
      </c>
    </row>
    <row r="2649" spans="1:9">
      <c r="A2649" t="str">
        <f>IF(VIPcric_1!A2624="","",VIPcric_1!A2624)</f>
        <v/>
      </c>
      <c r="B2649" t="str">
        <f>IF(VIPcric_1!B2624="","",VIPcric_1!B2624)</f>
        <v/>
      </c>
      <c r="C2649" t="str">
        <f>IF(VIPcric_1!C2624="","",VIPcric_1!C2624)</f>
        <v/>
      </c>
      <c r="D2649" t="str">
        <f>IF(VIPcric_1!D2624="","",VIPcric_1!D2624)</f>
        <v/>
      </c>
      <c r="E2649" t="str">
        <f>IF(VIPcric_1!E2624="","",VIPcric_1!E2624)</f>
        <v/>
      </c>
      <c r="F2649" t="str">
        <f>IF(VIPcric_1!F2624="","",VIPcric_1!F2624)</f>
        <v/>
      </c>
      <c r="G2649" t="str">
        <f>IF(VIPcric_1!G2624="","",VIPcric_1!G2624)</f>
        <v/>
      </c>
      <c r="H2649" t="str">
        <f>IF(VIPcric_1!H2624="","",VIPcric_1!H2624)</f>
        <v/>
      </c>
      <c r="I2649" t="str">
        <f>IF(VIPcric_1!M2624="","",VIPcric_1!M2624)</f>
        <v>CRIC-镇江-市场监测.商品房市场.城市总量.xlsx</v>
      </c>
    </row>
    <row r="2650" spans="1:9">
      <c r="A2650" t="str">
        <f>IF(VIPcric_1!A2625="","",VIPcric_1!A2625)</f>
        <v>时间(年)</v>
      </c>
      <c r="B2650" t="str">
        <f>IF(VIPcric_1!B2625="","",VIPcric_1!B2625)</f>
        <v>成交面积(㎡)</v>
      </c>
      <c r="C2650" t="str">
        <f>IF(VIPcric_1!C2625="","",VIPcric_1!C2625)</f>
        <v>成交套数(套)</v>
      </c>
      <c r="D2650" t="s">
        <v>857</v>
      </c>
      <c r="E2650" t="str">
        <f>IF(VIPcric_1!E2625="","",VIPcric_1!E2625)</f>
        <v/>
      </c>
      <c r="F2650" t="str">
        <f>IF(VIPcric_1!F2625="","",VIPcric_1!F2625)</f>
        <v/>
      </c>
      <c r="G2650" t="str">
        <f>IF(VIPcric_1!G2625="","",VIPcric_1!G2625)</f>
        <v/>
      </c>
      <c r="H2650" t="str">
        <f>IF(VIPcric_1!H2625="","",VIPcric_1!H2625)</f>
        <v/>
      </c>
      <c r="I2650" t="str">
        <f>IF(VIPcric_1!M2625="","",VIPcric_1!M2625)</f>
        <v>CRIC-镇江-市场监测.商品房市场.城市总量.xlsx</v>
      </c>
    </row>
    <row r="2651" spans="1:9">
      <c r="A2651" t="str">
        <f>IF(VIPcric_1!A2626="","",VIPcric_1!A2626)</f>
        <v>2024年</v>
      </c>
      <c r="B2651">
        <f>IF(VIPcric_1!B2626="","",VIPcric_1!B2626)</f>
        <v>0</v>
      </c>
      <c r="C2651">
        <f>IF(VIPcric_1!C2626="","",VIPcric_1!C2626)</f>
        <v>0</v>
      </c>
      <c r="D2651" t="str">
        <f>IF(VIPcric_1!D2626="","",VIPcric_1!D2626)</f>
        <v/>
      </c>
      <c r="E2651" t="str">
        <f>IF(VIPcric_1!E2626="","",VIPcric_1!E2626)</f>
        <v/>
      </c>
      <c r="F2651" t="str">
        <f>IF(VIPcric_1!F2626="","",VIPcric_1!F2626)</f>
        <v/>
      </c>
      <c r="G2651" t="str">
        <f>IF(VIPcric_1!G2626="","",VIPcric_1!G2626)</f>
        <v/>
      </c>
      <c r="H2651" t="str">
        <f>IF(VIPcric_1!H2626="","",VIPcric_1!H2626)</f>
        <v/>
      </c>
      <c r="I2651" t="str">
        <f>IF(VIPcric_1!M2626="","",VIPcric_1!M2626)</f>
        <v>CRIC-镇江-市场监测.商品房市场.城市总量.xlsx</v>
      </c>
    </row>
    <row r="2652" spans="1:9">
      <c r="A2652" t="str">
        <f>IF(VIPcric_1!A2627="","",VIPcric_1!A2627)</f>
        <v>2023年</v>
      </c>
      <c r="B2652">
        <f>IF(VIPcric_1!B2627="","",VIPcric_1!B2627)</f>
        <v>0</v>
      </c>
      <c r="C2652">
        <f>IF(VIPcric_1!C2627="","",VIPcric_1!C2627)</f>
        <v>0</v>
      </c>
      <c r="D2652">
        <f>C2662/E2662*12</f>
        <v>6.0509440286001563</v>
      </c>
      <c r="E2652" t="str">
        <f>IF(VIPcric_1!E2627="","",VIPcric_1!E2627)</f>
        <v/>
      </c>
      <c r="F2652" t="str">
        <f>IF(VIPcric_1!F2627="","",VIPcric_1!F2627)</f>
        <v/>
      </c>
      <c r="G2652" t="str">
        <f>IF(VIPcric_1!G2627="","",VIPcric_1!G2627)</f>
        <v/>
      </c>
      <c r="H2652" t="str">
        <f>IF(VIPcric_1!H2627="","",VIPcric_1!H2627)</f>
        <v/>
      </c>
      <c r="I2652" t="str">
        <f>IF(VIPcric_1!M2627="","",VIPcric_1!M2627)</f>
        <v>CRIC-镇江-市场监测.商品房市场.城市总量.xlsx</v>
      </c>
    </row>
    <row r="2653" spans="1:9">
      <c r="A2653" t="str">
        <f>IF(VIPcric_1!A2628="","",VIPcric_1!A2628)</f>
        <v>2022年</v>
      </c>
      <c r="B2653">
        <f>IF(VIPcric_1!B2628="","",VIPcric_1!B2628)</f>
        <v>3562732</v>
      </c>
      <c r="C2653">
        <f>IF(VIPcric_1!C2628="","",VIPcric_1!C2628)</f>
        <v>32062</v>
      </c>
      <c r="D2653">
        <f t="shared" ref="D2653:D2655" si="3">C2663/E2663*12</f>
        <v>8.4698801223855149</v>
      </c>
      <c r="E2653" t="str">
        <f>IF(VIPcric_1!E2628="","",VIPcric_1!E2628)</f>
        <v/>
      </c>
      <c r="F2653" t="str">
        <f>IF(VIPcric_1!F2628="","",VIPcric_1!F2628)</f>
        <v/>
      </c>
      <c r="G2653" t="str">
        <f>IF(VIPcric_1!G2628="","",VIPcric_1!G2628)</f>
        <v/>
      </c>
      <c r="H2653" t="str">
        <f>IF(VIPcric_1!H2628="","",VIPcric_1!H2628)</f>
        <v/>
      </c>
      <c r="I2653" t="str">
        <f>IF(VIPcric_1!M2628="","",VIPcric_1!M2628)</f>
        <v>CRIC-镇江-市场监测.商品房市场.城市总量.xlsx</v>
      </c>
    </row>
    <row r="2654" spans="1:9">
      <c r="A2654" t="str">
        <f>IF(VIPcric_1!A2629="","",VIPcric_1!A2629)</f>
        <v>2021年</v>
      </c>
      <c r="B2654">
        <f>IF(VIPcric_1!B2629="","",VIPcric_1!B2629)</f>
        <v>5798845</v>
      </c>
      <c r="C2654">
        <f>IF(VIPcric_1!C2629="","",VIPcric_1!C2629)</f>
        <v>51669</v>
      </c>
      <c r="D2654">
        <f t="shared" si="3"/>
        <v>11.556634211803672</v>
      </c>
      <c r="E2654" t="str">
        <f>IF(VIPcric_1!E2629="","",VIPcric_1!E2629)</f>
        <v/>
      </c>
      <c r="F2654" t="str">
        <f>IF(VIPcric_1!F2629="","",VIPcric_1!F2629)</f>
        <v/>
      </c>
      <c r="G2654" t="str">
        <f>IF(VIPcric_1!G2629="","",VIPcric_1!G2629)</f>
        <v/>
      </c>
      <c r="H2654" t="str">
        <f>IF(VIPcric_1!H2629="","",VIPcric_1!H2629)</f>
        <v/>
      </c>
      <c r="I2654" t="str">
        <f>IF(VIPcric_1!M2629="","",VIPcric_1!M2629)</f>
        <v>CRIC-镇江-市场监测.商品房市场.城市总量.xlsx</v>
      </c>
    </row>
    <row r="2655" spans="1:9">
      <c r="A2655" t="str">
        <f>IF(VIPcric_1!A2630="","",VIPcric_1!A2630)</f>
        <v>2020年</v>
      </c>
      <c r="B2655">
        <f>IF(VIPcric_1!B2630="","",VIPcric_1!B2630)</f>
        <v>6309631</v>
      </c>
      <c r="C2655">
        <f>IF(VIPcric_1!C2630="","",VIPcric_1!C2630)</f>
        <v>55037</v>
      </c>
      <c r="D2655">
        <f t="shared" si="3"/>
        <v>11.749554764024934</v>
      </c>
      <c r="E2655" t="str">
        <f>IF(VIPcric_1!E2630="","",VIPcric_1!E2630)</f>
        <v/>
      </c>
      <c r="F2655" t="str">
        <f>IF(VIPcric_1!F2630="","",VIPcric_1!F2630)</f>
        <v/>
      </c>
      <c r="G2655" t="str">
        <f>IF(VIPcric_1!G2630="","",VIPcric_1!G2630)</f>
        <v/>
      </c>
      <c r="H2655" t="str">
        <f>IF(VIPcric_1!H2630="","",VIPcric_1!H2630)</f>
        <v/>
      </c>
      <c r="I2655" t="str">
        <f>IF(VIPcric_1!M2630="","",VIPcric_1!M2630)</f>
        <v>CRIC-镇江-市场监测.商品房市场.城市总量.xlsx</v>
      </c>
    </row>
    <row r="2656" spans="1:9">
      <c r="A2656" t="str">
        <f>IF(VIPcric_1!A2631="","",VIPcric_1!A2631)</f>
        <v>2019年</v>
      </c>
      <c r="B2656">
        <f>IF(VIPcric_1!B2631="","",VIPcric_1!B2631)</f>
        <v>7205121</v>
      </c>
      <c r="C2656">
        <f>IF(VIPcric_1!C2631="","",VIPcric_1!C2631)</f>
        <v>61704</v>
      </c>
      <c r="D2656" t="str">
        <f>IF(VIPcric_1!D2631="","",VIPcric_1!D2631)</f>
        <v/>
      </c>
      <c r="E2656" t="str">
        <f>IF(VIPcric_1!E2631="","",VIPcric_1!E2631)</f>
        <v/>
      </c>
      <c r="F2656" t="str">
        <f>IF(VIPcric_1!F2631="","",VIPcric_1!F2631)</f>
        <v/>
      </c>
      <c r="G2656" t="str">
        <f>IF(VIPcric_1!G2631="","",VIPcric_1!G2631)</f>
        <v/>
      </c>
      <c r="H2656" t="str">
        <f>IF(VIPcric_1!H2631="","",VIPcric_1!H2631)</f>
        <v/>
      </c>
      <c r="I2656" t="str">
        <f>IF(VIPcric_1!M2631="","",VIPcric_1!M2631)</f>
        <v>CRIC-镇江-市场监测.商品房市场.城市总量.xlsx</v>
      </c>
    </row>
    <row r="2657" spans="1:9">
      <c r="A2657" t="str">
        <f>IF(VIPcric_1!A2632="","",VIPcric_1!A2632)</f>
        <v>汇总</v>
      </c>
      <c r="B2657">
        <f>IF(VIPcric_1!B2632="","",VIPcric_1!B2632)</f>
        <v>22876328</v>
      </c>
      <c r="C2657">
        <f>IF(VIPcric_1!C2632="","",VIPcric_1!C2632)</f>
        <v>200472</v>
      </c>
      <c r="D2657" t="str">
        <f>IF(VIPcric_1!D2632="","",VIPcric_1!D2632)</f>
        <v/>
      </c>
      <c r="E2657" t="str">
        <f>IF(VIPcric_1!E2632="","",VIPcric_1!E2632)</f>
        <v/>
      </c>
      <c r="F2657" t="str">
        <f>IF(VIPcric_1!F2632="","",VIPcric_1!F2632)</f>
        <v/>
      </c>
      <c r="G2657" t="str">
        <f>IF(VIPcric_1!G2632="","",VIPcric_1!G2632)</f>
        <v/>
      </c>
      <c r="H2657" t="str">
        <f>IF(VIPcric_1!H2632="","",VIPcric_1!H2632)</f>
        <v/>
      </c>
      <c r="I2657" t="str">
        <f>IF(VIPcric_1!M2632="","",VIPcric_1!M2632)</f>
        <v>CRIC-镇江-市场监测.商品房市场.城市总量.xlsx</v>
      </c>
    </row>
    <row r="2658" spans="1:9">
      <c r="A2658" t="str">
        <f>IF(VIPcric_1!A2633="","",VIPcric_1!A2633)</f>
        <v/>
      </c>
      <c r="B2658" t="str">
        <f>IF(VIPcric_1!B2633="","",VIPcric_1!B2633)</f>
        <v/>
      </c>
      <c r="C2658" t="str">
        <f>IF(VIPcric_1!C2633="","",VIPcric_1!C2633)</f>
        <v/>
      </c>
      <c r="D2658" t="str">
        <f>IF(VIPcric_1!D2633="","",VIPcric_1!D2633)</f>
        <v/>
      </c>
      <c r="E2658" t="str">
        <f>IF(VIPcric_1!E2633="","",VIPcric_1!E2633)</f>
        <v/>
      </c>
      <c r="F2658" t="str">
        <f>IF(VIPcric_1!F2633="","",VIPcric_1!F2633)</f>
        <v/>
      </c>
      <c r="G2658" t="str">
        <f>IF(VIPcric_1!G2633="","",VIPcric_1!G2633)</f>
        <v/>
      </c>
      <c r="H2658" t="str">
        <f>IF(VIPcric_1!H2633="","",VIPcric_1!H2633)</f>
        <v/>
      </c>
      <c r="I2658" t="str">
        <f>IF(VIPcric_1!M2633="","",VIPcric_1!M2633)</f>
        <v/>
      </c>
    </row>
    <row r="2659" spans="1:9">
      <c r="A2659" t="str">
        <f>IF(VIPcric_1!A2634="","",VIPcric_1!A2634)</f>
        <v/>
      </c>
      <c r="B2659" t="str">
        <f>IF(VIPcric_1!B2634="","",VIPcric_1!B2634)</f>
        <v/>
      </c>
      <c r="C2659" t="str">
        <f>IF(VIPcric_1!C2634="","",VIPcric_1!C2634)</f>
        <v/>
      </c>
      <c r="D2659" t="str">
        <f>IF(VIPcric_1!D2634="","",VIPcric_1!D2634)</f>
        <v/>
      </c>
      <c r="E2659" t="str">
        <f>IF(VIPcric_1!E2634="","",VIPcric_1!E2634)</f>
        <v/>
      </c>
      <c r="F2659" t="str">
        <f>IF(VIPcric_1!F2634="","",VIPcric_1!F2634)</f>
        <v/>
      </c>
      <c r="G2659" t="str">
        <f>IF(VIPcric_1!G2634="","",VIPcric_1!G2634)</f>
        <v/>
      </c>
      <c r="H2659" t="str">
        <f>IF(VIPcric_1!H2634="","",VIPcric_1!H2634)</f>
        <v/>
      </c>
      <c r="I2659" t="str">
        <f>IF(VIPcric_1!M2634="","",VIPcric_1!M2634)</f>
        <v>CRIC-镇江-市场监测.商品房市场.项目累计.供求.xlsx</v>
      </c>
    </row>
    <row r="2660" spans="1:9">
      <c r="A2660" t="str">
        <f>IF(VIPcric_1!A2635="","",VIPcric_1!A2635)</f>
        <v>时间(年)</v>
      </c>
      <c r="B2660" t="str">
        <f>IF(VIPcric_1!B2635="","",VIPcric_1!B2635)</f>
        <v>供应面积(㎡)</v>
      </c>
      <c r="C2660" t="str">
        <f>IF(VIPcric_1!C2635="","",VIPcric_1!C2635)</f>
        <v>供应套数(套)</v>
      </c>
      <c r="D2660" t="str">
        <f>IF(VIPcric_1!D2635="","",VIPcric_1!D2635)</f>
        <v>成交面积(㎡)</v>
      </c>
      <c r="E2660" t="str">
        <f>IF(VIPcric_1!E2635="","",VIPcric_1!E2635)</f>
        <v>成交套数(套)</v>
      </c>
      <c r="F2660" t="str">
        <f>IF(VIPcric_1!F2635="","",VIPcric_1!F2635)</f>
        <v>成交均价(元/㎡)</v>
      </c>
      <c r="G2660" t="str">
        <f>IF(VIPcric_1!G2635="","",VIPcric_1!G2635)</f>
        <v>成交金额(元)</v>
      </c>
      <c r="H2660" t="str">
        <f>IF(VIPcric_1!H2635="","",VIPcric_1!H2635)</f>
        <v>供求比</v>
      </c>
      <c r="I2660" t="str">
        <f>IF(VIPcric_1!M2635="","",VIPcric_1!M2635)</f>
        <v>CRIC-镇江-市场监测.商品房市场.项目累计.供求.xlsx</v>
      </c>
    </row>
    <row r="2661" spans="1:9">
      <c r="A2661" t="str">
        <f>IF(VIPcric_1!A2636="","",VIPcric_1!A2636)</f>
        <v>2024年</v>
      </c>
      <c r="B2661">
        <f>IF(VIPcric_1!B2636="","",VIPcric_1!B2636)</f>
        <v>15422</v>
      </c>
      <c r="C2661">
        <f>IF(VIPcric_1!C2636="","",VIPcric_1!C2636)</f>
        <v>88</v>
      </c>
      <c r="D2661">
        <f>IF(VIPcric_1!D2636="","",VIPcric_1!D2636)</f>
        <v>248836</v>
      </c>
      <c r="E2661">
        <f>IF(VIPcric_1!E2636="","",VIPcric_1!E2636)</f>
        <v>2072</v>
      </c>
      <c r="F2661">
        <f>IF(VIPcric_1!F2636="","",VIPcric_1!F2636)</f>
        <v>10080</v>
      </c>
      <c r="G2661">
        <f>IF(VIPcric_1!G2636="","",VIPcric_1!G2636)</f>
        <v>2508308722</v>
      </c>
      <c r="H2661">
        <f>IF(VIPcric_1!H2636="","",VIPcric_1!H2636)</f>
        <v>0.06</v>
      </c>
      <c r="I2661" t="str">
        <f>IF(VIPcric_1!M2636="","",VIPcric_1!M2636)</f>
        <v>CRIC-镇江-市场监测.商品房市场.项目累计.供求.xlsx</v>
      </c>
    </row>
    <row r="2662" spans="1:9">
      <c r="A2662" t="str">
        <f>IF(VIPcric_1!A2637="","",VIPcric_1!A2637)</f>
        <v>2023年</v>
      </c>
      <c r="B2662">
        <f>IF(VIPcric_1!B2637="","",VIPcric_1!B2637)</f>
        <v>1078274</v>
      </c>
      <c r="C2662">
        <f>IF(VIPcric_1!C2637="","",VIPcric_1!C2637)</f>
        <v>9027</v>
      </c>
      <c r="D2662">
        <f>IF(VIPcric_1!D2637="","",VIPcric_1!D2637)</f>
        <v>2196263</v>
      </c>
      <c r="E2662">
        <f>IF(VIPcric_1!E2637="","",VIPcric_1!E2637)</f>
        <v>17902</v>
      </c>
      <c r="F2662">
        <f>IF(VIPcric_1!F2637="","",VIPcric_1!F2637)</f>
        <v>10072</v>
      </c>
      <c r="G2662">
        <f>IF(VIPcric_1!G2637="","",VIPcric_1!G2637)</f>
        <v>22121262965</v>
      </c>
      <c r="H2662">
        <f>IF(VIPcric_1!H2637="","",VIPcric_1!H2637)</f>
        <v>0.49</v>
      </c>
      <c r="I2662" t="str">
        <f>IF(VIPcric_1!M2637="","",VIPcric_1!M2637)</f>
        <v>CRIC-镇江-市场监测.商品房市场.项目累计.供求.xlsx</v>
      </c>
    </row>
    <row r="2663" spans="1:9">
      <c r="A2663" t="str">
        <f>IF(VIPcric_1!A2638="","",VIPcric_1!A2638)</f>
        <v>2022年</v>
      </c>
      <c r="B2663">
        <f>IF(VIPcric_1!B2638="","",VIPcric_1!B2638)</f>
        <v>1764680</v>
      </c>
      <c r="C2663">
        <f>IF(VIPcric_1!C2638="","",VIPcric_1!C2638)</f>
        <v>14072</v>
      </c>
      <c r="D2663">
        <f>IF(VIPcric_1!D2638="","",VIPcric_1!D2638)</f>
        <v>2450932</v>
      </c>
      <c r="E2663">
        <f>IF(VIPcric_1!E2638="","",VIPcric_1!E2638)</f>
        <v>19937</v>
      </c>
      <c r="F2663">
        <f>IF(VIPcric_1!F2638="","",VIPcric_1!F2638)</f>
        <v>9739</v>
      </c>
      <c r="G2663">
        <f>IF(VIPcric_1!G2638="","",VIPcric_1!G2638)</f>
        <v>23870846187</v>
      </c>
      <c r="H2663">
        <f>IF(VIPcric_1!H2638="","",VIPcric_1!H2638)</f>
        <v>0.72</v>
      </c>
      <c r="I2663" t="str">
        <f>IF(VIPcric_1!M2638="","",VIPcric_1!M2638)</f>
        <v>CRIC-镇江-市场监测.商品房市场.项目累计.供求.xlsx</v>
      </c>
    </row>
    <row r="2664" spans="1:9">
      <c r="A2664" t="str">
        <f>IF(VIPcric_1!A2639="","",VIPcric_1!A2639)</f>
        <v>2021年</v>
      </c>
      <c r="B2664">
        <f>IF(VIPcric_1!B2639="","",VIPcric_1!B2639)</f>
        <v>4029937</v>
      </c>
      <c r="C2664">
        <f>IF(VIPcric_1!C2639="","",VIPcric_1!C2639)</f>
        <v>33729</v>
      </c>
      <c r="D2664">
        <f>IF(VIPcric_1!D2639="","",VIPcric_1!D2639)</f>
        <v>4297055</v>
      </c>
      <c r="E2664">
        <f>IF(VIPcric_1!E2639="","",VIPcric_1!E2639)</f>
        <v>35023</v>
      </c>
      <c r="F2664">
        <f>IF(VIPcric_1!F2639="","",VIPcric_1!F2639)</f>
        <v>10854</v>
      </c>
      <c r="G2664">
        <f>IF(VIPcric_1!G2639="","",VIPcric_1!G2639)</f>
        <v>46641394705</v>
      </c>
      <c r="H2664">
        <f>IF(VIPcric_1!H2639="","",VIPcric_1!H2639)</f>
        <v>0.94</v>
      </c>
      <c r="I2664" t="str">
        <f>IF(VIPcric_1!M2639="","",VIPcric_1!M2639)</f>
        <v>CRIC-镇江-市场监测.商品房市场.项目累计.供求.xlsx</v>
      </c>
    </row>
    <row r="2665" spans="1:9">
      <c r="A2665" t="str">
        <f>IF(VIPcric_1!A2640="","",VIPcric_1!A2640)</f>
        <v>2020年</v>
      </c>
      <c r="B2665">
        <f>IF(VIPcric_1!B2640="","",VIPcric_1!B2640)</f>
        <v>4160587</v>
      </c>
      <c r="C2665">
        <f>IF(VIPcric_1!C2640="","",VIPcric_1!C2640)</f>
        <v>35186</v>
      </c>
      <c r="D2665">
        <f>IF(VIPcric_1!D2640="","",VIPcric_1!D2640)</f>
        <v>4375779</v>
      </c>
      <c r="E2665">
        <f>IF(VIPcric_1!E2640="","",VIPcric_1!E2640)</f>
        <v>35936</v>
      </c>
      <c r="F2665">
        <f>IF(VIPcric_1!F2640="","",VIPcric_1!F2640)</f>
        <v>10727</v>
      </c>
      <c r="G2665">
        <f>IF(VIPcric_1!G2640="","",VIPcric_1!G2640)</f>
        <v>46938849224</v>
      </c>
      <c r="H2665">
        <f>IF(VIPcric_1!H2640="","",VIPcric_1!H2640)</f>
        <v>0.95</v>
      </c>
      <c r="I2665" t="str">
        <f>IF(VIPcric_1!M2640="","",VIPcric_1!M2640)</f>
        <v>CRIC-镇江-市场监测.商品房市场.项目累计.供求.xlsx</v>
      </c>
    </row>
    <row r="2666" spans="1:9">
      <c r="A2666" t="str">
        <f>IF(VIPcric_1!A2641="","",VIPcric_1!A2641)</f>
        <v>2019年</v>
      </c>
      <c r="B2666">
        <f>IF(VIPcric_1!B2641="","",VIPcric_1!B2641)</f>
        <v>5384464</v>
      </c>
      <c r="C2666">
        <f>IF(VIPcric_1!C2641="","",VIPcric_1!C2641)</f>
        <v>43668</v>
      </c>
      <c r="D2666">
        <f>IF(VIPcric_1!D2641="","",VIPcric_1!D2641)</f>
        <v>4703228</v>
      </c>
      <c r="E2666">
        <f>IF(VIPcric_1!E2641="","",VIPcric_1!E2641)</f>
        <v>38721</v>
      </c>
      <c r="F2666">
        <f>IF(VIPcric_1!F2641="","",VIPcric_1!F2641)</f>
        <v>10780</v>
      </c>
      <c r="G2666">
        <f>IF(VIPcric_1!G2641="","",VIPcric_1!G2641)</f>
        <v>50698492396</v>
      </c>
      <c r="H2666">
        <f>IF(VIPcric_1!H2641="","",VIPcric_1!H2641)</f>
        <v>1.1399999999999999</v>
      </c>
      <c r="I2666" t="str">
        <f>IF(VIPcric_1!M2641="","",VIPcric_1!M2641)</f>
        <v>CRIC-镇江-市场监测.商品房市场.项目累计.供求.xlsx</v>
      </c>
    </row>
    <row r="2667" spans="1:9">
      <c r="A2667" t="str">
        <f>IF(VIPcric_1!A2642="","",VIPcric_1!A2642)</f>
        <v>汇总</v>
      </c>
      <c r="B2667">
        <f>IF(VIPcric_1!B2642="","",VIPcric_1!B2642)</f>
        <v>16433363</v>
      </c>
      <c r="C2667">
        <f>IF(VIPcric_1!C2642="","",VIPcric_1!C2642)</f>
        <v>135770</v>
      </c>
      <c r="D2667">
        <f>IF(VIPcric_1!D2642="","",VIPcric_1!D2642)</f>
        <v>18272093</v>
      </c>
      <c r="E2667">
        <f>IF(VIPcric_1!E2642="","",VIPcric_1!E2642)</f>
        <v>149591</v>
      </c>
      <c r="F2667">
        <f>IF(VIPcric_1!F2642="","",VIPcric_1!F2642)</f>
        <v>10550</v>
      </c>
      <c r="G2667">
        <f>IF(VIPcric_1!G2642="","",VIPcric_1!G2642)</f>
        <v>192779154198</v>
      </c>
      <c r="H2667">
        <f>IF(VIPcric_1!H2642="","",VIPcric_1!H2642)</f>
        <v>0.9</v>
      </c>
      <c r="I2667" t="str">
        <f>IF(VIPcric_1!M2642="","",VIPcric_1!M2642)</f>
        <v>CRIC-镇江-市场监测.商品房市场.项目累计.供求.xlsx</v>
      </c>
    </row>
    <row r="2668" spans="1:9">
      <c r="A2668" t="str">
        <f>IF(VIPcric_1!A2643="","",VIPcric_1!A2643)</f>
        <v/>
      </c>
      <c r="B2668" t="str">
        <f>IF(VIPcric_1!B2643="","",VIPcric_1!B2643)</f>
        <v/>
      </c>
      <c r="C2668" t="str">
        <f>IF(VIPcric_1!C2643="","",VIPcric_1!C2643)</f>
        <v/>
      </c>
      <c r="D2668" t="str">
        <f>IF(VIPcric_1!D2643="","",VIPcric_1!D2643)</f>
        <v/>
      </c>
      <c r="E2668" t="str">
        <f>IF(VIPcric_1!E2643="","",VIPcric_1!E2643)</f>
        <v/>
      </c>
      <c r="F2668" t="str">
        <f>IF(VIPcric_1!F2643="","",VIPcric_1!F2643)</f>
        <v/>
      </c>
      <c r="G2668" t="str">
        <f>IF(VIPcric_1!G2643="","",VIPcric_1!G2643)</f>
        <v/>
      </c>
      <c r="H2668" t="str">
        <f>IF(VIPcric_1!H2643="","",VIPcric_1!H2643)</f>
        <v/>
      </c>
      <c r="I2668" t="str">
        <f>IF(VIPcric_1!M2643="","",VIPcric_1!M2643)</f>
        <v/>
      </c>
    </row>
    <row r="2669" spans="1:9">
      <c r="A2669" t="str">
        <f>IF(VIPcric_1!A2644="","",VIPcric_1!A2644)</f>
        <v/>
      </c>
      <c r="B2669" t="str">
        <f>IF(VIPcric_1!B2644="","",VIPcric_1!B2644)</f>
        <v/>
      </c>
      <c r="C2669" t="str">
        <f>IF(VIPcric_1!C2644="","",VIPcric_1!C2644)</f>
        <v/>
      </c>
      <c r="D2669" t="str">
        <f>IF(VIPcric_1!D2644="","",VIPcric_1!D2644)</f>
        <v/>
      </c>
      <c r="E2669" t="str">
        <f>IF(VIPcric_1!E2644="","",VIPcric_1!E2644)</f>
        <v/>
      </c>
      <c r="F2669" t="str">
        <f>IF(VIPcric_1!F2644="","",VIPcric_1!F2644)</f>
        <v/>
      </c>
      <c r="G2669" t="str">
        <f>IF(VIPcric_1!G2644="","",VIPcric_1!G2644)</f>
        <v/>
      </c>
      <c r="H2669" t="str">
        <f>IF(VIPcric_1!H2644="","",VIPcric_1!H2644)</f>
        <v/>
      </c>
      <c r="I2669" t="str">
        <f>IF(VIPcric_1!M2644="","",VIPcric_1!M2644)</f>
        <v>CRIC-长春-市场监测.商品房市场.项目累计.供求.xlsx</v>
      </c>
    </row>
    <row r="2670" spans="1:9">
      <c r="A2670" t="str">
        <f>IF(VIPcric_1!A2645="","",VIPcric_1!A2645)</f>
        <v>时间(年)</v>
      </c>
      <c r="B2670" t="str">
        <f>IF(VIPcric_1!B2645="","",VIPcric_1!B2645)</f>
        <v>供应面积(㎡)</v>
      </c>
      <c r="C2670" t="str">
        <f>IF(VIPcric_1!C2645="","",VIPcric_1!C2645)</f>
        <v>供应套数(套)</v>
      </c>
      <c r="D2670" t="str">
        <f>IF(VIPcric_1!D2645="","",VIPcric_1!D2645)</f>
        <v>成交面积(㎡)</v>
      </c>
      <c r="E2670" t="str">
        <f>IF(VIPcric_1!E2645="","",VIPcric_1!E2645)</f>
        <v>成交套数(套)</v>
      </c>
      <c r="F2670" t="str">
        <f>IF(VIPcric_1!F2645="","",VIPcric_1!F2645)</f>
        <v>成交均价(元/㎡)</v>
      </c>
      <c r="G2670" t="str">
        <f>IF(VIPcric_1!G2645="","",VIPcric_1!G2645)</f>
        <v>供求比</v>
      </c>
      <c r="H2670" t="s">
        <v>857</v>
      </c>
      <c r="I2670" t="str">
        <f>IF(VIPcric_1!M2645="","",VIPcric_1!M2645)</f>
        <v>CRIC-长春-市场监测.商品房市场.项目累计.供求.xlsx</v>
      </c>
    </row>
    <row r="2671" spans="1:9">
      <c r="A2671" t="str">
        <f>IF(VIPcric_1!A2646="","",VIPcric_1!A2646)</f>
        <v>2023年</v>
      </c>
      <c r="B2671">
        <f>IF(VIPcric_1!B2646="","",VIPcric_1!B2646)</f>
        <v>3138716</v>
      </c>
      <c r="C2671">
        <f>IF(VIPcric_1!C2646="","",VIPcric_1!C2646)</f>
        <v>29759</v>
      </c>
      <c r="D2671">
        <f>IF(VIPcric_1!D2646="","",VIPcric_1!D2646)</f>
        <v>5010269</v>
      </c>
      <c r="E2671">
        <f>IF(VIPcric_1!E2646="","",VIPcric_1!E2646)</f>
        <v>47240</v>
      </c>
      <c r="F2671">
        <f>IF(VIPcric_1!F2646="","",VIPcric_1!F2646)</f>
        <v>8924</v>
      </c>
      <c r="G2671">
        <f>IF(VIPcric_1!G2646="","",VIPcric_1!G2646)</f>
        <v>0.63</v>
      </c>
      <c r="H2671">
        <f>C2671/E2671*12</f>
        <v>7.5594411515664692</v>
      </c>
      <c r="I2671" t="str">
        <f>IF(VIPcric_1!M2646="","",VIPcric_1!M2646)</f>
        <v>CRIC-长春-市场监测.商品房市场.项目累计.供求.xlsx</v>
      </c>
    </row>
    <row r="2672" spans="1:9">
      <c r="A2672" t="str">
        <f>IF(VIPcric_1!A2647="","",VIPcric_1!A2647)</f>
        <v>2022年</v>
      </c>
      <c r="B2672">
        <f>IF(VIPcric_1!B2647="","",VIPcric_1!B2647)</f>
        <v>2114732</v>
      </c>
      <c r="C2672">
        <f>IF(VIPcric_1!C2647="","",VIPcric_1!C2647)</f>
        <v>19695</v>
      </c>
      <c r="D2672">
        <f>IF(VIPcric_1!D2647="","",VIPcric_1!D2647)</f>
        <v>4538367</v>
      </c>
      <c r="E2672">
        <f>IF(VIPcric_1!E2647="","",VIPcric_1!E2647)</f>
        <v>42682</v>
      </c>
      <c r="F2672">
        <f>IF(VIPcric_1!F2647="","",VIPcric_1!F2647)</f>
        <v>9111</v>
      </c>
      <c r="G2672">
        <f>IF(VIPcric_1!G2647="","",VIPcric_1!G2647)</f>
        <v>0.47</v>
      </c>
      <c r="H2672">
        <f>C2672/E2672*12</f>
        <v>5.5372288083969821</v>
      </c>
      <c r="I2672" t="str">
        <f>IF(VIPcric_1!M2647="","",VIPcric_1!M2647)</f>
        <v>CRIC-长春-市场监测.商品房市场.项目累计.供求.xlsx</v>
      </c>
    </row>
    <row r="2673" spans="1:9">
      <c r="A2673" t="str">
        <f>IF(VIPcric_1!A2648="","",VIPcric_1!A2648)</f>
        <v>2021年</v>
      </c>
      <c r="B2673">
        <f>IF(VIPcric_1!B2648="","",VIPcric_1!B2648)</f>
        <v>7304584</v>
      </c>
      <c r="C2673">
        <f>IF(VIPcric_1!C2648="","",VIPcric_1!C2648)</f>
        <v>68874</v>
      </c>
      <c r="D2673">
        <f>IF(VIPcric_1!D2648="","",VIPcric_1!D2648)</f>
        <v>6923169</v>
      </c>
      <c r="E2673">
        <f>IF(VIPcric_1!E2648="","",VIPcric_1!E2648)</f>
        <v>65528</v>
      </c>
      <c r="F2673">
        <f>IF(VIPcric_1!F2648="","",VIPcric_1!F2648)</f>
        <v>9147</v>
      </c>
      <c r="G2673">
        <f>IF(VIPcric_1!G2648="","",VIPcric_1!G2648)</f>
        <v>1.06</v>
      </c>
      <c r="H2673">
        <f>C2673/E2673*12</f>
        <v>12.612745696496154</v>
      </c>
      <c r="I2673" t="str">
        <f>IF(VIPcric_1!M2648="","",VIPcric_1!M2648)</f>
        <v>CRIC-长春-市场监测.商品房市场.项目累计.供求.xlsx</v>
      </c>
    </row>
    <row r="2674" spans="1:9">
      <c r="A2674" t="str">
        <f>IF(VIPcric_1!A2649="","",VIPcric_1!A2649)</f>
        <v>2020年</v>
      </c>
      <c r="B2674">
        <f>IF(VIPcric_1!B2649="","",VIPcric_1!B2649)</f>
        <v>8203042</v>
      </c>
      <c r="C2674">
        <f>IF(VIPcric_1!C2649="","",VIPcric_1!C2649)</f>
        <v>77266</v>
      </c>
      <c r="D2674">
        <f>IF(VIPcric_1!D2649="","",VIPcric_1!D2649)</f>
        <v>7901538</v>
      </c>
      <c r="E2674">
        <f>IF(VIPcric_1!E2649="","",VIPcric_1!E2649)</f>
        <v>75547</v>
      </c>
      <c r="F2674">
        <f>IF(VIPcric_1!F2649="","",VIPcric_1!F2649)</f>
        <v>9494</v>
      </c>
      <c r="G2674">
        <f>IF(VIPcric_1!G2649="","",VIPcric_1!G2649)</f>
        <v>1.04</v>
      </c>
      <c r="H2674" t="str">
        <f>IF(VIPcric_1!H2649="","",VIPcric_1!H2649)</f>
        <v/>
      </c>
      <c r="I2674" t="str">
        <f>IF(VIPcric_1!M2649="","",VIPcric_1!M2649)</f>
        <v>CRIC-长春-市场监测.商品房市场.项目累计.供求.xlsx</v>
      </c>
    </row>
    <row r="2675" spans="1:9">
      <c r="A2675" t="str">
        <f>IF(VIPcric_1!A2650="","",VIPcric_1!A2650)</f>
        <v>2019年</v>
      </c>
      <c r="B2675">
        <f>IF(VIPcric_1!B2650="","",VIPcric_1!B2650)</f>
        <v>9305015</v>
      </c>
      <c r="C2675">
        <f>IF(VIPcric_1!C2650="","",VIPcric_1!C2650)</f>
        <v>87213</v>
      </c>
      <c r="D2675">
        <f>IF(VIPcric_1!D2650="","",VIPcric_1!D2650)</f>
        <v>9424767</v>
      </c>
      <c r="E2675">
        <f>IF(VIPcric_1!E2650="","",VIPcric_1!E2650)</f>
        <v>88801</v>
      </c>
      <c r="F2675">
        <f>IF(VIPcric_1!F2650="","",VIPcric_1!F2650)</f>
        <v>9667</v>
      </c>
      <c r="G2675">
        <f>IF(VIPcric_1!G2650="","",VIPcric_1!G2650)</f>
        <v>0.99</v>
      </c>
      <c r="H2675" t="str">
        <f>IF(VIPcric_1!H2650="","",VIPcric_1!H2650)</f>
        <v/>
      </c>
      <c r="I2675" t="str">
        <f>IF(VIPcric_1!M2650="","",VIPcric_1!M2650)</f>
        <v>CRIC-长春-市场监测.商品房市场.项目累计.供求.xlsx</v>
      </c>
    </row>
    <row r="2676" spans="1:9">
      <c r="A2676" t="str">
        <f>IF(VIPcric_1!A2651="","",VIPcric_1!A2651)</f>
        <v>汇总</v>
      </c>
      <c r="B2676">
        <f>IF(VIPcric_1!B2651="","",VIPcric_1!B2651)</f>
        <v>30066089</v>
      </c>
      <c r="C2676">
        <f>IF(VIPcric_1!C2651="","",VIPcric_1!C2651)</f>
        <v>282807</v>
      </c>
      <c r="D2676">
        <f>IF(VIPcric_1!D2651="","",VIPcric_1!D2651)</f>
        <v>33798109</v>
      </c>
      <c r="E2676">
        <f>IF(VIPcric_1!E2651="","",VIPcric_1!E2651)</f>
        <v>319798</v>
      </c>
      <c r="F2676">
        <f>IF(VIPcric_1!F2651="","",VIPcric_1!F2651)</f>
        <v>9335</v>
      </c>
      <c r="G2676">
        <f>IF(VIPcric_1!G2651="","",VIPcric_1!G2651)</f>
        <v>0.89</v>
      </c>
      <c r="H2676" t="str">
        <f>IF(VIPcric_1!H2651="","",VIPcric_1!H2651)</f>
        <v/>
      </c>
      <c r="I2676" t="str">
        <f>IF(VIPcric_1!M2651="","",VIPcric_1!M2651)</f>
        <v>CRIC-长春-市场监测.商品房市场.项目累计.供求.xlsx</v>
      </c>
    </row>
    <row r="2677" spans="1:9">
      <c r="A2677" t="str">
        <f>IF(VIPcric_1!A2652="","",VIPcric_1!A2652)</f>
        <v/>
      </c>
      <c r="B2677" t="str">
        <f>IF(VIPcric_1!B2652="","",VIPcric_1!B2652)</f>
        <v/>
      </c>
      <c r="C2677" t="str">
        <f>IF(VIPcric_1!C2652="","",VIPcric_1!C2652)</f>
        <v/>
      </c>
      <c r="D2677" t="str">
        <f>IF(VIPcric_1!D2652="","",VIPcric_1!D2652)</f>
        <v/>
      </c>
      <c r="E2677" t="str">
        <f>IF(VIPcric_1!E2652="","",VIPcric_1!E2652)</f>
        <v/>
      </c>
      <c r="F2677" t="str">
        <f>IF(VIPcric_1!F2652="","",VIPcric_1!F2652)</f>
        <v/>
      </c>
      <c r="G2677" t="str">
        <f>IF(VIPcric_1!G2652="","",VIPcric_1!G2652)</f>
        <v/>
      </c>
      <c r="H2677" t="str">
        <f>IF(VIPcric_1!H2652="","",VIPcric_1!H2652)</f>
        <v/>
      </c>
      <c r="I2677" t="str">
        <f>IF(VIPcric_1!M2652="","",VIPcric_1!M2652)</f>
        <v/>
      </c>
    </row>
    <row r="2678" spans="1:9">
      <c r="A2678" t="str">
        <f>IF(VIPcric_1!A2653="","",VIPcric_1!A2653)</f>
        <v/>
      </c>
      <c r="B2678" t="str">
        <f>IF(VIPcric_1!B2653="","",VIPcric_1!B2653)</f>
        <v/>
      </c>
      <c r="C2678" t="str">
        <f>IF(VIPcric_1!C2653="","",VIPcric_1!C2653)</f>
        <v/>
      </c>
      <c r="D2678" t="str">
        <f>IF(VIPcric_1!D2653="","",VIPcric_1!D2653)</f>
        <v/>
      </c>
      <c r="E2678" t="str">
        <f>IF(VIPcric_1!E2653="","",VIPcric_1!E2653)</f>
        <v/>
      </c>
      <c r="F2678" t="str">
        <f>IF(VIPcric_1!F2653="","",VIPcric_1!F2653)</f>
        <v/>
      </c>
      <c r="G2678" t="str">
        <f>IF(VIPcric_1!G2653="","",VIPcric_1!G2653)</f>
        <v/>
      </c>
      <c r="H2678" t="str">
        <f>IF(VIPcric_1!H2653="","",VIPcric_1!H2653)</f>
        <v/>
      </c>
      <c r="I2678" t="str">
        <f>IF(VIPcric_1!M2653="","",VIPcric_1!M2653)</f>
        <v>CRIC-长春-市场监测.商品房市场.项目累计.库存.xlsx</v>
      </c>
    </row>
    <row r="2679" spans="1:9">
      <c r="A2679" t="str">
        <f>IF(VIPcric_1!A2654="","",VIPcric_1!A2654)</f>
        <v>时间(年)</v>
      </c>
      <c r="B2679" t="str">
        <f>IF(VIPcric_1!B2654="","",VIPcric_1!B2654)</f>
        <v>库存面积(㎡)</v>
      </c>
      <c r="C2679" t="str">
        <f>IF(VIPcric_1!C2654="","",VIPcric_1!C2654)</f>
        <v>库存面积同比(%)</v>
      </c>
      <c r="D2679" t="str">
        <f>IF(VIPcric_1!D2654="","",VIPcric_1!D2654)</f>
        <v>库存面积环比(%)</v>
      </c>
      <c r="E2679" t="str">
        <f>IF(VIPcric_1!E2654="","",VIPcric_1!E2654)</f>
        <v>库存套数(套)</v>
      </c>
      <c r="F2679" t="str">
        <f>IF(VIPcric_1!F2654="","",VIPcric_1!F2654)</f>
        <v>库存套数同比(%)</v>
      </c>
      <c r="G2679" t="str">
        <f>IF(VIPcric_1!G2654="","",VIPcric_1!G2654)</f>
        <v>库存套数环比(%)</v>
      </c>
      <c r="H2679" t="str">
        <f>IF(VIPcric_1!H2654="","",VIPcric_1!H2654)</f>
        <v>去化周期3'(月)</v>
      </c>
      <c r="I2679" t="str">
        <f>IF(VIPcric_1!M2654="","",VIPcric_1!M2654)</f>
        <v>CRIC-长春-市场监测.商品房市场.项目累计.库存.xlsx</v>
      </c>
    </row>
    <row r="2680" spans="1:9">
      <c r="A2680" t="str">
        <f>IF(VIPcric_1!A2655="","",VIPcric_1!A2655)</f>
        <v>2023年</v>
      </c>
      <c r="B2680">
        <f>IF(VIPcric_1!B2655="","",VIPcric_1!B2655)</f>
        <v>9669045</v>
      </c>
      <c r="C2680">
        <f>IF(VIPcric_1!C2655="","",VIPcric_1!C2655)</f>
        <v>-21.87</v>
      </c>
      <c r="D2680">
        <f>IF(VIPcric_1!D2655="","",VIPcric_1!D2655)</f>
        <v>-21.87</v>
      </c>
      <c r="E2680">
        <f>IF(VIPcric_1!E2655="","",VIPcric_1!E2655)</f>
        <v>86973</v>
      </c>
      <c r="F2680">
        <f>IF(VIPcric_1!F2655="","",VIPcric_1!F2655)</f>
        <v>-20.83</v>
      </c>
      <c r="G2680">
        <f>IF(VIPcric_1!G2655="","",VIPcric_1!G2655)</f>
        <v>-20.83</v>
      </c>
      <c r="H2680">
        <f>IF(VIPcric_1!H2655="","",VIPcric_1!H2655)</f>
        <v>23.8</v>
      </c>
      <c r="I2680" t="str">
        <f>IF(VIPcric_1!M2655="","",VIPcric_1!M2655)</f>
        <v>CRIC-长春-市场监测.商品房市场.项目累计.库存.xlsx</v>
      </c>
    </row>
    <row r="2681" spans="1:9">
      <c r="A2681" t="str">
        <f>IF(VIPcric_1!A2656="","",VIPcric_1!A2656)</f>
        <v>2022年</v>
      </c>
      <c r="B2681">
        <f>IF(VIPcric_1!B2656="","",VIPcric_1!B2656)</f>
        <v>12376064</v>
      </c>
      <c r="C2681">
        <f>IF(VIPcric_1!C2656="","",VIPcric_1!C2656)</f>
        <v>-13.91</v>
      </c>
      <c r="D2681">
        <f>IF(VIPcric_1!D2656="","",VIPcric_1!D2656)</f>
        <v>-13.91</v>
      </c>
      <c r="E2681">
        <f>IF(VIPcric_1!E2656="","",VIPcric_1!E2656)</f>
        <v>109855</v>
      </c>
      <c r="F2681">
        <f>IF(VIPcric_1!F2656="","",VIPcric_1!F2656)</f>
        <v>-14.48</v>
      </c>
      <c r="G2681">
        <f>IF(VIPcric_1!G2656="","",VIPcric_1!G2656)</f>
        <v>-14.48</v>
      </c>
      <c r="H2681">
        <f>IF(VIPcric_1!H2656="","",VIPcric_1!H2656)</f>
        <v>31.7</v>
      </c>
      <c r="I2681" t="str">
        <f>IF(VIPcric_1!M2656="","",VIPcric_1!M2656)</f>
        <v>CRIC-长春-市场监测.商品房市场.项目累计.库存.xlsx</v>
      </c>
    </row>
    <row r="2682" spans="1:9">
      <c r="A2682" t="str">
        <f>IF(VIPcric_1!A2657="","",VIPcric_1!A2657)</f>
        <v>2021年</v>
      </c>
      <c r="B2682">
        <f>IF(VIPcric_1!B2657="","",VIPcric_1!B2657)</f>
        <v>14375983</v>
      </c>
      <c r="C2682">
        <f>IF(VIPcric_1!C2657="","",VIPcric_1!C2657)</f>
        <v>5.21</v>
      </c>
      <c r="D2682">
        <f>IF(VIPcric_1!D2657="","",VIPcric_1!D2657)</f>
        <v>5.21</v>
      </c>
      <c r="E2682">
        <f>IF(VIPcric_1!E2657="","",VIPcric_1!E2657)</f>
        <v>128459</v>
      </c>
      <c r="F2682">
        <f>IF(VIPcric_1!F2657="","",VIPcric_1!F2657)</f>
        <v>5.57</v>
      </c>
      <c r="G2682">
        <f>IF(VIPcric_1!G2657="","",VIPcric_1!G2657)</f>
        <v>5.57</v>
      </c>
      <c r="H2682">
        <f>IF(VIPcric_1!H2657="","",VIPcric_1!H2657)</f>
        <v>27.2</v>
      </c>
      <c r="I2682" t="str">
        <f>IF(VIPcric_1!M2657="","",VIPcric_1!M2657)</f>
        <v>CRIC-长春-市场监测.商品房市场.项目累计.库存.xlsx</v>
      </c>
    </row>
    <row r="2683" spans="1:9">
      <c r="A2683" t="str">
        <f>IF(VIPcric_1!A2658="","",VIPcric_1!A2658)</f>
        <v>2020年</v>
      </c>
      <c r="B2683">
        <f>IF(VIPcric_1!B2658="","",VIPcric_1!B2658)</f>
        <v>13664418</v>
      </c>
      <c r="C2683">
        <f>IF(VIPcric_1!C2658="","",VIPcric_1!C2658)</f>
        <v>7.21</v>
      </c>
      <c r="D2683">
        <f>IF(VIPcric_1!D2658="","",VIPcric_1!D2658)</f>
        <v>7.21</v>
      </c>
      <c r="E2683">
        <f>IF(VIPcric_1!E2658="","",VIPcric_1!E2658)</f>
        <v>121678</v>
      </c>
      <c r="F2683">
        <f>IF(VIPcric_1!F2658="","",VIPcric_1!F2658)</f>
        <v>7.56</v>
      </c>
      <c r="G2683">
        <f>IF(VIPcric_1!G2658="","",VIPcric_1!G2658)</f>
        <v>7.56</v>
      </c>
      <c r="H2683">
        <f>IF(VIPcric_1!H2658="","",VIPcric_1!H2658)</f>
        <v>21.1</v>
      </c>
      <c r="I2683" t="str">
        <f>IF(VIPcric_1!M2658="","",VIPcric_1!M2658)</f>
        <v>CRIC-长春-市场监测.商品房市场.项目累计.库存.xlsx</v>
      </c>
    </row>
    <row r="2684" spans="1:9">
      <c r="A2684" t="str">
        <f>IF(VIPcric_1!A2659="","",VIPcric_1!A2659)</f>
        <v>2019年</v>
      </c>
      <c r="B2684">
        <f>IF(VIPcric_1!B2659="","",VIPcric_1!B2659)</f>
        <v>12745431</v>
      </c>
      <c r="C2684">
        <f>IF(VIPcric_1!C2659="","",VIPcric_1!C2659)</f>
        <v>19.12</v>
      </c>
      <c r="D2684">
        <f>IF(VIPcric_1!D2659="","",VIPcric_1!D2659)</f>
        <v>19.12</v>
      </c>
      <c r="E2684">
        <f>IF(VIPcric_1!E2659="","",VIPcric_1!E2659)</f>
        <v>113122</v>
      </c>
      <c r="F2684">
        <f>IF(VIPcric_1!F2659="","",VIPcric_1!F2659)</f>
        <v>17.760000000000002</v>
      </c>
      <c r="G2684">
        <f>IF(VIPcric_1!G2659="","",VIPcric_1!G2659)</f>
        <v>17.760000000000002</v>
      </c>
      <c r="H2684">
        <f>IF(VIPcric_1!H2659="","",VIPcric_1!H2659)</f>
        <v>17.899999999999999</v>
      </c>
      <c r="I2684" t="str">
        <f>IF(VIPcric_1!M2659="","",VIPcric_1!M2659)</f>
        <v>CRIC-长春-市场监测.商品房市场.项目累计.库存.xlsx</v>
      </c>
    </row>
    <row r="2685" spans="1:9">
      <c r="A2685" t="str">
        <f>IF(VIPcric_1!A2660="","",VIPcric_1!A2660)</f>
        <v>2018年</v>
      </c>
      <c r="B2685">
        <f>IF(VIPcric_1!B2660="","",VIPcric_1!B2660)</f>
        <v>10699821</v>
      </c>
      <c r="C2685">
        <f>IF(VIPcric_1!C2660="","",VIPcric_1!C2660)</f>
        <v>30</v>
      </c>
      <c r="D2685">
        <f>IF(VIPcric_1!D2660="","",VIPcric_1!D2660)</f>
        <v>30</v>
      </c>
      <c r="E2685">
        <f>IF(VIPcric_1!E2660="","",VIPcric_1!E2660)</f>
        <v>96064</v>
      </c>
      <c r="F2685">
        <f>IF(VIPcric_1!F2660="","",VIPcric_1!F2660)</f>
        <v>26.64</v>
      </c>
      <c r="G2685">
        <f>IF(VIPcric_1!G2660="","",VIPcric_1!G2660)</f>
        <v>26.64</v>
      </c>
      <c r="H2685">
        <f>IF(VIPcric_1!H2660="","",VIPcric_1!H2660)</f>
        <v>12.2</v>
      </c>
      <c r="I2685" t="str">
        <f>IF(VIPcric_1!M2660="","",VIPcric_1!M2660)</f>
        <v>CRIC-长春-市场监测.商品房市场.项目累计.库存.xlsx</v>
      </c>
    </row>
    <row r="2686" spans="1:9">
      <c r="A2686" t="str">
        <f>IF(VIPcric_1!A2661="","",VIPcric_1!A2661)</f>
        <v/>
      </c>
      <c r="B2686" t="str">
        <f>IF(VIPcric_1!B2661="","",VIPcric_1!B2661)</f>
        <v/>
      </c>
      <c r="C2686" t="str">
        <f>IF(VIPcric_1!C2661="","",VIPcric_1!C2661)</f>
        <v/>
      </c>
      <c r="D2686" t="str">
        <f>IF(VIPcric_1!D2661="","",VIPcric_1!D2661)</f>
        <v/>
      </c>
      <c r="E2686" t="str">
        <f>IF(VIPcric_1!E2661="","",VIPcric_1!E2661)</f>
        <v/>
      </c>
      <c r="F2686" t="str">
        <f>IF(VIPcric_1!F2661="","",VIPcric_1!F2661)</f>
        <v/>
      </c>
      <c r="G2686" t="str">
        <f>IF(VIPcric_1!G2661="","",VIPcric_1!G2661)</f>
        <v/>
      </c>
      <c r="H2686" t="str">
        <f>IF(VIPcric_1!H2661="","",VIPcric_1!H2661)</f>
        <v/>
      </c>
      <c r="I2686" t="str">
        <f>IF(VIPcric_1!M2661="","",VIPcric_1!M2661)</f>
        <v/>
      </c>
    </row>
    <row r="2687" spans="1:9">
      <c r="A2687" t="str">
        <f>IF(VIPcric_1!A2662="","",VIPcric_1!A2662)</f>
        <v/>
      </c>
      <c r="B2687" t="str">
        <f>IF(VIPcric_1!B2662="","",VIPcric_1!B2662)</f>
        <v/>
      </c>
      <c r="C2687" t="str">
        <f>IF(VIPcric_1!C2662="","",VIPcric_1!C2662)</f>
        <v/>
      </c>
      <c r="D2687" t="str">
        <f>IF(VIPcric_1!D2662="","",VIPcric_1!D2662)</f>
        <v/>
      </c>
      <c r="E2687" t="str">
        <f>IF(VIPcric_1!E2662="","",VIPcric_1!E2662)</f>
        <v/>
      </c>
      <c r="F2687" t="str">
        <f>IF(VIPcric_1!F2662="","",VIPcric_1!F2662)</f>
        <v/>
      </c>
      <c r="G2687" t="str">
        <f>IF(VIPcric_1!G2662="","",VIPcric_1!G2662)</f>
        <v/>
      </c>
      <c r="H2687" t="str">
        <f>IF(VIPcric_1!H2662="","",VIPcric_1!H2662)</f>
        <v/>
      </c>
      <c r="I2687" t="str">
        <f>IF(VIPcric_1!M2662="","",VIPcric_1!M2662)</f>
        <v>CRIC-长沙-市场监测.商品房市场.项目累计.供求.xlsx</v>
      </c>
    </row>
    <row r="2688" spans="1:9">
      <c r="A2688" t="str">
        <f>IF(VIPcric_1!A2663="","",VIPcric_1!A2663)</f>
        <v>时间(年)</v>
      </c>
      <c r="B2688" t="str">
        <f>IF(VIPcric_1!B2663="","",VIPcric_1!B2663)</f>
        <v>供应面积(㎡)</v>
      </c>
      <c r="C2688" t="str">
        <f>IF(VIPcric_1!C2663="","",VIPcric_1!C2663)</f>
        <v>供应套数(套)</v>
      </c>
      <c r="D2688" t="str">
        <f>IF(VIPcric_1!D2663="","",VIPcric_1!D2663)</f>
        <v>成交面积(㎡)</v>
      </c>
      <c r="E2688" t="str">
        <f>IF(VIPcric_1!E2663="","",VIPcric_1!E2663)</f>
        <v>成交套数(套)</v>
      </c>
      <c r="F2688" t="str">
        <f>IF(VIPcric_1!F2663="","",VIPcric_1!F2663)</f>
        <v>成交均价(元/㎡)</v>
      </c>
      <c r="G2688" t="str">
        <f>IF(VIPcric_1!G2663="","",VIPcric_1!G2663)</f>
        <v>供求比</v>
      </c>
      <c r="H2688" t="str">
        <f>IF(VIPcric_1!H2663="","",VIPcric_1!H2663)</f>
        <v/>
      </c>
      <c r="I2688" t="str">
        <f>IF(VIPcric_1!M2663="","",VIPcric_1!M2663)</f>
        <v>CRIC-长沙-市场监测.商品房市场.项目累计.供求.xlsx</v>
      </c>
    </row>
    <row r="2689" spans="1:9">
      <c r="A2689" t="str">
        <f>IF(VIPcric_1!A2664="","",VIPcric_1!A2664)</f>
        <v>2023年</v>
      </c>
      <c r="B2689">
        <f>IF(VIPcric_1!B2664="","",VIPcric_1!B2664)</f>
        <v>8107332</v>
      </c>
      <c r="C2689">
        <f>IF(VIPcric_1!C2664="","",VIPcric_1!C2664)</f>
        <v>54304</v>
      </c>
      <c r="D2689">
        <f>IF(VIPcric_1!D2664="","",VIPcric_1!D2664)</f>
        <v>9581628</v>
      </c>
      <c r="E2689">
        <f>IF(VIPcric_1!E2664="","",VIPcric_1!E2664)</f>
        <v>67419</v>
      </c>
      <c r="F2689">
        <f>IF(VIPcric_1!F2664="","",VIPcric_1!F2664)</f>
        <v>12589</v>
      </c>
      <c r="G2689">
        <f>IF(VIPcric_1!G2664="","",VIPcric_1!G2664)</f>
        <v>0.85</v>
      </c>
      <c r="H2689" t="str">
        <f>IF(VIPcric_1!H2664="","",VIPcric_1!H2664)</f>
        <v/>
      </c>
      <c r="I2689" t="str">
        <f>IF(VIPcric_1!M2664="","",VIPcric_1!M2664)</f>
        <v>CRIC-长沙-市场监测.商品房市场.项目累计.供求.xlsx</v>
      </c>
    </row>
    <row r="2690" spans="1:9">
      <c r="A2690" t="str">
        <f>IF(VIPcric_1!A2665="","",VIPcric_1!A2665)</f>
        <v>2022年</v>
      </c>
      <c r="B2690">
        <f>IF(VIPcric_1!B2665="","",VIPcric_1!B2665)</f>
        <v>10386603</v>
      </c>
      <c r="C2690">
        <f>IF(VIPcric_1!C2665="","",VIPcric_1!C2665)</f>
        <v>72995</v>
      </c>
      <c r="D2690">
        <f>IF(VIPcric_1!D2665="","",VIPcric_1!D2665)</f>
        <v>10910470</v>
      </c>
      <c r="E2690">
        <f>IF(VIPcric_1!E2665="","",VIPcric_1!E2665)</f>
        <v>79553</v>
      </c>
      <c r="F2690">
        <f>IF(VIPcric_1!F2665="","",VIPcric_1!F2665)</f>
        <v>11336</v>
      </c>
      <c r="G2690">
        <f>IF(VIPcric_1!G2665="","",VIPcric_1!G2665)</f>
        <v>0.95</v>
      </c>
      <c r="H2690" t="str">
        <f>IF(VIPcric_1!H2665="","",VIPcric_1!H2665)</f>
        <v/>
      </c>
      <c r="I2690" t="str">
        <f>IF(VIPcric_1!M2665="","",VIPcric_1!M2665)</f>
        <v>CRIC-长沙-市场监测.商品房市场.项目累计.供求.xlsx</v>
      </c>
    </row>
    <row r="2691" spans="1:9">
      <c r="A2691" t="str">
        <f>IF(VIPcric_1!A2666="","",VIPcric_1!A2666)</f>
        <v>2021年</v>
      </c>
      <c r="B2691">
        <f>IF(VIPcric_1!B2666="","",VIPcric_1!B2666)</f>
        <v>16172395</v>
      </c>
      <c r="C2691">
        <f>IF(VIPcric_1!C2666="","",VIPcric_1!C2666)</f>
        <v>122371</v>
      </c>
      <c r="D2691">
        <f>IF(VIPcric_1!D2666="","",VIPcric_1!D2666)</f>
        <v>18903371</v>
      </c>
      <c r="E2691">
        <f>IF(VIPcric_1!E2666="","",VIPcric_1!E2666)</f>
        <v>145903</v>
      </c>
      <c r="F2691">
        <f>IF(VIPcric_1!F2666="","",VIPcric_1!F2666)</f>
        <v>10506</v>
      </c>
      <c r="G2691">
        <f>IF(VIPcric_1!G2666="","",VIPcric_1!G2666)</f>
        <v>0.86</v>
      </c>
      <c r="H2691" t="str">
        <f>IF(VIPcric_1!H2666="","",VIPcric_1!H2666)</f>
        <v/>
      </c>
      <c r="I2691" t="str">
        <f>IF(VIPcric_1!M2666="","",VIPcric_1!M2666)</f>
        <v>CRIC-长沙-市场监测.商品房市场.项目累计.供求.xlsx</v>
      </c>
    </row>
    <row r="2692" spans="1:9">
      <c r="A2692" t="str">
        <f>IF(VIPcric_1!A2667="","",VIPcric_1!A2667)</f>
        <v>2020年</v>
      </c>
      <c r="B2692">
        <f>IF(VIPcric_1!B2667="","",VIPcric_1!B2667)</f>
        <v>16998478</v>
      </c>
      <c r="C2692">
        <f>IF(VIPcric_1!C2667="","",VIPcric_1!C2667)</f>
        <v>133174</v>
      </c>
      <c r="D2692">
        <f>IF(VIPcric_1!D2667="","",VIPcric_1!D2667)</f>
        <v>19641030</v>
      </c>
      <c r="E2692">
        <f>IF(VIPcric_1!E2667="","",VIPcric_1!E2667)</f>
        <v>155874</v>
      </c>
      <c r="F2692">
        <f>IF(VIPcric_1!F2667="","",VIPcric_1!F2667)</f>
        <v>9316</v>
      </c>
      <c r="G2692">
        <f>IF(VIPcric_1!G2667="","",VIPcric_1!G2667)</f>
        <v>0.87</v>
      </c>
      <c r="H2692" t="str">
        <f>IF(VIPcric_1!H2667="","",VIPcric_1!H2667)</f>
        <v/>
      </c>
      <c r="I2692" t="str">
        <f>IF(VIPcric_1!M2667="","",VIPcric_1!M2667)</f>
        <v>CRIC-长沙-市场监测.商品房市场.项目累计.供求.xlsx</v>
      </c>
    </row>
    <row r="2693" spans="1:9">
      <c r="A2693" t="str">
        <f>IF(VIPcric_1!A2668="","",VIPcric_1!A2668)</f>
        <v>2019年</v>
      </c>
      <c r="B2693">
        <f>IF(VIPcric_1!B2668="","",VIPcric_1!B2668)</f>
        <v>10507854</v>
      </c>
      <c r="C2693">
        <f>IF(VIPcric_1!C2668="","",VIPcric_1!C2668)</f>
        <v>81283</v>
      </c>
      <c r="D2693">
        <f>IF(VIPcric_1!D2668="","",VIPcric_1!D2668)</f>
        <v>18670121</v>
      </c>
      <c r="E2693">
        <f>IF(VIPcric_1!E2668="","",VIPcric_1!E2668)</f>
        <v>150855</v>
      </c>
      <c r="F2693">
        <f>IF(VIPcric_1!F2668="","",VIPcric_1!F2668)</f>
        <v>8552</v>
      </c>
      <c r="G2693">
        <f>IF(VIPcric_1!G2668="","",VIPcric_1!G2668)</f>
        <v>0.56000000000000005</v>
      </c>
      <c r="H2693" t="str">
        <f>IF(VIPcric_1!H2668="","",VIPcric_1!H2668)</f>
        <v/>
      </c>
      <c r="I2693" t="str">
        <f>IF(VIPcric_1!M2668="","",VIPcric_1!M2668)</f>
        <v>CRIC-长沙-市场监测.商品房市场.项目累计.供求.xlsx</v>
      </c>
    </row>
    <row r="2694" spans="1:9">
      <c r="A2694" t="str">
        <f>IF(VIPcric_1!A2669="","",VIPcric_1!A2669)</f>
        <v>汇总</v>
      </c>
      <c r="B2694">
        <f>IF(VIPcric_1!B2669="","",VIPcric_1!B2669)</f>
        <v>62172662</v>
      </c>
      <c r="C2694">
        <f>IF(VIPcric_1!C2669="","",VIPcric_1!C2669)</f>
        <v>464127</v>
      </c>
      <c r="D2694">
        <f>IF(VIPcric_1!D2669="","",VIPcric_1!D2669)</f>
        <v>77706619</v>
      </c>
      <c r="E2694">
        <f>IF(VIPcric_1!E2669="","",VIPcric_1!E2669)</f>
        <v>599604</v>
      </c>
      <c r="F2694">
        <f>IF(VIPcric_1!F2669="","",VIPcric_1!F2669)</f>
        <v>10109</v>
      </c>
      <c r="G2694">
        <f>IF(VIPcric_1!G2669="","",VIPcric_1!G2669)</f>
        <v>0.8</v>
      </c>
      <c r="H2694" t="str">
        <f>IF(VIPcric_1!H2669="","",VIPcric_1!H2669)</f>
        <v/>
      </c>
      <c r="I2694" t="str">
        <f>IF(VIPcric_1!M2669="","",VIPcric_1!M2669)</f>
        <v>CRIC-长沙-市场监测.商品房市场.项目累计.供求.xlsx</v>
      </c>
    </row>
    <row r="2695" spans="1:9">
      <c r="A2695" t="str">
        <f>IF(VIPcric_1!A2670="","",VIPcric_1!A2670)</f>
        <v/>
      </c>
      <c r="B2695" t="str">
        <f>IF(VIPcric_1!B2670="","",VIPcric_1!B2670)</f>
        <v/>
      </c>
      <c r="C2695" t="str">
        <f>IF(VIPcric_1!C2670="","",VIPcric_1!C2670)</f>
        <v/>
      </c>
      <c r="D2695" t="str">
        <f>IF(VIPcric_1!D2670="","",VIPcric_1!D2670)</f>
        <v/>
      </c>
      <c r="E2695" t="str">
        <f>IF(VIPcric_1!E2670="","",VIPcric_1!E2670)</f>
        <v/>
      </c>
      <c r="F2695" t="str">
        <f>IF(VIPcric_1!F2670="","",VIPcric_1!F2670)</f>
        <v/>
      </c>
      <c r="G2695" t="str">
        <f>IF(VIPcric_1!G2670="","",VIPcric_1!G2670)</f>
        <v/>
      </c>
      <c r="H2695" t="str">
        <f>IF(VIPcric_1!H2670="","",VIPcric_1!H2670)</f>
        <v/>
      </c>
      <c r="I2695" t="str">
        <f>IF(VIPcric_1!M2670="","",VIPcric_1!M2670)</f>
        <v/>
      </c>
    </row>
    <row r="2696" spans="1:9">
      <c r="A2696" t="str">
        <f>IF(VIPcric_1!A2671="","",VIPcric_1!A2671)</f>
        <v/>
      </c>
      <c r="B2696" t="str">
        <f>IF(VIPcric_1!B2671="","",VIPcric_1!B2671)</f>
        <v/>
      </c>
      <c r="C2696" t="str">
        <f>IF(VIPcric_1!C2671="","",VIPcric_1!C2671)</f>
        <v/>
      </c>
      <c r="D2696" t="str">
        <f>IF(VIPcric_1!D2671="","",VIPcric_1!D2671)</f>
        <v/>
      </c>
      <c r="E2696" t="str">
        <f>IF(VIPcric_1!E2671="","",VIPcric_1!E2671)</f>
        <v/>
      </c>
      <c r="F2696" t="str">
        <f>IF(VIPcric_1!F2671="","",VIPcric_1!F2671)</f>
        <v/>
      </c>
      <c r="G2696" t="str">
        <f>IF(VIPcric_1!G2671="","",VIPcric_1!G2671)</f>
        <v/>
      </c>
      <c r="H2696" t="str">
        <f>IF(VIPcric_1!H2671="","",VIPcric_1!H2671)</f>
        <v/>
      </c>
      <c r="I2696" t="str">
        <f>IF(VIPcric_1!M2671="","",VIPcric_1!M2671)</f>
        <v>CRIC-长沙-市场监测.商品房市场.项目累计.库存.xlsx</v>
      </c>
    </row>
    <row r="2697" spans="1:9">
      <c r="A2697" t="str">
        <f>IF(VIPcric_1!A2672="","",VIPcric_1!A2672)</f>
        <v>时间(年)</v>
      </c>
      <c r="B2697" t="str">
        <f>IF(VIPcric_1!B2672="","",VIPcric_1!B2672)</f>
        <v>库存面积(㎡)</v>
      </c>
      <c r="C2697" t="str">
        <f>IF(VIPcric_1!C2672="","",VIPcric_1!C2672)</f>
        <v>库存套数(套)</v>
      </c>
      <c r="D2697" t="str">
        <f>IF(VIPcric_1!D2672="","",VIPcric_1!D2672)</f>
        <v>去化周期12'(月)</v>
      </c>
      <c r="E2697" t="str">
        <f>IF(VIPcric_1!E2672="","",VIPcric_1!E2672)</f>
        <v>去化周期24'(月)</v>
      </c>
      <c r="F2697" t="str">
        <f>IF(VIPcric_1!F2672="","",VIPcric_1!F2672)</f>
        <v/>
      </c>
      <c r="G2697" t="str">
        <f>IF(VIPcric_1!G2672="","",VIPcric_1!G2672)</f>
        <v/>
      </c>
      <c r="H2697" t="str">
        <f>IF(VIPcric_1!H2672="","",VIPcric_1!H2672)</f>
        <v/>
      </c>
      <c r="I2697" t="str">
        <f>IF(VIPcric_1!M2672="","",VIPcric_1!M2672)</f>
        <v>CRIC-长沙-市场监测.商品房市场.项目累计.库存.xlsx</v>
      </c>
    </row>
    <row r="2698" spans="1:9">
      <c r="A2698" t="str">
        <f>IF(VIPcric_1!A2673="","",VIPcric_1!A2673)</f>
        <v>2024年</v>
      </c>
      <c r="B2698">
        <f>IF(VIPcric_1!B2673="","",VIPcric_1!B2673)</f>
        <v>5181446</v>
      </c>
      <c r="C2698">
        <f>IF(VIPcric_1!C2673="","",VIPcric_1!C2673)</f>
        <v>34272</v>
      </c>
      <c r="D2698">
        <f>IF(VIPcric_1!D2673="","",VIPcric_1!D2673)</f>
        <v>10.3</v>
      </c>
      <c r="E2698">
        <f>IF(VIPcric_1!E2673="","",VIPcric_1!E2673)</f>
        <v>10.3</v>
      </c>
      <c r="F2698" t="str">
        <f>IF(VIPcric_1!F2673="","",VIPcric_1!F2673)</f>
        <v/>
      </c>
      <c r="G2698" t="str">
        <f>IF(VIPcric_1!G2673="","",VIPcric_1!G2673)</f>
        <v/>
      </c>
      <c r="H2698" t="str">
        <f>IF(VIPcric_1!H2673="","",VIPcric_1!H2673)</f>
        <v/>
      </c>
      <c r="I2698" t="str">
        <f>IF(VIPcric_1!M2673="","",VIPcric_1!M2673)</f>
        <v>CRIC-长沙-市场监测.商品房市场.项目累计.库存.xlsx</v>
      </c>
    </row>
    <row r="2699" spans="1:9">
      <c r="A2699" t="str">
        <f>IF(VIPcric_1!A2674="","",VIPcric_1!A2674)</f>
        <v>2023年</v>
      </c>
      <c r="B2699">
        <f>IF(VIPcric_1!B2674="","",VIPcric_1!B2674)</f>
        <v>5228067</v>
      </c>
      <c r="C2699">
        <f>IF(VIPcric_1!C2674="","",VIPcric_1!C2674)</f>
        <v>34893</v>
      </c>
      <c r="D2699">
        <f>IF(VIPcric_1!D2674="","",VIPcric_1!D2674)</f>
        <v>10.3</v>
      </c>
      <c r="E2699">
        <f>IF(VIPcric_1!E2674="","",VIPcric_1!E2674)</f>
        <v>10.199999999999999</v>
      </c>
      <c r="F2699" t="str">
        <f>IF(VIPcric_1!F2674="","",VIPcric_1!F2674)</f>
        <v/>
      </c>
      <c r="G2699" t="str">
        <f>IF(VIPcric_1!G2674="","",VIPcric_1!G2674)</f>
        <v/>
      </c>
      <c r="H2699" t="str">
        <f>IF(VIPcric_1!H2674="","",VIPcric_1!H2674)</f>
        <v/>
      </c>
      <c r="I2699" t="str">
        <f>IF(VIPcric_1!M2674="","",VIPcric_1!M2674)</f>
        <v>CRIC-长沙-市场监测.商品房市场.项目累计.库存.xlsx</v>
      </c>
    </row>
    <row r="2700" spans="1:9">
      <c r="A2700" t="str">
        <f>IF(VIPcric_1!A2675="","",VIPcric_1!A2675)</f>
        <v>2022年</v>
      </c>
      <c r="B2700">
        <f>IF(VIPcric_1!B2675="","",VIPcric_1!B2675)</f>
        <v>5970191</v>
      </c>
      <c r="C2700">
        <f>IF(VIPcric_1!C2675="","",VIPcric_1!C2675)</f>
        <v>42132</v>
      </c>
      <c r="D2700">
        <f>IF(VIPcric_1!D2675="","",VIPcric_1!D2675)</f>
        <v>11.5</v>
      </c>
      <c r="E2700">
        <f>IF(VIPcric_1!E2675="","",VIPcric_1!E2675)</f>
        <v>8.6999999999999993</v>
      </c>
      <c r="F2700" t="str">
        <f>IF(VIPcric_1!F2675="","",VIPcric_1!F2675)</f>
        <v/>
      </c>
      <c r="G2700" t="str">
        <f>IF(VIPcric_1!G2675="","",VIPcric_1!G2675)</f>
        <v/>
      </c>
      <c r="H2700" t="str">
        <f>IF(VIPcric_1!H2675="","",VIPcric_1!H2675)</f>
        <v/>
      </c>
      <c r="I2700" t="str">
        <f>IF(VIPcric_1!M2675="","",VIPcric_1!M2675)</f>
        <v>CRIC-长沙-市场监测.商品房市场.项目累计.库存.xlsx</v>
      </c>
    </row>
    <row r="2701" spans="1:9">
      <c r="A2701" t="str">
        <f>IF(VIPcric_1!A2676="","",VIPcric_1!A2676)</f>
        <v>2021年</v>
      </c>
      <c r="B2701">
        <f>IF(VIPcric_1!B2676="","",VIPcric_1!B2676)</f>
        <v>4861262</v>
      </c>
      <c r="C2701">
        <f>IF(VIPcric_1!C2676="","",VIPcric_1!C2676)</f>
        <v>36003</v>
      </c>
      <c r="D2701">
        <f>IF(VIPcric_1!D2676="","",VIPcric_1!D2676)</f>
        <v>5.7</v>
      </c>
      <c r="E2701">
        <f>IF(VIPcric_1!E2676="","",VIPcric_1!E2676)</f>
        <v>5.8</v>
      </c>
      <c r="F2701" t="str">
        <f>IF(VIPcric_1!F2676="","",VIPcric_1!F2676)</f>
        <v/>
      </c>
      <c r="G2701" t="str">
        <f>IF(VIPcric_1!G2676="","",VIPcric_1!G2676)</f>
        <v/>
      </c>
      <c r="H2701" t="str">
        <f>IF(VIPcric_1!H2676="","",VIPcric_1!H2676)</f>
        <v/>
      </c>
      <c r="I2701" t="str">
        <f>IF(VIPcric_1!M2676="","",VIPcric_1!M2676)</f>
        <v>CRIC-长沙-市场监测.商品房市场.项目累计.库存.xlsx</v>
      </c>
    </row>
    <row r="2702" spans="1:9">
      <c r="A2702" t="str">
        <f>IF(VIPcric_1!A2677="","",VIPcric_1!A2677)</f>
        <v>2020年</v>
      </c>
      <c r="B2702">
        <f>IF(VIPcric_1!B2677="","",VIPcric_1!B2677)</f>
        <v>5309481</v>
      </c>
      <c r="C2702">
        <f>IF(VIPcric_1!C2677="","",VIPcric_1!C2677)</f>
        <v>42070</v>
      </c>
      <c r="D2702">
        <f>IF(VIPcric_1!D2677="","",VIPcric_1!D2677)</f>
        <v>6.4</v>
      </c>
      <c r="E2702">
        <f>IF(VIPcric_1!E2677="","",VIPcric_1!E2677)</f>
        <v>6.5</v>
      </c>
      <c r="F2702" t="str">
        <f>IF(VIPcric_1!F2677="","",VIPcric_1!F2677)</f>
        <v/>
      </c>
      <c r="G2702" t="str">
        <f>IF(VIPcric_1!G2677="","",VIPcric_1!G2677)</f>
        <v/>
      </c>
      <c r="H2702" t="str">
        <f>IF(VIPcric_1!H2677="","",VIPcric_1!H2677)</f>
        <v/>
      </c>
      <c r="I2702" t="str">
        <f>IF(VIPcric_1!M2677="","",VIPcric_1!M2677)</f>
        <v>CRIC-长沙-市场监测.商品房市场.项目累计.库存.xlsx</v>
      </c>
    </row>
    <row r="2703" spans="1:9">
      <c r="A2703" t="str">
        <f>IF(VIPcric_1!A2678="","",VIPcric_1!A2678)</f>
        <v>2019年</v>
      </c>
      <c r="B2703">
        <f>IF(VIPcric_1!B2678="","",VIPcric_1!B2678)</f>
        <v>6179179</v>
      </c>
      <c r="C2703">
        <f>IF(VIPcric_1!C2678="","",VIPcric_1!C2678)</f>
        <v>49522</v>
      </c>
      <c r="D2703">
        <f>IF(VIPcric_1!D2678="","",VIPcric_1!D2678)</f>
        <v>7.7</v>
      </c>
      <c r="E2703">
        <f>IF(VIPcric_1!E2678="","",VIPcric_1!E2678)</f>
        <v>8.3000000000000007</v>
      </c>
      <c r="F2703" t="str">
        <f>IF(VIPcric_1!F2678="","",VIPcric_1!F2678)</f>
        <v/>
      </c>
      <c r="G2703" t="str">
        <f>IF(VIPcric_1!G2678="","",VIPcric_1!G2678)</f>
        <v/>
      </c>
      <c r="H2703" t="str">
        <f>IF(VIPcric_1!H2678="","",VIPcric_1!H2678)</f>
        <v/>
      </c>
      <c r="I2703" t="str">
        <f>IF(VIPcric_1!M2678="","",VIPcric_1!M2678)</f>
        <v>CRIC-长沙-市场监测.商品房市场.项目累计.库存.xlsx</v>
      </c>
    </row>
    <row r="2704" spans="1:9">
      <c r="A2704" t="str">
        <f>IF(VIPcric_1!A2679="","",VIPcric_1!A2679)</f>
        <v/>
      </c>
      <c r="B2704" t="str">
        <f>IF(VIPcric_1!B2679="","",VIPcric_1!B2679)</f>
        <v/>
      </c>
      <c r="C2704" t="str">
        <f>IF(VIPcric_1!C2679="","",VIPcric_1!C2679)</f>
        <v/>
      </c>
      <c r="D2704" t="str">
        <f>IF(VIPcric_1!D2679="","",VIPcric_1!D2679)</f>
        <v/>
      </c>
      <c r="E2704" t="str">
        <f>IF(VIPcric_1!E2679="","",VIPcric_1!E2679)</f>
        <v/>
      </c>
      <c r="F2704" t="str">
        <f>IF(VIPcric_1!F2679="","",VIPcric_1!F2679)</f>
        <v/>
      </c>
      <c r="G2704" t="str">
        <f>IF(VIPcric_1!G2679="","",VIPcric_1!G2679)</f>
        <v/>
      </c>
      <c r="H2704" t="str">
        <f>IF(VIPcric_1!H2679="","",VIPcric_1!H2679)</f>
        <v/>
      </c>
      <c r="I2704" t="str">
        <f>IF(VIPcric_1!M2679="","",VIPcric_1!M2679)</f>
        <v/>
      </c>
    </row>
    <row r="2705" spans="1:9">
      <c r="A2705" t="str">
        <f>IF(VIPcric_1!A2680="","",VIPcric_1!A2680)</f>
        <v/>
      </c>
      <c r="B2705" t="str">
        <f>IF(VIPcric_1!B2680="","",VIPcric_1!B2680)</f>
        <v/>
      </c>
      <c r="C2705" t="str">
        <f>IF(VIPcric_1!C2680="","",VIPcric_1!C2680)</f>
        <v/>
      </c>
      <c r="D2705" t="str">
        <f>IF(VIPcric_1!D2680="","",VIPcric_1!D2680)</f>
        <v/>
      </c>
      <c r="E2705" t="str">
        <f>IF(VIPcric_1!E2680="","",VIPcric_1!E2680)</f>
        <v/>
      </c>
      <c r="F2705" t="str">
        <f>IF(VIPcric_1!F2680="","",VIPcric_1!F2680)</f>
        <v/>
      </c>
      <c r="G2705" t="str">
        <f>IF(VIPcric_1!G2680="","",VIPcric_1!G2680)</f>
        <v/>
      </c>
      <c r="H2705" t="str">
        <f>IF(VIPcric_1!H2680="","",VIPcric_1!H2680)</f>
        <v/>
      </c>
      <c r="I2705" t="str">
        <f>IF(VIPcric_1!M2680="","",VIPcric_1!M2680)</f>
        <v>CRIC-阜新-市场监测.商品房市场.项目累计.供求.xlsx</v>
      </c>
    </row>
    <row r="2706" spans="1:9">
      <c r="A2706" t="str">
        <f>IF(VIPcric_1!A2681="","",VIPcric_1!A2681)</f>
        <v>时间(年)</v>
      </c>
      <c r="B2706" t="str">
        <f>IF(VIPcric_1!B2681="","",VIPcric_1!B2681)</f>
        <v>供应面积(㎡)</v>
      </c>
      <c r="C2706" t="str">
        <f>IF(VIPcric_1!C2681="","",VIPcric_1!C2681)</f>
        <v>供应套数(套)</v>
      </c>
      <c r="D2706" t="str">
        <f>IF(VIPcric_1!D2681="","",VIPcric_1!D2681)</f>
        <v>成交面积(㎡)</v>
      </c>
      <c r="E2706" t="str">
        <f>IF(VIPcric_1!E2681="","",VIPcric_1!E2681)</f>
        <v>成交套数(套)</v>
      </c>
      <c r="F2706" t="str">
        <f>IF(VIPcric_1!F2681="","",VIPcric_1!F2681)</f>
        <v>成交均价(元/㎡)</v>
      </c>
      <c r="G2706" t="str">
        <f>IF(VIPcric_1!G2681="","",VIPcric_1!G2681)</f>
        <v>成交金额(元)</v>
      </c>
      <c r="H2706" t="str">
        <f>IF(VIPcric_1!H2681="","",VIPcric_1!H2681)</f>
        <v>供求比</v>
      </c>
      <c r="I2706" t="str">
        <f>IF(VIPcric_1!M2681="","",VIPcric_1!M2681)</f>
        <v>CRIC-阜新-市场监测.商品房市场.项目累计.供求.xlsx</v>
      </c>
    </row>
    <row r="2707" spans="1:9">
      <c r="A2707" t="str">
        <f>IF(VIPcric_1!A2682="","",VIPcric_1!A2682)</f>
        <v>2023年</v>
      </c>
      <c r="B2707">
        <f>IF(VIPcric_1!B2682="","",VIPcric_1!B2682)</f>
        <v>346421</v>
      </c>
      <c r="C2707">
        <f>IF(VIPcric_1!C2682="","",VIPcric_1!C2682)</f>
        <v>3140</v>
      </c>
      <c r="D2707">
        <f>IF(VIPcric_1!D2682="","",VIPcric_1!D2682)</f>
        <v>596292</v>
      </c>
      <c r="E2707">
        <f>IF(VIPcric_1!E2682="","",VIPcric_1!E2682)</f>
        <v>5725</v>
      </c>
      <c r="F2707">
        <f>IF(VIPcric_1!F2682="","",VIPcric_1!F2682)</f>
        <v>4002</v>
      </c>
      <c r="G2707">
        <f>IF(VIPcric_1!G2682="","",VIPcric_1!G2682)</f>
        <v>2386190401</v>
      </c>
      <c r="H2707">
        <f>IF(VIPcric_1!H2682="","",VIPcric_1!H2682)</f>
        <v>0.57999999999999996</v>
      </c>
      <c r="I2707" t="str">
        <f>IF(VIPcric_1!M2682="","",VIPcric_1!M2682)</f>
        <v>CRIC-阜新-市场监测.商品房市场.项目累计.供求.xlsx</v>
      </c>
    </row>
    <row r="2708" spans="1:9">
      <c r="A2708" t="str">
        <f>IF(VIPcric_1!A2683="","",VIPcric_1!A2683)</f>
        <v>2022年</v>
      </c>
      <c r="B2708">
        <f>IF(VIPcric_1!B2683="","",VIPcric_1!B2683)</f>
        <v>316052</v>
      </c>
      <c r="C2708">
        <f>IF(VIPcric_1!C2683="","",VIPcric_1!C2683)</f>
        <v>2777</v>
      </c>
      <c r="D2708">
        <f>IF(VIPcric_1!D2683="","",VIPcric_1!D2683)</f>
        <v>608027</v>
      </c>
      <c r="E2708">
        <f>IF(VIPcric_1!E2683="","",VIPcric_1!E2683)</f>
        <v>5563</v>
      </c>
      <c r="F2708">
        <f>IF(VIPcric_1!F2683="","",VIPcric_1!F2683)</f>
        <v>4192</v>
      </c>
      <c r="G2708">
        <f>IF(VIPcric_1!G2683="","",VIPcric_1!G2683)</f>
        <v>2549007590</v>
      </c>
      <c r="H2708">
        <f>IF(VIPcric_1!H2683="","",VIPcric_1!H2683)</f>
        <v>0.52</v>
      </c>
      <c r="I2708" t="str">
        <f>IF(VIPcric_1!M2683="","",VIPcric_1!M2683)</f>
        <v>CRIC-阜新-市场监测.商品房市场.项目累计.供求.xlsx</v>
      </c>
    </row>
    <row r="2709" spans="1:9">
      <c r="A2709" t="str">
        <f>IF(VIPcric_1!A2684="","",VIPcric_1!A2684)</f>
        <v>2021年</v>
      </c>
      <c r="B2709">
        <f>IF(VIPcric_1!B2684="","",VIPcric_1!B2684)</f>
        <v>476973</v>
      </c>
      <c r="C2709">
        <f>IF(VIPcric_1!C2684="","",VIPcric_1!C2684)</f>
        <v>4173</v>
      </c>
      <c r="D2709">
        <f>IF(VIPcric_1!D2684="","",VIPcric_1!D2684)</f>
        <v>713423</v>
      </c>
      <c r="E2709">
        <f>IF(VIPcric_1!E2684="","",VIPcric_1!E2684)</f>
        <v>6643</v>
      </c>
      <c r="F2709">
        <f>IF(VIPcric_1!F2684="","",VIPcric_1!F2684)</f>
        <v>4274</v>
      </c>
      <c r="G2709">
        <f>IF(VIPcric_1!G2684="","",VIPcric_1!G2684)</f>
        <v>3049082526</v>
      </c>
      <c r="H2709">
        <f>IF(VIPcric_1!H2684="","",VIPcric_1!H2684)</f>
        <v>0.67</v>
      </c>
      <c r="I2709" t="str">
        <f>IF(VIPcric_1!M2684="","",VIPcric_1!M2684)</f>
        <v>CRIC-阜新-市场监测.商品房市场.项目累计.供求.xlsx</v>
      </c>
    </row>
    <row r="2710" spans="1:9">
      <c r="A2710" t="str">
        <f>IF(VIPcric_1!A2685="","",VIPcric_1!A2685)</f>
        <v>2020年</v>
      </c>
      <c r="B2710">
        <f>IF(VIPcric_1!B2685="","",VIPcric_1!B2685)</f>
        <v>610369</v>
      </c>
      <c r="C2710">
        <f>IF(VIPcric_1!C2685="","",VIPcric_1!C2685)</f>
        <v>5415</v>
      </c>
      <c r="D2710">
        <f>IF(VIPcric_1!D2685="","",VIPcric_1!D2685)</f>
        <v>737060</v>
      </c>
      <c r="E2710">
        <f>IF(VIPcric_1!E2685="","",VIPcric_1!E2685)</f>
        <v>7045</v>
      </c>
      <c r="F2710">
        <f>IF(VIPcric_1!F2685="","",VIPcric_1!F2685)</f>
        <v>4432</v>
      </c>
      <c r="G2710">
        <f>IF(VIPcric_1!G2685="","",VIPcric_1!G2685)</f>
        <v>3266429994</v>
      </c>
      <c r="H2710">
        <f>IF(VIPcric_1!H2685="","",VIPcric_1!H2685)</f>
        <v>0.83</v>
      </c>
      <c r="I2710" t="str">
        <f>IF(VIPcric_1!M2685="","",VIPcric_1!M2685)</f>
        <v>CRIC-阜新-市场监测.商品房市场.项目累计.供求.xlsx</v>
      </c>
    </row>
    <row r="2711" spans="1:9">
      <c r="A2711" t="str">
        <f>IF(VIPcric_1!A2686="","",VIPcric_1!A2686)</f>
        <v>2019年</v>
      </c>
      <c r="B2711">
        <f>IF(VIPcric_1!B2686="","",VIPcric_1!B2686)</f>
        <v>612574</v>
      </c>
      <c r="C2711">
        <f>IF(VIPcric_1!C2686="","",VIPcric_1!C2686)</f>
        <v>5889</v>
      </c>
      <c r="D2711">
        <f>IF(VIPcric_1!D2686="","",VIPcric_1!D2686)</f>
        <v>201075</v>
      </c>
      <c r="E2711">
        <f>IF(VIPcric_1!E2686="","",VIPcric_1!E2686)</f>
        <v>1849</v>
      </c>
      <c r="F2711">
        <f>IF(VIPcric_1!F2686="","",VIPcric_1!F2686)</f>
        <v>4672</v>
      </c>
      <c r="G2711">
        <f>IF(VIPcric_1!G2686="","",VIPcric_1!G2686)</f>
        <v>939354565</v>
      </c>
      <c r="H2711">
        <f>IF(VIPcric_1!H2686="","",VIPcric_1!H2686)</f>
        <v>3.05</v>
      </c>
      <c r="I2711" t="str">
        <f>IF(VIPcric_1!M2686="","",VIPcric_1!M2686)</f>
        <v>CRIC-阜新-市场监测.商品房市场.项目累计.供求.xlsx</v>
      </c>
    </row>
    <row r="2712" spans="1:9">
      <c r="A2712" t="str">
        <f>IF(VIPcric_1!A2687="","",VIPcric_1!A2687)</f>
        <v>汇总</v>
      </c>
      <c r="B2712">
        <f>IF(VIPcric_1!B2687="","",VIPcric_1!B2687)</f>
        <v>2362389</v>
      </c>
      <c r="C2712">
        <f>IF(VIPcric_1!C2687="","",VIPcric_1!C2687)</f>
        <v>21394</v>
      </c>
      <c r="D2712">
        <f>IF(VIPcric_1!D2687="","",VIPcric_1!D2687)</f>
        <v>2855877</v>
      </c>
      <c r="E2712">
        <f>IF(VIPcric_1!E2687="","",VIPcric_1!E2687)</f>
        <v>26825</v>
      </c>
      <c r="F2712">
        <f>IF(VIPcric_1!F2687="","",VIPcric_1!F2687)</f>
        <v>4268</v>
      </c>
      <c r="G2712">
        <f>IF(VIPcric_1!G2687="","",VIPcric_1!G2687)</f>
        <v>12190065075</v>
      </c>
      <c r="H2712">
        <f>IF(VIPcric_1!H2687="","",VIPcric_1!H2687)</f>
        <v>0.83</v>
      </c>
      <c r="I2712" t="str">
        <f>IF(VIPcric_1!M2687="","",VIPcric_1!M2687)</f>
        <v>CRIC-阜新-市场监测.商品房市场.项目累计.供求.xlsx</v>
      </c>
    </row>
    <row r="2713" spans="1:9">
      <c r="A2713" t="str">
        <f>IF(VIPcric_1!A2688="","",VIPcric_1!A2688)</f>
        <v/>
      </c>
      <c r="B2713" t="str">
        <f>IF(VIPcric_1!B2688="","",VIPcric_1!B2688)</f>
        <v/>
      </c>
      <c r="C2713" t="str">
        <f>IF(VIPcric_1!C2688="","",VIPcric_1!C2688)</f>
        <v/>
      </c>
      <c r="D2713" t="str">
        <f>IF(VIPcric_1!D2688="","",VIPcric_1!D2688)</f>
        <v/>
      </c>
      <c r="E2713" t="str">
        <f>IF(VIPcric_1!E2688="","",VIPcric_1!E2688)</f>
        <v/>
      </c>
      <c r="F2713" t="str">
        <f>IF(VIPcric_1!F2688="","",VIPcric_1!F2688)</f>
        <v/>
      </c>
      <c r="G2713" t="str">
        <f>IF(VIPcric_1!G2688="","",VIPcric_1!G2688)</f>
        <v/>
      </c>
      <c r="H2713" t="str">
        <f>IF(VIPcric_1!H2688="","",VIPcric_1!H2688)</f>
        <v/>
      </c>
      <c r="I2713" t="str">
        <f>IF(VIPcric_1!M2688="","",VIPcric_1!M2688)</f>
        <v/>
      </c>
    </row>
    <row r="2714" spans="1:9">
      <c r="A2714" t="str">
        <f>IF(VIPcric_1!A2689="","",VIPcric_1!A2689)</f>
        <v/>
      </c>
      <c r="B2714" t="str">
        <f>IF(VIPcric_1!B2689="","",VIPcric_1!B2689)</f>
        <v/>
      </c>
      <c r="C2714" t="str">
        <f>IF(VIPcric_1!C2689="","",VIPcric_1!C2689)</f>
        <v/>
      </c>
      <c r="D2714" t="str">
        <f>IF(VIPcric_1!D2689="","",VIPcric_1!D2689)</f>
        <v/>
      </c>
      <c r="E2714" t="str">
        <f>IF(VIPcric_1!E2689="","",VIPcric_1!E2689)</f>
        <v/>
      </c>
      <c r="F2714" t="str">
        <f>IF(VIPcric_1!F2689="","",VIPcric_1!F2689)</f>
        <v/>
      </c>
      <c r="G2714" t="str">
        <f>IF(VIPcric_1!G2689="","",VIPcric_1!G2689)</f>
        <v/>
      </c>
      <c r="H2714" t="str">
        <f>IF(VIPcric_1!H2689="","",VIPcric_1!H2689)</f>
        <v/>
      </c>
      <c r="I2714" t="str">
        <f>IF(VIPcric_1!M2689="","",VIPcric_1!M2689)</f>
        <v>CRIC-阜新-市场监测.商品房市场.项目累计.库存.xlsx</v>
      </c>
    </row>
    <row r="2715" spans="1:9">
      <c r="A2715" t="str">
        <f>IF(VIPcric_1!A2690="","",VIPcric_1!A2690)</f>
        <v>时间(年)</v>
      </c>
      <c r="B2715" t="str">
        <f>IF(VIPcric_1!B2690="","",VIPcric_1!B2690)</f>
        <v>库存面积(㎡)</v>
      </c>
      <c r="C2715" t="str">
        <f>IF(VIPcric_1!C2690="","",VIPcric_1!C2690)</f>
        <v>库存套数(套)</v>
      </c>
      <c r="D2715" t="str">
        <f>IF(VIPcric_1!D2690="","",VIPcric_1!D2690)</f>
        <v>去化周期12'(月)</v>
      </c>
      <c r="E2715" t="str">
        <f>IF(VIPcric_1!E2690="","",VIPcric_1!E2690)</f>
        <v/>
      </c>
      <c r="F2715" t="str">
        <f>IF(VIPcric_1!F2690="","",VIPcric_1!F2690)</f>
        <v/>
      </c>
      <c r="G2715" t="str">
        <f>IF(VIPcric_1!G2690="","",VIPcric_1!G2690)</f>
        <v/>
      </c>
      <c r="H2715" t="str">
        <f>IF(VIPcric_1!H2690="","",VIPcric_1!H2690)</f>
        <v/>
      </c>
      <c r="I2715" t="str">
        <f>IF(VIPcric_1!M2690="","",VIPcric_1!M2690)</f>
        <v>CRIC-阜新-市场监测.商品房市场.项目累计.库存.xlsx</v>
      </c>
    </row>
    <row r="2716" spans="1:9">
      <c r="A2716" t="str">
        <f>IF(VIPcric_1!A2691="","",VIPcric_1!A2691)</f>
        <v>2023年</v>
      </c>
      <c r="B2716">
        <f>IF(VIPcric_1!B2691="","",VIPcric_1!B2691)</f>
        <v>2447598</v>
      </c>
      <c r="C2716">
        <f>IF(VIPcric_1!C2691="","",VIPcric_1!C2691)</f>
        <v>26448</v>
      </c>
      <c r="D2716">
        <f>IF(VIPcric_1!D2691="","",VIPcric_1!D2691)</f>
        <v>49.3</v>
      </c>
      <c r="E2716" t="str">
        <f>IF(VIPcric_1!E2691="","",VIPcric_1!E2691)</f>
        <v/>
      </c>
      <c r="F2716" t="str">
        <f>IF(VIPcric_1!F2691="","",VIPcric_1!F2691)</f>
        <v/>
      </c>
      <c r="G2716" t="str">
        <f>IF(VIPcric_1!G2691="","",VIPcric_1!G2691)</f>
        <v/>
      </c>
      <c r="H2716" t="str">
        <f>IF(VIPcric_1!H2691="","",VIPcric_1!H2691)</f>
        <v/>
      </c>
      <c r="I2716" t="str">
        <f>IF(VIPcric_1!M2691="","",VIPcric_1!M2691)</f>
        <v>CRIC-阜新-市场监测.商品房市场.项目累计.库存.xlsx</v>
      </c>
    </row>
    <row r="2717" spans="1:9">
      <c r="A2717" t="str">
        <f>IF(VIPcric_1!A2692="","",VIPcric_1!A2692)</f>
        <v>2022年</v>
      </c>
      <c r="B2717">
        <f>IF(VIPcric_1!B2692="","",VIPcric_1!B2692)</f>
        <v>2646860</v>
      </c>
      <c r="C2717">
        <f>IF(VIPcric_1!C2692="","",VIPcric_1!C2692)</f>
        <v>28326</v>
      </c>
      <c r="D2717">
        <f>IF(VIPcric_1!D2692="","",VIPcric_1!D2692)</f>
        <v>52.2</v>
      </c>
      <c r="E2717" t="str">
        <f>IF(VIPcric_1!E2692="","",VIPcric_1!E2692)</f>
        <v/>
      </c>
      <c r="F2717" t="str">
        <f>IF(VIPcric_1!F2692="","",VIPcric_1!F2692)</f>
        <v/>
      </c>
      <c r="G2717" t="str">
        <f>IF(VIPcric_1!G2692="","",VIPcric_1!G2692)</f>
        <v/>
      </c>
      <c r="H2717" t="str">
        <f>IF(VIPcric_1!H2692="","",VIPcric_1!H2692)</f>
        <v/>
      </c>
      <c r="I2717" t="str">
        <f>IF(VIPcric_1!M2692="","",VIPcric_1!M2692)</f>
        <v>CRIC-阜新-市场监测.商品房市场.项目累计.库存.xlsx</v>
      </c>
    </row>
    <row r="2718" spans="1:9">
      <c r="A2718" t="str">
        <f>IF(VIPcric_1!A2693="","",VIPcric_1!A2693)</f>
        <v>2021年</v>
      </c>
      <c r="B2718">
        <f>IF(VIPcric_1!B2693="","",VIPcric_1!B2693)</f>
        <v>2823687</v>
      </c>
      <c r="C2718">
        <f>IF(VIPcric_1!C2693="","",VIPcric_1!C2693)</f>
        <v>30075</v>
      </c>
      <c r="D2718">
        <f>IF(VIPcric_1!D2693="","",VIPcric_1!D2693)</f>
        <v>47.5</v>
      </c>
      <c r="E2718" t="str">
        <f>IF(VIPcric_1!E2693="","",VIPcric_1!E2693)</f>
        <v/>
      </c>
      <c r="F2718" t="str">
        <f>IF(VIPcric_1!F2693="","",VIPcric_1!F2693)</f>
        <v/>
      </c>
      <c r="G2718" t="str">
        <f>IF(VIPcric_1!G2693="","",VIPcric_1!G2693)</f>
        <v/>
      </c>
      <c r="H2718" t="str">
        <f>IF(VIPcric_1!H2693="","",VIPcric_1!H2693)</f>
        <v/>
      </c>
      <c r="I2718" t="str">
        <f>IF(VIPcric_1!M2693="","",VIPcric_1!M2693)</f>
        <v>CRIC-阜新-市场监测.商品房市场.项目累计.库存.xlsx</v>
      </c>
    </row>
    <row r="2719" spans="1:9">
      <c r="A2719" t="str">
        <f>IF(VIPcric_1!A2694="","",VIPcric_1!A2694)</f>
        <v>2020年</v>
      </c>
      <c r="B2719">
        <f>IF(VIPcric_1!B2694="","",VIPcric_1!B2694)</f>
        <v>3093036</v>
      </c>
      <c r="C2719">
        <f>IF(VIPcric_1!C2694="","",VIPcric_1!C2694)</f>
        <v>32854</v>
      </c>
      <c r="D2719">
        <f>IF(VIPcric_1!D2694="","",VIPcric_1!D2694)</f>
        <v>50.4</v>
      </c>
      <c r="E2719" t="str">
        <f>IF(VIPcric_1!E2694="","",VIPcric_1!E2694)</f>
        <v/>
      </c>
      <c r="F2719" t="str">
        <f>IF(VIPcric_1!F2694="","",VIPcric_1!F2694)</f>
        <v/>
      </c>
      <c r="G2719" t="str">
        <f>IF(VIPcric_1!G2694="","",VIPcric_1!G2694)</f>
        <v/>
      </c>
      <c r="H2719" t="str">
        <f>IF(VIPcric_1!H2694="","",VIPcric_1!H2694)</f>
        <v/>
      </c>
      <c r="I2719" t="str">
        <f>IF(VIPcric_1!M2694="","",VIPcric_1!M2694)</f>
        <v>CRIC-阜新-市场监测.商品房市场.项目累计.库存.xlsx</v>
      </c>
    </row>
    <row r="2720" spans="1:9">
      <c r="A2720" t="str">
        <f>IF(VIPcric_1!A2695="","",VIPcric_1!A2695)</f>
        <v>2019年</v>
      </c>
      <c r="B2720">
        <f>IF(VIPcric_1!B2695="","",VIPcric_1!B2695)</f>
        <v>3088439</v>
      </c>
      <c r="C2720">
        <f>IF(VIPcric_1!C2695="","",VIPcric_1!C2695)</f>
        <v>33204</v>
      </c>
      <c r="D2720">
        <f>IF(VIPcric_1!D2695="","",VIPcric_1!D2695)</f>
        <v>184.3</v>
      </c>
      <c r="E2720" t="str">
        <f>IF(VIPcric_1!E2695="","",VIPcric_1!E2695)</f>
        <v/>
      </c>
      <c r="F2720" t="str">
        <f>IF(VIPcric_1!F2695="","",VIPcric_1!F2695)</f>
        <v/>
      </c>
      <c r="G2720" t="str">
        <f>IF(VIPcric_1!G2695="","",VIPcric_1!G2695)</f>
        <v/>
      </c>
      <c r="H2720" t="str">
        <f>IF(VIPcric_1!H2695="","",VIPcric_1!H2695)</f>
        <v/>
      </c>
      <c r="I2720" t="str">
        <f>IF(VIPcric_1!M2695="","",VIPcric_1!M2695)</f>
        <v>CRIC-阜新-市场监测.商品房市场.项目累计.库存.xlsx</v>
      </c>
    </row>
    <row r="2721" spans="1:9">
      <c r="A2721" t="str">
        <f>IF(VIPcric_1!A2696="","",VIPcric_1!A2696)</f>
        <v/>
      </c>
      <c r="B2721" t="str">
        <f>IF(VIPcric_1!B2696="","",VIPcric_1!B2696)</f>
        <v/>
      </c>
      <c r="C2721" t="str">
        <f>IF(VIPcric_1!C2696="","",VIPcric_1!C2696)</f>
        <v/>
      </c>
      <c r="D2721" t="str">
        <f>IF(VIPcric_1!D2696="","",VIPcric_1!D2696)</f>
        <v/>
      </c>
      <c r="E2721" t="str">
        <f>IF(VIPcric_1!E2696="","",VIPcric_1!E2696)</f>
        <v/>
      </c>
      <c r="F2721" t="str">
        <f>IF(VIPcric_1!F2696="","",VIPcric_1!F2696)</f>
        <v/>
      </c>
      <c r="G2721" t="str">
        <f>IF(VIPcric_1!G2696="","",VIPcric_1!G2696)</f>
        <v/>
      </c>
      <c r="H2721" t="str">
        <f>IF(VIPcric_1!H2696="","",VIPcric_1!H2696)</f>
        <v/>
      </c>
      <c r="I2721" t="str">
        <f>IF(VIPcric_1!M2696="","",VIPcric_1!M2696)</f>
        <v/>
      </c>
    </row>
    <row r="2722" spans="1:9">
      <c r="A2722" t="str">
        <f>IF(VIPcric_1!A2697="","",VIPcric_1!A2697)</f>
        <v/>
      </c>
      <c r="B2722" t="str">
        <f>IF(VIPcric_1!B2697="","",VIPcric_1!B2697)</f>
        <v/>
      </c>
      <c r="C2722" t="str">
        <f>IF(VIPcric_1!C2697="","",VIPcric_1!C2697)</f>
        <v/>
      </c>
      <c r="D2722" t="str">
        <f>IF(VIPcric_1!D2697="","",VIPcric_1!D2697)</f>
        <v/>
      </c>
      <c r="E2722" t="str">
        <f>IF(VIPcric_1!E2697="","",VIPcric_1!E2697)</f>
        <v/>
      </c>
      <c r="F2722" t="str">
        <f>IF(VIPcric_1!F2697="","",VIPcric_1!F2697)</f>
        <v/>
      </c>
      <c r="G2722" t="str">
        <f>IF(VIPcric_1!G2697="","",VIPcric_1!G2697)</f>
        <v/>
      </c>
      <c r="H2722" t="str">
        <f>IF(VIPcric_1!H2697="","",VIPcric_1!H2697)</f>
        <v/>
      </c>
      <c r="I2722" t="str">
        <f>IF(VIPcric_1!M2697="","",VIPcric_1!M2697)</f>
        <v>CRIC-陵水-市场监测.商品房市场.项目累计.供求.xlsx</v>
      </c>
    </row>
    <row r="2723" spans="1:9">
      <c r="A2723" t="str">
        <f>IF(VIPcric_1!A2698="","",VIPcric_1!A2698)</f>
        <v>时间(年)</v>
      </c>
      <c r="B2723" t="str">
        <f>IF(VIPcric_1!B2698="","",VIPcric_1!B2698)</f>
        <v>供应面积(㎡)</v>
      </c>
      <c r="C2723" t="str">
        <f>IF(VIPcric_1!C2698="","",VIPcric_1!C2698)</f>
        <v>供应套数(套)</v>
      </c>
      <c r="D2723" t="str">
        <f>IF(VIPcric_1!D2698="","",VIPcric_1!D2698)</f>
        <v>成交面积(㎡)</v>
      </c>
      <c r="E2723" t="str">
        <f>IF(VIPcric_1!E2698="","",VIPcric_1!E2698)</f>
        <v>成交套数(套)</v>
      </c>
      <c r="F2723" t="str">
        <f>IF(VIPcric_1!F2698="","",VIPcric_1!F2698)</f>
        <v>成交均价(元/㎡)</v>
      </c>
      <c r="G2723" t="str">
        <f>IF(VIPcric_1!G2698="","",VIPcric_1!G2698)</f>
        <v>成交金额(元)</v>
      </c>
      <c r="H2723" t="str">
        <f>IF(VIPcric_1!H2698="","",VIPcric_1!H2698)</f>
        <v>供求比</v>
      </c>
      <c r="I2723" t="str">
        <f>IF(VIPcric_1!M2698="","",VIPcric_1!M2698)</f>
        <v>CRIC-陵水-市场监测.商品房市场.项目累计.供求.xlsx</v>
      </c>
    </row>
    <row r="2724" spans="1:9">
      <c r="A2724" t="str">
        <f>IF(VIPcric_1!A2699="","",VIPcric_1!A2699)</f>
        <v>2024年</v>
      </c>
      <c r="B2724">
        <f>IF(VIPcric_1!B2699="","",VIPcric_1!B2699)</f>
        <v>65182</v>
      </c>
      <c r="C2724">
        <f>IF(VIPcric_1!C2699="","",VIPcric_1!C2699)</f>
        <v>654</v>
      </c>
      <c r="D2724">
        <f>IF(VIPcric_1!D2699="","",VIPcric_1!D2699)</f>
        <v>18994</v>
      </c>
      <c r="E2724">
        <f>IF(VIPcric_1!E2699="","",VIPcric_1!E2699)</f>
        <v>223</v>
      </c>
      <c r="F2724">
        <f>IF(VIPcric_1!F2699="","",VIPcric_1!F2699)</f>
        <v>20869</v>
      </c>
      <c r="G2724">
        <f>IF(VIPcric_1!G2699="","",VIPcric_1!G2699)</f>
        <v>396384579</v>
      </c>
      <c r="H2724">
        <f>IF(VIPcric_1!H2699="","",VIPcric_1!H2699)</f>
        <v>3.43</v>
      </c>
      <c r="I2724" t="str">
        <f>IF(VIPcric_1!M2699="","",VIPcric_1!M2699)</f>
        <v>CRIC-陵水-市场监测.商品房市场.项目累计.供求.xlsx</v>
      </c>
    </row>
    <row r="2725" spans="1:9">
      <c r="A2725" t="str">
        <f>IF(VIPcric_1!A2700="","",VIPcric_1!A2700)</f>
        <v>2023年</v>
      </c>
      <c r="B2725">
        <f>IF(VIPcric_1!B2700="","",VIPcric_1!B2700)</f>
        <v>331274</v>
      </c>
      <c r="C2725">
        <f>IF(VIPcric_1!C2700="","",VIPcric_1!C2700)</f>
        <v>3189</v>
      </c>
      <c r="D2725">
        <f>IF(VIPcric_1!D2700="","",VIPcric_1!D2700)</f>
        <v>623915</v>
      </c>
      <c r="E2725">
        <f>IF(VIPcric_1!E2700="","",VIPcric_1!E2700)</f>
        <v>5019</v>
      </c>
      <c r="F2725">
        <f>IF(VIPcric_1!F2700="","",VIPcric_1!F2700)</f>
        <v>19437</v>
      </c>
      <c r="G2725">
        <f>IF(VIPcric_1!G2700="","",VIPcric_1!G2700)</f>
        <v>12126925232</v>
      </c>
      <c r="H2725">
        <f>IF(VIPcric_1!H2700="","",VIPcric_1!H2700)</f>
        <v>0.53</v>
      </c>
      <c r="I2725" t="str">
        <f>IF(VIPcric_1!M2700="","",VIPcric_1!M2700)</f>
        <v>CRIC-陵水-市场监测.商品房市场.项目累计.供求.xlsx</v>
      </c>
    </row>
    <row r="2726" spans="1:9">
      <c r="A2726" t="str">
        <f>IF(VIPcric_1!A2701="","",VIPcric_1!A2701)</f>
        <v>2022年</v>
      </c>
      <c r="B2726">
        <f>IF(VIPcric_1!B2701="","",VIPcric_1!B2701)</f>
        <v>341246</v>
      </c>
      <c r="C2726">
        <f>IF(VIPcric_1!C2701="","",VIPcric_1!C2701)</f>
        <v>3134</v>
      </c>
      <c r="D2726">
        <f>IF(VIPcric_1!D2701="","",VIPcric_1!D2701)</f>
        <v>812287</v>
      </c>
      <c r="E2726">
        <f>IF(VIPcric_1!E2701="","",VIPcric_1!E2701)</f>
        <v>6732</v>
      </c>
      <c r="F2726">
        <f>IF(VIPcric_1!F2701="","",VIPcric_1!F2701)</f>
        <v>19613</v>
      </c>
      <c r="G2726">
        <f>IF(VIPcric_1!G2701="","",VIPcric_1!G2701)</f>
        <v>15931353331</v>
      </c>
      <c r="H2726">
        <f>IF(VIPcric_1!H2701="","",VIPcric_1!H2701)</f>
        <v>0.42</v>
      </c>
      <c r="I2726" t="str">
        <f>IF(VIPcric_1!M2701="","",VIPcric_1!M2701)</f>
        <v>CRIC-陵水-市场监测.商品房市场.项目累计.供求.xlsx</v>
      </c>
    </row>
    <row r="2727" spans="1:9">
      <c r="A2727" t="str">
        <f>IF(VIPcric_1!A2702="","",VIPcric_1!A2702)</f>
        <v>2021年</v>
      </c>
      <c r="B2727">
        <f>IF(VIPcric_1!B2702="","",VIPcric_1!B2702)</f>
        <v>213374</v>
      </c>
      <c r="C2727">
        <f>IF(VIPcric_1!C2702="","",VIPcric_1!C2702)</f>
        <v>1815</v>
      </c>
      <c r="D2727">
        <f>IF(VIPcric_1!D2702="","",VIPcric_1!D2702)</f>
        <v>116905</v>
      </c>
      <c r="E2727">
        <f>IF(VIPcric_1!E2702="","",VIPcric_1!E2702)</f>
        <v>1087</v>
      </c>
      <c r="F2727">
        <f>IF(VIPcric_1!F2702="","",VIPcric_1!F2702)</f>
        <v>21378</v>
      </c>
      <c r="G2727">
        <f>IF(VIPcric_1!G2702="","",VIPcric_1!G2702)</f>
        <v>2499151560</v>
      </c>
      <c r="H2727">
        <f>IF(VIPcric_1!H2702="","",VIPcric_1!H2702)</f>
        <v>1.83</v>
      </c>
      <c r="I2727" t="str">
        <f>IF(VIPcric_1!M2702="","",VIPcric_1!M2702)</f>
        <v>CRIC-陵水-市场监测.商品房市场.项目累计.供求.xlsx</v>
      </c>
    </row>
    <row r="2728" spans="1:9">
      <c r="A2728" t="str">
        <f>IF(VIPcric_1!A2703="","",VIPcric_1!A2703)</f>
        <v>2020年</v>
      </c>
      <c r="B2728">
        <f>IF(VIPcric_1!B2703="","",VIPcric_1!B2703)</f>
        <v>0</v>
      </c>
      <c r="C2728">
        <f>IF(VIPcric_1!C2703="","",VIPcric_1!C2703)</f>
        <v>0</v>
      </c>
      <c r="D2728">
        <f>IF(VIPcric_1!D2703="","",VIPcric_1!D2703)</f>
        <v>0</v>
      </c>
      <c r="E2728">
        <f>IF(VIPcric_1!E2703="","",VIPcric_1!E2703)</f>
        <v>0</v>
      </c>
      <c r="F2728">
        <f>IF(VIPcric_1!F2703="","",VIPcric_1!F2703)</f>
        <v>0</v>
      </c>
      <c r="G2728">
        <f>IF(VIPcric_1!G2703="","",VIPcric_1!G2703)</f>
        <v>0</v>
      </c>
      <c r="H2728">
        <f>IF(VIPcric_1!H2703="","",VIPcric_1!H2703)</f>
        <v>0</v>
      </c>
      <c r="I2728" t="str">
        <f>IF(VIPcric_1!M2703="","",VIPcric_1!M2703)</f>
        <v>CRIC-陵水-市场监测.商品房市场.项目累计.供求.xlsx</v>
      </c>
    </row>
    <row r="2729" spans="1:9">
      <c r="A2729" t="str">
        <f>IF(VIPcric_1!A2704="","",VIPcric_1!A2704)</f>
        <v>2019年</v>
      </c>
      <c r="B2729">
        <f>IF(VIPcric_1!B2704="","",VIPcric_1!B2704)</f>
        <v>0</v>
      </c>
      <c r="C2729">
        <f>IF(VIPcric_1!C2704="","",VIPcric_1!C2704)</f>
        <v>0</v>
      </c>
      <c r="D2729">
        <f>IF(VIPcric_1!D2704="","",VIPcric_1!D2704)</f>
        <v>0</v>
      </c>
      <c r="E2729">
        <f>IF(VIPcric_1!E2704="","",VIPcric_1!E2704)</f>
        <v>0</v>
      </c>
      <c r="F2729">
        <f>IF(VIPcric_1!F2704="","",VIPcric_1!F2704)</f>
        <v>0</v>
      </c>
      <c r="G2729">
        <f>IF(VIPcric_1!G2704="","",VIPcric_1!G2704)</f>
        <v>0</v>
      </c>
      <c r="H2729">
        <f>IF(VIPcric_1!H2704="","",VIPcric_1!H2704)</f>
        <v>0</v>
      </c>
      <c r="I2729" t="str">
        <f>IF(VIPcric_1!M2704="","",VIPcric_1!M2704)</f>
        <v>CRIC-陵水-市场监测.商品房市场.项目累计.供求.xlsx</v>
      </c>
    </row>
    <row r="2730" spans="1:9">
      <c r="A2730" t="str">
        <f>IF(VIPcric_1!A2705="","",VIPcric_1!A2705)</f>
        <v>汇总</v>
      </c>
      <c r="B2730">
        <f>IF(VIPcric_1!B2705="","",VIPcric_1!B2705)</f>
        <v>951076</v>
      </c>
      <c r="C2730">
        <f>IF(VIPcric_1!C2705="","",VIPcric_1!C2705)</f>
        <v>8792</v>
      </c>
      <c r="D2730">
        <f>IF(VIPcric_1!D2705="","",VIPcric_1!D2705)</f>
        <v>1572100</v>
      </c>
      <c r="E2730">
        <f>IF(VIPcric_1!E2705="","",VIPcric_1!E2705)</f>
        <v>13061</v>
      </c>
      <c r="F2730">
        <f>IF(VIPcric_1!F2705="","",VIPcric_1!F2705)</f>
        <v>19689</v>
      </c>
      <c r="G2730">
        <f>IF(VIPcric_1!G2705="","",VIPcric_1!G2705)</f>
        <v>30953814702</v>
      </c>
      <c r="H2730">
        <f>IF(VIPcric_1!H2705="","",VIPcric_1!H2705)</f>
        <v>0.6</v>
      </c>
      <c r="I2730" t="str">
        <f>IF(VIPcric_1!M2705="","",VIPcric_1!M2705)</f>
        <v>CRIC-陵水-市场监测.商品房市场.项目累计.供求.xlsx</v>
      </c>
    </row>
    <row r="2731" spans="1:9">
      <c r="A2731" t="str">
        <f>IF(VIPcric_1!A2706="","",VIPcric_1!A2706)</f>
        <v/>
      </c>
      <c r="B2731" t="str">
        <f>IF(VIPcric_1!B2706="","",VIPcric_1!B2706)</f>
        <v/>
      </c>
      <c r="C2731" t="str">
        <f>IF(VIPcric_1!C2706="","",VIPcric_1!C2706)</f>
        <v/>
      </c>
      <c r="D2731" t="str">
        <f>IF(VIPcric_1!D2706="","",VIPcric_1!D2706)</f>
        <v/>
      </c>
      <c r="E2731" t="str">
        <f>IF(VIPcric_1!E2706="","",VIPcric_1!E2706)</f>
        <v/>
      </c>
      <c r="F2731" t="str">
        <f>IF(VIPcric_1!F2706="","",VIPcric_1!F2706)</f>
        <v/>
      </c>
      <c r="G2731" t="str">
        <f>IF(VIPcric_1!G2706="","",VIPcric_1!G2706)</f>
        <v/>
      </c>
      <c r="H2731" t="str">
        <f>IF(VIPcric_1!H2706="","",VIPcric_1!H2706)</f>
        <v/>
      </c>
      <c r="I2731" t="str">
        <f>IF(VIPcric_1!M2706="","",VIPcric_1!M2706)</f>
        <v/>
      </c>
    </row>
    <row r="2732" spans="1:9">
      <c r="A2732" t="str">
        <f>IF(VIPcric_1!A2707="","",VIPcric_1!A2707)</f>
        <v/>
      </c>
      <c r="B2732" t="str">
        <f>IF(VIPcric_1!B2707="","",VIPcric_1!B2707)</f>
        <v/>
      </c>
      <c r="C2732" t="str">
        <f>IF(VIPcric_1!C2707="","",VIPcric_1!C2707)</f>
        <v/>
      </c>
      <c r="D2732" t="str">
        <f>IF(VIPcric_1!D2707="","",VIPcric_1!D2707)</f>
        <v/>
      </c>
      <c r="E2732" t="str">
        <f>IF(VIPcric_1!E2707="","",VIPcric_1!E2707)</f>
        <v/>
      </c>
      <c r="F2732" t="str">
        <f>IF(VIPcric_1!F2707="","",VIPcric_1!F2707)</f>
        <v/>
      </c>
      <c r="G2732" t="str">
        <f>IF(VIPcric_1!G2707="","",VIPcric_1!G2707)</f>
        <v/>
      </c>
      <c r="H2732" t="str">
        <f>IF(VIPcric_1!H2707="","",VIPcric_1!H2707)</f>
        <v/>
      </c>
      <c r="I2732" t="str">
        <f>IF(VIPcric_1!M2707="","",VIPcric_1!M2707)</f>
        <v>CRIC-陵水-市场监测.商品房市场.项目累计.库存.xlsx</v>
      </c>
    </row>
    <row r="2733" spans="1:9">
      <c r="A2733" t="str">
        <f>IF(VIPcric_1!A2708="","",VIPcric_1!A2708)</f>
        <v>时间(年)</v>
      </c>
      <c r="B2733" t="str">
        <f>IF(VIPcric_1!B2708="","",VIPcric_1!B2708)</f>
        <v>库存面积(㎡)</v>
      </c>
      <c r="C2733" t="str">
        <f>IF(VIPcric_1!C2708="","",VIPcric_1!C2708)</f>
        <v>库存套数(套)</v>
      </c>
      <c r="D2733" t="str">
        <f>IF(VIPcric_1!D2708="","",VIPcric_1!D2708)</f>
        <v>去化周期12'(月)</v>
      </c>
      <c r="E2733" t="str">
        <f>IF(VIPcric_1!E2708="","",VIPcric_1!E2708)</f>
        <v/>
      </c>
      <c r="F2733" t="str">
        <f>IF(VIPcric_1!F2708="","",VIPcric_1!F2708)</f>
        <v/>
      </c>
      <c r="G2733" t="str">
        <f>IF(VIPcric_1!G2708="","",VIPcric_1!G2708)</f>
        <v/>
      </c>
      <c r="H2733" t="str">
        <f>IF(VIPcric_1!H2708="","",VIPcric_1!H2708)</f>
        <v/>
      </c>
      <c r="I2733" t="str">
        <f>IF(VIPcric_1!M2708="","",VIPcric_1!M2708)</f>
        <v>CRIC-陵水-市场监测.商品房市场.项目累计.库存.xlsx</v>
      </c>
    </row>
    <row r="2734" spans="1:9">
      <c r="A2734" t="str">
        <f>IF(VIPcric_1!A2709="","",VIPcric_1!A2709)</f>
        <v>2024年</v>
      </c>
      <c r="B2734">
        <f>IF(VIPcric_1!B2709="","",VIPcric_1!B2709)</f>
        <v>1362481</v>
      </c>
      <c r="C2734">
        <f>IF(VIPcric_1!C2709="","",VIPcric_1!C2709)</f>
        <v>12822</v>
      </c>
      <c r="D2734">
        <f>IF(VIPcric_1!D2709="","",VIPcric_1!D2709)</f>
        <v>28</v>
      </c>
      <c r="E2734" t="str">
        <f>IF(VIPcric_1!E2709="","",VIPcric_1!E2709)</f>
        <v/>
      </c>
      <c r="F2734" t="str">
        <f>IF(VIPcric_1!F2709="","",VIPcric_1!F2709)</f>
        <v/>
      </c>
      <c r="G2734" t="str">
        <f>IF(VIPcric_1!G2709="","",VIPcric_1!G2709)</f>
        <v/>
      </c>
      <c r="H2734" t="str">
        <f>IF(VIPcric_1!H2709="","",VIPcric_1!H2709)</f>
        <v/>
      </c>
      <c r="I2734" t="str">
        <f>IF(VIPcric_1!M2709="","",VIPcric_1!M2709)</f>
        <v>CRIC-陵水-市场监测.商品房市场.项目累计.库存.xlsx</v>
      </c>
    </row>
    <row r="2735" spans="1:9">
      <c r="A2735" t="str">
        <f>IF(VIPcric_1!A2710="","",VIPcric_1!A2710)</f>
        <v>2023年</v>
      </c>
      <c r="B2735">
        <f>IF(VIPcric_1!B2710="","",VIPcric_1!B2710)</f>
        <v>1318722</v>
      </c>
      <c r="C2735">
        <f>IF(VIPcric_1!C2710="","",VIPcric_1!C2710)</f>
        <v>12426</v>
      </c>
      <c r="D2735">
        <f>IF(VIPcric_1!D2710="","",VIPcric_1!D2710)</f>
        <v>25.4</v>
      </c>
      <c r="E2735" t="str">
        <f>IF(VIPcric_1!E2710="","",VIPcric_1!E2710)</f>
        <v/>
      </c>
      <c r="F2735" t="str">
        <f>IF(VIPcric_1!F2710="","",VIPcric_1!F2710)</f>
        <v/>
      </c>
      <c r="G2735" t="str">
        <f>IF(VIPcric_1!G2710="","",VIPcric_1!G2710)</f>
        <v/>
      </c>
      <c r="H2735" t="str">
        <f>IF(VIPcric_1!H2710="","",VIPcric_1!H2710)</f>
        <v/>
      </c>
      <c r="I2735" t="str">
        <f>IF(VIPcric_1!M2710="","",VIPcric_1!M2710)</f>
        <v>CRIC-陵水-市场监测.商品房市场.项目累计.库存.xlsx</v>
      </c>
    </row>
    <row r="2736" spans="1:9">
      <c r="A2736" t="str">
        <f>IF(VIPcric_1!A2711="","",VIPcric_1!A2711)</f>
        <v>2022年</v>
      </c>
      <c r="B2736">
        <f>IF(VIPcric_1!B2711="","",VIPcric_1!B2711)</f>
        <v>1580218</v>
      </c>
      <c r="C2736">
        <f>IF(VIPcric_1!C2711="","",VIPcric_1!C2711)</f>
        <v>13986</v>
      </c>
      <c r="D2736">
        <f>IF(VIPcric_1!D2711="","",VIPcric_1!D2711)</f>
        <v>23.3</v>
      </c>
      <c r="E2736" t="str">
        <f>IF(VIPcric_1!E2711="","",VIPcric_1!E2711)</f>
        <v/>
      </c>
      <c r="F2736" t="str">
        <f>IF(VIPcric_1!F2711="","",VIPcric_1!F2711)</f>
        <v/>
      </c>
      <c r="G2736" t="str">
        <f>IF(VIPcric_1!G2711="","",VIPcric_1!G2711)</f>
        <v/>
      </c>
      <c r="H2736" t="str">
        <f>IF(VIPcric_1!H2711="","",VIPcric_1!H2711)</f>
        <v/>
      </c>
      <c r="I2736" t="str">
        <f>IF(VIPcric_1!M2711="","",VIPcric_1!M2711)</f>
        <v>CRIC-陵水-市场监测.商品房市场.项目累计.库存.xlsx</v>
      </c>
    </row>
    <row r="2737" spans="1:9">
      <c r="A2737" t="str">
        <f>IF(VIPcric_1!A2712="","",VIPcric_1!A2712)</f>
        <v>2021年</v>
      </c>
      <c r="B2737">
        <f>IF(VIPcric_1!B2712="","",VIPcric_1!B2712)</f>
        <v>1839990</v>
      </c>
      <c r="C2737">
        <f>IF(VIPcric_1!C2712="","",VIPcric_1!C2712)</f>
        <v>15743</v>
      </c>
      <c r="D2737">
        <f>IF(VIPcric_1!D2712="","",VIPcric_1!D2712)</f>
        <v>188.9</v>
      </c>
      <c r="E2737" t="str">
        <f>IF(VIPcric_1!E2712="","",VIPcric_1!E2712)</f>
        <v/>
      </c>
      <c r="F2737" t="str">
        <f>IF(VIPcric_1!F2712="","",VIPcric_1!F2712)</f>
        <v/>
      </c>
      <c r="G2737" t="str">
        <f>IF(VIPcric_1!G2712="","",VIPcric_1!G2712)</f>
        <v/>
      </c>
      <c r="H2737" t="str">
        <f>IF(VIPcric_1!H2712="","",VIPcric_1!H2712)</f>
        <v/>
      </c>
      <c r="I2737" t="str">
        <f>IF(VIPcric_1!M2712="","",VIPcric_1!M2712)</f>
        <v>CRIC-陵水-市场监测.商品房市场.项目累计.库存.xlsx</v>
      </c>
    </row>
    <row r="2738" spans="1:9">
      <c r="A2738" t="str">
        <f>IF(VIPcric_1!A2713="","",VIPcric_1!A2713)</f>
        <v/>
      </c>
      <c r="B2738" t="str">
        <f>IF(VIPcric_1!B2713="","",VIPcric_1!B2713)</f>
        <v/>
      </c>
      <c r="C2738" t="str">
        <f>IF(VIPcric_1!C2713="","",VIPcric_1!C2713)</f>
        <v/>
      </c>
      <c r="D2738" t="str">
        <f>IF(VIPcric_1!D2713="","",VIPcric_1!D2713)</f>
        <v/>
      </c>
      <c r="E2738" t="str">
        <f>IF(VIPcric_1!E2713="","",VIPcric_1!E2713)</f>
        <v/>
      </c>
      <c r="F2738" t="str">
        <f>IF(VIPcric_1!F2713="","",VIPcric_1!F2713)</f>
        <v/>
      </c>
      <c r="G2738" t="str">
        <f>IF(VIPcric_1!G2713="","",VIPcric_1!G2713)</f>
        <v/>
      </c>
      <c r="H2738" t="str">
        <f>IF(VIPcric_1!H2713="","",VIPcric_1!H2713)</f>
        <v/>
      </c>
      <c r="I2738" t="str">
        <f>IF(VIPcric_1!M2713="","",VIPcric_1!M2713)</f>
        <v/>
      </c>
    </row>
    <row r="2739" spans="1:9">
      <c r="A2739" t="str">
        <f>IF(VIPcric_1!A2714="","",VIPcric_1!A2714)</f>
        <v/>
      </c>
      <c r="B2739" t="str">
        <f>IF(VIPcric_1!B2714="","",VIPcric_1!B2714)</f>
        <v/>
      </c>
      <c r="C2739" t="str">
        <f>IF(VIPcric_1!C2714="","",VIPcric_1!C2714)</f>
        <v/>
      </c>
      <c r="D2739" t="str">
        <f>IF(VIPcric_1!D2714="","",VIPcric_1!D2714)</f>
        <v/>
      </c>
      <c r="E2739" t="str">
        <f>IF(VIPcric_1!E2714="","",VIPcric_1!E2714)</f>
        <v/>
      </c>
      <c r="F2739" t="str">
        <f>IF(VIPcric_1!F2714="","",VIPcric_1!F2714)</f>
        <v/>
      </c>
      <c r="G2739" t="str">
        <f>IF(VIPcric_1!G2714="","",VIPcric_1!G2714)</f>
        <v/>
      </c>
      <c r="H2739" t="str">
        <f>IF(VIPcric_1!H2714="","",VIPcric_1!H2714)</f>
        <v/>
      </c>
      <c r="I2739" t="str">
        <f>IF(VIPcric_1!M2714="","",VIPcric_1!M2714)</f>
        <v>CRIC-青岛-市场监测.商品房市场.项目累计.供求.xlsx</v>
      </c>
    </row>
    <row r="2740" spans="1:9">
      <c r="A2740" t="str">
        <f>IF(VIPcric_1!A2715="","",VIPcric_1!A2715)</f>
        <v>时间(年)</v>
      </c>
      <c r="B2740" t="str">
        <f>IF(VIPcric_1!B2715="","",VIPcric_1!B2715)</f>
        <v>供应面积(㎡)</v>
      </c>
      <c r="C2740" t="str">
        <f>IF(VIPcric_1!C2715="","",VIPcric_1!C2715)</f>
        <v>供应套数(套)</v>
      </c>
      <c r="D2740" t="str">
        <f>IF(VIPcric_1!D2715="","",VIPcric_1!D2715)</f>
        <v>成交面积(㎡)</v>
      </c>
      <c r="E2740" t="str">
        <f>IF(VIPcric_1!E2715="","",VIPcric_1!E2715)</f>
        <v>成交套数(套)</v>
      </c>
      <c r="F2740" t="str">
        <f>IF(VIPcric_1!F2715="","",VIPcric_1!F2715)</f>
        <v>成交均价(元/㎡)</v>
      </c>
      <c r="G2740" t="str">
        <f>IF(VIPcric_1!G2715="","",VIPcric_1!G2715)</f>
        <v>供求比</v>
      </c>
      <c r="H2740" t="str">
        <f>IF(VIPcric_1!H2715="","",VIPcric_1!H2715)</f>
        <v/>
      </c>
      <c r="I2740" t="str">
        <f>IF(VIPcric_1!M2715="","",VIPcric_1!M2715)</f>
        <v>CRIC-青岛-市场监测.商品房市场.项目累计.供求.xlsx</v>
      </c>
    </row>
    <row r="2741" spans="1:9">
      <c r="A2741" t="str">
        <f>IF(VIPcric_1!A2716="","",VIPcric_1!A2716)</f>
        <v>2023年</v>
      </c>
      <c r="B2741">
        <f>IF(VIPcric_1!B2716="","",VIPcric_1!B2716)</f>
        <v>5823900</v>
      </c>
      <c r="C2741">
        <f>IF(VIPcric_1!C2716="","",VIPcric_1!C2716)</f>
        <v>46377</v>
      </c>
      <c r="D2741">
        <f>IF(VIPcric_1!D2716="","",VIPcric_1!D2716)</f>
        <v>9036994</v>
      </c>
      <c r="E2741">
        <f>IF(VIPcric_1!E2716="","",VIPcric_1!E2716)</f>
        <v>74977</v>
      </c>
      <c r="F2741">
        <f>IF(VIPcric_1!F2716="","",VIPcric_1!F2716)</f>
        <v>14796</v>
      </c>
      <c r="G2741">
        <f>IF(VIPcric_1!G2716="","",VIPcric_1!G2716)</f>
        <v>0.64</v>
      </c>
      <c r="H2741" t="str">
        <f>IF(VIPcric_1!H2716="","",VIPcric_1!H2716)</f>
        <v/>
      </c>
      <c r="I2741" t="str">
        <f>IF(VIPcric_1!M2716="","",VIPcric_1!M2716)</f>
        <v>CRIC-青岛-市场监测.商品房市场.项目累计.供求.xlsx</v>
      </c>
    </row>
    <row r="2742" spans="1:9">
      <c r="A2742" t="str">
        <f>IF(VIPcric_1!A2717="","",VIPcric_1!A2717)</f>
        <v>2022年</v>
      </c>
      <c r="B2742">
        <f>IF(VIPcric_1!B2717="","",VIPcric_1!B2717)</f>
        <v>7511397</v>
      </c>
      <c r="C2742">
        <f>IF(VIPcric_1!C2717="","",VIPcric_1!C2717)</f>
        <v>60024</v>
      </c>
      <c r="D2742">
        <f>IF(VIPcric_1!D2717="","",VIPcric_1!D2717)</f>
        <v>9272945</v>
      </c>
      <c r="E2742">
        <f>IF(VIPcric_1!E2717="","",VIPcric_1!E2717)</f>
        <v>77020</v>
      </c>
      <c r="F2742">
        <f>IF(VIPcric_1!F2717="","",VIPcric_1!F2717)</f>
        <v>15503</v>
      </c>
      <c r="G2742">
        <f>IF(VIPcric_1!G2717="","",VIPcric_1!G2717)</f>
        <v>0.81</v>
      </c>
      <c r="H2742" t="str">
        <f>IF(VIPcric_1!H2717="","",VIPcric_1!H2717)</f>
        <v/>
      </c>
      <c r="I2742" t="str">
        <f>IF(VIPcric_1!M2717="","",VIPcric_1!M2717)</f>
        <v>CRIC-青岛-市场监测.商品房市场.项目累计.供求.xlsx</v>
      </c>
    </row>
    <row r="2743" spans="1:9">
      <c r="A2743" t="str">
        <f>IF(VIPcric_1!A2718="","",VIPcric_1!A2718)</f>
        <v>2021年</v>
      </c>
      <c r="B2743">
        <f>IF(VIPcric_1!B2718="","",VIPcric_1!B2718)</f>
        <v>12853419</v>
      </c>
      <c r="C2743">
        <f>IF(VIPcric_1!C2718="","",VIPcric_1!C2718)</f>
        <v>111127</v>
      </c>
      <c r="D2743">
        <f>IF(VIPcric_1!D2718="","",VIPcric_1!D2718)</f>
        <v>12880617</v>
      </c>
      <c r="E2743">
        <f>IF(VIPcric_1!E2718="","",VIPcric_1!E2718)</f>
        <v>110239</v>
      </c>
      <c r="F2743">
        <f>IF(VIPcric_1!F2718="","",VIPcric_1!F2718)</f>
        <v>14296</v>
      </c>
      <c r="G2743">
        <f>IF(VIPcric_1!G2718="","",VIPcric_1!G2718)</f>
        <v>1</v>
      </c>
      <c r="H2743" t="str">
        <f>IF(VIPcric_1!H2718="","",VIPcric_1!H2718)</f>
        <v/>
      </c>
      <c r="I2743" t="str">
        <f>IF(VIPcric_1!M2718="","",VIPcric_1!M2718)</f>
        <v>CRIC-青岛-市场监测.商品房市场.项目累计.供求.xlsx</v>
      </c>
    </row>
    <row r="2744" spans="1:9">
      <c r="A2744" t="str">
        <f>IF(VIPcric_1!A2719="","",VIPcric_1!A2719)</f>
        <v>2020年</v>
      </c>
      <c r="B2744">
        <f>IF(VIPcric_1!B2719="","",VIPcric_1!B2719)</f>
        <v>16436997</v>
      </c>
      <c r="C2744">
        <f>IF(VIPcric_1!C2719="","",VIPcric_1!C2719)</f>
        <v>142108</v>
      </c>
      <c r="D2744">
        <f>IF(VIPcric_1!D2719="","",VIPcric_1!D2719)</f>
        <v>13234307</v>
      </c>
      <c r="E2744">
        <f>IF(VIPcric_1!E2719="","",VIPcric_1!E2719)</f>
        <v>113530</v>
      </c>
      <c r="F2744">
        <f>IF(VIPcric_1!F2719="","",VIPcric_1!F2719)</f>
        <v>14260</v>
      </c>
      <c r="G2744">
        <f>IF(VIPcric_1!G2719="","",VIPcric_1!G2719)</f>
        <v>1.24</v>
      </c>
      <c r="H2744" t="str">
        <f>IF(VIPcric_1!H2719="","",VIPcric_1!H2719)</f>
        <v/>
      </c>
      <c r="I2744" t="str">
        <f>IF(VIPcric_1!M2719="","",VIPcric_1!M2719)</f>
        <v>CRIC-青岛-市场监测.商品房市场.项目累计.供求.xlsx</v>
      </c>
    </row>
    <row r="2745" spans="1:9">
      <c r="A2745" t="str">
        <f>IF(VIPcric_1!A2720="","",VIPcric_1!A2720)</f>
        <v>2019年</v>
      </c>
      <c r="B2745">
        <f>IF(VIPcric_1!B2720="","",VIPcric_1!B2720)</f>
        <v>17612901</v>
      </c>
      <c r="C2745">
        <f>IF(VIPcric_1!C2720="","",VIPcric_1!C2720)</f>
        <v>148202</v>
      </c>
      <c r="D2745">
        <f>IF(VIPcric_1!D2720="","",VIPcric_1!D2720)</f>
        <v>12161467</v>
      </c>
      <c r="E2745">
        <f>IF(VIPcric_1!E2720="","",VIPcric_1!E2720)</f>
        <v>102987</v>
      </c>
      <c r="F2745">
        <f>IF(VIPcric_1!F2720="","",VIPcric_1!F2720)</f>
        <v>14250</v>
      </c>
      <c r="G2745">
        <f>IF(VIPcric_1!G2720="","",VIPcric_1!G2720)</f>
        <v>1.45</v>
      </c>
      <c r="H2745" t="str">
        <f>IF(VIPcric_1!H2720="","",VIPcric_1!H2720)</f>
        <v/>
      </c>
      <c r="I2745" t="str">
        <f>IF(VIPcric_1!M2720="","",VIPcric_1!M2720)</f>
        <v>CRIC-青岛-市场监测.商品房市场.项目累计.供求.xlsx</v>
      </c>
    </row>
    <row r="2746" spans="1:9">
      <c r="A2746" t="str">
        <f>IF(VIPcric_1!A2721="","",VIPcric_1!A2721)</f>
        <v>汇总</v>
      </c>
      <c r="B2746">
        <f>IF(VIPcric_1!B2721="","",VIPcric_1!B2721)</f>
        <v>60238614</v>
      </c>
      <c r="C2746">
        <f>IF(VIPcric_1!C2721="","",VIPcric_1!C2721)</f>
        <v>507838</v>
      </c>
      <c r="D2746">
        <f>IF(VIPcric_1!D2721="","",VIPcric_1!D2721)</f>
        <v>56586329</v>
      </c>
      <c r="E2746">
        <f>IF(VIPcric_1!E2721="","",VIPcric_1!E2721)</f>
        <v>478753</v>
      </c>
      <c r="F2746">
        <f>IF(VIPcric_1!F2721="","",VIPcric_1!F2721)</f>
        <v>14555</v>
      </c>
      <c r="G2746">
        <f>IF(VIPcric_1!G2721="","",VIPcric_1!G2721)</f>
        <v>1.06</v>
      </c>
      <c r="H2746" t="str">
        <f>IF(VIPcric_1!H2721="","",VIPcric_1!H2721)</f>
        <v/>
      </c>
      <c r="I2746" t="str">
        <f>IF(VIPcric_1!M2721="","",VIPcric_1!M2721)</f>
        <v>CRIC-青岛-市场监测.商品房市场.项目累计.供求.xlsx</v>
      </c>
    </row>
    <row r="2747" spans="1:9">
      <c r="A2747" t="str">
        <f>IF(VIPcric_1!A2722="","",VIPcric_1!A2722)</f>
        <v/>
      </c>
      <c r="B2747" t="str">
        <f>IF(VIPcric_1!B2722="","",VIPcric_1!B2722)</f>
        <v/>
      </c>
      <c r="C2747" t="str">
        <f>IF(VIPcric_1!C2722="","",VIPcric_1!C2722)</f>
        <v/>
      </c>
      <c r="D2747" t="str">
        <f>IF(VIPcric_1!D2722="","",VIPcric_1!D2722)</f>
        <v/>
      </c>
      <c r="E2747" t="str">
        <f>IF(VIPcric_1!E2722="","",VIPcric_1!E2722)</f>
        <v/>
      </c>
      <c r="F2747" t="str">
        <f>IF(VIPcric_1!F2722="","",VIPcric_1!F2722)</f>
        <v/>
      </c>
      <c r="G2747" t="str">
        <f>IF(VIPcric_1!G2722="","",VIPcric_1!G2722)</f>
        <v/>
      </c>
      <c r="H2747" t="str">
        <f>IF(VIPcric_1!H2722="","",VIPcric_1!H2722)</f>
        <v/>
      </c>
      <c r="I2747" t="str">
        <f>IF(VIPcric_1!M2722="","",VIPcric_1!M2722)</f>
        <v/>
      </c>
    </row>
    <row r="2748" spans="1:9">
      <c r="A2748" t="str">
        <f>IF(VIPcric_1!A2723="","",VIPcric_1!A2723)</f>
        <v/>
      </c>
      <c r="B2748" t="str">
        <f>IF(VIPcric_1!B2723="","",VIPcric_1!B2723)</f>
        <v/>
      </c>
      <c r="C2748" t="str">
        <f>IF(VIPcric_1!C2723="","",VIPcric_1!C2723)</f>
        <v/>
      </c>
      <c r="D2748" t="str">
        <f>IF(VIPcric_1!D2723="","",VIPcric_1!D2723)</f>
        <v/>
      </c>
      <c r="E2748" t="str">
        <f>IF(VIPcric_1!E2723="","",VIPcric_1!E2723)</f>
        <v/>
      </c>
      <c r="F2748" t="str">
        <f>IF(VIPcric_1!F2723="","",VIPcric_1!F2723)</f>
        <v/>
      </c>
      <c r="G2748" t="str">
        <f>IF(VIPcric_1!G2723="","",VIPcric_1!G2723)</f>
        <v/>
      </c>
      <c r="H2748" t="str">
        <f>IF(VIPcric_1!H2723="","",VIPcric_1!H2723)</f>
        <v/>
      </c>
      <c r="I2748" t="str">
        <f>IF(VIPcric_1!M2723="","",VIPcric_1!M2723)</f>
        <v>CRIC-青岛-市场监测.商品房市场.项目累计.库存.xlsx</v>
      </c>
    </row>
    <row r="2749" spans="1:9">
      <c r="A2749" t="str">
        <f>IF(VIPcric_1!A2724="","",VIPcric_1!A2724)</f>
        <v>时间(年)</v>
      </c>
      <c r="B2749" t="str">
        <f>IF(VIPcric_1!B2724="","",VIPcric_1!B2724)</f>
        <v>库存面积(㎡)</v>
      </c>
      <c r="C2749" t="str">
        <f>IF(VIPcric_1!C2724="","",VIPcric_1!C2724)</f>
        <v>库存套数(套)</v>
      </c>
      <c r="D2749" t="str">
        <f>IF(VIPcric_1!D2724="","",VIPcric_1!D2724)</f>
        <v>去化周期12'(月)</v>
      </c>
      <c r="E2749" t="str">
        <f>IF(VIPcric_1!E2724="","",VIPcric_1!E2724)</f>
        <v/>
      </c>
      <c r="F2749" t="str">
        <f>IF(VIPcric_1!F2724="","",VIPcric_1!F2724)</f>
        <v/>
      </c>
      <c r="G2749" t="str">
        <f>IF(VIPcric_1!G2724="","",VIPcric_1!G2724)</f>
        <v/>
      </c>
      <c r="H2749" t="str">
        <f>IF(VIPcric_1!H2724="","",VIPcric_1!H2724)</f>
        <v/>
      </c>
      <c r="I2749" t="str">
        <f>IF(VIPcric_1!M2724="","",VIPcric_1!M2724)</f>
        <v>CRIC-青岛-市场监测.商品房市场.项目累计.库存.xlsx</v>
      </c>
    </row>
    <row r="2750" spans="1:9">
      <c r="A2750" t="str">
        <f>IF(VIPcric_1!A2725="","",VIPcric_1!A2725)</f>
        <v>2023年</v>
      </c>
      <c r="B2750">
        <f>IF(VIPcric_1!B2725="","",VIPcric_1!B2725)</f>
        <v>11086297</v>
      </c>
      <c r="C2750">
        <f>IF(VIPcric_1!C2725="","",VIPcric_1!C2725)</f>
        <v>88748</v>
      </c>
      <c r="D2750">
        <f>IF(VIPcric_1!D2725="","",VIPcric_1!D2725)</f>
        <v>14.7</v>
      </c>
      <c r="E2750" t="str">
        <f>IF(VIPcric_1!E2725="","",VIPcric_1!E2725)</f>
        <v/>
      </c>
      <c r="F2750" t="str">
        <f>IF(VIPcric_1!F2725="","",VIPcric_1!F2725)</f>
        <v/>
      </c>
      <c r="G2750" t="str">
        <f>IF(VIPcric_1!G2725="","",VIPcric_1!G2725)</f>
        <v/>
      </c>
      <c r="H2750" t="str">
        <f>IF(VIPcric_1!H2725="","",VIPcric_1!H2725)</f>
        <v/>
      </c>
      <c r="I2750" t="str">
        <f>IF(VIPcric_1!M2725="","",VIPcric_1!M2725)</f>
        <v>CRIC-青岛-市场监测.商品房市场.项目累计.库存.xlsx</v>
      </c>
    </row>
    <row r="2751" spans="1:9">
      <c r="A2751" t="str">
        <f>IF(VIPcric_1!A2726="","",VIPcric_1!A2726)</f>
        <v>2022年</v>
      </c>
      <c r="B2751">
        <f>IF(VIPcric_1!B2726="","",VIPcric_1!B2726)</f>
        <v>18270969</v>
      </c>
      <c r="C2751">
        <f>IF(VIPcric_1!C2726="","",VIPcric_1!C2726)</f>
        <v>150736</v>
      </c>
      <c r="D2751">
        <f>IF(VIPcric_1!D2726="","",VIPcric_1!D2726)</f>
        <v>23.6</v>
      </c>
      <c r="E2751" t="str">
        <f>IF(VIPcric_1!E2726="","",VIPcric_1!E2726)</f>
        <v/>
      </c>
      <c r="F2751" t="str">
        <f>IF(VIPcric_1!F2726="","",VIPcric_1!F2726)</f>
        <v/>
      </c>
      <c r="G2751" t="str">
        <f>IF(VIPcric_1!G2726="","",VIPcric_1!G2726)</f>
        <v/>
      </c>
      <c r="H2751" t="str">
        <f>IF(VIPcric_1!H2726="","",VIPcric_1!H2726)</f>
        <v/>
      </c>
      <c r="I2751" t="str">
        <f>IF(VIPcric_1!M2726="","",VIPcric_1!M2726)</f>
        <v>CRIC-青岛-市场监测.商品房市场.项目累计.库存.xlsx</v>
      </c>
    </row>
    <row r="2752" spans="1:9">
      <c r="A2752" t="str">
        <f>IF(VIPcric_1!A2727="","",VIPcric_1!A2727)</f>
        <v>2021年</v>
      </c>
      <c r="B2752">
        <f>IF(VIPcric_1!B2727="","",VIPcric_1!B2727)</f>
        <v>21163467</v>
      </c>
      <c r="C2752">
        <f>IF(VIPcric_1!C2727="","",VIPcric_1!C2727)</f>
        <v>178802</v>
      </c>
      <c r="D2752">
        <f>IF(VIPcric_1!D2727="","",VIPcric_1!D2727)</f>
        <v>19.7</v>
      </c>
      <c r="E2752" t="str">
        <f>IF(VIPcric_1!E2727="","",VIPcric_1!E2727)</f>
        <v/>
      </c>
      <c r="F2752" t="str">
        <f>IF(VIPcric_1!F2727="","",VIPcric_1!F2727)</f>
        <v/>
      </c>
      <c r="G2752" t="str">
        <f>IF(VIPcric_1!G2727="","",VIPcric_1!G2727)</f>
        <v/>
      </c>
      <c r="H2752" t="str">
        <f>IF(VIPcric_1!H2727="","",VIPcric_1!H2727)</f>
        <v/>
      </c>
      <c r="I2752" t="str">
        <f>IF(VIPcric_1!M2727="","",VIPcric_1!M2727)</f>
        <v>CRIC-青岛-市场监测.商品房市场.项目累计.库存.xlsx</v>
      </c>
    </row>
    <row r="2753" spans="1:9">
      <c r="A2753" t="str">
        <f>IF(VIPcric_1!A2728="","",VIPcric_1!A2728)</f>
        <v>2020年</v>
      </c>
      <c r="B2753">
        <f>IF(VIPcric_1!B2728="","",VIPcric_1!B2728)</f>
        <v>20029928</v>
      </c>
      <c r="C2753">
        <f>IF(VIPcric_1!C2728="","",VIPcric_1!C2728)</f>
        <v>168780</v>
      </c>
      <c r="D2753">
        <f>IF(VIPcric_1!D2728="","",VIPcric_1!D2728)</f>
        <v>18.2</v>
      </c>
      <c r="E2753" t="str">
        <f>IF(VIPcric_1!E2728="","",VIPcric_1!E2728)</f>
        <v/>
      </c>
      <c r="F2753" t="str">
        <f>IF(VIPcric_1!F2728="","",VIPcric_1!F2728)</f>
        <v/>
      </c>
      <c r="G2753" t="str">
        <f>IF(VIPcric_1!G2728="","",VIPcric_1!G2728)</f>
        <v/>
      </c>
      <c r="H2753" t="str">
        <f>IF(VIPcric_1!H2728="","",VIPcric_1!H2728)</f>
        <v/>
      </c>
      <c r="I2753" t="str">
        <f>IF(VIPcric_1!M2728="","",VIPcric_1!M2728)</f>
        <v>CRIC-青岛-市场监测.商品房市场.项目累计.库存.xlsx</v>
      </c>
    </row>
    <row r="2754" spans="1:9">
      <c r="A2754" t="str">
        <f>IF(VIPcric_1!A2729="","",VIPcric_1!A2729)</f>
        <v>2019年</v>
      </c>
      <c r="B2754">
        <f>IF(VIPcric_1!B2729="","",VIPcric_1!B2729)</f>
        <v>15951554</v>
      </c>
      <c r="C2754">
        <f>IF(VIPcric_1!C2729="","",VIPcric_1!C2729)</f>
        <v>132824</v>
      </c>
      <c r="D2754">
        <f>IF(VIPcric_1!D2729="","",VIPcric_1!D2729)</f>
        <v>15.7</v>
      </c>
      <c r="E2754" t="str">
        <f>IF(VIPcric_1!E2729="","",VIPcric_1!E2729)</f>
        <v/>
      </c>
      <c r="F2754" t="str">
        <f>IF(VIPcric_1!F2729="","",VIPcric_1!F2729)</f>
        <v/>
      </c>
      <c r="G2754" t="str">
        <f>IF(VIPcric_1!G2729="","",VIPcric_1!G2729)</f>
        <v/>
      </c>
      <c r="H2754" t="str">
        <f>IF(VIPcric_1!H2729="","",VIPcric_1!H2729)</f>
        <v/>
      </c>
      <c r="I2754" t="str">
        <f>IF(VIPcric_1!M2729="","",VIPcric_1!M2729)</f>
        <v>CRIC-青岛-市场监测.商品房市场.项目累计.库存.xlsx</v>
      </c>
    </row>
    <row r="2755" spans="1:9">
      <c r="A2755" t="str">
        <f>IF(VIPcric_1!A2730="","",VIPcric_1!A2730)</f>
        <v/>
      </c>
      <c r="B2755" t="str">
        <f>IF(VIPcric_1!B2730="","",VIPcric_1!B2730)</f>
        <v/>
      </c>
      <c r="C2755" t="str">
        <f>IF(VIPcric_1!C2730="","",VIPcric_1!C2730)</f>
        <v/>
      </c>
      <c r="D2755" t="str">
        <f>IF(VIPcric_1!D2730="","",VIPcric_1!D2730)</f>
        <v/>
      </c>
      <c r="E2755" t="str">
        <f>IF(VIPcric_1!E2730="","",VIPcric_1!E2730)</f>
        <v/>
      </c>
      <c r="F2755" t="str">
        <f>IF(VIPcric_1!F2730="","",VIPcric_1!F2730)</f>
        <v/>
      </c>
      <c r="G2755" t="str">
        <f>IF(VIPcric_1!G2730="","",VIPcric_1!G2730)</f>
        <v/>
      </c>
      <c r="H2755" t="str">
        <f>IF(VIPcric_1!H2730="","",VIPcric_1!H2730)</f>
        <v/>
      </c>
      <c r="I2755" t="str">
        <f>IF(VIPcric_1!M2730="","",VIPcric_1!M2730)</f>
        <v/>
      </c>
    </row>
    <row r="2756" spans="1:9">
      <c r="A2756" t="str">
        <f>IF(VIPcric_1!A2731="","",VIPcric_1!A2731)</f>
        <v/>
      </c>
      <c r="B2756" t="str">
        <f>IF(VIPcric_1!B2731="","",VIPcric_1!B2731)</f>
        <v/>
      </c>
      <c r="C2756" t="str">
        <f>IF(VIPcric_1!C2731="","",VIPcric_1!C2731)</f>
        <v/>
      </c>
      <c r="D2756" t="str">
        <f>IF(VIPcric_1!D2731="","",VIPcric_1!D2731)</f>
        <v/>
      </c>
      <c r="E2756" t="str">
        <f>IF(VIPcric_1!E2731="","",VIPcric_1!E2731)</f>
        <v/>
      </c>
      <c r="F2756" t="str">
        <f>IF(VIPcric_1!F2731="","",VIPcric_1!F2731)</f>
        <v/>
      </c>
      <c r="G2756" t="str">
        <f>IF(VIPcric_1!G2731="","",VIPcric_1!G2731)</f>
        <v/>
      </c>
      <c r="H2756" t="str">
        <f>IF(VIPcric_1!H2731="","",VIPcric_1!H2731)</f>
        <v/>
      </c>
      <c r="I2756" t="str">
        <f>IF(VIPcric_1!M2731="","",VIPcric_1!M2731)</f>
        <v>CRIC-鞍山-市场监测.商品房市场.项目累计.供求.xlsx</v>
      </c>
    </row>
    <row r="2757" spans="1:9">
      <c r="A2757" t="str">
        <f>IF(VIPcric_1!A2732="","",VIPcric_1!A2732)</f>
        <v>时间(年)</v>
      </c>
      <c r="B2757" t="str">
        <f>IF(VIPcric_1!B2732="","",VIPcric_1!B2732)</f>
        <v>供应面积(㎡)</v>
      </c>
      <c r="C2757" t="str">
        <f>IF(VIPcric_1!C2732="","",VIPcric_1!C2732)</f>
        <v>供应套数(套)</v>
      </c>
      <c r="D2757" t="str">
        <f>IF(VIPcric_1!D2732="","",VIPcric_1!D2732)</f>
        <v>成交面积(㎡)</v>
      </c>
      <c r="E2757" t="str">
        <f>IF(VIPcric_1!E2732="","",VIPcric_1!E2732)</f>
        <v>成交套数(套)</v>
      </c>
      <c r="F2757" t="str">
        <f>IF(VIPcric_1!F2732="","",VIPcric_1!F2732)</f>
        <v>成交均价(元/㎡)</v>
      </c>
      <c r="G2757" t="str">
        <f>IF(VIPcric_1!G2732="","",VIPcric_1!G2732)</f>
        <v>成交金额(元)</v>
      </c>
      <c r="H2757" t="str">
        <f>IF(VIPcric_1!H2732="","",VIPcric_1!H2732)</f>
        <v>供求比</v>
      </c>
      <c r="I2757" t="str">
        <f>IF(VIPcric_1!M2732="","",VIPcric_1!M2732)</f>
        <v>CRIC-鞍山-市场监测.商品房市场.项目累计.供求.xlsx</v>
      </c>
    </row>
    <row r="2758" spans="1:9">
      <c r="A2758" t="str">
        <f>IF(VIPcric_1!A2733="","",VIPcric_1!A2733)</f>
        <v>2021年</v>
      </c>
      <c r="B2758">
        <f>IF(VIPcric_1!B2733="","",VIPcric_1!B2733)</f>
        <v>713179</v>
      </c>
      <c r="C2758">
        <f>IF(VIPcric_1!C2733="","",VIPcric_1!C2733)</f>
        <v>7199</v>
      </c>
      <c r="D2758">
        <f>IF(VIPcric_1!D2733="","",VIPcric_1!D2733)</f>
        <v>1142976</v>
      </c>
      <c r="E2758">
        <f>IF(VIPcric_1!E2733="","",VIPcric_1!E2733)</f>
        <v>11076</v>
      </c>
      <c r="F2758">
        <f>IF(VIPcric_1!F2733="","",VIPcric_1!F2733)</f>
        <v>6876</v>
      </c>
      <c r="G2758">
        <f>IF(VIPcric_1!G2733="","",VIPcric_1!G2733)</f>
        <v>7859284968</v>
      </c>
      <c r="H2758">
        <f>IF(VIPcric_1!H2733="","",VIPcric_1!H2733)</f>
        <v>0.62</v>
      </c>
      <c r="I2758" t="str">
        <f>IF(VIPcric_1!M2733="","",VIPcric_1!M2733)</f>
        <v>CRIC-鞍山-市场监测.商品房市场.项目累计.供求.xlsx</v>
      </c>
    </row>
    <row r="2759" spans="1:9">
      <c r="A2759" t="str">
        <f>IF(VIPcric_1!A2734="","",VIPcric_1!A2734)</f>
        <v>2020年</v>
      </c>
      <c r="B2759">
        <f>IF(VIPcric_1!B2734="","",VIPcric_1!B2734)</f>
        <v>1446459</v>
      </c>
      <c r="C2759">
        <f>IF(VIPcric_1!C2734="","",VIPcric_1!C2734)</f>
        <v>13879</v>
      </c>
      <c r="D2759">
        <f>IF(VIPcric_1!D2734="","",VIPcric_1!D2734)</f>
        <v>1428598</v>
      </c>
      <c r="E2759">
        <f>IF(VIPcric_1!E2734="","",VIPcric_1!E2734)</f>
        <v>13946</v>
      </c>
      <c r="F2759">
        <f>IF(VIPcric_1!F2734="","",VIPcric_1!F2734)</f>
        <v>6358</v>
      </c>
      <c r="G2759">
        <f>IF(VIPcric_1!G2734="","",VIPcric_1!G2734)</f>
        <v>9083339475</v>
      </c>
      <c r="H2759">
        <f>IF(VIPcric_1!H2734="","",VIPcric_1!H2734)</f>
        <v>1.01</v>
      </c>
      <c r="I2759" t="str">
        <f>IF(VIPcric_1!M2734="","",VIPcric_1!M2734)</f>
        <v>CRIC-鞍山-市场监测.商品房市场.项目累计.供求.xlsx</v>
      </c>
    </row>
    <row r="2760" spans="1:9">
      <c r="A2760" t="str">
        <f>IF(VIPcric_1!A2735="","",VIPcric_1!A2735)</f>
        <v>2019年</v>
      </c>
      <c r="B2760">
        <f>IF(VIPcric_1!B2735="","",VIPcric_1!B2735)</f>
        <v>0</v>
      </c>
      <c r="C2760">
        <f>IF(VIPcric_1!C2735="","",VIPcric_1!C2735)</f>
        <v>0</v>
      </c>
      <c r="D2760">
        <f>IF(VIPcric_1!D2735="","",VIPcric_1!D2735)</f>
        <v>305080</v>
      </c>
      <c r="E2760">
        <f>IF(VIPcric_1!E2735="","",VIPcric_1!E2735)</f>
        <v>3079</v>
      </c>
      <c r="F2760">
        <f>IF(VIPcric_1!F2735="","",VIPcric_1!F2735)</f>
        <v>5779</v>
      </c>
      <c r="G2760">
        <f>IF(VIPcric_1!G2735="","",VIPcric_1!G2735)</f>
        <v>1763092240</v>
      </c>
      <c r="H2760">
        <f>IF(VIPcric_1!H2735="","",VIPcric_1!H2735)</f>
        <v>0</v>
      </c>
      <c r="I2760" t="str">
        <f>IF(VIPcric_1!M2735="","",VIPcric_1!M2735)</f>
        <v>CRIC-鞍山-市场监测.商品房市场.项目累计.供求.xlsx</v>
      </c>
    </row>
    <row r="2761" spans="1:9">
      <c r="A2761" t="str">
        <f>IF(VIPcric_1!A2736="","",VIPcric_1!A2736)</f>
        <v>2018年</v>
      </c>
      <c r="B2761">
        <f>IF(VIPcric_1!B2736="","",VIPcric_1!B2736)</f>
        <v>0</v>
      </c>
      <c r="C2761">
        <f>IF(VIPcric_1!C2736="","",VIPcric_1!C2736)</f>
        <v>0</v>
      </c>
      <c r="D2761">
        <f>IF(VIPcric_1!D2736="","",VIPcric_1!D2736)</f>
        <v>0</v>
      </c>
      <c r="E2761">
        <f>IF(VIPcric_1!E2736="","",VIPcric_1!E2736)</f>
        <v>0</v>
      </c>
      <c r="F2761">
        <f>IF(VIPcric_1!F2736="","",VIPcric_1!F2736)</f>
        <v>0</v>
      </c>
      <c r="G2761">
        <f>IF(VIPcric_1!G2736="","",VIPcric_1!G2736)</f>
        <v>0</v>
      </c>
      <c r="H2761">
        <f>IF(VIPcric_1!H2736="","",VIPcric_1!H2736)</f>
        <v>0</v>
      </c>
      <c r="I2761" t="str">
        <f>IF(VIPcric_1!M2736="","",VIPcric_1!M2736)</f>
        <v>CRIC-鞍山-市场监测.商品房市场.项目累计.供求.xlsx</v>
      </c>
    </row>
    <row r="2762" spans="1:9">
      <c r="A2762" t="str">
        <f>IF(VIPcric_1!A2737="","",VIPcric_1!A2737)</f>
        <v>2017年</v>
      </c>
      <c r="B2762">
        <f>IF(VIPcric_1!B2737="","",VIPcric_1!B2737)</f>
        <v>0</v>
      </c>
      <c r="C2762">
        <f>IF(VIPcric_1!C2737="","",VIPcric_1!C2737)</f>
        <v>0</v>
      </c>
      <c r="D2762">
        <f>IF(VIPcric_1!D2737="","",VIPcric_1!D2737)</f>
        <v>0</v>
      </c>
      <c r="E2762">
        <f>IF(VIPcric_1!E2737="","",VIPcric_1!E2737)</f>
        <v>0</v>
      </c>
      <c r="F2762">
        <f>IF(VIPcric_1!F2737="","",VIPcric_1!F2737)</f>
        <v>0</v>
      </c>
      <c r="G2762">
        <f>IF(VIPcric_1!G2737="","",VIPcric_1!G2737)</f>
        <v>0</v>
      </c>
      <c r="H2762">
        <f>IF(VIPcric_1!H2737="","",VIPcric_1!H2737)</f>
        <v>0</v>
      </c>
      <c r="I2762" t="str">
        <f>IF(VIPcric_1!M2737="","",VIPcric_1!M2737)</f>
        <v>CRIC-鞍山-市场监测.商品房市场.项目累计.供求.xlsx</v>
      </c>
    </row>
    <row r="2763" spans="1:9">
      <c r="A2763" t="str">
        <f>IF(VIPcric_1!A2738="","",VIPcric_1!A2738)</f>
        <v>2016年</v>
      </c>
      <c r="B2763">
        <f>IF(VIPcric_1!B2738="","",VIPcric_1!B2738)</f>
        <v>0</v>
      </c>
      <c r="C2763">
        <f>IF(VIPcric_1!C2738="","",VIPcric_1!C2738)</f>
        <v>0</v>
      </c>
      <c r="D2763">
        <f>IF(VIPcric_1!D2738="","",VIPcric_1!D2738)</f>
        <v>0</v>
      </c>
      <c r="E2763">
        <f>IF(VIPcric_1!E2738="","",VIPcric_1!E2738)</f>
        <v>0</v>
      </c>
      <c r="F2763">
        <f>IF(VIPcric_1!F2738="","",VIPcric_1!F2738)</f>
        <v>0</v>
      </c>
      <c r="G2763">
        <f>IF(VIPcric_1!G2738="","",VIPcric_1!G2738)</f>
        <v>0</v>
      </c>
      <c r="H2763">
        <f>IF(VIPcric_1!H2738="","",VIPcric_1!H2738)</f>
        <v>0</v>
      </c>
      <c r="I2763" t="str">
        <f>IF(VIPcric_1!M2738="","",VIPcric_1!M2738)</f>
        <v>CRIC-鞍山-市场监测.商品房市场.项目累计.供求.xlsx</v>
      </c>
    </row>
    <row r="2764" spans="1:9">
      <c r="A2764" t="str">
        <f>IF(VIPcric_1!A2739="","",VIPcric_1!A2739)</f>
        <v>汇总</v>
      </c>
      <c r="B2764">
        <f>IF(VIPcric_1!B2739="","",VIPcric_1!B2739)</f>
        <v>2159638</v>
      </c>
      <c r="C2764">
        <f>IF(VIPcric_1!C2739="","",VIPcric_1!C2739)</f>
        <v>21078</v>
      </c>
      <c r="D2764">
        <f>IF(VIPcric_1!D2739="","",VIPcric_1!D2739)</f>
        <v>2876654</v>
      </c>
      <c r="E2764">
        <f>IF(VIPcric_1!E2739="","",VIPcric_1!E2739)</f>
        <v>28101</v>
      </c>
      <c r="F2764">
        <f>IF(VIPcric_1!F2739="","",VIPcric_1!F2739)</f>
        <v>6503</v>
      </c>
      <c r="G2764">
        <f>IF(VIPcric_1!G2739="","",VIPcric_1!G2739)</f>
        <v>18705716684</v>
      </c>
      <c r="H2764">
        <f>IF(VIPcric_1!H2739="","",VIPcric_1!H2739)</f>
        <v>0.75</v>
      </c>
      <c r="I2764" t="str">
        <f>IF(VIPcric_1!M2739="","",VIPcric_1!M2739)</f>
        <v>CRIC-鞍山-市场监测.商品房市场.项目累计.供求.xlsx</v>
      </c>
    </row>
    <row r="2765" spans="1:9">
      <c r="A2765" t="str">
        <f>IF(VIPcric_1!A2740="","",VIPcric_1!A2740)</f>
        <v/>
      </c>
      <c r="B2765" t="str">
        <f>IF(VIPcric_1!B2740="","",VIPcric_1!B2740)</f>
        <v/>
      </c>
      <c r="C2765" t="str">
        <f>IF(VIPcric_1!C2740="","",VIPcric_1!C2740)</f>
        <v/>
      </c>
      <c r="D2765" t="str">
        <f>IF(VIPcric_1!D2740="","",VIPcric_1!D2740)</f>
        <v/>
      </c>
      <c r="E2765" t="str">
        <f>IF(VIPcric_1!E2740="","",VIPcric_1!E2740)</f>
        <v/>
      </c>
      <c r="F2765" t="str">
        <f>IF(VIPcric_1!F2740="","",VIPcric_1!F2740)</f>
        <v/>
      </c>
      <c r="G2765" t="str">
        <f>IF(VIPcric_1!G2740="","",VIPcric_1!G2740)</f>
        <v/>
      </c>
      <c r="H2765" t="str">
        <f>IF(VIPcric_1!H2740="","",VIPcric_1!H2740)</f>
        <v/>
      </c>
      <c r="I2765" t="str">
        <f>IF(VIPcric_1!M2740="","",VIPcric_1!M2740)</f>
        <v/>
      </c>
    </row>
    <row r="2766" spans="1:9">
      <c r="A2766" t="str">
        <f>IF(VIPcric_1!A2741="","",VIPcric_1!A2741)</f>
        <v/>
      </c>
      <c r="B2766" t="str">
        <f>IF(VIPcric_1!B2741="","",VIPcric_1!B2741)</f>
        <v/>
      </c>
      <c r="C2766" t="str">
        <f>IF(VIPcric_1!C2741="","",VIPcric_1!C2741)</f>
        <v/>
      </c>
      <c r="D2766" t="str">
        <f>IF(VIPcric_1!D2741="","",VIPcric_1!D2741)</f>
        <v/>
      </c>
      <c r="E2766" t="str">
        <f>IF(VIPcric_1!E2741="","",VIPcric_1!E2741)</f>
        <v/>
      </c>
      <c r="F2766" t="str">
        <f>IF(VIPcric_1!F2741="","",VIPcric_1!F2741)</f>
        <v/>
      </c>
      <c r="G2766" t="str">
        <f>IF(VIPcric_1!G2741="","",VIPcric_1!G2741)</f>
        <v/>
      </c>
      <c r="H2766" t="str">
        <f>IF(VIPcric_1!H2741="","",VIPcric_1!H2741)</f>
        <v/>
      </c>
      <c r="I2766" t="str">
        <f>IF(VIPcric_1!M2741="","",VIPcric_1!M2741)</f>
        <v>CRIC-鞍山-市场监测.商品房市场.项目累计.库存.xlsx</v>
      </c>
    </row>
    <row r="2767" spans="1:9">
      <c r="A2767" t="str">
        <f>IF(VIPcric_1!A2742="","",VIPcric_1!A2742)</f>
        <v>时间(年)</v>
      </c>
      <c r="B2767" t="str">
        <f>IF(VIPcric_1!B2742="","",VIPcric_1!B2742)</f>
        <v>库存面积(㎡)</v>
      </c>
      <c r="C2767" t="str">
        <f>IF(VIPcric_1!C2742="","",VIPcric_1!C2742)</f>
        <v>库存套数(套)</v>
      </c>
      <c r="D2767" t="str">
        <f>IF(VIPcric_1!D2742="","",VIPcric_1!D2742)</f>
        <v>去化周期12'(月)</v>
      </c>
      <c r="E2767" t="str">
        <f>IF(VIPcric_1!E2742="","",VIPcric_1!E2742)</f>
        <v/>
      </c>
      <c r="F2767" t="str">
        <f>IF(VIPcric_1!F2742="","",VIPcric_1!F2742)</f>
        <v/>
      </c>
      <c r="G2767" t="str">
        <f>IF(VIPcric_1!G2742="","",VIPcric_1!G2742)</f>
        <v/>
      </c>
      <c r="H2767" t="str">
        <f>IF(VIPcric_1!H2742="","",VIPcric_1!H2742)</f>
        <v/>
      </c>
      <c r="I2767" t="str">
        <f>IF(VIPcric_1!M2742="","",VIPcric_1!M2742)</f>
        <v>CRIC-鞍山-市场监测.商品房市场.项目累计.库存.xlsx</v>
      </c>
    </row>
    <row r="2768" spans="1:9">
      <c r="A2768" t="str">
        <f>IF(VIPcric_1!A2743="","",VIPcric_1!A2743)</f>
        <v>2021年</v>
      </c>
      <c r="B2768">
        <f>IF(VIPcric_1!B2743="","",VIPcric_1!B2743)</f>
        <v>2202617</v>
      </c>
      <c r="C2768">
        <f>IF(VIPcric_1!C2743="","",VIPcric_1!C2743)</f>
        <v>23892</v>
      </c>
      <c r="D2768">
        <f>IF(VIPcric_1!D2743="","",VIPcric_1!D2743)</f>
        <v>21.8</v>
      </c>
      <c r="E2768" t="str">
        <f>IF(VIPcric_1!E2743="","",VIPcric_1!E2743)</f>
        <v/>
      </c>
      <c r="F2768" t="str">
        <f>IF(VIPcric_1!F2743="","",VIPcric_1!F2743)</f>
        <v/>
      </c>
      <c r="G2768" t="str">
        <f>IF(VIPcric_1!G2743="","",VIPcric_1!G2743)</f>
        <v/>
      </c>
      <c r="H2768" t="str">
        <f>IF(VIPcric_1!H2743="","",VIPcric_1!H2743)</f>
        <v/>
      </c>
      <c r="I2768" t="str">
        <f>IF(VIPcric_1!M2743="","",VIPcric_1!M2743)</f>
        <v>CRIC-鞍山-市场监测.商品房市场.项目累计.库存.xlsx</v>
      </c>
    </row>
    <row r="2769" spans="1:9">
      <c r="A2769" t="str">
        <f>IF(VIPcric_1!A2744="","",VIPcric_1!A2744)</f>
        <v>2020年</v>
      </c>
      <c r="B2769">
        <f>IF(VIPcric_1!B2744="","",VIPcric_1!B2744)</f>
        <v>2475807</v>
      </c>
      <c r="C2769">
        <f>IF(VIPcric_1!C2744="","",VIPcric_1!C2744)</f>
        <v>26390</v>
      </c>
      <c r="D2769">
        <f>IF(VIPcric_1!D2744="","",VIPcric_1!D2744)</f>
        <v>20.8</v>
      </c>
      <c r="E2769" t="str">
        <f>IF(VIPcric_1!E2744="","",VIPcric_1!E2744)</f>
        <v/>
      </c>
      <c r="F2769" t="str">
        <f>IF(VIPcric_1!F2744="","",VIPcric_1!F2744)</f>
        <v/>
      </c>
      <c r="G2769" t="str">
        <f>IF(VIPcric_1!G2744="","",VIPcric_1!G2744)</f>
        <v/>
      </c>
      <c r="H2769" t="str">
        <f>IF(VIPcric_1!H2744="","",VIPcric_1!H2744)</f>
        <v/>
      </c>
      <c r="I2769" t="str">
        <f>IF(VIPcric_1!M2744="","",VIPcric_1!M2744)</f>
        <v>CRIC-鞍山-市场监测.商品房市场.项目累计.库存.xlsx</v>
      </c>
    </row>
    <row r="2770" spans="1:9">
      <c r="A2770" t="str">
        <f>IF(VIPcric_1!A2745="","",VIPcric_1!A2745)</f>
        <v>2019年</v>
      </c>
      <c r="B2770">
        <f>IF(VIPcric_1!B2745="","",VIPcric_1!B2745)</f>
        <v>2687190</v>
      </c>
      <c r="C2770">
        <f>IF(VIPcric_1!C2745="","",VIPcric_1!C2745)</f>
        <v>28398</v>
      </c>
      <c r="D2770">
        <f>IF(VIPcric_1!D2745="","",VIPcric_1!D2745)</f>
        <v>105.7</v>
      </c>
      <c r="E2770" t="str">
        <f>IF(VIPcric_1!E2745="","",VIPcric_1!E2745)</f>
        <v/>
      </c>
      <c r="F2770" t="str">
        <f>IF(VIPcric_1!F2745="","",VIPcric_1!F2745)</f>
        <v/>
      </c>
      <c r="G2770" t="str">
        <f>IF(VIPcric_1!G2745="","",VIPcric_1!G2745)</f>
        <v/>
      </c>
      <c r="H2770" t="str">
        <f>IF(VIPcric_1!H2745="","",VIPcric_1!H2745)</f>
        <v/>
      </c>
      <c r="I2770" t="str">
        <f>IF(VIPcric_1!M2745="","",VIPcric_1!M2745)</f>
        <v>CRIC-鞍山-市场监测.商品房市场.项目累计.库存.xlsx</v>
      </c>
    </row>
    <row r="2771" spans="1:9">
      <c r="A2771" t="str">
        <f>IF(VIPcric_1!A2746="","",VIPcric_1!A2746)</f>
        <v/>
      </c>
      <c r="B2771" t="str">
        <f>IF(VIPcric_1!B2746="","",VIPcric_1!B2746)</f>
        <v/>
      </c>
      <c r="C2771" t="str">
        <f>IF(VIPcric_1!C2746="","",VIPcric_1!C2746)</f>
        <v/>
      </c>
      <c r="D2771" t="str">
        <f>IF(VIPcric_1!D2746="","",VIPcric_1!D2746)</f>
        <v/>
      </c>
      <c r="E2771" t="str">
        <f>IF(VIPcric_1!E2746="","",VIPcric_1!E2746)</f>
        <v/>
      </c>
      <c r="F2771" t="str">
        <f>IF(VIPcric_1!F2746="","",VIPcric_1!F2746)</f>
        <v/>
      </c>
      <c r="G2771" t="str">
        <f>IF(VIPcric_1!G2746="","",VIPcric_1!G2746)</f>
        <v/>
      </c>
      <c r="H2771" t="str">
        <f>IF(VIPcric_1!H2746="","",VIPcric_1!H2746)</f>
        <v/>
      </c>
      <c r="I2771" t="str">
        <f>IF(VIPcric_1!M2746="","",VIPcric_1!M2746)</f>
        <v/>
      </c>
    </row>
    <row r="2772" spans="1:9">
      <c r="A2772" t="str">
        <f>IF(VIPcric_1!A2747="","",VIPcric_1!A2747)</f>
        <v/>
      </c>
      <c r="B2772" t="str">
        <f>IF(VIPcric_1!B2747="","",VIPcric_1!B2747)</f>
        <v/>
      </c>
      <c r="C2772" t="str">
        <f>IF(VIPcric_1!C2747="","",VIPcric_1!C2747)</f>
        <v/>
      </c>
      <c r="D2772" t="str">
        <f>IF(VIPcric_1!D2747="","",VIPcric_1!D2747)</f>
        <v/>
      </c>
      <c r="E2772" t="str">
        <f>IF(VIPcric_1!E2747="","",VIPcric_1!E2747)</f>
        <v/>
      </c>
      <c r="F2772" t="str">
        <f>IF(VIPcric_1!F2747="","",VIPcric_1!F2747)</f>
        <v/>
      </c>
      <c r="G2772" t="str">
        <f>IF(VIPcric_1!G2747="","",VIPcric_1!G2747)</f>
        <v/>
      </c>
      <c r="H2772" t="str">
        <f>IF(VIPcric_1!H2747="","",VIPcric_1!H2747)</f>
        <v/>
      </c>
      <c r="I2772" t="str">
        <f>IF(VIPcric_1!M2747="","",VIPcric_1!M2747)</f>
        <v>CRIC-韶关-市场监测.商品房市场.城市总量.xlsx</v>
      </c>
    </row>
    <row r="2773" spans="1:9">
      <c r="A2773" t="str">
        <f>IF(VIPcric_1!A2748="","",VIPcric_1!A2748)</f>
        <v>时间(年)</v>
      </c>
      <c r="B2773" t="str">
        <f>IF(VIPcric_1!B2748="","",VIPcric_1!B2748)</f>
        <v>成交面积(㎡)</v>
      </c>
      <c r="C2773" t="str">
        <f>IF(VIPcric_1!C2748="","",VIPcric_1!C2748)</f>
        <v>成交套数(套)</v>
      </c>
      <c r="D2773" t="str">
        <f>IF(VIPcric_1!D2748="","",VIPcric_1!D2748)</f>
        <v>成交均价(元)</v>
      </c>
      <c r="E2773" t="str">
        <f>IF(VIPcric_1!E2748="","",VIPcric_1!E2748)</f>
        <v>成交金额(元)</v>
      </c>
      <c r="F2773" t="s">
        <v>857</v>
      </c>
      <c r="G2773" t="str">
        <f>IF(VIPcric_1!G2748="","",VIPcric_1!G2748)</f>
        <v/>
      </c>
      <c r="H2773" t="str">
        <f>IF(VIPcric_1!H2748="","",VIPcric_1!H2748)</f>
        <v/>
      </c>
      <c r="I2773" t="str">
        <f>IF(VIPcric_1!M2748="","",VIPcric_1!M2748)</f>
        <v>CRIC-韶关-市场监测.商品房市场.城市总量.xlsx</v>
      </c>
    </row>
    <row r="2774" spans="1:9">
      <c r="A2774" t="str">
        <f>IF(VIPcric_1!A2749="","",VIPcric_1!A2749)</f>
        <v>2024年</v>
      </c>
      <c r="B2774">
        <f>IF(VIPcric_1!B2749="","",VIPcric_1!B2749)</f>
        <v>343446</v>
      </c>
      <c r="C2774">
        <f>IF(VIPcric_1!C2749="","",VIPcric_1!C2749)</f>
        <v>2699</v>
      </c>
      <c r="D2774">
        <f>IF(VIPcric_1!D2749="","",VIPcric_1!D2749)</f>
        <v>6146</v>
      </c>
      <c r="E2774">
        <f>IF(VIPcric_1!E2749="","",VIPcric_1!E2749)</f>
        <v>2110868230</v>
      </c>
      <c r="F2774" t="str">
        <f>IF(VIPcric_1!F2749="","",VIPcric_1!F2749)</f>
        <v/>
      </c>
      <c r="G2774" t="str">
        <f>IF(VIPcric_1!G2749="","",VIPcric_1!G2749)</f>
        <v/>
      </c>
      <c r="H2774" t="str">
        <f>IF(VIPcric_1!H2749="","",VIPcric_1!H2749)</f>
        <v/>
      </c>
      <c r="I2774" t="str">
        <f>IF(VIPcric_1!M2749="","",VIPcric_1!M2749)</f>
        <v>CRIC-韶关-市场监测.商品房市场.城市总量.xlsx</v>
      </c>
    </row>
    <row r="2775" spans="1:9">
      <c r="A2775" t="str">
        <f>IF(VIPcric_1!A2750="","",VIPcric_1!A2750)</f>
        <v>2023年</v>
      </c>
      <c r="B2775">
        <f>IF(VIPcric_1!B2750="","",VIPcric_1!B2750)</f>
        <v>2205082</v>
      </c>
      <c r="C2775">
        <f>IF(VIPcric_1!C2750="","",VIPcric_1!C2750)</f>
        <v>18169</v>
      </c>
      <c r="D2775">
        <f>IF(VIPcric_1!D2750="","",VIPcric_1!D2750)</f>
        <v>6003</v>
      </c>
      <c r="E2775">
        <f>IF(VIPcric_1!E2750="","",VIPcric_1!E2750)</f>
        <v>13236306641</v>
      </c>
      <c r="F2775" s="8">
        <f>C2784/E2784*12</f>
        <v>19.789568751411153</v>
      </c>
      <c r="G2775" t="str">
        <f>IF(VIPcric_1!G2750="","",VIPcric_1!G2750)</f>
        <v/>
      </c>
      <c r="H2775" t="str">
        <f>IF(VIPcric_1!H2750="","",VIPcric_1!H2750)</f>
        <v/>
      </c>
      <c r="I2775" t="str">
        <f>IF(VIPcric_1!M2750="","",VIPcric_1!M2750)</f>
        <v>CRIC-韶关-市场监测.商品房市场.城市总量.xlsx</v>
      </c>
    </row>
    <row r="2776" spans="1:9">
      <c r="A2776" t="str">
        <f>IF(VIPcric_1!A2751="","",VIPcric_1!A2751)</f>
        <v>2022年</v>
      </c>
      <c r="B2776">
        <f>IF(VIPcric_1!B2751="","",VIPcric_1!B2751)</f>
        <v>1064938</v>
      </c>
      <c r="C2776">
        <f>IF(VIPcric_1!C2751="","",VIPcric_1!C2751)</f>
        <v>8639</v>
      </c>
      <c r="D2776">
        <f>IF(VIPcric_1!D2751="","",VIPcric_1!D2751)</f>
        <v>6162</v>
      </c>
      <c r="E2776">
        <f>IF(VIPcric_1!E2751="","",VIPcric_1!E2751)</f>
        <v>6561876108</v>
      </c>
      <c r="F2776" s="8">
        <f t="shared" ref="F2776:F2778" si="4">C2785/E2785*12</f>
        <v>6.7194798940524922</v>
      </c>
      <c r="G2776" t="str">
        <f>IF(VIPcric_1!G2751="","",VIPcric_1!G2751)</f>
        <v/>
      </c>
      <c r="H2776" t="str">
        <f>IF(VIPcric_1!H2751="","",VIPcric_1!H2751)</f>
        <v/>
      </c>
      <c r="I2776" t="str">
        <f>IF(VIPcric_1!M2751="","",VIPcric_1!M2751)</f>
        <v>CRIC-韶关-市场监测.商品房市场.城市总量.xlsx</v>
      </c>
    </row>
    <row r="2777" spans="1:9">
      <c r="A2777" t="str">
        <f>IF(VIPcric_1!A2752="","",VIPcric_1!A2752)</f>
        <v>2021年</v>
      </c>
      <c r="B2777">
        <f>IF(VIPcric_1!B2752="","",VIPcric_1!B2752)</f>
        <v>99493</v>
      </c>
      <c r="C2777">
        <f>IF(VIPcric_1!C2752="","",VIPcric_1!C2752)</f>
        <v>879</v>
      </c>
      <c r="D2777">
        <f>IF(VIPcric_1!D2752="","",VIPcric_1!D2752)</f>
        <v>5603</v>
      </c>
      <c r="E2777">
        <f>IF(VIPcric_1!E2752="","",VIPcric_1!E2752)</f>
        <v>557477787</v>
      </c>
      <c r="F2777" s="8">
        <f t="shared" si="4"/>
        <v>16.451229183187948</v>
      </c>
      <c r="G2777" t="str">
        <f>IF(VIPcric_1!G2752="","",VIPcric_1!G2752)</f>
        <v/>
      </c>
      <c r="H2777" t="str">
        <f>IF(VIPcric_1!H2752="","",VIPcric_1!H2752)</f>
        <v/>
      </c>
      <c r="I2777" t="str">
        <f>IF(VIPcric_1!M2752="","",VIPcric_1!M2752)</f>
        <v>CRIC-韶关-市场监测.商品房市场.城市总量.xlsx</v>
      </c>
    </row>
    <row r="2778" spans="1:9">
      <c r="A2778" t="str">
        <f>IF(VIPcric_1!A2753="","",VIPcric_1!A2753)</f>
        <v>2020年</v>
      </c>
      <c r="B2778">
        <f>IF(VIPcric_1!B2753="","",VIPcric_1!B2753)</f>
        <v>86122</v>
      </c>
      <c r="C2778">
        <f>IF(VIPcric_1!C2753="","",VIPcric_1!C2753)</f>
        <v>711</v>
      </c>
      <c r="D2778">
        <f>IF(VIPcric_1!D2753="","",VIPcric_1!D2753)</f>
        <v>6731</v>
      </c>
      <c r="E2778">
        <f>IF(VIPcric_1!E2753="","",VIPcric_1!E2753)</f>
        <v>579724226</v>
      </c>
      <c r="F2778" s="8">
        <f t="shared" si="4"/>
        <v>10.642989432400043</v>
      </c>
      <c r="G2778" t="str">
        <f>IF(VIPcric_1!G2753="","",VIPcric_1!G2753)</f>
        <v/>
      </c>
      <c r="H2778" t="str">
        <f>IF(VIPcric_1!H2753="","",VIPcric_1!H2753)</f>
        <v/>
      </c>
      <c r="I2778" t="str">
        <f>IF(VIPcric_1!M2753="","",VIPcric_1!M2753)</f>
        <v>CRIC-韶关-市场监测.商品房市场.城市总量.xlsx</v>
      </c>
    </row>
    <row r="2779" spans="1:9">
      <c r="A2779" t="str">
        <f>IF(VIPcric_1!A2754="","",VIPcric_1!A2754)</f>
        <v>2019年</v>
      </c>
      <c r="B2779">
        <f>IF(VIPcric_1!B2754="","",VIPcric_1!B2754)</f>
        <v>784705</v>
      </c>
      <c r="C2779">
        <f>IF(VIPcric_1!C2754="","",VIPcric_1!C2754)</f>
        <v>6466</v>
      </c>
      <c r="D2779">
        <f>IF(VIPcric_1!D2754="","",VIPcric_1!D2754)</f>
        <v>6463</v>
      </c>
      <c r="E2779">
        <f>IF(VIPcric_1!E2754="","",VIPcric_1!E2754)</f>
        <v>5071839136</v>
      </c>
      <c r="F2779" t="str">
        <f>IF(VIPcric_1!F2754="","",VIPcric_1!F2754)</f>
        <v/>
      </c>
      <c r="G2779" t="str">
        <f>IF(VIPcric_1!G2754="","",VIPcric_1!G2754)</f>
        <v/>
      </c>
      <c r="H2779" t="str">
        <f>IF(VIPcric_1!H2754="","",VIPcric_1!H2754)</f>
        <v/>
      </c>
      <c r="I2779" t="str">
        <f>IF(VIPcric_1!M2754="","",VIPcric_1!M2754)</f>
        <v>CRIC-韶关-市场监测.商品房市场.城市总量.xlsx</v>
      </c>
    </row>
    <row r="2780" spans="1:9">
      <c r="A2780" t="str">
        <f>IF(VIPcric_1!A2755="","",VIPcric_1!A2755)</f>
        <v>汇总</v>
      </c>
      <c r="B2780">
        <f>IF(VIPcric_1!B2755="","",VIPcric_1!B2755)</f>
        <v>4583787</v>
      </c>
      <c r="C2780">
        <f>IF(VIPcric_1!C2755="","",VIPcric_1!C2755)</f>
        <v>37563</v>
      </c>
      <c r="D2780">
        <f>IF(VIPcric_1!D2755="","",VIPcric_1!D2755)</f>
        <v>6134</v>
      </c>
      <c r="E2780">
        <f>IF(VIPcric_1!E2755="","",VIPcric_1!E2755)</f>
        <v>28118092128</v>
      </c>
      <c r="F2780" t="str">
        <f>IF(VIPcric_1!F2755="","",VIPcric_1!F2755)</f>
        <v/>
      </c>
      <c r="G2780" t="str">
        <f>IF(VIPcric_1!G2755="","",VIPcric_1!G2755)</f>
        <v/>
      </c>
      <c r="H2780" t="str">
        <f>IF(VIPcric_1!H2755="","",VIPcric_1!H2755)</f>
        <v/>
      </c>
      <c r="I2780" t="str">
        <f>IF(VIPcric_1!M2755="","",VIPcric_1!M2755)</f>
        <v>CRIC-韶关-市场监测.商品房市场.城市总量.xlsx</v>
      </c>
    </row>
    <row r="2781" spans="1:9">
      <c r="A2781" t="str">
        <f>IF(VIPcric_1!A2756="","",VIPcric_1!A2756)</f>
        <v/>
      </c>
      <c r="B2781" t="str">
        <f>IF(VIPcric_1!B2756="","",VIPcric_1!B2756)</f>
        <v/>
      </c>
      <c r="C2781" t="str">
        <f>IF(VIPcric_1!C2756="","",VIPcric_1!C2756)</f>
        <v/>
      </c>
      <c r="D2781" t="str">
        <f>IF(VIPcric_1!D2756="","",VIPcric_1!D2756)</f>
        <v/>
      </c>
      <c r="E2781" t="str">
        <f>IF(VIPcric_1!E2756="","",VIPcric_1!E2756)</f>
        <v/>
      </c>
      <c r="F2781" t="str">
        <f>IF(VIPcric_1!F2756="","",VIPcric_1!F2756)</f>
        <v/>
      </c>
      <c r="G2781" t="str">
        <f>IF(VIPcric_1!G2756="","",VIPcric_1!G2756)</f>
        <v/>
      </c>
      <c r="H2781" t="str">
        <f>IF(VIPcric_1!H2756="","",VIPcric_1!H2756)</f>
        <v/>
      </c>
      <c r="I2781" t="str">
        <f>IF(VIPcric_1!M2756="","",VIPcric_1!M2756)</f>
        <v/>
      </c>
    </row>
    <row r="2782" spans="1:9">
      <c r="A2782" t="str">
        <f>IF(VIPcric_1!A2757="","",VIPcric_1!A2757)</f>
        <v/>
      </c>
      <c r="B2782" t="str">
        <f>IF(VIPcric_1!B2757="","",VIPcric_1!B2757)</f>
        <v/>
      </c>
      <c r="C2782" t="str">
        <f>IF(VIPcric_1!C2757="","",VIPcric_1!C2757)</f>
        <v/>
      </c>
      <c r="D2782" t="str">
        <f>IF(VIPcric_1!D2757="","",VIPcric_1!D2757)</f>
        <v/>
      </c>
      <c r="E2782" t="str">
        <f>IF(VIPcric_1!E2757="","",VIPcric_1!E2757)</f>
        <v/>
      </c>
      <c r="F2782" t="str">
        <f>IF(VIPcric_1!F2757="","",VIPcric_1!F2757)</f>
        <v/>
      </c>
      <c r="G2782" t="str">
        <f>IF(VIPcric_1!G2757="","",VIPcric_1!G2757)</f>
        <v/>
      </c>
      <c r="H2782" t="str">
        <f>IF(VIPcric_1!H2757="","",VIPcric_1!H2757)</f>
        <v/>
      </c>
      <c r="I2782" t="str">
        <f>IF(VIPcric_1!M2757="","",VIPcric_1!M2757)</f>
        <v>CRIC-韶关-市场监测.商品房市场.项目累计.供求.xlsx</v>
      </c>
    </row>
    <row r="2783" spans="1:9">
      <c r="A2783" t="str">
        <f>IF(VIPcric_1!A2758="","",VIPcric_1!A2758)</f>
        <v>时间(年)</v>
      </c>
      <c r="B2783" t="str">
        <f>IF(VIPcric_1!B2758="","",VIPcric_1!B2758)</f>
        <v>供应面积(㎡)</v>
      </c>
      <c r="C2783" t="str">
        <f>IF(VIPcric_1!C2758="","",VIPcric_1!C2758)</f>
        <v>供应套数(套)</v>
      </c>
      <c r="D2783" t="str">
        <f>IF(VIPcric_1!D2758="","",VIPcric_1!D2758)</f>
        <v>成交面积(㎡)</v>
      </c>
      <c r="E2783" t="str">
        <f>IF(VIPcric_1!E2758="","",VIPcric_1!E2758)</f>
        <v>成交套数(套)</v>
      </c>
      <c r="F2783" t="str">
        <f>IF(VIPcric_1!F2758="","",VIPcric_1!F2758)</f>
        <v>成交均价(元/㎡)</v>
      </c>
      <c r="G2783" t="str">
        <f>IF(VIPcric_1!G2758="","",VIPcric_1!G2758)</f>
        <v>成交金额(元)</v>
      </c>
      <c r="H2783" t="str">
        <f>IF(VIPcric_1!H2758="","",VIPcric_1!H2758)</f>
        <v>供求比</v>
      </c>
      <c r="I2783" t="str">
        <f>IF(VIPcric_1!M2758="","",VIPcric_1!M2758)</f>
        <v>CRIC-韶关-市场监测.商品房市场.项目累计.供求.xlsx</v>
      </c>
    </row>
    <row r="2784" spans="1:9">
      <c r="A2784" t="str">
        <f>IF(VIPcric_1!A2759="","",VIPcric_1!A2759)</f>
        <v>2023年</v>
      </c>
      <c r="B2784">
        <f>IF(VIPcric_1!B2759="","",VIPcric_1!B2759)</f>
        <v>916267</v>
      </c>
      <c r="C2784">
        <f>IF(VIPcric_1!C2759="","",VIPcric_1!C2759)</f>
        <v>7304</v>
      </c>
      <c r="D2784">
        <f>IF(VIPcric_1!D2759="","",VIPcric_1!D2759)</f>
        <v>547739</v>
      </c>
      <c r="E2784">
        <f>IF(VIPcric_1!E2759="","",VIPcric_1!E2759)</f>
        <v>4429</v>
      </c>
      <c r="F2784">
        <f>IF(VIPcric_1!F2759="","",VIPcric_1!F2759)</f>
        <v>6205</v>
      </c>
      <c r="G2784">
        <f>IF(VIPcric_1!G2759="","",VIPcric_1!G2759)</f>
        <v>3398477741</v>
      </c>
      <c r="H2784">
        <f>IF(VIPcric_1!H2759="","",VIPcric_1!H2759)</f>
        <v>1.67</v>
      </c>
      <c r="I2784" t="str">
        <f>IF(VIPcric_1!M2759="","",VIPcric_1!M2759)</f>
        <v>CRIC-韶关-市场监测.商品房市场.项目累计.供求.xlsx</v>
      </c>
    </row>
    <row r="2785" spans="1:9">
      <c r="A2785" t="str">
        <f>IF(VIPcric_1!A2760="","",VIPcric_1!A2760)</f>
        <v>2022年</v>
      </c>
      <c r="B2785">
        <f>IF(VIPcric_1!B2760="","",VIPcric_1!B2760)</f>
        <v>605469</v>
      </c>
      <c r="C2785">
        <f>IF(VIPcric_1!C2760="","",VIPcric_1!C2760)</f>
        <v>4651</v>
      </c>
      <c r="D2785">
        <f>IF(VIPcric_1!D2760="","",VIPcric_1!D2760)</f>
        <v>1034474</v>
      </c>
      <c r="E2785">
        <f>IF(VIPcric_1!E2760="","",VIPcric_1!E2760)</f>
        <v>8306</v>
      </c>
      <c r="F2785">
        <f>IF(VIPcric_1!F2760="","",VIPcric_1!F2760)</f>
        <v>6266</v>
      </c>
      <c r="G2785">
        <f>IF(VIPcric_1!G2760="","",VIPcric_1!G2760)</f>
        <v>6481975544</v>
      </c>
      <c r="H2785">
        <f>IF(VIPcric_1!H2760="","",VIPcric_1!H2760)</f>
        <v>0.59</v>
      </c>
      <c r="I2785" t="str">
        <f>IF(VIPcric_1!M2760="","",VIPcric_1!M2760)</f>
        <v>CRIC-韶关-市场监测.商品房市场.项目累计.供求.xlsx</v>
      </c>
    </row>
    <row r="2786" spans="1:9">
      <c r="A2786" t="str">
        <f>IF(VIPcric_1!A2761="","",VIPcric_1!A2761)</f>
        <v>2021年</v>
      </c>
      <c r="B2786">
        <f>IF(VIPcric_1!B2761="","",VIPcric_1!B2761)</f>
        <v>1667271</v>
      </c>
      <c r="C2786">
        <f>IF(VIPcric_1!C2761="","",VIPcric_1!C2761)</f>
        <v>13830</v>
      </c>
      <c r="D2786">
        <f>IF(VIPcric_1!D2761="","",VIPcric_1!D2761)</f>
        <v>1227350</v>
      </c>
      <c r="E2786">
        <f>IF(VIPcric_1!E2761="","",VIPcric_1!E2761)</f>
        <v>10088</v>
      </c>
      <c r="F2786">
        <f>IF(VIPcric_1!F2761="","",VIPcric_1!F2761)</f>
        <v>6624</v>
      </c>
      <c r="G2786">
        <f>IF(VIPcric_1!G2761="","",VIPcric_1!G2761)</f>
        <v>8130564566</v>
      </c>
      <c r="H2786">
        <f>IF(VIPcric_1!H2761="","",VIPcric_1!H2761)</f>
        <v>1.36</v>
      </c>
      <c r="I2786" t="str">
        <f>IF(VIPcric_1!M2761="","",VIPcric_1!M2761)</f>
        <v>CRIC-韶关-市场监测.商品房市场.项目累计.供求.xlsx</v>
      </c>
    </row>
    <row r="2787" spans="1:9">
      <c r="A2787" t="str">
        <f>IF(VIPcric_1!A2762="","",VIPcric_1!A2762)</f>
        <v>2020年</v>
      </c>
      <c r="B2787">
        <f>IF(VIPcric_1!B2762="","",VIPcric_1!B2762)</f>
        <v>1879014</v>
      </c>
      <c r="C2787">
        <f>IF(VIPcric_1!C2762="","",VIPcric_1!C2762)</f>
        <v>16282</v>
      </c>
      <c r="D2787">
        <f>IF(VIPcric_1!D2762="","",VIPcric_1!D2762)</f>
        <v>2149049</v>
      </c>
      <c r="E2787">
        <f>IF(VIPcric_1!E2762="","",VIPcric_1!E2762)</f>
        <v>18358</v>
      </c>
      <c r="F2787">
        <f>IF(VIPcric_1!F2762="","",VIPcric_1!F2762)</f>
        <v>6752</v>
      </c>
      <c r="G2787">
        <f>IF(VIPcric_1!G2762="","",VIPcric_1!G2762)</f>
        <v>14511331421</v>
      </c>
      <c r="H2787">
        <f>IF(VIPcric_1!H2762="","",VIPcric_1!H2762)</f>
        <v>0.87</v>
      </c>
      <c r="I2787" t="str">
        <f>IF(VIPcric_1!M2762="","",VIPcric_1!M2762)</f>
        <v>CRIC-韶关-市场监测.商品房市场.项目累计.供求.xlsx</v>
      </c>
    </row>
    <row r="2788" spans="1:9">
      <c r="A2788" t="str">
        <f>IF(VIPcric_1!A2763="","",VIPcric_1!A2763)</f>
        <v>2019年</v>
      </c>
      <c r="B2788">
        <f>IF(VIPcric_1!B2763="","",VIPcric_1!B2763)</f>
        <v>1626225</v>
      </c>
      <c r="C2788">
        <f>IF(VIPcric_1!C2763="","",VIPcric_1!C2763)</f>
        <v>13174</v>
      </c>
      <c r="D2788">
        <f>IF(VIPcric_1!D2763="","",VIPcric_1!D2763)</f>
        <v>1670632</v>
      </c>
      <c r="E2788">
        <f>IF(VIPcric_1!E2763="","",VIPcric_1!E2763)</f>
        <v>14014</v>
      </c>
      <c r="F2788">
        <f>IF(VIPcric_1!F2763="","",VIPcric_1!F2763)</f>
        <v>6682</v>
      </c>
      <c r="G2788">
        <f>IF(VIPcric_1!G2763="","",VIPcric_1!G2763)</f>
        <v>11162752338</v>
      </c>
      <c r="H2788">
        <f>IF(VIPcric_1!H2763="","",VIPcric_1!H2763)</f>
        <v>0.97</v>
      </c>
      <c r="I2788" t="str">
        <f>IF(VIPcric_1!M2763="","",VIPcric_1!M2763)</f>
        <v>CRIC-韶关-市场监测.商品房市场.项目累计.供求.xlsx</v>
      </c>
    </row>
    <row r="2789" spans="1:9">
      <c r="A2789" t="str">
        <f>IF(VIPcric_1!A2764="","",VIPcric_1!A2764)</f>
        <v>汇总</v>
      </c>
      <c r="B2789">
        <f>IF(VIPcric_1!B2764="","",VIPcric_1!B2764)</f>
        <v>6694245</v>
      </c>
      <c r="C2789">
        <f>IF(VIPcric_1!C2764="","",VIPcric_1!C2764)</f>
        <v>55241</v>
      </c>
      <c r="D2789">
        <f>IF(VIPcric_1!D2764="","",VIPcric_1!D2764)</f>
        <v>6629244</v>
      </c>
      <c r="E2789">
        <f>IF(VIPcric_1!E2764="","",VIPcric_1!E2764)</f>
        <v>55195</v>
      </c>
      <c r="F2789">
        <f>IF(VIPcric_1!F2764="","",VIPcric_1!F2764)</f>
        <v>6590</v>
      </c>
      <c r="G2789">
        <f>IF(VIPcric_1!G2764="","",VIPcric_1!G2764)</f>
        <v>43685101611</v>
      </c>
      <c r="H2789">
        <f>IF(VIPcric_1!H2764="","",VIPcric_1!H2764)</f>
        <v>1.01</v>
      </c>
      <c r="I2789" t="str">
        <f>IF(VIPcric_1!M2764="","",VIPcric_1!M2764)</f>
        <v>CRIC-韶关-市场监测.商品房市场.项目累计.供求.xlsx</v>
      </c>
    </row>
    <row r="2790" spans="1:9">
      <c r="A2790" t="str">
        <f>IF(VIPcric_1!A2765="","",VIPcric_1!A2765)</f>
        <v/>
      </c>
      <c r="B2790" t="str">
        <f>IF(VIPcric_1!B2765="","",VIPcric_1!B2765)</f>
        <v/>
      </c>
      <c r="C2790" t="str">
        <f>IF(VIPcric_1!C2765="","",VIPcric_1!C2765)</f>
        <v/>
      </c>
      <c r="D2790" t="str">
        <f>IF(VIPcric_1!D2765="","",VIPcric_1!D2765)</f>
        <v/>
      </c>
      <c r="E2790" t="str">
        <f>IF(VIPcric_1!E2765="","",VIPcric_1!E2765)</f>
        <v/>
      </c>
      <c r="F2790" t="str">
        <f>IF(VIPcric_1!F2765="","",VIPcric_1!F2765)</f>
        <v/>
      </c>
      <c r="G2790" t="str">
        <f>IF(VIPcric_1!G2765="","",VIPcric_1!G2765)</f>
        <v/>
      </c>
      <c r="H2790" t="str">
        <f>IF(VIPcric_1!H2765="","",VIPcric_1!H2765)</f>
        <v/>
      </c>
      <c r="I2790" t="str">
        <f>IF(VIPcric_1!M2765="","",VIPcric_1!M2765)</f>
        <v/>
      </c>
    </row>
    <row r="2791" spans="1:9">
      <c r="A2791" t="str">
        <f>IF(VIPcric_1!A2766="","",VIPcric_1!A2766)</f>
        <v/>
      </c>
      <c r="B2791" t="str">
        <f>IF(VIPcric_1!B2766="","",VIPcric_1!B2766)</f>
        <v/>
      </c>
      <c r="C2791" t="str">
        <f>IF(VIPcric_1!C2766="","",VIPcric_1!C2766)</f>
        <v/>
      </c>
      <c r="D2791" t="str">
        <f>IF(VIPcric_1!D2766="","",VIPcric_1!D2766)</f>
        <v/>
      </c>
      <c r="E2791" t="str">
        <f>IF(VIPcric_1!E2766="","",VIPcric_1!E2766)</f>
        <v/>
      </c>
      <c r="F2791" t="str">
        <f>IF(VIPcric_1!F2766="","",VIPcric_1!F2766)</f>
        <v/>
      </c>
      <c r="G2791" t="str">
        <f>IF(VIPcric_1!G2766="","",VIPcric_1!G2766)</f>
        <v/>
      </c>
      <c r="H2791" t="str">
        <f>IF(VIPcric_1!H2766="","",VIPcric_1!H2766)</f>
        <v/>
      </c>
      <c r="I2791" t="str">
        <f>IF(VIPcric_1!M2766="","",VIPcric_1!M2766)</f>
        <v>CRIC-香河-市场监测.商品房市场.项目累计.供求.xlsx</v>
      </c>
    </row>
    <row r="2792" spans="1:9">
      <c r="A2792" t="str">
        <f>IF(VIPcric_1!A2767="","",VIPcric_1!A2767)</f>
        <v>时间(年)</v>
      </c>
      <c r="B2792" t="str">
        <f>IF(VIPcric_1!B2767="","",VIPcric_1!B2767)</f>
        <v>供应面积(㎡)</v>
      </c>
      <c r="C2792" t="str">
        <f>IF(VIPcric_1!C2767="","",VIPcric_1!C2767)</f>
        <v>供应套数(套)</v>
      </c>
      <c r="D2792" t="str">
        <f>IF(VIPcric_1!D2767="","",VIPcric_1!D2767)</f>
        <v>成交面积(㎡)</v>
      </c>
      <c r="E2792" t="str">
        <f>IF(VIPcric_1!E2767="","",VIPcric_1!E2767)</f>
        <v>成交套数(套)</v>
      </c>
      <c r="F2792" t="str">
        <f>IF(VIPcric_1!F2767="","",VIPcric_1!F2767)</f>
        <v>成交均价(元/㎡)</v>
      </c>
      <c r="G2792" t="str">
        <f>IF(VIPcric_1!G2767="","",VIPcric_1!G2767)</f>
        <v>成交金额(元)</v>
      </c>
      <c r="H2792" t="str">
        <f>IF(VIPcric_1!H2767="","",VIPcric_1!H2767)</f>
        <v>供求比</v>
      </c>
      <c r="I2792" t="str">
        <f>IF(VIPcric_1!M2767="","",VIPcric_1!M2767)</f>
        <v>CRIC-香河-市场监测.商品房市场.项目累计.供求.xlsx</v>
      </c>
    </row>
    <row r="2793" spans="1:9">
      <c r="A2793" t="str">
        <f>IF(VIPcric_1!A2768="","",VIPcric_1!A2768)</f>
        <v>2023年</v>
      </c>
      <c r="B2793">
        <f>IF(VIPcric_1!B2768="","",VIPcric_1!B2768)</f>
        <v>0</v>
      </c>
      <c r="C2793">
        <f>IF(VIPcric_1!C2768="","",VIPcric_1!C2768)</f>
        <v>0</v>
      </c>
      <c r="D2793">
        <f>IF(VIPcric_1!D2768="","",VIPcric_1!D2768)</f>
        <v>173729</v>
      </c>
      <c r="E2793">
        <f>IF(VIPcric_1!E2768="","",VIPcric_1!E2768)</f>
        <v>1671</v>
      </c>
      <c r="F2793">
        <f>IF(VIPcric_1!F2768="","",VIPcric_1!F2768)</f>
        <v>11774</v>
      </c>
      <c r="G2793">
        <f>IF(VIPcric_1!G2768="","",VIPcric_1!G2768)</f>
        <v>2045517201</v>
      </c>
      <c r="H2793">
        <f>IF(VIPcric_1!H2768="","",VIPcric_1!H2768)</f>
        <v>0</v>
      </c>
      <c r="I2793" t="str">
        <f>IF(VIPcric_1!M2768="","",VIPcric_1!M2768)</f>
        <v>CRIC-香河-市场监测.商品房市场.项目累计.供求.xlsx</v>
      </c>
    </row>
    <row r="2794" spans="1:9">
      <c r="A2794" t="str">
        <f>IF(VIPcric_1!A2769="","",VIPcric_1!A2769)</f>
        <v>2022年</v>
      </c>
      <c r="B2794">
        <f>IF(VIPcric_1!B2769="","",VIPcric_1!B2769)</f>
        <v>0</v>
      </c>
      <c r="C2794">
        <f>IF(VIPcric_1!C2769="","",VIPcric_1!C2769)</f>
        <v>0</v>
      </c>
      <c r="D2794">
        <f>IF(VIPcric_1!D2769="","",VIPcric_1!D2769)</f>
        <v>539765</v>
      </c>
      <c r="E2794">
        <f>IF(VIPcric_1!E2769="","",VIPcric_1!E2769)</f>
        <v>5586</v>
      </c>
      <c r="F2794">
        <f>IF(VIPcric_1!F2769="","",VIPcric_1!F2769)</f>
        <v>11746</v>
      </c>
      <c r="G2794">
        <f>IF(VIPcric_1!G2769="","",VIPcric_1!G2769)</f>
        <v>6340296304</v>
      </c>
      <c r="H2794">
        <f>IF(VIPcric_1!H2769="","",VIPcric_1!H2769)</f>
        <v>0</v>
      </c>
      <c r="I2794" t="str">
        <f>IF(VIPcric_1!M2769="","",VIPcric_1!M2769)</f>
        <v>CRIC-香河-市场监测.商品房市场.项目累计.供求.xlsx</v>
      </c>
    </row>
    <row r="2795" spans="1:9">
      <c r="A2795" t="str">
        <f>IF(VIPcric_1!A2770="","",VIPcric_1!A2770)</f>
        <v>2021年</v>
      </c>
      <c r="B2795">
        <f>IF(VIPcric_1!B2770="","",VIPcric_1!B2770)</f>
        <v>0</v>
      </c>
      <c r="C2795">
        <f>IF(VIPcric_1!C2770="","",VIPcric_1!C2770)</f>
        <v>0</v>
      </c>
      <c r="D2795">
        <f>IF(VIPcric_1!D2770="","",VIPcric_1!D2770)</f>
        <v>782393</v>
      </c>
      <c r="E2795">
        <f>IF(VIPcric_1!E2770="","",VIPcric_1!E2770)</f>
        <v>8032</v>
      </c>
      <c r="F2795">
        <f>IF(VIPcric_1!F2770="","",VIPcric_1!F2770)</f>
        <v>14729</v>
      </c>
      <c r="G2795">
        <f>IF(VIPcric_1!G2770="","",VIPcric_1!G2770)</f>
        <v>11524226090</v>
      </c>
      <c r="H2795">
        <f>IF(VIPcric_1!H2770="","",VIPcric_1!H2770)</f>
        <v>0</v>
      </c>
      <c r="I2795" t="str">
        <f>IF(VIPcric_1!M2770="","",VIPcric_1!M2770)</f>
        <v>CRIC-香河-市场监测.商品房市场.项目累计.供求.xlsx</v>
      </c>
    </row>
    <row r="2796" spans="1:9">
      <c r="A2796" t="str">
        <f>IF(VIPcric_1!A2771="","",VIPcric_1!A2771)</f>
        <v>2020年</v>
      </c>
      <c r="B2796">
        <f>IF(VIPcric_1!B2771="","",VIPcric_1!B2771)</f>
        <v>0</v>
      </c>
      <c r="C2796">
        <f>IF(VIPcric_1!C2771="","",VIPcric_1!C2771)</f>
        <v>0</v>
      </c>
      <c r="D2796">
        <f>IF(VIPcric_1!D2771="","",VIPcric_1!D2771)</f>
        <v>531987</v>
      </c>
      <c r="E2796">
        <f>IF(VIPcric_1!E2771="","",VIPcric_1!E2771)</f>
        <v>5536</v>
      </c>
      <c r="F2796">
        <f>IF(VIPcric_1!F2771="","",VIPcric_1!F2771)</f>
        <v>14651</v>
      </c>
      <c r="G2796">
        <f>IF(VIPcric_1!G2771="","",VIPcric_1!G2771)</f>
        <v>7793992461</v>
      </c>
      <c r="H2796">
        <f>IF(VIPcric_1!H2771="","",VIPcric_1!H2771)</f>
        <v>0</v>
      </c>
      <c r="I2796" t="str">
        <f>IF(VIPcric_1!M2771="","",VIPcric_1!M2771)</f>
        <v>CRIC-香河-市场监测.商品房市场.项目累计.供求.xlsx</v>
      </c>
    </row>
    <row r="2797" spans="1:9">
      <c r="A2797" t="str">
        <f>IF(VIPcric_1!A2772="","",VIPcric_1!A2772)</f>
        <v>2019年</v>
      </c>
      <c r="B2797">
        <f>IF(VIPcric_1!B2772="","",VIPcric_1!B2772)</f>
        <v>0</v>
      </c>
      <c r="C2797">
        <f>IF(VIPcric_1!C2772="","",VIPcric_1!C2772)</f>
        <v>0</v>
      </c>
      <c r="D2797">
        <f>IF(VIPcric_1!D2772="","",VIPcric_1!D2772)</f>
        <v>311851</v>
      </c>
      <c r="E2797">
        <f>IF(VIPcric_1!E2772="","",VIPcric_1!E2772)</f>
        <v>3278</v>
      </c>
      <c r="F2797">
        <f>IF(VIPcric_1!F2772="","",VIPcric_1!F2772)</f>
        <v>14750</v>
      </c>
      <c r="G2797">
        <f>IF(VIPcric_1!G2772="","",VIPcric_1!G2772)</f>
        <v>4599863465</v>
      </c>
      <c r="H2797">
        <f>IF(VIPcric_1!H2772="","",VIPcric_1!H2772)</f>
        <v>0</v>
      </c>
      <c r="I2797" t="str">
        <f>IF(VIPcric_1!M2772="","",VIPcric_1!M2772)</f>
        <v>CRIC-香河-市场监测.商品房市场.项目累计.供求.xlsx</v>
      </c>
    </row>
    <row r="2798" spans="1:9">
      <c r="A2798" t="str">
        <f>IF(VIPcric_1!A2773="","",VIPcric_1!A2773)</f>
        <v>2018年</v>
      </c>
      <c r="B2798">
        <f>IF(VIPcric_1!B2773="","",VIPcric_1!B2773)</f>
        <v>0</v>
      </c>
      <c r="C2798">
        <f>IF(VIPcric_1!C2773="","",VIPcric_1!C2773)</f>
        <v>0</v>
      </c>
      <c r="D2798">
        <f>IF(VIPcric_1!D2773="","",VIPcric_1!D2773)</f>
        <v>239190</v>
      </c>
      <c r="E2798">
        <f>IF(VIPcric_1!E2773="","",VIPcric_1!E2773)</f>
        <v>2495</v>
      </c>
      <c r="F2798">
        <f>IF(VIPcric_1!F2773="","",VIPcric_1!F2773)</f>
        <v>12578</v>
      </c>
      <c r="G2798">
        <f>IF(VIPcric_1!G2773="","",VIPcric_1!G2773)</f>
        <v>3008437642</v>
      </c>
      <c r="H2798">
        <f>IF(VIPcric_1!H2773="","",VIPcric_1!H2773)</f>
        <v>0</v>
      </c>
      <c r="I2798" t="str">
        <f>IF(VIPcric_1!M2773="","",VIPcric_1!M2773)</f>
        <v>CRIC-香河-市场监测.商品房市场.项目累计.供求.xlsx</v>
      </c>
    </row>
    <row r="2799" spans="1:9">
      <c r="A2799" t="str">
        <f>IF(VIPcric_1!A2774="","",VIPcric_1!A2774)</f>
        <v>汇总</v>
      </c>
      <c r="B2799">
        <f>IF(VIPcric_1!B2774="","",VIPcric_1!B2774)</f>
        <v>0</v>
      </c>
      <c r="C2799">
        <f>IF(VIPcric_1!C2774="","",VIPcric_1!C2774)</f>
        <v>0</v>
      </c>
      <c r="D2799">
        <f>IF(VIPcric_1!D2774="","",VIPcric_1!D2774)</f>
        <v>2578914</v>
      </c>
      <c r="E2799">
        <f>IF(VIPcric_1!E2774="","",VIPcric_1!E2774)</f>
        <v>26598</v>
      </c>
      <c r="F2799">
        <f>IF(VIPcric_1!F2774="","",VIPcric_1!F2774)</f>
        <v>13693</v>
      </c>
      <c r="G2799">
        <f>IF(VIPcric_1!G2774="","",VIPcric_1!G2774)</f>
        <v>35312333163</v>
      </c>
      <c r="H2799">
        <f>IF(VIPcric_1!H2774="","",VIPcric_1!H2774)</f>
        <v>0</v>
      </c>
      <c r="I2799" t="str">
        <f>IF(VIPcric_1!M2774="","",VIPcric_1!M2774)</f>
        <v>CRIC-香河-市场监测.商品房市场.项目累计.供求.xlsx</v>
      </c>
    </row>
    <row r="2800" spans="1:9">
      <c r="A2800" t="str">
        <f>IF(VIPcric_1!A2775="","",VIPcric_1!A2775)</f>
        <v/>
      </c>
      <c r="B2800" t="str">
        <f>IF(VIPcric_1!B2775="","",VIPcric_1!B2775)</f>
        <v/>
      </c>
      <c r="C2800" t="str">
        <f>IF(VIPcric_1!C2775="","",VIPcric_1!C2775)</f>
        <v/>
      </c>
      <c r="D2800" t="str">
        <f>IF(VIPcric_1!D2775="","",VIPcric_1!D2775)</f>
        <v/>
      </c>
      <c r="E2800" t="str">
        <f>IF(VIPcric_1!E2775="","",VIPcric_1!E2775)</f>
        <v/>
      </c>
      <c r="F2800" t="str">
        <f>IF(VIPcric_1!F2775="","",VIPcric_1!F2775)</f>
        <v/>
      </c>
      <c r="G2800" t="str">
        <f>IF(VIPcric_1!G2775="","",VIPcric_1!G2775)</f>
        <v/>
      </c>
      <c r="H2800" t="str">
        <f>IF(VIPcric_1!H2775="","",VIPcric_1!H2775)</f>
        <v/>
      </c>
      <c r="I2800" t="str">
        <f>IF(VIPcric_1!M2775="","",VIPcric_1!M2775)</f>
        <v/>
      </c>
    </row>
    <row r="2801" spans="1:9">
      <c r="A2801" t="str">
        <f>IF(VIPcric_1!A2776="","",VIPcric_1!A2776)</f>
        <v/>
      </c>
      <c r="B2801" t="str">
        <f>IF(VIPcric_1!B2776="","",VIPcric_1!B2776)</f>
        <v/>
      </c>
      <c r="C2801" t="str">
        <f>IF(VIPcric_1!C2776="","",VIPcric_1!C2776)</f>
        <v/>
      </c>
      <c r="D2801" t="str">
        <f>IF(VIPcric_1!D2776="","",VIPcric_1!D2776)</f>
        <v/>
      </c>
      <c r="E2801" t="str">
        <f>IF(VIPcric_1!E2776="","",VIPcric_1!E2776)</f>
        <v/>
      </c>
      <c r="F2801" t="s">
        <v>858</v>
      </c>
      <c r="G2801">
        <f>C2804/E2804*12</f>
        <v>21.624421831637374</v>
      </c>
      <c r="H2801" t="str">
        <f>IF(VIPcric_1!H2776="","",VIPcric_1!H2776)</f>
        <v/>
      </c>
      <c r="I2801" t="str">
        <f>IF(VIPcric_1!M2776="","",VIPcric_1!M2776)</f>
        <v>CRIC-马鞍山-市场监测.商品房市场.项目累计.供求.xlsx</v>
      </c>
    </row>
    <row r="2802" spans="1:9">
      <c r="A2802" t="str">
        <f>IF(VIPcric_1!A2777="","",VIPcric_1!A2777)</f>
        <v>时间(年)</v>
      </c>
      <c r="B2802" t="str">
        <f>IF(VIPcric_1!B2777="","",VIPcric_1!B2777)</f>
        <v>供应面积(㎡)</v>
      </c>
      <c r="C2802" t="str">
        <f>IF(VIPcric_1!C2777="","",VIPcric_1!C2777)</f>
        <v>供应套数(套)</v>
      </c>
      <c r="D2802" t="str">
        <f>IF(VIPcric_1!D2777="","",VIPcric_1!D2777)</f>
        <v>成交面积(㎡)</v>
      </c>
      <c r="E2802" t="str">
        <f>IF(VIPcric_1!E2777="","",VIPcric_1!E2777)</f>
        <v>成交套数(套)</v>
      </c>
      <c r="F2802" t="str">
        <f>IF(VIPcric_1!F2777="","",VIPcric_1!F2777)</f>
        <v>成交均价(元/㎡)</v>
      </c>
      <c r="G2802" t="str">
        <f>IF(VIPcric_1!G2777="","",VIPcric_1!G2777)</f>
        <v>成交金额(元)</v>
      </c>
      <c r="H2802" t="str">
        <f>IF(VIPcric_1!H2777="","",VIPcric_1!H2777)</f>
        <v>供求比</v>
      </c>
      <c r="I2802" t="str">
        <f>IF(VIPcric_1!M2777="","",VIPcric_1!M2777)</f>
        <v>CRIC-马鞍山-市场监测.商品房市场.项目累计.供求.xlsx</v>
      </c>
    </row>
    <row r="2803" spans="1:9">
      <c r="A2803" t="str">
        <f>IF(VIPcric_1!A2778="","",VIPcric_1!A2778)</f>
        <v>2024年</v>
      </c>
      <c r="B2803">
        <f>IF(VIPcric_1!B2778="","",VIPcric_1!B2778)</f>
        <v>21984</v>
      </c>
      <c r="C2803">
        <f>IF(VIPcric_1!C2778="","",VIPcric_1!C2778)</f>
        <v>170</v>
      </c>
      <c r="D2803">
        <f>IF(VIPcric_1!D2778="","",VIPcric_1!D2778)</f>
        <v>14193</v>
      </c>
      <c r="E2803">
        <f>IF(VIPcric_1!E2778="","",VIPcric_1!E2778)</f>
        <v>119</v>
      </c>
      <c r="F2803">
        <f>IF(VIPcric_1!F2778="","",VIPcric_1!F2778)</f>
        <v>10850</v>
      </c>
      <c r="G2803">
        <f>IF(VIPcric_1!G2778="","",VIPcric_1!G2778)</f>
        <v>154000480</v>
      </c>
      <c r="H2803">
        <f>IF(VIPcric_1!H2778="","",VIPcric_1!H2778)</f>
        <v>1.55</v>
      </c>
      <c r="I2803" t="str">
        <f>IF(VIPcric_1!M2778="","",VIPcric_1!M2778)</f>
        <v>CRIC-马鞍山-市场监测.商品房市场.项目累计.供求.xlsx</v>
      </c>
    </row>
    <row r="2804" spans="1:9">
      <c r="A2804" t="str">
        <f>IF(VIPcric_1!A2779="","",VIPcric_1!A2779)</f>
        <v>2023年</v>
      </c>
      <c r="B2804">
        <f>IF(VIPcric_1!B2779="","",VIPcric_1!B2779)</f>
        <v>459066</v>
      </c>
      <c r="C2804">
        <f>IF(VIPcric_1!C2779="","",VIPcric_1!C2779)</f>
        <v>3896</v>
      </c>
      <c r="D2804">
        <f>IF(VIPcric_1!D2779="","",VIPcric_1!D2779)</f>
        <v>255730</v>
      </c>
      <c r="E2804">
        <f>IF(VIPcric_1!E2779="","",VIPcric_1!E2779)</f>
        <v>2162</v>
      </c>
      <c r="F2804">
        <f>IF(VIPcric_1!F2779="","",VIPcric_1!F2779)</f>
        <v>10831</v>
      </c>
      <c r="G2804">
        <f>IF(VIPcric_1!G2779="","",VIPcric_1!G2779)</f>
        <v>2769900289</v>
      </c>
      <c r="H2804">
        <f>IF(VIPcric_1!H2779="","",VIPcric_1!H2779)</f>
        <v>1.8</v>
      </c>
      <c r="I2804" t="str">
        <f>IF(VIPcric_1!M2779="","",VIPcric_1!M2779)</f>
        <v>CRIC-马鞍山-市场监测.商品房市场.项目累计.供求.xlsx</v>
      </c>
    </row>
    <row r="2805" spans="1:9">
      <c r="A2805" t="str">
        <f>IF(VIPcric_1!A2780="","",VIPcric_1!A2780)</f>
        <v>2022年</v>
      </c>
      <c r="B2805">
        <f>IF(VIPcric_1!B2780="","",VIPcric_1!B2780)</f>
        <v>543497</v>
      </c>
      <c r="C2805">
        <f>IF(VIPcric_1!C2780="","",VIPcric_1!C2780)</f>
        <v>4717</v>
      </c>
      <c r="D2805">
        <f>IF(VIPcric_1!D2780="","",VIPcric_1!D2780)</f>
        <v>488558</v>
      </c>
      <c r="E2805">
        <f>IF(VIPcric_1!E2780="","",VIPcric_1!E2780)</f>
        <v>4131</v>
      </c>
      <c r="F2805">
        <f>IF(VIPcric_1!F2780="","",VIPcric_1!F2780)</f>
        <v>11793</v>
      </c>
      <c r="G2805">
        <f>IF(VIPcric_1!G2780="","",VIPcric_1!G2780)</f>
        <v>5761476234</v>
      </c>
      <c r="H2805">
        <f>IF(VIPcric_1!H2780="","",VIPcric_1!H2780)</f>
        <v>1.1100000000000001</v>
      </c>
      <c r="I2805" t="str">
        <f>IF(VIPcric_1!M2780="","",VIPcric_1!M2780)</f>
        <v>CRIC-马鞍山-市场监测.商品房市场.项目累计.供求.xlsx</v>
      </c>
    </row>
    <row r="2806" spans="1:9">
      <c r="A2806" t="str">
        <f>IF(VIPcric_1!A2781="","",VIPcric_1!A2781)</f>
        <v>2021年</v>
      </c>
      <c r="B2806">
        <f>IF(VIPcric_1!B2781="","",VIPcric_1!B2781)</f>
        <v>1011810</v>
      </c>
      <c r="C2806">
        <f>IF(VIPcric_1!C2781="","",VIPcric_1!C2781)</f>
        <v>8616</v>
      </c>
      <c r="D2806">
        <f>IF(VIPcric_1!D2781="","",VIPcric_1!D2781)</f>
        <v>1320119</v>
      </c>
      <c r="E2806">
        <f>IF(VIPcric_1!E2781="","",VIPcric_1!E2781)</f>
        <v>11235</v>
      </c>
      <c r="F2806">
        <f>IF(VIPcric_1!F2781="","",VIPcric_1!F2781)</f>
        <v>11208</v>
      </c>
      <c r="G2806">
        <f>IF(VIPcric_1!G2781="","",VIPcric_1!G2781)</f>
        <v>14796375782</v>
      </c>
      <c r="H2806">
        <f>IF(VIPcric_1!H2781="","",VIPcric_1!H2781)</f>
        <v>0.77</v>
      </c>
      <c r="I2806" t="str">
        <f>IF(VIPcric_1!M2781="","",VIPcric_1!M2781)</f>
        <v>CRIC-马鞍山-市场监测.商品房市场.项目累计.供求.xlsx</v>
      </c>
    </row>
    <row r="2807" spans="1:9">
      <c r="A2807" t="str">
        <f>IF(VIPcric_1!A2782="","",VIPcric_1!A2782)</f>
        <v>2020年</v>
      </c>
      <c r="B2807">
        <f>IF(VIPcric_1!B2782="","",VIPcric_1!B2782)</f>
        <v>1121832</v>
      </c>
      <c r="C2807">
        <f>IF(VIPcric_1!C2782="","",VIPcric_1!C2782)</f>
        <v>9600</v>
      </c>
      <c r="D2807">
        <f>IF(VIPcric_1!D2782="","",VIPcric_1!D2782)</f>
        <v>844042</v>
      </c>
      <c r="E2807">
        <f>IF(VIPcric_1!E2782="","",VIPcric_1!E2782)</f>
        <v>6914</v>
      </c>
      <c r="F2807">
        <f>IF(VIPcric_1!F2782="","",VIPcric_1!F2782)</f>
        <v>10149</v>
      </c>
      <c r="G2807">
        <f>IF(VIPcric_1!G2782="","",VIPcric_1!G2782)</f>
        <v>8565883576</v>
      </c>
      <c r="H2807">
        <f>IF(VIPcric_1!H2782="","",VIPcric_1!H2782)</f>
        <v>1.33</v>
      </c>
      <c r="I2807" t="str">
        <f>IF(VIPcric_1!M2782="","",VIPcric_1!M2782)</f>
        <v>CRIC-马鞍山-市场监测.商品房市场.项目累计.供求.xlsx</v>
      </c>
    </row>
    <row r="2808" spans="1:9">
      <c r="A2808" t="str">
        <f>IF(VIPcric_1!A2783="","",VIPcric_1!A2783)</f>
        <v>2019年</v>
      </c>
      <c r="B2808">
        <f>IF(VIPcric_1!B2783="","",VIPcric_1!B2783)</f>
        <v>4135719</v>
      </c>
      <c r="C2808">
        <f>IF(VIPcric_1!C2783="","",VIPcric_1!C2783)</f>
        <v>37360</v>
      </c>
      <c r="D2808">
        <f>IF(VIPcric_1!D2783="","",VIPcric_1!D2783)</f>
        <v>513188</v>
      </c>
      <c r="E2808">
        <f>IF(VIPcric_1!E2783="","",VIPcric_1!E2783)</f>
        <v>4212</v>
      </c>
      <c r="F2808">
        <f>IF(VIPcric_1!F2783="","",VIPcric_1!F2783)</f>
        <v>10128</v>
      </c>
      <c r="G2808">
        <f>IF(VIPcric_1!G2783="","",VIPcric_1!G2783)</f>
        <v>5197581933</v>
      </c>
      <c r="H2808">
        <f>IF(VIPcric_1!H2783="","",VIPcric_1!H2783)</f>
        <v>8.06</v>
      </c>
      <c r="I2808" t="str">
        <f>IF(VIPcric_1!M2783="","",VIPcric_1!M2783)</f>
        <v>CRIC-马鞍山-市场监测.商品房市场.项目累计.供求.xlsx</v>
      </c>
    </row>
    <row r="2809" spans="1:9">
      <c r="A2809" t="str">
        <f>IF(VIPcric_1!A2784="","",VIPcric_1!A2784)</f>
        <v>汇总</v>
      </c>
      <c r="B2809">
        <f>IF(VIPcric_1!B2784="","",VIPcric_1!B2784)</f>
        <v>7293908</v>
      </c>
      <c r="C2809">
        <f>IF(VIPcric_1!C2784="","",VIPcric_1!C2784)</f>
        <v>64359</v>
      </c>
      <c r="D2809">
        <f>IF(VIPcric_1!D2784="","",VIPcric_1!D2784)</f>
        <v>3435831</v>
      </c>
      <c r="E2809">
        <f>IF(VIPcric_1!E2784="","",VIPcric_1!E2784)</f>
        <v>28773</v>
      </c>
      <c r="F2809">
        <f>IF(VIPcric_1!F2784="","",VIPcric_1!F2784)</f>
        <v>10840</v>
      </c>
      <c r="G2809">
        <f>IF(VIPcric_1!G2784="","",VIPcric_1!G2784)</f>
        <v>37245218295</v>
      </c>
      <c r="H2809">
        <f>IF(VIPcric_1!H2784="","",VIPcric_1!H2784)</f>
        <v>2.12</v>
      </c>
      <c r="I2809" t="str">
        <f>IF(VIPcric_1!M2784="","",VIPcric_1!M2784)</f>
        <v>CRIC-马鞍山-市场监测.商品房市场.项目累计.供求.xlsx</v>
      </c>
    </row>
    <row r="2810" spans="1:9">
      <c r="A2810" t="str">
        <f>IF(VIPcric_1!A2785="","",VIPcric_1!A2785)</f>
        <v/>
      </c>
      <c r="B2810" t="str">
        <f>IF(VIPcric_1!B2785="","",VIPcric_1!B2785)</f>
        <v/>
      </c>
      <c r="C2810" t="str">
        <f>IF(VIPcric_1!C2785="","",VIPcric_1!C2785)</f>
        <v/>
      </c>
      <c r="D2810" t="str">
        <f>IF(VIPcric_1!D2785="","",VIPcric_1!D2785)</f>
        <v/>
      </c>
      <c r="E2810" t="str">
        <f>IF(VIPcric_1!E2785="","",VIPcric_1!E2785)</f>
        <v/>
      </c>
      <c r="F2810" t="str">
        <f>IF(VIPcric_1!F2785="","",VIPcric_1!F2785)</f>
        <v/>
      </c>
      <c r="G2810" t="str">
        <f>IF(VIPcric_1!G2785="","",VIPcric_1!G2785)</f>
        <v/>
      </c>
      <c r="H2810" t="str">
        <f>IF(VIPcric_1!H2785="","",VIPcric_1!H2785)</f>
        <v/>
      </c>
      <c r="I2810" t="str">
        <f>IF(VIPcric_1!M2785="","",VIPcric_1!M2785)</f>
        <v/>
      </c>
    </row>
    <row r="2811" spans="1:9">
      <c r="A2811" t="str">
        <f>IF(VIPcric_1!A2786="","",VIPcric_1!A2786)</f>
        <v/>
      </c>
      <c r="B2811" t="str">
        <f>IF(VIPcric_1!B2786="","",VIPcric_1!B2786)</f>
        <v/>
      </c>
      <c r="C2811" t="str">
        <f>IF(VIPcric_1!C2786="","",VIPcric_1!C2786)</f>
        <v/>
      </c>
      <c r="D2811" t="str">
        <f>IF(VIPcric_1!D2786="","",VIPcric_1!D2786)</f>
        <v/>
      </c>
      <c r="E2811" t="str">
        <f>IF(VIPcric_1!E2786="","",VIPcric_1!E2786)</f>
        <v/>
      </c>
      <c r="F2811" t="str">
        <f>IF(VIPcric_1!F2786="","",VIPcric_1!F2786)</f>
        <v/>
      </c>
      <c r="G2811" t="str">
        <f>IF(VIPcric_1!G2786="","",VIPcric_1!G2786)</f>
        <v/>
      </c>
      <c r="H2811" t="str">
        <f>IF(VIPcric_1!H2786="","",VIPcric_1!H2786)</f>
        <v/>
      </c>
      <c r="I2811" t="str">
        <f>IF(VIPcric_1!M2786="","",VIPcric_1!M2786)</f>
        <v>CRIC-驻马店-市场监测.商品房市场.项目累计.供求.xlsx</v>
      </c>
    </row>
    <row r="2812" spans="1:9">
      <c r="A2812" t="str">
        <f>IF(VIPcric_1!A2787="","",VIPcric_1!A2787)</f>
        <v>时间(年)</v>
      </c>
      <c r="B2812" t="str">
        <f>IF(VIPcric_1!B2787="","",VIPcric_1!B2787)</f>
        <v>供应面积(㎡)</v>
      </c>
      <c r="C2812" t="str">
        <f>IF(VIPcric_1!C2787="","",VIPcric_1!C2787)</f>
        <v>供应套数(套)</v>
      </c>
      <c r="D2812" t="str">
        <f>IF(VIPcric_1!D2787="","",VIPcric_1!D2787)</f>
        <v>成交面积(㎡)</v>
      </c>
      <c r="E2812" t="str">
        <f>IF(VIPcric_1!E2787="","",VIPcric_1!E2787)</f>
        <v>成交套数(套)</v>
      </c>
      <c r="F2812" t="str">
        <f>IF(VIPcric_1!F2787="","",VIPcric_1!F2787)</f>
        <v>成交均价(元/㎡)</v>
      </c>
      <c r="G2812" t="str">
        <f>IF(VIPcric_1!G2787="","",VIPcric_1!G2787)</f>
        <v>成交金额(元)</v>
      </c>
      <c r="H2812" t="str">
        <f>IF(VIPcric_1!H2787="","",VIPcric_1!H2787)</f>
        <v>供求比</v>
      </c>
      <c r="I2812" t="str">
        <f>IF(VIPcric_1!M2787="","",VIPcric_1!M2787)</f>
        <v>CRIC-驻马店-市场监测.商品房市场.项目累计.供求.xlsx</v>
      </c>
    </row>
    <row r="2813" spans="1:9">
      <c r="A2813" t="str">
        <f>IF(VIPcric_1!A2788="","",VIPcric_1!A2788)</f>
        <v>2024年</v>
      </c>
      <c r="B2813">
        <f>IF(VIPcric_1!B2788="","",VIPcric_1!B2788)</f>
        <v>283920</v>
      </c>
      <c r="C2813">
        <f>IF(VIPcric_1!C2788="","",VIPcric_1!C2788)</f>
        <v>2202</v>
      </c>
      <c r="D2813">
        <f>IF(VIPcric_1!D2788="","",VIPcric_1!D2788)</f>
        <v>64743</v>
      </c>
      <c r="E2813">
        <f>IF(VIPcric_1!E2788="","",VIPcric_1!E2788)</f>
        <v>534</v>
      </c>
      <c r="F2813">
        <f>IF(VIPcric_1!F2788="","",VIPcric_1!F2788)</f>
        <v>6147</v>
      </c>
      <c r="G2813">
        <f>IF(VIPcric_1!G2788="","",VIPcric_1!G2788)</f>
        <v>397947912</v>
      </c>
      <c r="H2813">
        <f>IF(VIPcric_1!H2788="","",VIPcric_1!H2788)</f>
        <v>4.3899999999999997</v>
      </c>
      <c r="I2813" t="str">
        <f>IF(VIPcric_1!M2788="","",VIPcric_1!M2788)</f>
        <v>CRIC-驻马店-市场监测.商品房市场.项目累计.供求.xlsx</v>
      </c>
    </row>
    <row r="2814" spans="1:9">
      <c r="A2814" t="str">
        <f>IF(VIPcric_1!A2789="","",VIPcric_1!A2789)</f>
        <v>2023年</v>
      </c>
      <c r="B2814">
        <f>IF(VIPcric_1!B2789="","",VIPcric_1!B2789)</f>
        <v>849925</v>
      </c>
      <c r="C2814">
        <f>IF(VIPcric_1!C2789="","",VIPcric_1!C2789)</f>
        <v>7704</v>
      </c>
      <c r="D2814">
        <f>IF(VIPcric_1!D2789="","",VIPcric_1!D2789)</f>
        <v>1090596</v>
      </c>
      <c r="E2814">
        <f>IF(VIPcric_1!E2789="","",VIPcric_1!E2789)</f>
        <v>9159</v>
      </c>
      <c r="F2814">
        <f>IF(VIPcric_1!F2789="","",VIPcric_1!F2789)</f>
        <v>6354</v>
      </c>
      <c r="G2814">
        <f>IF(VIPcric_1!G2789="","",VIPcric_1!G2789)</f>
        <v>6930136171</v>
      </c>
      <c r="H2814">
        <f>IF(VIPcric_1!H2789="","",VIPcric_1!H2789)</f>
        <v>0.78</v>
      </c>
      <c r="I2814" t="str">
        <f>IF(VIPcric_1!M2789="","",VIPcric_1!M2789)</f>
        <v>CRIC-驻马店-市场监测.商品房市场.项目累计.供求.xlsx</v>
      </c>
    </row>
    <row r="2815" spans="1:9">
      <c r="A2815" t="str">
        <f>IF(VIPcric_1!A2790="","",VIPcric_1!A2790)</f>
        <v>2022年</v>
      </c>
      <c r="B2815">
        <f>IF(VIPcric_1!B2790="","",VIPcric_1!B2790)</f>
        <v>966757</v>
      </c>
      <c r="C2815">
        <f>IF(VIPcric_1!C2790="","",VIPcric_1!C2790)</f>
        <v>8127</v>
      </c>
      <c r="D2815">
        <f>IF(VIPcric_1!D2790="","",VIPcric_1!D2790)</f>
        <v>1525302</v>
      </c>
      <c r="E2815">
        <f>IF(VIPcric_1!E2790="","",VIPcric_1!E2790)</f>
        <v>12203</v>
      </c>
      <c r="F2815">
        <f>IF(VIPcric_1!F2790="","",VIPcric_1!F2790)</f>
        <v>6632</v>
      </c>
      <c r="G2815">
        <f>IF(VIPcric_1!G2790="","",VIPcric_1!G2790)</f>
        <v>10115768106</v>
      </c>
      <c r="H2815">
        <f>IF(VIPcric_1!H2790="","",VIPcric_1!H2790)</f>
        <v>0.63</v>
      </c>
      <c r="I2815" t="str">
        <f>IF(VIPcric_1!M2790="","",VIPcric_1!M2790)</f>
        <v>CRIC-驻马店-市场监测.商品房市场.项目累计.供求.xlsx</v>
      </c>
    </row>
    <row r="2816" spans="1:9">
      <c r="A2816" t="str">
        <f>IF(VIPcric_1!A2791="","",VIPcric_1!A2791)</f>
        <v>2021年</v>
      </c>
      <c r="B2816">
        <f>IF(VIPcric_1!B2791="","",VIPcric_1!B2791)</f>
        <v>2985169</v>
      </c>
      <c r="C2816">
        <f>IF(VIPcric_1!C2791="","",VIPcric_1!C2791)</f>
        <v>25153</v>
      </c>
      <c r="D2816">
        <f>IF(VIPcric_1!D2791="","",VIPcric_1!D2791)</f>
        <v>2382208</v>
      </c>
      <c r="E2816">
        <f>IF(VIPcric_1!E2791="","",VIPcric_1!E2791)</f>
        <v>19279</v>
      </c>
      <c r="F2816">
        <f>IF(VIPcric_1!F2791="","",VIPcric_1!F2791)</f>
        <v>6580</v>
      </c>
      <c r="G2816">
        <f>IF(VIPcric_1!G2791="","",VIPcric_1!G2791)</f>
        <v>15674734849</v>
      </c>
      <c r="H2816">
        <f>IF(VIPcric_1!H2791="","",VIPcric_1!H2791)</f>
        <v>1.25</v>
      </c>
      <c r="I2816" t="str">
        <f>IF(VIPcric_1!M2791="","",VIPcric_1!M2791)</f>
        <v>CRIC-驻马店-市场监测.商品房市场.项目累计.供求.xlsx</v>
      </c>
    </row>
    <row r="2817" spans="1:9">
      <c r="A2817" t="str">
        <f>IF(VIPcric_1!A2792="","",VIPcric_1!A2792)</f>
        <v>2020年</v>
      </c>
      <c r="B2817">
        <f>IF(VIPcric_1!B2792="","",VIPcric_1!B2792)</f>
        <v>3291719</v>
      </c>
      <c r="C2817">
        <f>IF(VIPcric_1!C2792="","",VIPcric_1!C2792)</f>
        <v>26629</v>
      </c>
      <c r="D2817">
        <f>IF(VIPcric_1!D2792="","",VIPcric_1!D2792)</f>
        <v>2683983</v>
      </c>
      <c r="E2817">
        <f>IF(VIPcric_1!E2792="","",VIPcric_1!E2792)</f>
        <v>21863</v>
      </c>
      <c r="F2817">
        <f>IF(VIPcric_1!F2792="","",VIPcric_1!F2792)</f>
        <v>6409</v>
      </c>
      <c r="G2817">
        <f>IF(VIPcric_1!G2792="","",VIPcric_1!G2792)</f>
        <v>17201448602</v>
      </c>
      <c r="H2817">
        <f>IF(VIPcric_1!H2792="","",VIPcric_1!H2792)</f>
        <v>1.23</v>
      </c>
      <c r="I2817" t="str">
        <f>IF(VIPcric_1!M2792="","",VIPcric_1!M2792)</f>
        <v>CRIC-驻马店-市场监测.商品房市场.项目累计.供求.xlsx</v>
      </c>
    </row>
    <row r="2818" spans="1:9">
      <c r="A2818" t="str">
        <f>IF(VIPcric_1!A2793="","",VIPcric_1!A2793)</f>
        <v>2019年</v>
      </c>
      <c r="B2818">
        <f>IF(VIPcric_1!B2793="","",VIPcric_1!B2793)</f>
        <v>3875390</v>
      </c>
      <c r="C2818">
        <f>IF(VIPcric_1!C2793="","",VIPcric_1!C2793)</f>
        <v>31537</v>
      </c>
      <c r="D2818">
        <f>IF(VIPcric_1!D2793="","",VIPcric_1!D2793)</f>
        <v>234732</v>
      </c>
      <c r="E2818">
        <f>IF(VIPcric_1!E2793="","",VIPcric_1!E2793)</f>
        <v>1909</v>
      </c>
      <c r="F2818">
        <f>IF(VIPcric_1!F2793="","",VIPcric_1!F2793)</f>
        <v>6431</v>
      </c>
      <c r="G2818">
        <f>IF(VIPcric_1!G2793="","",VIPcric_1!G2793)</f>
        <v>1509635202</v>
      </c>
      <c r="H2818">
        <f>IF(VIPcric_1!H2793="","",VIPcric_1!H2793)</f>
        <v>16.510000000000002</v>
      </c>
      <c r="I2818" t="str">
        <f>IF(VIPcric_1!M2793="","",VIPcric_1!M2793)</f>
        <v>CRIC-驻马店-市场监测.商品房市场.项目累计.供求.xlsx</v>
      </c>
    </row>
    <row r="2819" spans="1:9">
      <c r="A2819" t="str">
        <f>IF(VIPcric_1!A2794="","",VIPcric_1!A2794)</f>
        <v>汇总</v>
      </c>
      <c r="B2819">
        <f>IF(VIPcric_1!B2794="","",VIPcric_1!B2794)</f>
        <v>12252880</v>
      </c>
      <c r="C2819">
        <f>IF(VIPcric_1!C2794="","",VIPcric_1!C2794)</f>
        <v>101352</v>
      </c>
      <c r="D2819">
        <f>IF(VIPcric_1!D2794="","",VIPcric_1!D2794)</f>
        <v>7981564</v>
      </c>
      <c r="E2819">
        <f>IF(VIPcric_1!E2794="","",VIPcric_1!E2794)</f>
        <v>64947</v>
      </c>
      <c r="F2819">
        <f>IF(VIPcric_1!F2794="","",VIPcric_1!F2794)</f>
        <v>6494</v>
      </c>
      <c r="G2819">
        <f>IF(VIPcric_1!G2794="","",VIPcric_1!G2794)</f>
        <v>51829670841</v>
      </c>
      <c r="H2819">
        <f>IF(VIPcric_1!H2794="","",VIPcric_1!H2794)</f>
        <v>1.54</v>
      </c>
      <c r="I2819" t="str">
        <f>IF(VIPcric_1!M2794="","",VIPcric_1!M2794)</f>
        <v>CRIC-驻马店-市场监测.商品房市场.项目累计.供求.xlsx</v>
      </c>
    </row>
    <row r="2820" spans="1:9">
      <c r="A2820" t="str">
        <f>IF(VIPcric_1!A2795="","",VIPcric_1!A2795)</f>
        <v/>
      </c>
      <c r="B2820" t="str">
        <f>IF(VIPcric_1!B2795="","",VIPcric_1!B2795)</f>
        <v/>
      </c>
      <c r="C2820" t="str">
        <f>IF(VIPcric_1!C2795="","",VIPcric_1!C2795)</f>
        <v/>
      </c>
      <c r="D2820" t="str">
        <f>IF(VIPcric_1!D2795="","",VIPcric_1!D2795)</f>
        <v/>
      </c>
      <c r="E2820" t="str">
        <f>IF(VIPcric_1!E2795="","",VIPcric_1!E2795)</f>
        <v/>
      </c>
      <c r="F2820" t="str">
        <f>IF(VIPcric_1!F2795="","",VIPcric_1!F2795)</f>
        <v/>
      </c>
      <c r="G2820" t="str">
        <f>IF(VIPcric_1!G2795="","",VIPcric_1!G2795)</f>
        <v/>
      </c>
      <c r="H2820" t="str">
        <f>IF(VIPcric_1!H2795="","",VIPcric_1!H2795)</f>
        <v/>
      </c>
      <c r="I2820" t="str">
        <f>IF(VIPcric_1!M2795="","",VIPcric_1!M2795)</f>
        <v/>
      </c>
    </row>
    <row r="2821" spans="1:9">
      <c r="A2821" t="str">
        <f>IF(VIPcric_1!A2796="","",VIPcric_1!A2796)</f>
        <v/>
      </c>
      <c r="B2821" t="str">
        <f>IF(VIPcric_1!B2796="","",VIPcric_1!B2796)</f>
        <v/>
      </c>
      <c r="C2821" t="str">
        <f>IF(VIPcric_1!C2796="","",VIPcric_1!C2796)</f>
        <v/>
      </c>
      <c r="D2821" t="str">
        <f>IF(VIPcric_1!D2796="","",VIPcric_1!D2796)</f>
        <v/>
      </c>
      <c r="E2821" t="str">
        <f>IF(VIPcric_1!E2796="","",VIPcric_1!E2796)</f>
        <v/>
      </c>
      <c r="F2821" t="str">
        <f>IF(VIPcric_1!F2796="","",VIPcric_1!F2796)</f>
        <v/>
      </c>
      <c r="G2821" t="str">
        <f>IF(VIPcric_1!G2796="","",VIPcric_1!G2796)</f>
        <v/>
      </c>
      <c r="H2821" t="str">
        <f>IF(VIPcric_1!H2796="","",VIPcric_1!H2796)</f>
        <v/>
      </c>
      <c r="I2821" t="str">
        <f>IF(VIPcric_1!M2796="","",VIPcric_1!M2796)</f>
        <v>CRIC-驻马店-市场监测.商品房市场.项目累计.库存.xlsx</v>
      </c>
    </row>
    <row r="2822" spans="1:9">
      <c r="A2822" t="str">
        <f>IF(VIPcric_1!A2797="","",VIPcric_1!A2797)</f>
        <v>时间(年)</v>
      </c>
      <c r="B2822" t="str">
        <f>IF(VIPcric_1!B2797="","",VIPcric_1!B2797)</f>
        <v>库存面积(㎡)</v>
      </c>
      <c r="C2822" t="str">
        <f>IF(VIPcric_1!C2797="","",VIPcric_1!C2797)</f>
        <v>库存套数(套)</v>
      </c>
      <c r="D2822" t="str">
        <f>IF(VIPcric_1!D2797="","",VIPcric_1!D2797)</f>
        <v>去化周期12'(月)</v>
      </c>
      <c r="E2822" t="str">
        <f>IF(VIPcric_1!E2797="","",VIPcric_1!E2797)</f>
        <v>去化周期24'(月)</v>
      </c>
      <c r="F2822" t="str">
        <f>IF(VIPcric_1!F2797="","",VIPcric_1!F2797)</f>
        <v/>
      </c>
      <c r="G2822" t="str">
        <f>IF(VIPcric_1!G2797="","",VIPcric_1!G2797)</f>
        <v/>
      </c>
      <c r="H2822" t="str">
        <f>IF(VIPcric_1!H2797="","",VIPcric_1!H2797)</f>
        <v/>
      </c>
      <c r="I2822" t="str">
        <f>IF(VIPcric_1!M2797="","",VIPcric_1!M2797)</f>
        <v>CRIC-驻马店-市场监测.商品房市场.项目累计.库存.xlsx</v>
      </c>
    </row>
    <row r="2823" spans="1:9">
      <c r="A2823" t="str">
        <f>IF(VIPcric_1!A2798="","",VIPcric_1!A2798)</f>
        <v>2024年</v>
      </c>
      <c r="B2823">
        <f>IF(VIPcric_1!B2798="","",VIPcric_1!B2798)</f>
        <v>4871958</v>
      </c>
      <c r="C2823">
        <f>IF(VIPcric_1!C2798="","",VIPcric_1!C2798)</f>
        <v>44493</v>
      </c>
      <c r="D2823">
        <f>IF(VIPcric_1!D2798="","",VIPcric_1!D2798)</f>
        <v>54.4</v>
      </c>
      <c r="E2823">
        <f>IF(VIPcric_1!E2798="","",VIPcric_1!E2798)</f>
        <v>46</v>
      </c>
      <c r="F2823" t="str">
        <f>IF(VIPcric_1!F2798="","",VIPcric_1!F2798)</f>
        <v/>
      </c>
      <c r="G2823" t="str">
        <f>IF(VIPcric_1!G2798="","",VIPcric_1!G2798)</f>
        <v/>
      </c>
      <c r="H2823" t="str">
        <f>IF(VIPcric_1!H2798="","",VIPcric_1!H2798)</f>
        <v/>
      </c>
      <c r="I2823" t="str">
        <f>IF(VIPcric_1!M2798="","",VIPcric_1!M2798)</f>
        <v>CRIC-驻马店-市场监测.商品房市场.项目累计.库存.xlsx</v>
      </c>
    </row>
    <row r="2824" spans="1:9">
      <c r="A2824" t="str">
        <f>IF(VIPcric_1!A2799="","",VIPcric_1!A2799)</f>
        <v>2023年</v>
      </c>
      <c r="B2824">
        <f>IF(VIPcric_1!B2799="","",VIPcric_1!B2799)</f>
        <v>4650446</v>
      </c>
      <c r="C2824">
        <f>IF(VIPcric_1!C2799="","",VIPcric_1!C2799)</f>
        <v>42806</v>
      </c>
      <c r="D2824">
        <f>IF(VIPcric_1!D2799="","",VIPcric_1!D2799)</f>
        <v>51.2</v>
      </c>
      <c r="E2824">
        <f>IF(VIPcric_1!E2799="","",VIPcric_1!E2799)</f>
        <v>42.7</v>
      </c>
      <c r="F2824" t="str">
        <f>IF(VIPcric_1!F2799="","",VIPcric_1!F2799)</f>
        <v/>
      </c>
      <c r="G2824" t="str">
        <f>IF(VIPcric_1!G2799="","",VIPcric_1!G2799)</f>
        <v/>
      </c>
      <c r="H2824" t="str">
        <f>IF(VIPcric_1!H2799="","",VIPcric_1!H2799)</f>
        <v/>
      </c>
      <c r="I2824" t="str">
        <f>IF(VIPcric_1!M2799="","",VIPcric_1!M2799)</f>
        <v>CRIC-驻马店-市场监测.商品房市场.项目累计.库存.xlsx</v>
      </c>
    </row>
    <row r="2825" spans="1:9">
      <c r="A2825" t="str">
        <f>IF(VIPcric_1!A2800="","",VIPcric_1!A2800)</f>
        <v>2022年</v>
      </c>
      <c r="B2825">
        <f>IF(VIPcric_1!B2800="","",VIPcric_1!B2800)</f>
        <v>4854469</v>
      </c>
      <c r="C2825">
        <f>IF(VIPcric_1!C2800="","",VIPcric_1!C2800)</f>
        <v>43879</v>
      </c>
      <c r="D2825">
        <f>IF(VIPcric_1!D2800="","",VIPcric_1!D2800)</f>
        <v>38.200000000000003</v>
      </c>
      <c r="E2825">
        <f>IF(VIPcric_1!E2800="","",VIPcric_1!E2800)</f>
        <v>29.8</v>
      </c>
      <c r="F2825" t="str">
        <f>IF(VIPcric_1!F2800="","",VIPcric_1!F2800)</f>
        <v/>
      </c>
      <c r="G2825" t="str">
        <f>IF(VIPcric_1!G2800="","",VIPcric_1!G2800)</f>
        <v/>
      </c>
      <c r="H2825" t="str">
        <f>IF(VIPcric_1!H2800="","",VIPcric_1!H2800)</f>
        <v/>
      </c>
      <c r="I2825" t="str">
        <f>IF(VIPcric_1!M2800="","",VIPcric_1!M2800)</f>
        <v>CRIC-驻马店-市场监测.商品房市场.项目累计.库存.xlsx</v>
      </c>
    </row>
    <row r="2826" spans="1:9">
      <c r="A2826" t="str">
        <f>IF(VIPcric_1!A2801="","",VIPcric_1!A2801)</f>
        <v>2021年</v>
      </c>
      <c r="B2826">
        <f>IF(VIPcric_1!B2801="","",VIPcric_1!B2801)</f>
        <v>5383622</v>
      </c>
      <c r="C2826">
        <f>IF(VIPcric_1!C2801="","",VIPcric_1!C2801)</f>
        <v>47644</v>
      </c>
      <c r="D2826">
        <f>IF(VIPcric_1!D2801="","",VIPcric_1!D2801)</f>
        <v>27.1</v>
      </c>
      <c r="E2826">
        <f>IF(VIPcric_1!E2801="","",VIPcric_1!E2801)</f>
        <v>25.5</v>
      </c>
      <c r="F2826" t="str">
        <f>IF(VIPcric_1!F2801="","",VIPcric_1!F2801)</f>
        <v/>
      </c>
      <c r="G2826" t="str">
        <f>IF(VIPcric_1!G2801="","",VIPcric_1!G2801)</f>
        <v/>
      </c>
      <c r="H2826" t="str">
        <f>IF(VIPcric_1!H2801="","",VIPcric_1!H2801)</f>
        <v/>
      </c>
      <c r="I2826" t="str">
        <f>IF(VIPcric_1!M2801="","",VIPcric_1!M2801)</f>
        <v>CRIC-驻马店-市场监测.商品房市场.项目累计.库存.xlsx</v>
      </c>
    </row>
    <row r="2827" spans="1:9">
      <c r="A2827" t="str">
        <f>IF(VIPcric_1!A2802="","",VIPcric_1!A2802)</f>
        <v>2020年</v>
      </c>
      <c r="B2827">
        <f>IF(VIPcric_1!B2802="","",VIPcric_1!B2802)</f>
        <v>4271810</v>
      </c>
      <c r="C2827">
        <f>IF(VIPcric_1!C2802="","",VIPcric_1!C2802)</f>
        <v>35420</v>
      </c>
      <c r="D2827">
        <f>IF(VIPcric_1!D2802="","",VIPcric_1!D2802)</f>
        <v>19.100000000000001</v>
      </c>
      <c r="E2827">
        <f>IF(VIPcric_1!E2802="","",VIPcric_1!E2802)</f>
        <v>35.1</v>
      </c>
      <c r="F2827" t="str">
        <f>IF(VIPcric_1!F2802="","",VIPcric_1!F2802)</f>
        <v/>
      </c>
      <c r="G2827" t="str">
        <f>IF(VIPcric_1!G2802="","",VIPcric_1!G2802)</f>
        <v/>
      </c>
      <c r="H2827" t="str">
        <f>IF(VIPcric_1!H2802="","",VIPcric_1!H2802)</f>
        <v/>
      </c>
      <c r="I2827" t="str">
        <f>IF(VIPcric_1!M2802="","",VIPcric_1!M2802)</f>
        <v>CRIC-驻马店-市场监测.商品房市场.项目累计.库存.xlsx</v>
      </c>
    </row>
    <row r="2828" spans="1:9">
      <c r="A2828" t="str">
        <f>IF(VIPcric_1!A2803="","",VIPcric_1!A2803)</f>
        <v>2019年</v>
      </c>
      <c r="B2828">
        <f>IF(VIPcric_1!B2803="","",VIPcric_1!B2803)</f>
        <v>3659687</v>
      </c>
      <c r="C2828">
        <f>IF(VIPcric_1!C2803="","",VIPcric_1!C2803)</f>
        <v>30661</v>
      </c>
      <c r="D2828">
        <f>IF(VIPcric_1!D2803="","",VIPcric_1!D2803)</f>
        <v>187.1</v>
      </c>
      <c r="E2828">
        <f>IF(VIPcric_1!E2803="","",VIPcric_1!E2803)</f>
        <v>374.2</v>
      </c>
      <c r="F2828" t="str">
        <f>IF(VIPcric_1!F2803="","",VIPcric_1!F2803)</f>
        <v/>
      </c>
      <c r="G2828" t="str">
        <f>IF(VIPcric_1!G2803="","",VIPcric_1!G2803)</f>
        <v/>
      </c>
      <c r="H2828" t="str">
        <f>IF(VIPcric_1!H2803="","",VIPcric_1!H2803)</f>
        <v/>
      </c>
      <c r="I2828" t="str">
        <f>IF(VIPcric_1!M2803="","",VIPcric_1!M2803)</f>
        <v>CRIC-驻马店-市场监测.商品房市场.项目累计.库存.xlsx</v>
      </c>
    </row>
    <row r="2829" spans="1:9">
      <c r="A2829" t="str">
        <f>IF(VIPcric_1!A2804="","",VIPcric_1!A2804)</f>
        <v/>
      </c>
      <c r="B2829" t="str">
        <f>IF(VIPcric_1!B2804="","",VIPcric_1!B2804)</f>
        <v/>
      </c>
      <c r="C2829" t="str">
        <f>IF(VIPcric_1!C2804="","",VIPcric_1!C2804)</f>
        <v/>
      </c>
      <c r="D2829" t="str">
        <f>IF(VIPcric_1!D2804="","",VIPcric_1!D2804)</f>
        <v/>
      </c>
      <c r="E2829" t="str">
        <f>IF(VIPcric_1!E2804="","",VIPcric_1!E2804)</f>
        <v/>
      </c>
      <c r="F2829" t="str">
        <f>IF(VIPcric_1!F2804="","",VIPcric_1!F2804)</f>
        <v/>
      </c>
      <c r="G2829" t="str">
        <f>IF(VIPcric_1!G2804="","",VIPcric_1!G2804)</f>
        <v/>
      </c>
      <c r="H2829" t="str">
        <f>IF(VIPcric_1!H2804="","",VIPcric_1!H2804)</f>
        <v/>
      </c>
      <c r="I2829" t="str">
        <f>IF(VIPcric_1!M2804="","",VIPcric_1!M2804)</f>
        <v/>
      </c>
    </row>
    <row r="2830" spans="1:9">
      <c r="A2830" t="str">
        <f>IF(VIPcric_1!A2805="","",VIPcric_1!A2805)</f>
        <v/>
      </c>
      <c r="B2830" t="str">
        <f>IF(VIPcric_1!B2805="","",VIPcric_1!B2805)</f>
        <v/>
      </c>
      <c r="C2830" t="str">
        <f>IF(VIPcric_1!C2805="","",VIPcric_1!C2805)</f>
        <v/>
      </c>
      <c r="D2830" t="str">
        <f>IF(VIPcric_1!D2805="","",VIPcric_1!D2805)</f>
        <v/>
      </c>
      <c r="E2830" t="str">
        <f>IF(VIPcric_1!E2805="","",VIPcric_1!E2805)</f>
        <v/>
      </c>
      <c r="F2830" t="str">
        <f>IF(VIPcric_1!F2805="","",VIPcric_1!F2805)</f>
        <v/>
      </c>
      <c r="G2830" t="str">
        <f>IF(VIPcric_1!G2805="","",VIPcric_1!G2805)</f>
        <v/>
      </c>
      <c r="H2830" t="str">
        <f>IF(VIPcric_1!H2805="","",VIPcric_1!H2805)</f>
        <v/>
      </c>
      <c r="I2830" t="str">
        <f>IF(VIPcric_1!M2805="","",VIPcric_1!M2805)</f>
        <v>CRIC-鹤壁-市场监测.商品房市场.项目累计.供求.xlsx</v>
      </c>
    </row>
    <row r="2831" spans="1:9">
      <c r="A2831" t="str">
        <f>IF(VIPcric_1!A2806="","",VIPcric_1!A2806)</f>
        <v>时间(年)</v>
      </c>
      <c r="B2831" t="str">
        <f>IF(VIPcric_1!B2806="","",VIPcric_1!B2806)</f>
        <v>供应面积(㎡)</v>
      </c>
      <c r="C2831" t="str">
        <f>IF(VIPcric_1!C2806="","",VIPcric_1!C2806)</f>
        <v>供应套数(套)</v>
      </c>
      <c r="D2831" t="str">
        <f>IF(VIPcric_1!D2806="","",VIPcric_1!D2806)</f>
        <v>成交面积(㎡)</v>
      </c>
      <c r="E2831" t="str">
        <f>IF(VIPcric_1!E2806="","",VIPcric_1!E2806)</f>
        <v>成交套数(套)</v>
      </c>
      <c r="F2831" t="str">
        <f>IF(VIPcric_1!F2806="","",VIPcric_1!F2806)</f>
        <v>成交均价(元/㎡)</v>
      </c>
      <c r="G2831" t="str">
        <f>IF(VIPcric_1!G2806="","",VIPcric_1!G2806)</f>
        <v>成交金额(元)</v>
      </c>
      <c r="H2831" t="str">
        <f>IF(VIPcric_1!H2806="","",VIPcric_1!H2806)</f>
        <v>供求比</v>
      </c>
      <c r="I2831" t="str">
        <f>IF(VIPcric_1!M2806="","",VIPcric_1!M2806)</f>
        <v>CRIC-鹤壁-市场监测.商品房市场.项目累计.供求.xlsx</v>
      </c>
    </row>
    <row r="2832" spans="1:9">
      <c r="A2832" t="str">
        <f>IF(VIPcric_1!A2807="","",VIPcric_1!A2807)</f>
        <v>2023年</v>
      </c>
      <c r="B2832">
        <f>IF(VIPcric_1!B2807="","",VIPcric_1!B2807)</f>
        <v>877366</v>
      </c>
      <c r="C2832">
        <f>IF(VIPcric_1!C2807="","",VIPcric_1!C2807)</f>
        <v>8190</v>
      </c>
      <c r="D2832">
        <f>IF(VIPcric_1!D2807="","",VIPcric_1!D2807)</f>
        <v>687159</v>
      </c>
      <c r="E2832">
        <f>IF(VIPcric_1!E2807="","",VIPcric_1!E2807)</f>
        <v>6160</v>
      </c>
      <c r="F2832">
        <f>IF(VIPcric_1!F2807="","",VIPcric_1!F2807)</f>
        <v>6016</v>
      </c>
      <c r="G2832">
        <f>IF(VIPcric_1!G2807="","",VIPcric_1!G2807)</f>
        <v>4133811009</v>
      </c>
      <c r="H2832">
        <f>IF(VIPcric_1!H2807="","",VIPcric_1!H2807)</f>
        <v>1.28</v>
      </c>
      <c r="I2832" t="str">
        <f>IF(VIPcric_1!M2807="","",VIPcric_1!M2807)</f>
        <v>CRIC-鹤壁-市场监测.商品房市场.项目累计.供求.xlsx</v>
      </c>
    </row>
    <row r="2833" spans="1:9">
      <c r="A2833" t="str">
        <f>IF(VIPcric_1!A2808="","",VIPcric_1!A2808)</f>
        <v>2022年</v>
      </c>
      <c r="B2833">
        <f>IF(VIPcric_1!B2808="","",VIPcric_1!B2808)</f>
        <v>1111549</v>
      </c>
      <c r="C2833">
        <f>IF(VIPcric_1!C2808="","",VIPcric_1!C2808)</f>
        <v>10008</v>
      </c>
      <c r="D2833">
        <f>IF(VIPcric_1!D2808="","",VIPcric_1!D2808)</f>
        <v>1216527</v>
      </c>
      <c r="E2833">
        <f>IF(VIPcric_1!E2808="","",VIPcric_1!E2808)</f>
        <v>10737</v>
      </c>
      <c r="F2833">
        <f>IF(VIPcric_1!F2808="","",VIPcric_1!F2808)</f>
        <v>5704</v>
      </c>
      <c r="G2833">
        <f>IF(VIPcric_1!G2808="","",VIPcric_1!G2808)</f>
        <v>6939339671</v>
      </c>
      <c r="H2833">
        <f>IF(VIPcric_1!H2808="","",VIPcric_1!H2808)</f>
        <v>0.91</v>
      </c>
      <c r="I2833" t="str">
        <f>IF(VIPcric_1!M2808="","",VIPcric_1!M2808)</f>
        <v>CRIC-鹤壁-市场监测.商品房市场.项目累计.供求.xlsx</v>
      </c>
    </row>
    <row r="2834" spans="1:9">
      <c r="A2834" t="str">
        <f>IF(VIPcric_1!A2809="","",VIPcric_1!A2809)</f>
        <v>2021年</v>
      </c>
      <c r="B2834">
        <f>IF(VIPcric_1!B2809="","",VIPcric_1!B2809)</f>
        <v>1497701</v>
      </c>
      <c r="C2834">
        <f>IF(VIPcric_1!C2809="","",VIPcric_1!C2809)</f>
        <v>13223</v>
      </c>
      <c r="D2834">
        <f>IF(VIPcric_1!D2809="","",VIPcric_1!D2809)</f>
        <v>505425</v>
      </c>
      <c r="E2834">
        <f>IF(VIPcric_1!E2809="","",VIPcric_1!E2809)</f>
        <v>4340</v>
      </c>
      <c r="F2834">
        <f>IF(VIPcric_1!F2809="","",VIPcric_1!F2809)</f>
        <v>5962</v>
      </c>
      <c r="G2834">
        <f>IF(VIPcric_1!G2809="","",VIPcric_1!G2809)</f>
        <v>3013245084</v>
      </c>
      <c r="H2834">
        <f>IF(VIPcric_1!H2809="","",VIPcric_1!H2809)</f>
        <v>2.96</v>
      </c>
      <c r="I2834" t="str">
        <f>IF(VIPcric_1!M2809="","",VIPcric_1!M2809)</f>
        <v>CRIC-鹤壁-市场监测.商品房市场.项目累计.供求.xlsx</v>
      </c>
    </row>
    <row r="2835" spans="1:9">
      <c r="A2835" t="str">
        <f>IF(VIPcric_1!A2810="","",VIPcric_1!A2810)</f>
        <v>2020年</v>
      </c>
      <c r="B2835">
        <f>IF(VIPcric_1!B2810="","",VIPcric_1!B2810)</f>
        <v>1630322</v>
      </c>
      <c r="C2835">
        <f>IF(VIPcric_1!C2810="","",VIPcric_1!C2810)</f>
        <v>14446</v>
      </c>
      <c r="D2835">
        <f>IF(VIPcric_1!D2810="","",VIPcric_1!D2810)</f>
        <v>0</v>
      </c>
      <c r="E2835">
        <f>IF(VIPcric_1!E2810="","",VIPcric_1!E2810)</f>
        <v>0</v>
      </c>
      <c r="F2835">
        <f>IF(VIPcric_1!F2810="","",VIPcric_1!F2810)</f>
        <v>0</v>
      </c>
      <c r="G2835">
        <f>IF(VIPcric_1!G2810="","",VIPcric_1!G2810)</f>
        <v>0</v>
      </c>
      <c r="H2835">
        <f>IF(VIPcric_1!H2810="","",VIPcric_1!H2810)</f>
        <v>0</v>
      </c>
      <c r="I2835" t="str">
        <f>IF(VIPcric_1!M2810="","",VIPcric_1!M2810)</f>
        <v>CRIC-鹤壁-市场监测.商品房市场.项目累计.供求.xlsx</v>
      </c>
    </row>
    <row r="2836" spans="1:9">
      <c r="A2836" t="str">
        <f>IF(VIPcric_1!A2811="","",VIPcric_1!A2811)</f>
        <v>2019年</v>
      </c>
      <c r="B2836">
        <f>IF(VIPcric_1!B2811="","",VIPcric_1!B2811)</f>
        <v>1782829</v>
      </c>
      <c r="C2836">
        <f>IF(VIPcric_1!C2811="","",VIPcric_1!C2811)</f>
        <v>14823</v>
      </c>
      <c r="D2836">
        <f>IF(VIPcric_1!D2811="","",VIPcric_1!D2811)</f>
        <v>0</v>
      </c>
      <c r="E2836">
        <f>IF(VIPcric_1!E2811="","",VIPcric_1!E2811)</f>
        <v>0</v>
      </c>
      <c r="F2836">
        <f>IF(VIPcric_1!F2811="","",VIPcric_1!F2811)</f>
        <v>0</v>
      </c>
      <c r="G2836">
        <f>IF(VIPcric_1!G2811="","",VIPcric_1!G2811)</f>
        <v>0</v>
      </c>
      <c r="H2836">
        <f>IF(VIPcric_1!H2811="","",VIPcric_1!H2811)</f>
        <v>0</v>
      </c>
      <c r="I2836" t="str">
        <f>IF(VIPcric_1!M2811="","",VIPcric_1!M2811)</f>
        <v>CRIC-鹤壁-市场监测.商品房市场.项目累计.供求.xlsx</v>
      </c>
    </row>
    <row r="2837" spans="1:9">
      <c r="A2837" t="str">
        <f>IF(VIPcric_1!A2812="","",VIPcric_1!A2812)</f>
        <v>汇总</v>
      </c>
      <c r="B2837">
        <f>IF(VIPcric_1!B2812="","",VIPcric_1!B2812)</f>
        <v>6899767</v>
      </c>
      <c r="C2837">
        <f>IF(VIPcric_1!C2812="","",VIPcric_1!C2812)</f>
        <v>60690</v>
      </c>
      <c r="D2837">
        <f>IF(VIPcric_1!D2812="","",VIPcric_1!D2812)</f>
        <v>2409111</v>
      </c>
      <c r="E2837">
        <f>IF(VIPcric_1!E2812="","",VIPcric_1!E2812)</f>
        <v>21237</v>
      </c>
      <c r="F2837">
        <f>IF(VIPcric_1!F2812="","",VIPcric_1!F2812)</f>
        <v>5847</v>
      </c>
      <c r="G2837">
        <f>IF(VIPcric_1!G2812="","",VIPcric_1!G2812)</f>
        <v>14086395764</v>
      </c>
      <c r="H2837">
        <f>IF(VIPcric_1!H2812="","",VIPcric_1!H2812)</f>
        <v>2.86</v>
      </c>
      <c r="I2837" t="str">
        <f>IF(VIPcric_1!M2812="","",VIPcric_1!M2812)</f>
        <v>CRIC-鹤壁-市场监测.商品房市场.项目累计.供求.xlsx</v>
      </c>
    </row>
    <row r="2838" spans="1:9">
      <c r="A2838" t="str">
        <f>IF(VIPcric_1!A2813="","",VIPcric_1!A2813)</f>
        <v/>
      </c>
      <c r="B2838" t="str">
        <f>IF(VIPcric_1!B2813="","",VIPcric_1!B2813)</f>
        <v/>
      </c>
      <c r="C2838" t="str">
        <f>IF(VIPcric_1!C2813="","",VIPcric_1!C2813)</f>
        <v/>
      </c>
      <c r="D2838" t="str">
        <f>IF(VIPcric_1!D2813="","",VIPcric_1!D2813)</f>
        <v/>
      </c>
      <c r="E2838" t="str">
        <f>IF(VIPcric_1!E2813="","",VIPcric_1!E2813)</f>
        <v/>
      </c>
      <c r="F2838" t="str">
        <f>IF(VIPcric_1!F2813="","",VIPcric_1!F2813)</f>
        <v/>
      </c>
      <c r="G2838" t="str">
        <f>IF(VIPcric_1!G2813="","",VIPcric_1!G2813)</f>
        <v/>
      </c>
      <c r="H2838" t="str">
        <f>IF(VIPcric_1!H2813="","",VIPcric_1!H2813)</f>
        <v/>
      </c>
      <c r="I2838" t="str">
        <f>IF(VIPcric_1!M2813="","",VIPcric_1!M2813)</f>
        <v/>
      </c>
    </row>
    <row r="2839" spans="1:9">
      <c r="A2839" t="str">
        <f>IF(VIPcric_1!A2814="","",VIPcric_1!A2814)</f>
        <v/>
      </c>
      <c r="B2839" t="str">
        <f>IF(VIPcric_1!B2814="","",VIPcric_1!B2814)</f>
        <v/>
      </c>
      <c r="C2839" t="str">
        <f>IF(VIPcric_1!C2814="","",VIPcric_1!C2814)</f>
        <v/>
      </c>
      <c r="D2839" t="str">
        <f>IF(VIPcric_1!D2814="","",VIPcric_1!D2814)</f>
        <v/>
      </c>
      <c r="E2839" t="str">
        <f>IF(VIPcric_1!E2814="","",VIPcric_1!E2814)</f>
        <v/>
      </c>
      <c r="F2839" t="str">
        <f>IF(VIPcric_1!F2814="","",VIPcric_1!F2814)</f>
        <v/>
      </c>
      <c r="G2839" t="str">
        <f>IF(VIPcric_1!G2814="","",VIPcric_1!G2814)</f>
        <v/>
      </c>
      <c r="H2839" t="str">
        <f>IF(VIPcric_1!H2814="","",VIPcric_1!H2814)</f>
        <v/>
      </c>
      <c r="I2839" t="str">
        <f>IF(VIPcric_1!M2814="","",VIPcric_1!M2814)</f>
        <v>CRIC-鹤壁-市场监测.商品房市场.项目累计.库存.xlsx</v>
      </c>
    </row>
    <row r="2840" spans="1:9">
      <c r="A2840" t="str">
        <f>IF(VIPcric_1!A2815="","",VIPcric_1!A2815)</f>
        <v>时间(年)</v>
      </c>
      <c r="B2840" t="str">
        <f>IF(VIPcric_1!B2815="","",VIPcric_1!B2815)</f>
        <v>库存面积(㎡)</v>
      </c>
      <c r="C2840" t="str">
        <f>IF(VIPcric_1!C2815="","",VIPcric_1!C2815)</f>
        <v>库存套数(套)</v>
      </c>
      <c r="D2840" t="str">
        <f>IF(VIPcric_1!D2815="","",VIPcric_1!D2815)</f>
        <v>去化周期12'(月)</v>
      </c>
      <c r="E2840" t="str">
        <f>IF(VIPcric_1!E2815="","",VIPcric_1!E2815)</f>
        <v/>
      </c>
      <c r="F2840" t="str">
        <f>IF(VIPcric_1!F2815="","",VIPcric_1!F2815)</f>
        <v/>
      </c>
      <c r="G2840" t="str">
        <f>IF(VIPcric_1!G2815="","",VIPcric_1!G2815)</f>
        <v/>
      </c>
      <c r="H2840" t="str">
        <f>IF(VIPcric_1!H2815="","",VIPcric_1!H2815)</f>
        <v/>
      </c>
      <c r="I2840" t="str">
        <f>IF(VIPcric_1!M2815="","",VIPcric_1!M2815)</f>
        <v>CRIC-鹤壁-市场监测.商品房市场.项目累计.库存.xlsx</v>
      </c>
    </row>
    <row r="2841" spans="1:9">
      <c r="A2841" t="str">
        <f>IF(VIPcric_1!A2816="","",VIPcric_1!A2816)</f>
        <v>2023年</v>
      </c>
      <c r="B2841">
        <f>IF(VIPcric_1!B2816="","",VIPcric_1!B2816)</f>
        <v>2086992</v>
      </c>
      <c r="C2841">
        <f>IF(VIPcric_1!C2816="","",VIPcric_1!C2816)</f>
        <v>18867</v>
      </c>
      <c r="D2841">
        <f>IF(VIPcric_1!D2816="","",VIPcric_1!D2816)</f>
        <v>36.4</v>
      </c>
      <c r="E2841" t="str">
        <f>IF(VIPcric_1!E2816="","",VIPcric_1!E2816)</f>
        <v/>
      </c>
      <c r="F2841" t="str">
        <f>IF(VIPcric_1!F2816="","",VIPcric_1!F2816)</f>
        <v/>
      </c>
      <c r="G2841" t="str">
        <f>IF(VIPcric_1!G2816="","",VIPcric_1!G2816)</f>
        <v/>
      </c>
      <c r="H2841" t="str">
        <f>IF(VIPcric_1!H2816="","",VIPcric_1!H2816)</f>
        <v/>
      </c>
      <c r="I2841" t="str">
        <f>IF(VIPcric_1!M2816="","",VIPcric_1!M2816)</f>
        <v>CRIC-鹤壁-市场监测.商品房市场.项目累计.库存.xlsx</v>
      </c>
    </row>
    <row r="2842" spans="1:9">
      <c r="A2842" t="str">
        <f>IF(VIPcric_1!A2817="","",VIPcric_1!A2817)</f>
        <v>2022年</v>
      </c>
      <c r="B2842">
        <f>IF(VIPcric_1!B2817="","",VIPcric_1!B2817)</f>
        <v>1734952</v>
      </c>
      <c r="C2842">
        <f>IF(VIPcric_1!C2817="","",VIPcric_1!C2817)</f>
        <v>15439</v>
      </c>
      <c r="D2842">
        <f>IF(VIPcric_1!D2817="","",VIPcric_1!D2817)</f>
        <v>17.100000000000001</v>
      </c>
      <c r="E2842" t="str">
        <f>IF(VIPcric_1!E2817="","",VIPcric_1!E2817)</f>
        <v/>
      </c>
      <c r="F2842" t="str">
        <f>IF(VIPcric_1!F2817="","",VIPcric_1!F2817)</f>
        <v/>
      </c>
      <c r="G2842" t="str">
        <f>IF(VIPcric_1!G2817="","",VIPcric_1!G2817)</f>
        <v/>
      </c>
      <c r="H2842" t="str">
        <f>IF(VIPcric_1!H2817="","",VIPcric_1!H2817)</f>
        <v/>
      </c>
      <c r="I2842" t="str">
        <f>IF(VIPcric_1!M2817="","",VIPcric_1!M2817)</f>
        <v>CRIC-鹤壁-市场监测.商品房市场.项目累计.库存.xlsx</v>
      </c>
    </row>
    <row r="2843" spans="1:9">
      <c r="A2843" t="str">
        <f>IF(VIPcric_1!A2818="","",VIPcric_1!A2818)</f>
        <v>2021年</v>
      </c>
      <c r="B2843">
        <f>IF(VIPcric_1!B2818="","",VIPcric_1!B2818)</f>
        <v>1546895</v>
      </c>
      <c r="C2843">
        <f>IF(VIPcric_1!C2818="","",VIPcric_1!C2818)</f>
        <v>13435</v>
      </c>
      <c r="D2843">
        <f>IF(VIPcric_1!D2818="","",VIPcric_1!D2818)</f>
        <v>36.700000000000003</v>
      </c>
      <c r="E2843" t="str">
        <f>IF(VIPcric_1!E2818="","",VIPcric_1!E2818)</f>
        <v/>
      </c>
      <c r="F2843" t="str">
        <f>IF(VIPcric_1!F2818="","",VIPcric_1!F2818)</f>
        <v/>
      </c>
      <c r="G2843" t="str">
        <f>IF(VIPcric_1!G2818="","",VIPcric_1!G2818)</f>
        <v/>
      </c>
      <c r="H2843" t="str">
        <f>IF(VIPcric_1!H2818="","",VIPcric_1!H2818)</f>
        <v/>
      </c>
      <c r="I2843" t="str">
        <f>IF(VIPcric_1!M2818="","",VIPcric_1!M2818)</f>
        <v>CRIC-鹤壁-市场监测.商品房市场.项目累计.库存.xlsx</v>
      </c>
    </row>
    <row r="2844" spans="1:9">
      <c r="A2844" t="str">
        <f>IF(VIPcric_1!A2819="","",VIPcric_1!A2819)</f>
        <v/>
      </c>
      <c r="B2844" t="str">
        <f>IF(VIPcric_1!B2819="","",VIPcric_1!B2819)</f>
        <v/>
      </c>
      <c r="C2844" t="str">
        <f>IF(VIPcric_1!C2819="","",VIPcric_1!C2819)</f>
        <v/>
      </c>
      <c r="D2844" t="str">
        <f>IF(VIPcric_1!D2819="","",VIPcric_1!D2819)</f>
        <v/>
      </c>
      <c r="E2844" t="str">
        <f>IF(VIPcric_1!E2819="","",VIPcric_1!E2819)</f>
        <v/>
      </c>
      <c r="F2844" t="str">
        <f>IF(VIPcric_1!F2819="","",VIPcric_1!F2819)</f>
        <v/>
      </c>
      <c r="G2844" t="str">
        <f>IF(VIPcric_1!G2819="","",VIPcric_1!G2819)</f>
        <v/>
      </c>
      <c r="H2844" t="str">
        <f>IF(VIPcric_1!H2819="","",VIPcric_1!H2819)</f>
        <v/>
      </c>
      <c r="I2844" t="str">
        <f>IF(VIPcric_1!M2819="","",VIPcric_1!M2819)</f>
        <v/>
      </c>
    </row>
    <row r="2845" spans="1:9">
      <c r="A2845" t="str">
        <f>IF(VIPcric_1!A2820="","",VIPcric_1!A2820)</f>
        <v/>
      </c>
      <c r="B2845" t="str">
        <f>IF(VIPcric_1!B2820="","",VIPcric_1!B2820)</f>
        <v/>
      </c>
      <c r="C2845" t="str">
        <f>IF(VIPcric_1!C2820="","",VIPcric_1!C2820)</f>
        <v/>
      </c>
      <c r="D2845" t="str">
        <f>IF(VIPcric_1!D2820="","",VIPcric_1!D2820)</f>
        <v/>
      </c>
      <c r="E2845" t="str">
        <f>IF(VIPcric_1!E2820="","",VIPcric_1!E2820)</f>
        <v/>
      </c>
      <c r="F2845" t="str">
        <f>IF(VIPcric_1!F2820="","",VIPcric_1!F2820)</f>
        <v/>
      </c>
      <c r="G2845" t="str">
        <f>IF(VIPcric_1!G2820="","",VIPcric_1!G2820)</f>
        <v/>
      </c>
      <c r="H2845" t="str">
        <f>IF(VIPcric_1!H2820="","",VIPcric_1!H2820)</f>
        <v/>
      </c>
      <c r="I2845" t="str">
        <f>IF(VIPcric_1!M2820="","",VIPcric_1!M2820)</f>
        <v>CRIC-鹰潭-市场监测.商品房市场.项目累计.供求.xlsx</v>
      </c>
    </row>
    <row r="2846" spans="1:9">
      <c r="A2846" t="str">
        <f>IF(VIPcric_1!A2821="","",VIPcric_1!A2821)</f>
        <v>时间(年)</v>
      </c>
      <c r="B2846" t="str">
        <f>IF(VIPcric_1!B2821="","",VIPcric_1!B2821)</f>
        <v>供应面积(㎡)</v>
      </c>
      <c r="C2846" t="str">
        <f>IF(VIPcric_1!C2821="","",VIPcric_1!C2821)</f>
        <v>供应套数(套)</v>
      </c>
      <c r="D2846" t="str">
        <f>IF(VIPcric_1!D2821="","",VIPcric_1!D2821)</f>
        <v>成交面积(㎡)</v>
      </c>
      <c r="E2846" t="str">
        <f>IF(VIPcric_1!E2821="","",VIPcric_1!E2821)</f>
        <v>成交套数(套)</v>
      </c>
      <c r="F2846" t="str">
        <f>IF(VIPcric_1!F2821="","",VIPcric_1!F2821)</f>
        <v>成交均价(元/㎡)</v>
      </c>
      <c r="G2846" t="str">
        <f>IF(VIPcric_1!G2821="","",VIPcric_1!G2821)</f>
        <v>成交金额(元)</v>
      </c>
      <c r="H2846" t="str">
        <f>IF(VIPcric_1!H2821="","",VIPcric_1!H2821)</f>
        <v>供求比</v>
      </c>
      <c r="I2846" t="str">
        <f>IF(VIPcric_1!M2821="","",VIPcric_1!M2821)</f>
        <v>CRIC-鹰潭-市场监测.商品房市场.项目累计.供求.xlsx</v>
      </c>
    </row>
    <row r="2847" spans="1:9">
      <c r="A2847" t="str">
        <f>IF(VIPcric_1!A2822="","",VIPcric_1!A2822)</f>
        <v>2023年</v>
      </c>
      <c r="B2847">
        <f>IF(VIPcric_1!B2822="","",VIPcric_1!B2822)</f>
        <v>1118111</v>
      </c>
      <c r="C2847">
        <f>IF(VIPcric_1!C2822="","",VIPcric_1!C2822)</f>
        <v>9112</v>
      </c>
      <c r="D2847">
        <f>IF(VIPcric_1!D2822="","",VIPcric_1!D2822)</f>
        <v>1085234</v>
      </c>
      <c r="E2847">
        <f>IF(VIPcric_1!E2822="","",VIPcric_1!E2822)</f>
        <v>9044</v>
      </c>
      <c r="F2847">
        <f>IF(VIPcric_1!F2822="","",VIPcric_1!F2822)</f>
        <v>7221</v>
      </c>
      <c r="G2847">
        <f>IF(VIPcric_1!G2822="","",VIPcric_1!G2822)</f>
        <v>7835988066</v>
      </c>
      <c r="H2847">
        <f>IF(VIPcric_1!H2822="","",VIPcric_1!H2822)</f>
        <v>1.03</v>
      </c>
      <c r="I2847" t="str">
        <f>IF(VIPcric_1!M2822="","",VIPcric_1!M2822)</f>
        <v>CRIC-鹰潭-市场监测.商品房市场.项目累计.供求.xlsx</v>
      </c>
    </row>
    <row r="2848" spans="1:9">
      <c r="A2848" t="str">
        <f>IF(VIPcric_1!A2823="","",VIPcric_1!A2823)</f>
        <v>2022年</v>
      </c>
      <c r="B2848">
        <f>IF(VIPcric_1!B2823="","",VIPcric_1!B2823)</f>
        <v>692976</v>
      </c>
      <c r="C2848">
        <f>IF(VIPcric_1!C2823="","",VIPcric_1!C2823)</f>
        <v>5797</v>
      </c>
      <c r="D2848">
        <f>IF(VIPcric_1!D2823="","",VIPcric_1!D2823)</f>
        <v>582936</v>
      </c>
      <c r="E2848">
        <f>IF(VIPcric_1!E2823="","",VIPcric_1!E2823)</f>
        <v>4909</v>
      </c>
      <c r="F2848">
        <f>IF(VIPcric_1!F2823="","",VIPcric_1!F2823)</f>
        <v>6285</v>
      </c>
      <c r="G2848">
        <f>IF(VIPcric_1!G2823="","",VIPcric_1!G2823)</f>
        <v>3663500234</v>
      </c>
      <c r="H2848">
        <f>IF(VIPcric_1!H2823="","",VIPcric_1!H2823)</f>
        <v>1.19</v>
      </c>
      <c r="I2848" t="str">
        <f>IF(VIPcric_1!M2823="","",VIPcric_1!M2823)</f>
        <v>CRIC-鹰潭-市场监测.商品房市场.项目累计.供求.xlsx</v>
      </c>
    </row>
    <row r="2849" spans="1:9">
      <c r="A2849" t="str">
        <f>IF(VIPcric_1!A2824="","",VIPcric_1!A2824)</f>
        <v>2021年</v>
      </c>
      <c r="B2849">
        <f>IF(VIPcric_1!B2824="","",VIPcric_1!B2824)</f>
        <v>981557</v>
      </c>
      <c r="C2849">
        <f>IF(VIPcric_1!C2824="","",VIPcric_1!C2824)</f>
        <v>8076</v>
      </c>
      <c r="D2849">
        <f>IF(VIPcric_1!D2824="","",VIPcric_1!D2824)</f>
        <v>161499</v>
      </c>
      <c r="E2849">
        <f>IF(VIPcric_1!E2824="","",VIPcric_1!E2824)</f>
        <v>1324</v>
      </c>
      <c r="F2849">
        <f>IF(VIPcric_1!F2824="","",VIPcric_1!F2824)</f>
        <v>6461</v>
      </c>
      <c r="G2849">
        <f>IF(VIPcric_1!G2824="","",VIPcric_1!G2824)</f>
        <v>1043426890</v>
      </c>
      <c r="H2849">
        <f>IF(VIPcric_1!H2824="","",VIPcric_1!H2824)</f>
        <v>6.08</v>
      </c>
      <c r="I2849" t="str">
        <f>IF(VIPcric_1!M2824="","",VIPcric_1!M2824)</f>
        <v>CRIC-鹰潭-市场监测.商品房市场.项目累计.供求.xlsx</v>
      </c>
    </row>
    <row r="2850" spans="1:9">
      <c r="A2850" t="str">
        <f>IF(VIPcric_1!A2825="","",VIPcric_1!A2825)</f>
        <v>2020年</v>
      </c>
      <c r="B2850">
        <f>IF(VIPcric_1!B2825="","",VIPcric_1!B2825)</f>
        <v>1282658</v>
      </c>
      <c r="C2850">
        <f>IF(VIPcric_1!C2825="","",VIPcric_1!C2825)</f>
        <v>11260</v>
      </c>
      <c r="D2850">
        <f>IF(VIPcric_1!D2825="","",VIPcric_1!D2825)</f>
        <v>0</v>
      </c>
      <c r="E2850">
        <f>IF(VIPcric_1!E2825="","",VIPcric_1!E2825)</f>
        <v>0</v>
      </c>
      <c r="F2850">
        <f>IF(VIPcric_1!F2825="","",VIPcric_1!F2825)</f>
        <v>0</v>
      </c>
      <c r="G2850">
        <f>IF(VIPcric_1!G2825="","",VIPcric_1!G2825)</f>
        <v>0</v>
      </c>
      <c r="H2850">
        <f>IF(VIPcric_1!H2825="","",VIPcric_1!H2825)</f>
        <v>0</v>
      </c>
      <c r="I2850" t="str">
        <f>IF(VIPcric_1!M2825="","",VIPcric_1!M2825)</f>
        <v>CRIC-鹰潭-市场监测.商品房市场.项目累计.供求.xlsx</v>
      </c>
    </row>
    <row r="2851" spans="1:9">
      <c r="A2851" t="str">
        <f>IF(VIPcric_1!A2826="","",VIPcric_1!A2826)</f>
        <v>2019年</v>
      </c>
      <c r="B2851">
        <f>IF(VIPcric_1!B2826="","",VIPcric_1!B2826)</f>
        <v>1243474</v>
      </c>
      <c r="C2851">
        <f>IF(VIPcric_1!C2826="","",VIPcric_1!C2826)</f>
        <v>10739</v>
      </c>
      <c r="D2851">
        <f>IF(VIPcric_1!D2826="","",VIPcric_1!D2826)</f>
        <v>0</v>
      </c>
      <c r="E2851">
        <f>IF(VIPcric_1!E2826="","",VIPcric_1!E2826)</f>
        <v>0</v>
      </c>
      <c r="F2851">
        <f>IF(VIPcric_1!F2826="","",VIPcric_1!F2826)</f>
        <v>0</v>
      </c>
      <c r="G2851">
        <f>IF(VIPcric_1!G2826="","",VIPcric_1!G2826)</f>
        <v>0</v>
      </c>
      <c r="H2851">
        <f>IF(VIPcric_1!H2826="","",VIPcric_1!H2826)</f>
        <v>0</v>
      </c>
      <c r="I2851" t="str">
        <f>IF(VIPcric_1!M2826="","",VIPcric_1!M2826)</f>
        <v>CRIC-鹰潭-市场监测.商品房市场.项目累计.供求.xlsx</v>
      </c>
    </row>
    <row r="2852" spans="1:9">
      <c r="A2852" t="str">
        <f>IF(VIPcric_1!A2827="","",VIPcric_1!A2827)</f>
        <v>2018年</v>
      </c>
      <c r="B2852">
        <f>IF(VIPcric_1!B2827="","",VIPcric_1!B2827)</f>
        <v>1940275</v>
      </c>
      <c r="C2852">
        <f>IF(VIPcric_1!C2827="","",VIPcric_1!C2827)</f>
        <v>17695</v>
      </c>
      <c r="D2852">
        <f>IF(VIPcric_1!D2827="","",VIPcric_1!D2827)</f>
        <v>0</v>
      </c>
      <c r="E2852">
        <f>IF(VIPcric_1!E2827="","",VIPcric_1!E2827)</f>
        <v>0</v>
      </c>
      <c r="F2852">
        <f>IF(VIPcric_1!F2827="","",VIPcric_1!F2827)</f>
        <v>0</v>
      </c>
      <c r="G2852">
        <f>IF(VIPcric_1!G2827="","",VIPcric_1!G2827)</f>
        <v>0</v>
      </c>
      <c r="H2852">
        <f>IF(VIPcric_1!H2827="","",VIPcric_1!H2827)</f>
        <v>0</v>
      </c>
      <c r="I2852" t="str">
        <f>IF(VIPcric_1!M2827="","",VIPcric_1!M2827)</f>
        <v>CRIC-鹰潭-市场监测.商品房市场.项目累计.供求.xlsx</v>
      </c>
    </row>
    <row r="2853" spans="1:9">
      <c r="A2853" t="str">
        <f>IF(VIPcric_1!A2828="","",VIPcric_1!A2828)</f>
        <v>汇总</v>
      </c>
      <c r="B2853">
        <f>IF(VIPcric_1!B2828="","",VIPcric_1!B2828)</f>
        <v>7259051</v>
      </c>
      <c r="C2853">
        <f>IF(VIPcric_1!C2828="","",VIPcric_1!C2828)</f>
        <v>62679</v>
      </c>
      <c r="D2853">
        <f>IF(VIPcric_1!D2828="","",VIPcric_1!D2828)</f>
        <v>1829668</v>
      </c>
      <c r="E2853">
        <f>IF(VIPcric_1!E2828="","",VIPcric_1!E2828)</f>
        <v>15277</v>
      </c>
      <c r="F2853">
        <f>IF(VIPcric_1!F2828="","",VIPcric_1!F2828)</f>
        <v>6855</v>
      </c>
      <c r="G2853">
        <f>IF(VIPcric_1!G2828="","",VIPcric_1!G2828)</f>
        <v>12542915191</v>
      </c>
      <c r="H2853">
        <f>IF(VIPcric_1!H2828="","",VIPcric_1!H2828)</f>
        <v>3.97</v>
      </c>
      <c r="I2853" t="str">
        <f>IF(VIPcric_1!M2828="","",VIPcric_1!M2828)</f>
        <v>CRIC-鹰潭-市场监测.商品房市场.项目累计.供求.xlsx</v>
      </c>
    </row>
    <row r="2854" spans="1:9">
      <c r="A2854" t="str">
        <f>IF(VIPcric_1!A2829="","",VIPcric_1!A2829)</f>
        <v/>
      </c>
      <c r="B2854" t="str">
        <f>IF(VIPcric_1!B2829="","",VIPcric_1!B2829)</f>
        <v/>
      </c>
      <c r="C2854" t="str">
        <f>IF(VIPcric_1!C2829="","",VIPcric_1!C2829)</f>
        <v/>
      </c>
      <c r="D2854" t="str">
        <f>IF(VIPcric_1!D2829="","",VIPcric_1!D2829)</f>
        <v/>
      </c>
      <c r="E2854" t="str">
        <f>IF(VIPcric_1!E2829="","",VIPcric_1!E2829)</f>
        <v/>
      </c>
      <c r="F2854" t="str">
        <f>IF(VIPcric_1!F2829="","",VIPcric_1!F2829)</f>
        <v/>
      </c>
      <c r="G2854" t="str">
        <f>IF(VIPcric_1!G2829="","",VIPcric_1!G2829)</f>
        <v/>
      </c>
      <c r="H2854" t="str">
        <f>IF(VIPcric_1!H2829="","",VIPcric_1!H2829)</f>
        <v/>
      </c>
      <c r="I2854" t="str">
        <f>IF(VIPcric_1!M2829="","",VIPcric_1!M2829)</f>
        <v/>
      </c>
    </row>
    <row r="2855" spans="1:9">
      <c r="A2855" t="str">
        <f>IF(VIPcric_1!A2830="","",VIPcric_1!A2830)</f>
        <v/>
      </c>
      <c r="B2855" t="str">
        <f>IF(VIPcric_1!B2830="","",VIPcric_1!B2830)</f>
        <v/>
      </c>
      <c r="C2855" t="str">
        <f>IF(VIPcric_1!C2830="","",VIPcric_1!C2830)</f>
        <v/>
      </c>
      <c r="D2855" t="str">
        <f>IF(VIPcric_1!D2830="","",VIPcric_1!D2830)</f>
        <v/>
      </c>
      <c r="E2855" t="str">
        <f>IF(VIPcric_1!E2830="","",VIPcric_1!E2830)</f>
        <v/>
      </c>
      <c r="F2855" t="str">
        <f>IF(VIPcric_1!F2830="","",VIPcric_1!F2830)</f>
        <v/>
      </c>
      <c r="G2855" t="str">
        <f>IF(VIPcric_1!G2830="","",VIPcric_1!G2830)</f>
        <v/>
      </c>
      <c r="H2855" t="str">
        <f>IF(VIPcric_1!H2830="","",VIPcric_1!H2830)</f>
        <v/>
      </c>
      <c r="I2855" t="str">
        <f>IF(VIPcric_1!M2830="","",VIPcric_1!M2830)</f>
        <v>CRIC-鹰潭-市场监测.商品房市场.项目累计.库存.xlsx</v>
      </c>
    </row>
    <row r="2856" spans="1:9">
      <c r="A2856" t="str">
        <f>IF(VIPcric_1!A2831="","",VIPcric_1!A2831)</f>
        <v>时间(年)</v>
      </c>
      <c r="B2856" t="str">
        <f>IF(VIPcric_1!B2831="","",VIPcric_1!B2831)</f>
        <v>库存面积(㎡)</v>
      </c>
      <c r="C2856" t="str">
        <f>IF(VIPcric_1!C2831="","",VIPcric_1!C2831)</f>
        <v>库存套数(套)</v>
      </c>
      <c r="D2856" t="str">
        <f>IF(VIPcric_1!D2831="","",VIPcric_1!D2831)</f>
        <v>去化周期12'(月)</v>
      </c>
      <c r="E2856" t="str">
        <f>IF(VIPcric_1!E2831="","",VIPcric_1!E2831)</f>
        <v/>
      </c>
      <c r="F2856" t="str">
        <f>IF(VIPcric_1!F2831="","",VIPcric_1!F2831)</f>
        <v/>
      </c>
      <c r="G2856" t="str">
        <f>IF(VIPcric_1!G2831="","",VIPcric_1!G2831)</f>
        <v/>
      </c>
      <c r="H2856" t="str">
        <f>IF(VIPcric_1!H2831="","",VIPcric_1!H2831)</f>
        <v/>
      </c>
      <c r="I2856" t="str">
        <f>IF(VIPcric_1!M2831="","",VIPcric_1!M2831)</f>
        <v>CRIC-鹰潭-市场监测.商品房市场.项目累计.库存.xlsx</v>
      </c>
    </row>
    <row r="2857" spans="1:9">
      <c r="A2857" t="str">
        <f>IF(VIPcric_1!A2832="","",VIPcric_1!A2832)</f>
        <v>2022年</v>
      </c>
      <c r="B2857">
        <f>IF(VIPcric_1!B2832="","",VIPcric_1!B2832)</f>
        <v>280334</v>
      </c>
      <c r="C2857">
        <f>IF(VIPcric_1!C2832="","",VIPcric_1!C2832)</f>
        <v>2489</v>
      </c>
      <c r="D2857">
        <f>IF(VIPcric_1!D2832="","",VIPcric_1!D2832)</f>
        <v>7.3</v>
      </c>
      <c r="E2857" t="str">
        <f>IF(VIPcric_1!E2832="","",VIPcric_1!E2832)</f>
        <v/>
      </c>
      <c r="F2857" t="str">
        <f>IF(VIPcric_1!F2832="","",VIPcric_1!F2832)</f>
        <v/>
      </c>
      <c r="G2857" t="str">
        <f>IF(VIPcric_1!G2832="","",VIPcric_1!G2832)</f>
        <v/>
      </c>
      <c r="H2857" t="str">
        <f>IF(VIPcric_1!H2832="","",VIPcric_1!H2832)</f>
        <v/>
      </c>
      <c r="I2857" t="str">
        <f>IF(VIPcric_1!M2832="","",VIPcric_1!M2832)</f>
        <v>CRIC-鹰潭-市场监测.商品房市场.项目累计.库存.xlsx</v>
      </c>
    </row>
    <row r="2858" spans="1:9">
      <c r="A2858" t="str">
        <f>IF(VIPcric_1!A2833="","",VIPcric_1!A2833)</f>
        <v>2021年</v>
      </c>
      <c r="B2858">
        <f>IF(VIPcric_1!B2833="","",VIPcric_1!B2833)</f>
        <v>297805</v>
      </c>
      <c r="C2858">
        <f>IF(VIPcric_1!C2833="","",VIPcric_1!C2833)</f>
        <v>2636</v>
      </c>
      <c r="D2858">
        <f>IF(VIPcric_1!D2833="","",VIPcric_1!D2833)</f>
        <v>22.1</v>
      </c>
      <c r="E2858" t="str">
        <f>IF(VIPcric_1!E2833="","",VIPcric_1!E2833)</f>
        <v/>
      </c>
      <c r="F2858" t="str">
        <f>IF(VIPcric_1!F2833="","",VIPcric_1!F2833)</f>
        <v/>
      </c>
      <c r="G2858" t="str">
        <f>IF(VIPcric_1!G2833="","",VIPcric_1!G2833)</f>
        <v/>
      </c>
      <c r="H2858" t="str">
        <f>IF(VIPcric_1!H2833="","",VIPcric_1!H2833)</f>
        <v/>
      </c>
      <c r="I2858" t="str">
        <f>IF(VIPcric_1!M2833="","",VIPcric_1!M2833)</f>
        <v>CRIC-鹰潭-市场监测.商品房市场.项目累计.库存.xlsx</v>
      </c>
    </row>
    <row r="2859" spans="1:9">
      <c r="A2859" t="str">
        <f>IF(VIPcric_1!A2834="","",VIPcric_1!A2834)</f>
        <v/>
      </c>
      <c r="B2859" t="str">
        <f>IF(VIPcric_1!B2834="","",VIPcric_1!B2834)</f>
        <v/>
      </c>
      <c r="C2859" t="str">
        <f>IF(VIPcric_1!C2834="","",VIPcric_1!C2834)</f>
        <v/>
      </c>
      <c r="D2859" t="str">
        <f>IF(VIPcric_1!D2834="","",VIPcric_1!D2834)</f>
        <v/>
      </c>
      <c r="E2859" t="str">
        <f>IF(VIPcric_1!E2834="","",VIPcric_1!E2834)</f>
        <v/>
      </c>
      <c r="F2859" t="str">
        <f>IF(VIPcric_1!F2834="","",VIPcric_1!F2834)</f>
        <v/>
      </c>
      <c r="G2859" t="str">
        <f>IF(VIPcric_1!G2834="","",VIPcric_1!G2834)</f>
        <v/>
      </c>
      <c r="H2859" t="str">
        <f>IF(VIPcric_1!H2834="","",VIPcric_1!H2834)</f>
        <v/>
      </c>
      <c r="I2859" t="str">
        <f>IF(VIPcric_1!M2834="","",VIPcric_1!M2834)</f>
        <v/>
      </c>
    </row>
    <row r="2860" spans="1:9">
      <c r="A2860" t="str">
        <f>IF(VIPcric_1!A2835="","",VIPcric_1!A2835)</f>
        <v/>
      </c>
      <c r="B2860" t="str">
        <f>IF(VIPcric_1!B2835="","",VIPcric_1!B2835)</f>
        <v/>
      </c>
      <c r="C2860" t="str">
        <f>IF(VIPcric_1!C2835="","",VIPcric_1!C2835)</f>
        <v/>
      </c>
      <c r="D2860" t="str">
        <f>IF(VIPcric_1!D2835="","",VIPcric_1!D2835)</f>
        <v/>
      </c>
      <c r="E2860" t="str">
        <f>IF(VIPcric_1!E2835="","",VIPcric_1!E2835)</f>
        <v/>
      </c>
      <c r="F2860" t="s">
        <v>858</v>
      </c>
      <c r="G2860">
        <f>C2862/E2862*12</f>
        <v>25.913385826771655</v>
      </c>
      <c r="H2860" t="str">
        <f>IF(VIPcric_1!H2835="","",VIPcric_1!H2835)</f>
        <v/>
      </c>
      <c r="I2860" t="str">
        <f>IF(VIPcric_1!M2835="","",VIPcric_1!M2835)</f>
        <v>CRIC-黄南藏族自治州-市场监测.商品房市场.项目累计.供求.xlsx</v>
      </c>
    </row>
    <row r="2861" spans="1:9">
      <c r="A2861" t="str">
        <f>IF(VIPcric_1!A2836="","",VIPcric_1!A2836)</f>
        <v>时间(年)</v>
      </c>
      <c r="B2861" t="str">
        <f>IF(VIPcric_1!B2836="","",VIPcric_1!B2836)</f>
        <v>供应面积(㎡)</v>
      </c>
      <c r="C2861" t="str">
        <f>IF(VIPcric_1!C2836="","",VIPcric_1!C2836)</f>
        <v>供应套数(套)</v>
      </c>
      <c r="D2861" t="str">
        <f>IF(VIPcric_1!D2836="","",VIPcric_1!D2836)</f>
        <v>成交面积(㎡)</v>
      </c>
      <c r="E2861" t="str">
        <f>IF(VIPcric_1!E2836="","",VIPcric_1!E2836)</f>
        <v>成交套数(套)</v>
      </c>
      <c r="F2861" t="str">
        <f>IF(VIPcric_1!F2836="","",VIPcric_1!F2836)</f>
        <v>成交均价(元/㎡)</v>
      </c>
      <c r="G2861" t="str">
        <f>IF(VIPcric_1!G2836="","",VIPcric_1!G2836)</f>
        <v>成交金额(元)</v>
      </c>
      <c r="H2861" t="str">
        <f>IF(VIPcric_1!H2836="","",VIPcric_1!H2836)</f>
        <v>供求比</v>
      </c>
      <c r="I2861" t="str">
        <f>IF(VIPcric_1!M2836="","",VIPcric_1!M2836)</f>
        <v>CRIC-黄南藏族自治州-市场监测.商品房市场.项目累计.供求.xlsx</v>
      </c>
    </row>
    <row r="2862" spans="1:9">
      <c r="A2862" t="str">
        <f>IF(VIPcric_1!A2837="","",VIPcric_1!A2837)</f>
        <v>2023年</v>
      </c>
      <c r="B2862">
        <f>IF(VIPcric_1!B2837="","",VIPcric_1!B2837)</f>
        <v>159909</v>
      </c>
      <c r="C2862">
        <f>IF(VIPcric_1!C2837="","",VIPcric_1!C2837)</f>
        <v>1097</v>
      </c>
      <c r="D2862">
        <f>IF(VIPcric_1!D2837="","",VIPcric_1!D2837)</f>
        <v>74660</v>
      </c>
      <c r="E2862">
        <f>IF(VIPcric_1!E2837="","",VIPcric_1!E2837)</f>
        <v>508</v>
      </c>
      <c r="F2862">
        <f>IF(VIPcric_1!F2837="","",VIPcric_1!F2837)</f>
        <v>5551</v>
      </c>
      <c r="G2862">
        <f>IF(VIPcric_1!G2837="","",VIPcric_1!G2837)</f>
        <v>414422679</v>
      </c>
      <c r="H2862">
        <f>IF(VIPcric_1!H2837="","",VIPcric_1!H2837)</f>
        <v>2.14</v>
      </c>
      <c r="I2862" t="str">
        <f>IF(VIPcric_1!M2837="","",VIPcric_1!M2837)</f>
        <v>CRIC-黄南藏族自治州-市场监测.商品房市场.项目累计.供求.xlsx</v>
      </c>
    </row>
    <row r="2863" spans="1:9">
      <c r="A2863" t="str">
        <f>IF(VIPcric_1!A2838="","",VIPcric_1!A2838)</f>
        <v>2022年</v>
      </c>
      <c r="B2863">
        <f>IF(VIPcric_1!B2838="","",VIPcric_1!B2838)</f>
        <v>60340</v>
      </c>
      <c r="C2863">
        <f>IF(VIPcric_1!C2838="","",VIPcric_1!C2838)</f>
        <v>399</v>
      </c>
      <c r="D2863">
        <f>IF(VIPcric_1!D2838="","",VIPcric_1!D2838)</f>
        <v>10383</v>
      </c>
      <c r="E2863">
        <f>IF(VIPcric_1!E2838="","",VIPcric_1!E2838)</f>
        <v>70</v>
      </c>
      <c r="F2863">
        <f>IF(VIPcric_1!F2838="","",VIPcric_1!F2838)</f>
        <v>6013</v>
      </c>
      <c r="G2863">
        <f>IF(VIPcric_1!G2838="","",VIPcric_1!G2838)</f>
        <v>62433827</v>
      </c>
      <c r="H2863">
        <f>IF(VIPcric_1!H2838="","",VIPcric_1!H2838)</f>
        <v>5.81</v>
      </c>
      <c r="I2863" t="str">
        <f>IF(VIPcric_1!M2838="","",VIPcric_1!M2838)</f>
        <v>CRIC-黄南藏族自治州-市场监测.商品房市场.项目累计.供求.xlsx</v>
      </c>
    </row>
    <row r="2864" spans="1:9">
      <c r="A2864" t="str">
        <f>IF(VIPcric_1!A2839="","",VIPcric_1!A2839)</f>
        <v>2021年</v>
      </c>
      <c r="B2864">
        <f>IF(VIPcric_1!B2839="","",VIPcric_1!B2839)</f>
        <v>67268</v>
      </c>
      <c r="C2864">
        <f>IF(VIPcric_1!C2839="","",VIPcric_1!C2839)</f>
        <v>448</v>
      </c>
      <c r="D2864">
        <f>IF(VIPcric_1!D2839="","",VIPcric_1!D2839)</f>
        <v>0</v>
      </c>
      <c r="E2864">
        <f>IF(VIPcric_1!E2839="","",VIPcric_1!E2839)</f>
        <v>0</v>
      </c>
      <c r="F2864">
        <f>IF(VIPcric_1!F2839="","",VIPcric_1!F2839)</f>
        <v>0</v>
      </c>
      <c r="G2864">
        <f>IF(VIPcric_1!G2839="","",VIPcric_1!G2839)</f>
        <v>0</v>
      </c>
      <c r="H2864">
        <f>IF(VIPcric_1!H2839="","",VIPcric_1!H2839)</f>
        <v>0</v>
      </c>
      <c r="I2864" t="str">
        <f>IF(VIPcric_1!M2839="","",VIPcric_1!M2839)</f>
        <v>CRIC-黄南藏族自治州-市场监测.商品房市场.项目累计.供求.xlsx</v>
      </c>
    </row>
    <row r="2865" spans="1:9">
      <c r="A2865" t="str">
        <f>IF(VIPcric_1!A2840="","",VIPcric_1!A2840)</f>
        <v>2020年</v>
      </c>
      <c r="B2865">
        <f>IF(VIPcric_1!B2840="","",VIPcric_1!B2840)</f>
        <v>157143</v>
      </c>
      <c r="C2865">
        <f>IF(VIPcric_1!C2840="","",VIPcric_1!C2840)</f>
        <v>1017</v>
      </c>
      <c r="D2865">
        <f>IF(VIPcric_1!D2840="","",VIPcric_1!D2840)</f>
        <v>0</v>
      </c>
      <c r="E2865">
        <f>IF(VIPcric_1!E2840="","",VIPcric_1!E2840)</f>
        <v>0</v>
      </c>
      <c r="F2865">
        <f>IF(VIPcric_1!F2840="","",VIPcric_1!F2840)</f>
        <v>0</v>
      </c>
      <c r="G2865">
        <f>IF(VIPcric_1!G2840="","",VIPcric_1!G2840)</f>
        <v>0</v>
      </c>
      <c r="H2865">
        <f>IF(VIPcric_1!H2840="","",VIPcric_1!H2840)</f>
        <v>0</v>
      </c>
      <c r="I2865" t="str">
        <f>IF(VIPcric_1!M2840="","",VIPcric_1!M2840)</f>
        <v>CRIC-黄南藏族自治州-市场监测.商品房市场.项目累计.供求.xlsx</v>
      </c>
    </row>
    <row r="2866" spans="1:9">
      <c r="A2866" t="str">
        <f>IF(VIPcric_1!A2841="","",VIPcric_1!A2841)</f>
        <v>2019年</v>
      </c>
      <c r="B2866">
        <f>IF(VIPcric_1!B2841="","",VIPcric_1!B2841)</f>
        <v>25232</v>
      </c>
      <c r="C2866">
        <f>IF(VIPcric_1!C2841="","",VIPcric_1!C2841)</f>
        <v>176</v>
      </c>
      <c r="D2866">
        <f>IF(VIPcric_1!D2841="","",VIPcric_1!D2841)</f>
        <v>0</v>
      </c>
      <c r="E2866">
        <f>IF(VIPcric_1!E2841="","",VIPcric_1!E2841)</f>
        <v>0</v>
      </c>
      <c r="F2866">
        <f>IF(VIPcric_1!F2841="","",VIPcric_1!F2841)</f>
        <v>0</v>
      </c>
      <c r="G2866">
        <f>IF(VIPcric_1!G2841="","",VIPcric_1!G2841)</f>
        <v>0</v>
      </c>
      <c r="H2866">
        <f>IF(VIPcric_1!H2841="","",VIPcric_1!H2841)</f>
        <v>0</v>
      </c>
      <c r="I2866" t="str">
        <f>IF(VIPcric_1!M2841="","",VIPcric_1!M2841)</f>
        <v>CRIC-黄南藏族自治州-市场监测.商品房市场.项目累计.供求.xlsx</v>
      </c>
    </row>
    <row r="2867" spans="1:9">
      <c r="A2867" t="str">
        <f>IF(VIPcric_1!A2842="","",VIPcric_1!A2842)</f>
        <v>汇总</v>
      </c>
      <c r="B2867">
        <f>IF(VIPcric_1!B2842="","",VIPcric_1!B2842)</f>
        <v>469892</v>
      </c>
      <c r="C2867">
        <f>IF(VIPcric_1!C2842="","",VIPcric_1!C2842)</f>
        <v>3137</v>
      </c>
      <c r="D2867">
        <f>IF(VIPcric_1!D2842="","",VIPcric_1!D2842)</f>
        <v>85043</v>
      </c>
      <c r="E2867">
        <f>IF(VIPcric_1!E2842="","",VIPcric_1!E2842)</f>
        <v>578</v>
      </c>
      <c r="F2867">
        <f>IF(VIPcric_1!F2842="","",VIPcric_1!F2842)</f>
        <v>5607</v>
      </c>
      <c r="G2867">
        <f>IF(VIPcric_1!G2842="","",VIPcric_1!G2842)</f>
        <v>476856507</v>
      </c>
      <c r="H2867">
        <f>IF(VIPcric_1!H2842="","",VIPcric_1!H2842)</f>
        <v>5.53</v>
      </c>
      <c r="I2867" t="str">
        <f>IF(VIPcric_1!M2842="","",VIPcric_1!M2842)</f>
        <v>CRIC-黄南藏族自治州-市场监测.商品房市场.项目累计.供求.xlsx</v>
      </c>
    </row>
    <row r="2868" spans="1:9">
      <c r="A2868" t="str">
        <f>IF(VIPcric_1!A2843="","",VIPcric_1!A2843)</f>
        <v/>
      </c>
      <c r="B2868" t="str">
        <f>IF(VIPcric_1!B2843="","",VIPcric_1!B2843)</f>
        <v/>
      </c>
      <c r="C2868" t="str">
        <f>IF(VIPcric_1!C2843="","",VIPcric_1!C2843)</f>
        <v/>
      </c>
      <c r="D2868" t="str">
        <f>IF(VIPcric_1!D2843="","",VIPcric_1!D2843)</f>
        <v/>
      </c>
      <c r="E2868" t="str">
        <f>IF(VIPcric_1!E2843="","",VIPcric_1!E2843)</f>
        <v/>
      </c>
      <c r="F2868" t="str">
        <f>IF(VIPcric_1!F2843="","",VIPcric_1!F2843)</f>
        <v/>
      </c>
      <c r="G2868" t="str">
        <f>IF(VIPcric_1!G2843="","",VIPcric_1!G2843)</f>
        <v/>
      </c>
      <c r="H2868" t="str">
        <f>IF(VIPcric_1!H2843="","",VIPcric_1!H2843)</f>
        <v/>
      </c>
      <c r="I2868" t="str">
        <f>IF(VIPcric_1!M2843="","",VIPcric_1!M2843)</f>
        <v/>
      </c>
    </row>
    <row r="2869" spans="1:9">
      <c r="A2869" t="str">
        <f>IF(VIPcric_1!A2844="","",VIPcric_1!A2844)</f>
        <v/>
      </c>
      <c r="B2869" t="str">
        <f>IF(VIPcric_1!B2844="","",VIPcric_1!B2844)</f>
        <v/>
      </c>
      <c r="C2869" t="str">
        <f>IF(VIPcric_1!C2844="","",VIPcric_1!C2844)</f>
        <v/>
      </c>
      <c r="D2869" t="str">
        <f>IF(VIPcric_1!D2844="","",VIPcric_1!D2844)</f>
        <v/>
      </c>
      <c r="E2869" t="str">
        <f>IF(VIPcric_1!E2844="","",VIPcric_1!E2844)</f>
        <v/>
      </c>
      <c r="F2869" t="str">
        <f>IF(VIPcric_1!F2844="","",VIPcric_1!F2844)</f>
        <v/>
      </c>
      <c r="G2869" t="str">
        <f>IF(VIPcric_1!G2844="","",VIPcric_1!G2844)</f>
        <v/>
      </c>
      <c r="H2869" t="str">
        <f>IF(VIPcric_1!H2844="","",VIPcric_1!H2844)</f>
        <v/>
      </c>
      <c r="I2869" t="str">
        <f>IF(VIPcric_1!M2844="","",VIPcric_1!M2844)</f>
        <v>CRIC-黄南藏族自治州-市场监测.商品房市场.项目累计.库存.xlsx</v>
      </c>
    </row>
    <row r="2870" spans="1:9">
      <c r="A2870" t="str">
        <f>IF(VIPcric_1!A2845="","",VIPcric_1!A2845)</f>
        <v>时间(年)</v>
      </c>
      <c r="B2870" t="str">
        <f>IF(VIPcric_1!B2845="","",VIPcric_1!B2845)</f>
        <v>库存面积(㎡)</v>
      </c>
      <c r="C2870" t="str">
        <f>IF(VIPcric_1!C2845="","",VIPcric_1!C2845)</f>
        <v>库存套数(套)</v>
      </c>
      <c r="D2870" t="str">
        <f>IF(VIPcric_1!D2845="","",VIPcric_1!D2845)</f>
        <v>去化周期12'(月)</v>
      </c>
      <c r="E2870" t="str">
        <f>IF(VIPcric_1!E2845="","",VIPcric_1!E2845)</f>
        <v>去化周期24'(月)</v>
      </c>
      <c r="F2870" t="str">
        <f>IF(VIPcric_1!F2845="","",VIPcric_1!F2845)</f>
        <v/>
      </c>
      <c r="G2870" t="str">
        <f>IF(VIPcric_1!G2845="","",VIPcric_1!G2845)</f>
        <v/>
      </c>
      <c r="H2870" t="str">
        <f>IF(VIPcric_1!H2845="","",VIPcric_1!H2845)</f>
        <v/>
      </c>
      <c r="I2870" t="str">
        <f>IF(VIPcric_1!M2845="","",VIPcric_1!M2845)</f>
        <v>CRIC-黄南藏族自治州-市场监测.商品房市场.项目累计.库存.xlsx</v>
      </c>
    </row>
    <row r="2871" spans="1:9">
      <c r="A2871" t="str">
        <f>IF(VIPcric_1!A2846="","",VIPcric_1!A2846)</f>
        <v>2024年</v>
      </c>
      <c r="B2871">
        <f>IF(VIPcric_1!B2846="","",VIPcric_1!B2846)</f>
        <v>192813</v>
      </c>
      <c r="C2871">
        <f>IF(VIPcric_1!C2846="","",VIPcric_1!C2846)</f>
        <v>1439</v>
      </c>
      <c r="D2871">
        <f>IF(VIPcric_1!D2846="","",VIPcric_1!D2846)</f>
        <v>26.9</v>
      </c>
      <c r="E2871">
        <f>IF(VIPcric_1!E2846="","",VIPcric_1!E2846)</f>
        <v>45.6</v>
      </c>
      <c r="F2871" t="str">
        <f>IF(VIPcric_1!F2846="","",VIPcric_1!F2846)</f>
        <v/>
      </c>
      <c r="G2871" t="str">
        <f>IF(VIPcric_1!G2846="","",VIPcric_1!G2846)</f>
        <v/>
      </c>
      <c r="H2871" t="str">
        <f>IF(VIPcric_1!H2846="","",VIPcric_1!H2846)</f>
        <v/>
      </c>
      <c r="I2871" t="str">
        <f>IF(VIPcric_1!M2846="","",VIPcric_1!M2846)</f>
        <v>CRIC-黄南藏族自治州-市场监测.商品房市场.项目累计.库存.xlsx</v>
      </c>
    </row>
    <row r="2872" spans="1:9">
      <c r="A2872" t="str">
        <f>IF(VIPcric_1!A2847="","",VIPcric_1!A2847)</f>
        <v>2023年</v>
      </c>
      <c r="B2872">
        <f>IF(VIPcric_1!B2847="","",VIPcric_1!B2847)</f>
        <v>208740</v>
      </c>
      <c r="C2872">
        <f>IF(VIPcric_1!C2847="","",VIPcric_1!C2847)</f>
        <v>1544</v>
      </c>
      <c r="D2872">
        <f>IF(VIPcric_1!D2847="","",VIPcric_1!D2847)</f>
        <v>33.6</v>
      </c>
      <c r="E2872">
        <f>IF(VIPcric_1!E2847="","",VIPcric_1!E2847)</f>
        <v>58.9</v>
      </c>
      <c r="F2872" t="str">
        <f>IF(VIPcric_1!F2847="","",VIPcric_1!F2847)</f>
        <v/>
      </c>
      <c r="G2872" t="str">
        <f>IF(VIPcric_1!G2847="","",VIPcric_1!G2847)</f>
        <v/>
      </c>
      <c r="H2872" t="str">
        <f>IF(VIPcric_1!H2847="","",VIPcric_1!H2847)</f>
        <v/>
      </c>
      <c r="I2872" t="str">
        <f>IF(VIPcric_1!M2847="","",VIPcric_1!M2847)</f>
        <v>CRIC-黄南藏族自治州-市场监测.商品房市场.项目累计.库存.xlsx</v>
      </c>
    </row>
    <row r="2873" spans="1:9">
      <c r="A2873" t="str">
        <f>IF(VIPcric_1!A2848="","",VIPcric_1!A2848)</f>
        <v>2022年</v>
      </c>
      <c r="B2873">
        <f>IF(VIPcric_1!B2848="","",VIPcric_1!B2848)</f>
        <v>144518</v>
      </c>
      <c r="C2873">
        <f>IF(VIPcric_1!C2848="","",VIPcric_1!C2848)</f>
        <v>1147</v>
      </c>
      <c r="D2873">
        <f>IF(VIPcric_1!D2848="","",VIPcric_1!D2848)</f>
        <v>167</v>
      </c>
      <c r="E2873">
        <f>IF(VIPcric_1!E2848="","",VIPcric_1!E2848)</f>
        <v>334.1</v>
      </c>
      <c r="F2873" t="str">
        <f>IF(VIPcric_1!F2848="","",VIPcric_1!F2848)</f>
        <v/>
      </c>
      <c r="G2873" t="str">
        <f>IF(VIPcric_1!G2848="","",VIPcric_1!G2848)</f>
        <v/>
      </c>
      <c r="H2873" t="str">
        <f>IF(VIPcric_1!H2848="","",VIPcric_1!H2848)</f>
        <v/>
      </c>
      <c r="I2873" t="str">
        <f>IF(VIPcric_1!M2848="","",VIPcric_1!M2848)</f>
        <v>CRIC-黄南藏族自治州-市场监测.商品房市场.项目累计.库存.xlsx</v>
      </c>
    </row>
    <row r="2874" spans="1:9">
      <c r="A2874" t="str">
        <f>IF(VIPcric_1!A2849="","",VIPcric_1!A2849)</f>
        <v/>
      </c>
      <c r="B2874" t="str">
        <f>IF(VIPcric_1!B2849="","",VIPcric_1!B2849)</f>
        <v/>
      </c>
      <c r="C2874" t="str">
        <f>IF(VIPcric_1!C2849="","",VIPcric_1!C2849)</f>
        <v/>
      </c>
      <c r="D2874" t="str">
        <f>IF(VIPcric_1!D2849="","",VIPcric_1!D2849)</f>
        <v/>
      </c>
      <c r="E2874" t="str">
        <f>IF(VIPcric_1!E2849="","",VIPcric_1!E2849)</f>
        <v/>
      </c>
      <c r="F2874" t="str">
        <f>IF(VIPcric_1!F2849="","",VIPcric_1!F2849)</f>
        <v/>
      </c>
      <c r="G2874" t="str">
        <f>IF(VIPcric_1!G2849="","",VIPcric_1!G2849)</f>
        <v/>
      </c>
      <c r="H2874" t="str">
        <f>IF(VIPcric_1!H2849="","",VIPcric_1!H2849)</f>
        <v/>
      </c>
      <c r="I2874" t="str">
        <f>IF(VIPcric_1!M2849="","",VIPcric_1!M2849)</f>
        <v/>
      </c>
    </row>
    <row r="2875" spans="1:9">
      <c r="A2875" t="str">
        <f>IF(VIPcric_1!A2850="","",VIPcric_1!A2850)</f>
        <v/>
      </c>
      <c r="B2875" t="str">
        <f>IF(VIPcric_1!B2850="","",VIPcric_1!B2850)</f>
        <v/>
      </c>
      <c r="C2875" t="str">
        <f>IF(VIPcric_1!C2850="","",VIPcric_1!C2850)</f>
        <v/>
      </c>
      <c r="D2875" t="str">
        <f>IF(VIPcric_1!D2850="","",VIPcric_1!D2850)</f>
        <v/>
      </c>
      <c r="E2875" t="str">
        <f>IF(VIPcric_1!E2850="","",VIPcric_1!E2850)</f>
        <v/>
      </c>
      <c r="F2875" t="str">
        <f>IF(VIPcric_1!F2850="","",VIPcric_1!F2850)</f>
        <v/>
      </c>
      <c r="G2875" t="str">
        <f>IF(VIPcric_1!G2850="","",VIPcric_1!G2850)</f>
        <v/>
      </c>
      <c r="H2875" t="str">
        <f>IF(VIPcric_1!H2850="","",VIPcric_1!H2850)</f>
        <v/>
      </c>
      <c r="I2875" t="str">
        <f>IF(VIPcric_1!M2850="","",VIPcric_1!M2850)</f>
        <v>CRIC-黄石-市场监测.商品房市场.项目累计.供求.xlsx</v>
      </c>
    </row>
    <row r="2876" spans="1:9">
      <c r="A2876" t="str">
        <f>IF(VIPcric_1!A2851="","",VIPcric_1!A2851)</f>
        <v>时间(年)</v>
      </c>
      <c r="B2876" t="str">
        <f>IF(VIPcric_1!B2851="","",VIPcric_1!B2851)</f>
        <v>供应面积(㎡)</v>
      </c>
      <c r="C2876" t="str">
        <f>IF(VIPcric_1!C2851="","",VIPcric_1!C2851)</f>
        <v>供应套数(套)</v>
      </c>
      <c r="D2876" t="str">
        <f>IF(VIPcric_1!D2851="","",VIPcric_1!D2851)</f>
        <v>成交面积(㎡)</v>
      </c>
      <c r="E2876" t="str">
        <f>IF(VIPcric_1!E2851="","",VIPcric_1!E2851)</f>
        <v>成交套数(套)</v>
      </c>
      <c r="F2876" t="str">
        <f>IF(VIPcric_1!F2851="","",VIPcric_1!F2851)</f>
        <v>成交均价(元/㎡)</v>
      </c>
      <c r="G2876" t="str">
        <f>IF(VIPcric_1!G2851="","",VIPcric_1!G2851)</f>
        <v>成交金额(元)</v>
      </c>
      <c r="H2876" t="str">
        <f>IF(VIPcric_1!H2851="","",VIPcric_1!H2851)</f>
        <v>供求比</v>
      </c>
      <c r="I2876" t="str">
        <f>IF(VIPcric_1!M2851="","",VIPcric_1!M2851)</f>
        <v>CRIC-黄石-市场监测.商品房市场.项目累计.供求.xlsx</v>
      </c>
    </row>
    <row r="2877" spans="1:9">
      <c r="A2877" t="str">
        <f>IF(VIPcric_1!A2852="","",VIPcric_1!A2852)</f>
        <v>2023年</v>
      </c>
      <c r="B2877">
        <f>IF(VIPcric_1!B2852="","",VIPcric_1!B2852)</f>
        <v>452859</v>
      </c>
      <c r="C2877">
        <f>IF(VIPcric_1!C2852="","",VIPcric_1!C2852)</f>
        <v>3650</v>
      </c>
      <c r="D2877">
        <f>IF(VIPcric_1!D2852="","",VIPcric_1!D2852)</f>
        <v>1338044</v>
      </c>
      <c r="E2877">
        <f>IF(VIPcric_1!E2852="","",VIPcric_1!E2852)</f>
        <v>11185</v>
      </c>
      <c r="F2877">
        <f>IF(VIPcric_1!F2852="","",VIPcric_1!F2852)</f>
        <v>7247</v>
      </c>
      <c r="G2877">
        <f>IF(VIPcric_1!G2852="","",VIPcric_1!G2852)</f>
        <v>9696694110</v>
      </c>
      <c r="H2877">
        <f>IF(VIPcric_1!H2852="","",VIPcric_1!H2852)</f>
        <v>0.34</v>
      </c>
      <c r="I2877" t="str">
        <f>IF(VIPcric_1!M2852="","",VIPcric_1!M2852)</f>
        <v>CRIC-黄石-市场监测.商品房市场.项目累计.供求.xlsx</v>
      </c>
    </row>
    <row r="2878" spans="1:9">
      <c r="A2878" t="str">
        <f>IF(VIPcric_1!A2853="","",VIPcric_1!A2853)</f>
        <v>2022年</v>
      </c>
      <c r="B2878">
        <f>IF(VIPcric_1!B2853="","",VIPcric_1!B2853)</f>
        <v>707982</v>
      </c>
      <c r="C2878">
        <f>IF(VIPcric_1!C2853="","",VIPcric_1!C2853)</f>
        <v>5837</v>
      </c>
      <c r="D2878">
        <f>IF(VIPcric_1!D2853="","",VIPcric_1!D2853)</f>
        <v>993029</v>
      </c>
      <c r="E2878">
        <f>IF(VIPcric_1!E2853="","",VIPcric_1!E2853)</f>
        <v>8388</v>
      </c>
      <c r="F2878">
        <f>IF(VIPcric_1!F2853="","",VIPcric_1!F2853)</f>
        <v>7085</v>
      </c>
      <c r="G2878">
        <f>IF(VIPcric_1!G2853="","",VIPcric_1!G2853)</f>
        <v>7035326287</v>
      </c>
      <c r="H2878">
        <f>IF(VIPcric_1!H2853="","",VIPcric_1!H2853)</f>
        <v>0.71</v>
      </c>
      <c r="I2878" t="str">
        <f>IF(VIPcric_1!M2853="","",VIPcric_1!M2853)</f>
        <v>CRIC-黄石-市场监测.商品房市场.项目累计.供求.xlsx</v>
      </c>
    </row>
    <row r="2879" spans="1:9">
      <c r="A2879" t="str">
        <f>IF(VIPcric_1!A2854="","",VIPcric_1!A2854)</f>
        <v>2021年</v>
      </c>
      <c r="B2879">
        <f>IF(VIPcric_1!B2854="","",VIPcric_1!B2854)</f>
        <v>1275396</v>
      </c>
      <c r="C2879">
        <f>IF(VIPcric_1!C2854="","",VIPcric_1!C2854)</f>
        <v>10822</v>
      </c>
      <c r="D2879">
        <f>IF(VIPcric_1!D2854="","",VIPcric_1!D2854)</f>
        <v>671737</v>
      </c>
      <c r="E2879">
        <f>IF(VIPcric_1!E2854="","",VIPcric_1!E2854)</f>
        <v>5528</v>
      </c>
      <c r="F2879">
        <f>IF(VIPcric_1!F2854="","",VIPcric_1!F2854)</f>
        <v>7235</v>
      </c>
      <c r="G2879">
        <f>IF(VIPcric_1!G2854="","",VIPcric_1!G2854)</f>
        <v>4860352552</v>
      </c>
      <c r="H2879">
        <f>IF(VIPcric_1!H2854="","",VIPcric_1!H2854)</f>
        <v>1.9</v>
      </c>
      <c r="I2879" t="str">
        <f>IF(VIPcric_1!M2854="","",VIPcric_1!M2854)</f>
        <v>CRIC-黄石-市场监测.商品房市场.项目累计.供求.xlsx</v>
      </c>
    </row>
    <row r="2880" spans="1:9">
      <c r="A2880" t="str">
        <f>IF(VIPcric_1!A2855="","",VIPcric_1!A2855)</f>
        <v>2020年</v>
      </c>
      <c r="B2880">
        <f>IF(VIPcric_1!B2855="","",VIPcric_1!B2855)</f>
        <v>1529017</v>
      </c>
      <c r="C2880">
        <f>IF(VIPcric_1!C2855="","",VIPcric_1!C2855)</f>
        <v>13048</v>
      </c>
      <c r="D2880">
        <f>IF(VIPcric_1!D2855="","",VIPcric_1!D2855)</f>
        <v>0</v>
      </c>
      <c r="E2880">
        <f>IF(VIPcric_1!E2855="","",VIPcric_1!E2855)</f>
        <v>0</v>
      </c>
      <c r="F2880">
        <f>IF(VIPcric_1!F2855="","",VIPcric_1!F2855)</f>
        <v>0</v>
      </c>
      <c r="G2880">
        <f>IF(VIPcric_1!G2855="","",VIPcric_1!G2855)</f>
        <v>0</v>
      </c>
      <c r="H2880">
        <f>IF(VIPcric_1!H2855="","",VIPcric_1!H2855)</f>
        <v>0</v>
      </c>
      <c r="I2880" t="str">
        <f>IF(VIPcric_1!M2855="","",VIPcric_1!M2855)</f>
        <v>CRIC-黄石-市场监测.商品房市场.项目累计.供求.xlsx</v>
      </c>
    </row>
    <row r="2881" spans="1:9">
      <c r="A2881" t="str">
        <f>IF(VIPcric_1!A2856="","",VIPcric_1!A2856)</f>
        <v>2019年</v>
      </c>
      <c r="B2881">
        <f>IF(VIPcric_1!B2856="","",VIPcric_1!B2856)</f>
        <v>2261703</v>
      </c>
      <c r="C2881">
        <f>IF(VIPcric_1!C2856="","",VIPcric_1!C2856)</f>
        <v>19048</v>
      </c>
      <c r="D2881">
        <f>IF(VIPcric_1!D2856="","",VIPcric_1!D2856)</f>
        <v>189305</v>
      </c>
      <c r="E2881">
        <f>IF(VIPcric_1!E2856="","",VIPcric_1!E2856)</f>
        <v>1570</v>
      </c>
      <c r="F2881">
        <f>IF(VIPcric_1!F2856="","",VIPcric_1!F2856)</f>
        <v>7691</v>
      </c>
      <c r="G2881">
        <f>IF(VIPcric_1!G2856="","",VIPcric_1!G2856)</f>
        <v>1456003312</v>
      </c>
      <c r="H2881">
        <f>IF(VIPcric_1!H2856="","",VIPcric_1!H2856)</f>
        <v>11.95</v>
      </c>
      <c r="I2881" t="str">
        <f>IF(VIPcric_1!M2856="","",VIPcric_1!M2856)</f>
        <v>CRIC-黄石-市场监测.商品房市场.项目累计.供求.xlsx</v>
      </c>
    </row>
    <row r="2882" spans="1:9">
      <c r="A2882" t="str">
        <f>IF(VIPcric_1!A2857="","",VIPcric_1!A2857)</f>
        <v>汇总</v>
      </c>
      <c r="B2882">
        <f>IF(VIPcric_1!B2857="","",VIPcric_1!B2857)</f>
        <v>6226957</v>
      </c>
      <c r="C2882">
        <f>IF(VIPcric_1!C2857="","",VIPcric_1!C2857)</f>
        <v>52405</v>
      </c>
      <c r="D2882">
        <f>IF(VIPcric_1!D2857="","",VIPcric_1!D2857)</f>
        <v>3192115</v>
      </c>
      <c r="E2882">
        <f>IF(VIPcric_1!E2857="","",VIPcric_1!E2857)</f>
        <v>26671</v>
      </c>
      <c r="F2882">
        <f>IF(VIPcric_1!F2857="","",VIPcric_1!F2857)</f>
        <v>7220</v>
      </c>
      <c r="G2882">
        <f>IF(VIPcric_1!G2857="","",VIPcric_1!G2857)</f>
        <v>23048376261</v>
      </c>
      <c r="H2882">
        <f>IF(VIPcric_1!H2857="","",VIPcric_1!H2857)</f>
        <v>1.95</v>
      </c>
      <c r="I2882" t="str">
        <f>IF(VIPcric_1!M2857="","",VIPcric_1!M2857)</f>
        <v>CRIC-黄石-市场监测.商品房市场.项目累计.供求.xlsx</v>
      </c>
    </row>
    <row r="2883" spans="1:9">
      <c r="A2883" t="str">
        <f>IF(VIPcric_1!A2858="","",VIPcric_1!A2858)</f>
        <v/>
      </c>
      <c r="B2883" t="str">
        <f>IF(VIPcric_1!B2858="","",VIPcric_1!B2858)</f>
        <v/>
      </c>
      <c r="C2883" t="str">
        <f>IF(VIPcric_1!C2858="","",VIPcric_1!C2858)</f>
        <v/>
      </c>
      <c r="D2883" t="str">
        <f>IF(VIPcric_1!D2858="","",VIPcric_1!D2858)</f>
        <v/>
      </c>
      <c r="E2883" t="str">
        <f>IF(VIPcric_1!E2858="","",VIPcric_1!E2858)</f>
        <v/>
      </c>
      <c r="F2883" t="str">
        <f>IF(VIPcric_1!F2858="","",VIPcric_1!F2858)</f>
        <v/>
      </c>
      <c r="G2883" t="str">
        <f>IF(VIPcric_1!G2858="","",VIPcric_1!G2858)</f>
        <v/>
      </c>
      <c r="H2883" t="str">
        <f>IF(VIPcric_1!H2858="","",VIPcric_1!H2858)</f>
        <v/>
      </c>
      <c r="I2883" t="str">
        <f>IF(VIPcric_1!M2858="","",VIPcric_1!M2858)</f>
        <v/>
      </c>
    </row>
    <row r="2884" spans="1:9">
      <c r="A2884" t="str">
        <f>IF(VIPcric_1!A2859="","",VIPcric_1!A2859)</f>
        <v/>
      </c>
      <c r="B2884" t="str">
        <f>IF(VIPcric_1!B2859="","",VIPcric_1!B2859)</f>
        <v/>
      </c>
      <c r="C2884" t="str">
        <f>IF(VIPcric_1!C2859="","",VIPcric_1!C2859)</f>
        <v/>
      </c>
      <c r="D2884" t="str">
        <f>IF(VIPcric_1!D2859="","",VIPcric_1!D2859)</f>
        <v/>
      </c>
      <c r="E2884" t="str">
        <f>IF(VIPcric_1!E2859="","",VIPcric_1!E2859)</f>
        <v/>
      </c>
      <c r="F2884" t="str">
        <f>IF(VIPcric_1!F2859="","",VIPcric_1!F2859)</f>
        <v/>
      </c>
      <c r="G2884" t="str">
        <f>IF(VIPcric_1!G2859="","",VIPcric_1!G2859)</f>
        <v/>
      </c>
      <c r="H2884" t="str">
        <f>IF(VIPcric_1!H2859="","",VIPcric_1!H2859)</f>
        <v/>
      </c>
      <c r="I2884" t="str">
        <f>IF(VIPcric_1!M2859="","",VIPcric_1!M2859)</f>
        <v>CRIC-黄石-市场监测.商品房市场.项目累计.库存.xlsx</v>
      </c>
    </row>
    <row r="2885" spans="1:9">
      <c r="A2885" t="str">
        <f>IF(VIPcric_1!A2860="","",VIPcric_1!A2860)</f>
        <v>时间(年)</v>
      </c>
      <c r="B2885" t="str">
        <f>IF(VIPcric_1!B2860="","",VIPcric_1!B2860)</f>
        <v>库存面积(㎡)</v>
      </c>
      <c r="C2885" t="str">
        <f>IF(VIPcric_1!C2860="","",VIPcric_1!C2860)</f>
        <v>库存套数(套)</v>
      </c>
      <c r="D2885" t="str">
        <f>IF(VIPcric_1!D2860="","",VIPcric_1!D2860)</f>
        <v>去化周期12'(月)</v>
      </c>
      <c r="E2885" t="str">
        <f>IF(VIPcric_1!E2860="","",VIPcric_1!E2860)</f>
        <v>去化周期24'(月)</v>
      </c>
      <c r="F2885" t="str">
        <f>IF(VIPcric_1!F2860="","",VIPcric_1!F2860)</f>
        <v/>
      </c>
      <c r="G2885" t="str">
        <f>IF(VIPcric_1!G2860="","",VIPcric_1!G2860)</f>
        <v/>
      </c>
      <c r="H2885" t="str">
        <f>IF(VIPcric_1!H2860="","",VIPcric_1!H2860)</f>
        <v/>
      </c>
      <c r="I2885" t="str">
        <f>IF(VIPcric_1!M2860="","",VIPcric_1!M2860)</f>
        <v>CRIC-黄石-市场监测.商品房市场.项目累计.库存.xlsx</v>
      </c>
    </row>
    <row r="2886" spans="1:9">
      <c r="A2886" t="str">
        <f>IF(VIPcric_1!A2861="","",VIPcric_1!A2861)</f>
        <v>2024年</v>
      </c>
      <c r="B2886">
        <f>IF(VIPcric_1!B2861="","",VIPcric_1!B2861)</f>
        <v>1555161</v>
      </c>
      <c r="C2886">
        <f>IF(VIPcric_1!C2861="","",VIPcric_1!C2861)</f>
        <v>13185</v>
      </c>
      <c r="D2886">
        <f>IF(VIPcric_1!D2861="","",VIPcric_1!D2861)</f>
        <v>14</v>
      </c>
      <c r="E2886">
        <f>IF(VIPcric_1!E2861="","",VIPcric_1!E2861)</f>
        <v>16.2</v>
      </c>
      <c r="F2886" t="str">
        <f>IF(VIPcric_1!F2861="","",VIPcric_1!F2861)</f>
        <v/>
      </c>
      <c r="G2886" t="str">
        <f>IF(VIPcric_1!G2861="","",VIPcric_1!G2861)</f>
        <v/>
      </c>
      <c r="H2886" t="str">
        <f>IF(VIPcric_1!H2861="","",VIPcric_1!H2861)</f>
        <v/>
      </c>
      <c r="I2886" t="str">
        <f>IF(VIPcric_1!M2861="","",VIPcric_1!M2861)</f>
        <v>CRIC-黄石-市场监测.商品房市场.项目累计.库存.xlsx</v>
      </c>
    </row>
    <row r="2887" spans="1:9">
      <c r="A2887" t="str">
        <f>IF(VIPcric_1!A2862="","",VIPcric_1!A2862)</f>
        <v>2023年</v>
      </c>
      <c r="B2887">
        <f>IF(VIPcric_1!B2862="","",VIPcric_1!B2862)</f>
        <v>1534730</v>
      </c>
      <c r="C2887">
        <f>IF(VIPcric_1!C2862="","",VIPcric_1!C2862)</f>
        <v>13095</v>
      </c>
      <c r="D2887">
        <f>IF(VIPcric_1!D2862="","",VIPcric_1!D2862)</f>
        <v>13.8</v>
      </c>
      <c r="E2887">
        <f>IF(VIPcric_1!E2862="","",VIPcric_1!E2862)</f>
        <v>15.8</v>
      </c>
      <c r="F2887" t="str">
        <f>IF(VIPcric_1!F2862="","",VIPcric_1!F2862)</f>
        <v/>
      </c>
      <c r="G2887" t="str">
        <f>IF(VIPcric_1!G2862="","",VIPcric_1!G2862)</f>
        <v/>
      </c>
      <c r="H2887" t="str">
        <f>IF(VIPcric_1!H2862="","",VIPcric_1!H2862)</f>
        <v/>
      </c>
      <c r="I2887" t="str">
        <f>IF(VIPcric_1!M2862="","",VIPcric_1!M2862)</f>
        <v>CRIC-黄石-市场监测.商品房市场.项目累计.库存.xlsx</v>
      </c>
    </row>
    <row r="2888" spans="1:9">
      <c r="A2888" t="str">
        <f>IF(VIPcric_1!A2863="","",VIPcric_1!A2863)</f>
        <v>2022年</v>
      </c>
      <c r="B2888">
        <f>IF(VIPcric_1!B2863="","",VIPcric_1!B2863)</f>
        <v>1792448</v>
      </c>
      <c r="C2888">
        <f>IF(VIPcric_1!C2863="","",VIPcric_1!C2863)</f>
        <v>15274</v>
      </c>
      <c r="D2888">
        <f>IF(VIPcric_1!D2863="","",VIPcric_1!D2863)</f>
        <v>21.7</v>
      </c>
      <c r="E2888">
        <f>IF(VIPcric_1!E2863="","",VIPcric_1!E2863)</f>
        <v>25.8</v>
      </c>
      <c r="F2888" t="str">
        <f>IF(VIPcric_1!F2863="","",VIPcric_1!F2863)</f>
        <v/>
      </c>
      <c r="G2888" t="str">
        <f>IF(VIPcric_1!G2863="","",VIPcric_1!G2863)</f>
        <v/>
      </c>
      <c r="H2888" t="str">
        <f>IF(VIPcric_1!H2863="","",VIPcric_1!H2863)</f>
        <v/>
      </c>
      <c r="I2888" t="str">
        <f>IF(VIPcric_1!M2863="","",VIPcric_1!M2863)</f>
        <v>CRIC-黄石-市场监测.商品房市场.项目累计.库存.xlsx</v>
      </c>
    </row>
    <row r="2889" spans="1:9">
      <c r="A2889" t="str">
        <f>IF(VIPcric_1!A2864="","",VIPcric_1!A2864)</f>
        <v>2021年</v>
      </c>
      <c r="B2889">
        <f>IF(VIPcric_1!B2864="","",VIPcric_1!B2864)</f>
        <v>1961667</v>
      </c>
      <c r="C2889">
        <f>IF(VIPcric_1!C2864="","",VIPcric_1!C2864)</f>
        <v>16971</v>
      </c>
      <c r="D2889">
        <f>IF(VIPcric_1!D2864="","",VIPcric_1!D2864)</f>
        <v>35</v>
      </c>
      <c r="E2889">
        <f>IF(VIPcric_1!E2864="","",VIPcric_1!E2864)</f>
        <v>70.099999999999994</v>
      </c>
      <c r="F2889" t="str">
        <f>IF(VIPcric_1!F2864="","",VIPcric_1!F2864)</f>
        <v/>
      </c>
      <c r="G2889" t="str">
        <f>IF(VIPcric_1!G2864="","",VIPcric_1!G2864)</f>
        <v/>
      </c>
      <c r="H2889" t="str">
        <f>IF(VIPcric_1!H2864="","",VIPcric_1!H2864)</f>
        <v/>
      </c>
      <c r="I2889" t="str">
        <f>IF(VIPcric_1!M2864="","",VIPcric_1!M2864)</f>
        <v>CRIC-黄石-市场监测.商品房市场.项目累计.库存.xlsx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J2860"/>
  <sheetViews>
    <sheetView workbookViewId="0">
      <selection activeCell="N19" sqref="N19"/>
    </sheetView>
  </sheetViews>
  <sheetFormatPr defaultRowHeight="13.8"/>
  <sheetData>
    <row r="1" spans="1:10">
      <c r="A1" t="s">
        <v>844</v>
      </c>
      <c r="B1" t="s">
        <v>764</v>
      </c>
      <c r="C1" t="s">
        <v>827</v>
      </c>
      <c r="D1" t="s">
        <v>739</v>
      </c>
      <c r="E1" t="s">
        <v>738</v>
      </c>
      <c r="F1" t="s">
        <v>740</v>
      </c>
      <c r="G1" s="33" t="s">
        <v>762</v>
      </c>
      <c r="H1" s="33" t="s">
        <v>749</v>
      </c>
      <c r="I1" t="s">
        <v>769</v>
      </c>
      <c r="J1" t="s">
        <v>805</v>
      </c>
    </row>
    <row r="2" spans="1:10">
      <c r="A2" t="str">
        <f>VIPcric_2!I3</f>
        <v>CRIC-万宁-市场监测.商品房市场.项目累计.供求.xlsx</v>
      </c>
      <c r="B2" t="str">
        <f>MID(A2,6,2)</f>
        <v>万宁</v>
      </c>
      <c r="C2" t="s">
        <v>828</v>
      </c>
      <c r="D2">
        <f>VIPcric_2!F3</f>
        <v>16309</v>
      </c>
      <c r="E2">
        <f>VIPcric_2!D12</f>
        <v>59.8</v>
      </c>
      <c r="F2" s="22">
        <f>万宁!P4</f>
        <v>27.141666666666666</v>
      </c>
      <c r="G2" s="33">
        <f>万宁!E89</f>
        <v>1745.4448160535117</v>
      </c>
      <c r="H2" s="33">
        <f>万宁!M88</f>
        <v>77.859793269230764</v>
      </c>
      <c r="I2" s="31">
        <f>H2/D2</f>
        <v>4.7740384615384615E-3</v>
      </c>
      <c r="J2" s="31">
        <f>G2/D2</f>
        <v>0.10702341137123746</v>
      </c>
    </row>
    <row r="3" spans="1:10">
      <c r="A3" t="str">
        <f>VIPcric_2!I28</f>
        <v>CRIC-上海-市场监测.商品房市场.项目累计.供求.xlsx</v>
      </c>
      <c r="B3" t="str">
        <f t="shared" ref="B3:B32" si="0">MID(A3,6,2)</f>
        <v>上海</v>
      </c>
      <c r="C3" t="s">
        <v>829</v>
      </c>
      <c r="D3">
        <f>VIPcric_2!F28</f>
        <v>66494</v>
      </c>
      <c r="E3">
        <f>VIPcric_2!D37</f>
        <v>26.4</v>
      </c>
      <c r="F3" s="22">
        <f>上海!P4</f>
        <v>27.141666666666666</v>
      </c>
      <c r="G3" s="33">
        <f>上海!E89</f>
        <v>35261.969696969696</v>
      </c>
      <c r="H3" s="33">
        <f>上海!M88</f>
        <v>2507.4198952020201</v>
      </c>
      <c r="I3" s="31">
        <f t="shared" ref="I3:I33" si="1">H3/D3</f>
        <v>3.7708964646464643E-2</v>
      </c>
      <c r="J3" s="31">
        <f t="shared" ref="J3:J33" si="2">G3/D3</f>
        <v>0.53030303030303028</v>
      </c>
    </row>
    <row r="4" spans="1:10">
      <c r="A4" t="str">
        <f>VIPcric_2!I45</f>
        <v>CRIC-上饶-市场监测.商品房市场.项目累计.供求.xlsx</v>
      </c>
      <c r="B4" t="str">
        <f t="shared" si="0"/>
        <v>上饶</v>
      </c>
      <c r="C4" t="s">
        <v>830</v>
      </c>
      <c r="D4">
        <f>VIPcric_2!F45</f>
        <v>7893</v>
      </c>
      <c r="E4">
        <f>VIPcric_2!D54</f>
        <v>11.5</v>
      </c>
      <c r="F4" s="22">
        <f>上饶!P4</f>
        <v>27.141666666666666</v>
      </c>
      <c r="G4" s="33">
        <f>上饶!E89</f>
        <v>1235.4260869565217</v>
      </c>
      <c r="H4" s="33">
        <f>上饶!M88</f>
        <v>165.161025</v>
      </c>
      <c r="I4" s="31">
        <f t="shared" si="1"/>
        <v>2.0924999999999999E-2</v>
      </c>
      <c r="J4" s="31">
        <f t="shared" si="2"/>
        <v>0.15652173913043477</v>
      </c>
    </row>
    <row r="5" spans="1:10">
      <c r="A5" t="str">
        <f>VIPcric_2!I62</f>
        <v>CRIC-东方-市场监测.商品房市场.项目累计.供求.xlsx</v>
      </c>
      <c r="B5" t="str">
        <f t="shared" si="0"/>
        <v>东方</v>
      </c>
      <c r="C5" t="s">
        <v>828</v>
      </c>
      <c r="D5">
        <f>VIPcric_2!F63</f>
        <v>12405</v>
      </c>
      <c r="E5">
        <f>VIPcric_2!D71</f>
        <v>61.7</v>
      </c>
      <c r="F5" s="22">
        <f>东方!Q4</f>
        <v>27.141666666666666</v>
      </c>
      <c r="G5" s="33">
        <f>东方!F89</f>
        <v>1256.5842787682332</v>
      </c>
      <c r="H5" s="33">
        <f>东方!N88</f>
        <v>71.444355753646676</v>
      </c>
      <c r="I5" s="31">
        <f t="shared" si="1"/>
        <v>5.7593192868719608E-3</v>
      </c>
      <c r="J5" s="31">
        <f t="shared" si="2"/>
        <v>0.10129659643435979</v>
      </c>
    </row>
    <row r="6" spans="1:10">
      <c r="A6" t="str">
        <f>VIPcric_2!I77</f>
        <v>CRIC-东莞-市场监测.商品房市场.项目累计.供求.xlsx</v>
      </c>
      <c r="B6" t="str">
        <f t="shared" si="0"/>
        <v>东莞</v>
      </c>
      <c r="C6" t="s">
        <v>831</v>
      </c>
      <c r="D6">
        <f>VIPcric_2!F77</f>
        <v>36305</v>
      </c>
      <c r="E6">
        <f>VIPcric_2!D86</f>
        <v>25.6</v>
      </c>
      <c r="F6" s="22">
        <f>东莞!S4</f>
        <v>27.141666666666666</v>
      </c>
      <c r="G6" s="33">
        <f>东莞!F89</f>
        <v>14819.814453125</v>
      </c>
      <c r="H6" s="33">
        <f>东莞!P88</f>
        <v>999.32703369140654</v>
      </c>
      <c r="I6" s="31">
        <f t="shared" si="1"/>
        <v>2.7525878906250009E-2</v>
      </c>
      <c r="J6" s="31">
        <f t="shared" si="2"/>
        <v>0.408203125</v>
      </c>
    </row>
    <row r="7" spans="1:10">
      <c r="A7" t="str">
        <f>VIPcric_2!I94</f>
        <v>CRIC-东营-市场监测.商品房市场.项目累计.供求.xlsx</v>
      </c>
      <c r="B7" t="str">
        <f t="shared" si="0"/>
        <v>东营</v>
      </c>
      <c r="C7" t="s">
        <v>832</v>
      </c>
      <c r="D7">
        <f>VIPcric_2!F94</f>
        <v>8079</v>
      </c>
      <c r="E7">
        <f>VIPcric_2!D104</f>
        <v>52.3</v>
      </c>
      <c r="F7" s="22">
        <f>东营!S4</f>
        <v>28.008333333333333</v>
      </c>
      <c r="G7" s="33">
        <f>东营!F89</f>
        <v>1668.3212237093694</v>
      </c>
      <c r="H7" s="33">
        <f>东营!P88</f>
        <v>133.5004545889102</v>
      </c>
      <c r="I7" s="31">
        <f t="shared" si="1"/>
        <v>1.6524378585086052E-2</v>
      </c>
      <c r="J7" s="31">
        <f t="shared" si="2"/>
        <v>0.2065009560229446</v>
      </c>
    </row>
    <row r="8" spans="1:10">
      <c r="A8" t="str">
        <f>VIPcric_2!I111</f>
        <v>CRIC-中卫-市场监测.商品房市场.项目累计.供求.xlsx</v>
      </c>
      <c r="B8" t="str">
        <f t="shared" si="0"/>
        <v>中卫</v>
      </c>
      <c r="C8" t="s">
        <v>833</v>
      </c>
      <c r="D8">
        <f>VIPcric_2!F111</f>
        <v>4898</v>
      </c>
      <c r="E8">
        <f>VIPcric_2!E121</f>
        <v>55.1</v>
      </c>
      <c r="F8" s="22">
        <f>中卫!P4</f>
        <v>28.008333333333333</v>
      </c>
      <c r="G8" s="33">
        <f>中卫!E89</f>
        <v>978.71107078039927</v>
      </c>
      <c r="H8" s="33">
        <f>中卫!M88</f>
        <v>70.222185980036286</v>
      </c>
      <c r="I8" s="31">
        <f t="shared" si="1"/>
        <v>1.433691016333938E-2</v>
      </c>
      <c r="J8" s="31">
        <f t="shared" si="2"/>
        <v>0.19981851179673321</v>
      </c>
    </row>
    <row r="9" spans="1:10">
      <c r="A9" t="str">
        <f>VIPcric_2!I127</f>
        <v>CRIC-中山-市场监测.商品房市场.项目累计.供求.xlsx</v>
      </c>
      <c r="B9" t="str">
        <f t="shared" si="0"/>
        <v>中山</v>
      </c>
      <c r="C9" t="s">
        <v>831</v>
      </c>
      <c r="D9">
        <f>VIPcric_2!F127</f>
        <v>13988</v>
      </c>
      <c r="E9">
        <f>VIPcric_2!H137</f>
        <v>22.6</v>
      </c>
      <c r="F9" s="22">
        <f>中山!S4</f>
        <v>27.141666666666666</v>
      </c>
      <c r="G9" s="33">
        <f>中山!F89</f>
        <v>3500</v>
      </c>
      <c r="H9" s="33">
        <f>中山!P88</f>
        <v>336.375</v>
      </c>
      <c r="I9" s="31">
        <f t="shared" si="1"/>
        <v>2.404739776951673E-2</v>
      </c>
      <c r="J9" s="31">
        <f t="shared" si="2"/>
        <v>0.25021446954532456</v>
      </c>
    </row>
    <row r="10" spans="1:10">
      <c r="A10" t="str">
        <f>VIPcric_2!I145</f>
        <v>CRIC-临高-市场监测.商品房市场.项目累计.供求.xlsx</v>
      </c>
      <c r="B10" t="str">
        <f t="shared" si="0"/>
        <v>临高</v>
      </c>
      <c r="C10" t="s">
        <v>828</v>
      </c>
      <c r="D10">
        <f>VIPcric_2!F146</f>
        <v>10601</v>
      </c>
      <c r="E10">
        <f>VIPcric_2!D154</f>
        <v>73.599999999999994</v>
      </c>
      <c r="F10" s="22">
        <f>临高!P4</f>
        <v>27.141666666666666</v>
      </c>
      <c r="G10" s="33">
        <f>临高!E98</f>
        <v>965.03668478260875</v>
      </c>
      <c r="H10" s="33">
        <f>临高!M97</f>
        <v>44.474507812499994</v>
      </c>
      <c r="I10" s="31">
        <f>H10/D10</f>
        <v>4.1953124999999994E-3</v>
      </c>
      <c r="J10" s="31">
        <f t="shared" si="2"/>
        <v>9.1032608695652176E-2</v>
      </c>
    </row>
    <row r="11" spans="1:10">
      <c r="A11" t="str">
        <f>VIPcric_2!I160</f>
        <v>CRIC-丽水-市场监测.商品房市场.项目累计.供求.xlsx</v>
      </c>
      <c r="B11" t="str">
        <f t="shared" si="0"/>
        <v>丽水</v>
      </c>
      <c r="C11" t="s">
        <v>834</v>
      </c>
      <c r="D11">
        <f>VIPcric_2!F160</f>
        <v>12875</v>
      </c>
      <c r="E11">
        <f>VIPcric_2!D170</f>
        <v>43.7</v>
      </c>
      <c r="F11" s="22">
        <f>丽水!S4</f>
        <v>27.141666666666666</v>
      </c>
      <c r="G11" s="33">
        <f>丽水!F89</f>
        <v>2622.139588100687</v>
      </c>
      <c r="H11" s="33">
        <f>丽水!P88</f>
        <v>174.95600328947364</v>
      </c>
      <c r="I11" s="31">
        <f t="shared" si="1"/>
        <v>1.3588815789473681E-2</v>
      </c>
      <c r="J11" s="31">
        <f t="shared" si="2"/>
        <v>0.20366132723112132</v>
      </c>
    </row>
    <row r="12" spans="1:10">
      <c r="A12" t="str">
        <f>VIPcric_2!I178</f>
        <v>CRIC-义乌-市场监测.商品房市场.项目累计.供求.xlsx</v>
      </c>
      <c r="B12" t="str">
        <f t="shared" si="0"/>
        <v>义乌</v>
      </c>
      <c r="C12" t="s">
        <v>834</v>
      </c>
      <c r="D12">
        <f>VIPcric_2!F178</f>
        <v>30654</v>
      </c>
      <c r="E12">
        <f>VIPcric_2!D189</f>
        <v>21.1</v>
      </c>
      <c r="F12" s="22">
        <f>义乌!S4</f>
        <v>27.141666666666666</v>
      </c>
      <c r="G12" s="33">
        <f>义乌!F89</f>
        <v>12929.886255924168</v>
      </c>
      <c r="H12" s="33">
        <f>义乌!P88</f>
        <v>862.71578850710875</v>
      </c>
      <c r="I12" s="31">
        <f t="shared" si="1"/>
        <v>2.814366113744075E-2</v>
      </c>
      <c r="J12" s="31">
        <f t="shared" si="2"/>
        <v>0.42180094786729849</v>
      </c>
    </row>
    <row r="13" spans="1:10">
      <c r="A13" t="str">
        <f>VIPcric_2!I208</f>
        <v>CRIC-乐东-市场监测.商品房市场.项目累计.供求.xlsx</v>
      </c>
      <c r="B13" t="str">
        <f t="shared" si="0"/>
        <v>乐东</v>
      </c>
      <c r="C13" t="s">
        <v>828</v>
      </c>
      <c r="D13">
        <f>VIPcric_2!F208</f>
        <v>11934</v>
      </c>
      <c r="E13">
        <f>VIPcric_2!D216</f>
        <v>126.4</v>
      </c>
      <c r="F13" s="22">
        <f>乐东县!P4</f>
        <v>27.141666666666666</v>
      </c>
      <c r="G13" s="33">
        <f>乐东县!E117</f>
        <v>604.25316455696202</v>
      </c>
      <c r="H13" s="33">
        <f>乐东县!M116</f>
        <v>26.954175830696201</v>
      </c>
      <c r="I13" s="31">
        <f t="shared" si="1"/>
        <v>2.2586036392405061E-3</v>
      </c>
      <c r="J13" s="31">
        <f t="shared" si="2"/>
        <v>5.0632911392405063E-2</v>
      </c>
    </row>
    <row r="14" spans="1:10">
      <c r="A14" t="str">
        <f>VIPcric_2!I222</f>
        <v>CRIC-乐山-市场监测.商品房市场.项目累计.供求.xlsx</v>
      </c>
      <c r="B14" t="str">
        <f t="shared" si="0"/>
        <v>乐山</v>
      </c>
      <c r="C14" t="s">
        <v>835</v>
      </c>
      <c r="D14">
        <f>VIPcric_2!F222</f>
        <v>6016</v>
      </c>
      <c r="E14">
        <f>VIPcric_2!E232</f>
        <v>6.4</v>
      </c>
      <c r="F14" s="22">
        <f>乐山市!S4</f>
        <v>27.141666666666666</v>
      </c>
      <c r="G14" s="33">
        <f>乐山市!F89</f>
        <v>3600</v>
      </c>
      <c r="H14" s="33">
        <f>乐山市!P88</f>
        <v>45.022500000000008</v>
      </c>
      <c r="I14" s="31">
        <f t="shared" si="1"/>
        <v>7.483793218085108E-3</v>
      </c>
      <c r="J14" s="31">
        <f t="shared" si="2"/>
        <v>0.59840425531914898</v>
      </c>
    </row>
    <row r="15" spans="1:10">
      <c r="A15" t="str">
        <f>VIPcric_2!I238</f>
        <v>CRIC-九江-市场监测.商品房市场.项目累计.供求.xlsx</v>
      </c>
      <c r="B15" t="str">
        <f t="shared" si="0"/>
        <v>九江</v>
      </c>
      <c r="C15" t="s">
        <v>830</v>
      </c>
      <c r="D15">
        <f>VIPcric_2!F238</f>
        <v>8624</v>
      </c>
      <c r="E15">
        <f>VIPcric_2!E248</f>
        <v>22.4</v>
      </c>
      <c r="F15" s="22">
        <f>九江!Q4</f>
        <v>27.141666666666666</v>
      </c>
      <c r="G15" s="33">
        <f>九江!F89</f>
        <v>1724.8000000000002</v>
      </c>
      <c r="H15" s="33">
        <f>九江!N88</f>
        <v>100.26693599999999</v>
      </c>
      <c r="I15" s="31">
        <f t="shared" si="1"/>
        <v>1.1626499999999998E-2</v>
      </c>
      <c r="J15" s="31">
        <f t="shared" si="2"/>
        <v>0.2</v>
      </c>
    </row>
    <row r="16" spans="1:10">
      <c r="A16" t="str">
        <f>VIPcric_2!I257</f>
        <v>CRIC-五指山-市场监测.商品房市场.项目累计.供求.xlsx</v>
      </c>
      <c r="B16" t="str">
        <f>MID(A16,6,3)</f>
        <v>五指山</v>
      </c>
      <c r="C16" t="s">
        <v>828</v>
      </c>
      <c r="D16">
        <f>VIPcric_2!F257</f>
        <v>13585</v>
      </c>
      <c r="E16">
        <f>VIPcric_2!D265</f>
        <v>318.7</v>
      </c>
      <c r="F16" s="22">
        <f>五指山!Q4</f>
        <v>27.141666666666666</v>
      </c>
      <c r="G16" s="33">
        <f>五指山!F89</f>
        <v>289.85880138060872</v>
      </c>
      <c r="H16" s="33">
        <f>五指山!N88</f>
        <v>14.889897434891749</v>
      </c>
      <c r="I16" s="31">
        <f t="shared" si="1"/>
        <v>1.0960542830247882E-3</v>
      </c>
      <c r="J16" s="31">
        <f t="shared" si="2"/>
        <v>2.1336680263570756E-2</v>
      </c>
    </row>
    <row r="17" spans="1:10">
      <c r="A17" t="str">
        <f>VIPcric_2!I271</f>
        <v>CRIC-佛山-市场监测.商品房市场.项目累计.供求.xlsx</v>
      </c>
      <c r="B17" t="str">
        <f t="shared" si="0"/>
        <v>佛山</v>
      </c>
      <c r="C17" t="s">
        <v>831</v>
      </c>
      <c r="D17">
        <f>VIPcric_2!F271</f>
        <v>18333</v>
      </c>
      <c r="E17">
        <f>VIPcric_2!D281</f>
        <v>19.899999999999999</v>
      </c>
      <c r="F17" s="22">
        <f>佛山!S4</f>
        <v>27.141666666666666</v>
      </c>
      <c r="G17" s="33">
        <f>佛山!F89</f>
        <v>1372.6718592964824</v>
      </c>
      <c r="H17" s="33">
        <f>佛山!P88</f>
        <v>66.268267462311556</v>
      </c>
      <c r="I17" s="31">
        <f t="shared" si="1"/>
        <v>3.6146984924623113E-3</v>
      </c>
      <c r="J17" s="31">
        <f t="shared" si="2"/>
        <v>7.4874371859296476E-2</v>
      </c>
    </row>
    <row r="18" spans="1:10">
      <c r="A18" t="str">
        <f>VIPcric_2!I300</f>
        <v>CRIC-信阳-市场监测.商品房市场.项目累计.供求.xlsx</v>
      </c>
      <c r="B18" t="str">
        <f t="shared" si="0"/>
        <v>信阳</v>
      </c>
      <c r="C18" t="s">
        <v>836</v>
      </c>
      <c r="D18">
        <f>VIPcric_2!F299</f>
        <v>7100</v>
      </c>
      <c r="E18">
        <f>VIPcric_2!E310</f>
        <v>120</v>
      </c>
      <c r="F18" s="22">
        <f>信阳!S4</f>
        <v>28.008333333333333</v>
      </c>
      <c r="G18" s="33">
        <f>信阳!F89</f>
        <v>426</v>
      </c>
      <c r="H18" s="33">
        <f>信阳!P88</f>
        <v>34.088875000000002</v>
      </c>
      <c r="I18" s="31">
        <f t="shared" si="1"/>
        <v>4.80125E-3</v>
      </c>
      <c r="J18" s="31">
        <f t="shared" si="2"/>
        <v>0.06</v>
      </c>
    </row>
    <row r="19" spans="1:10">
      <c r="A19" t="str">
        <f>VIPcric_2!I316</f>
        <v>CRIC-儋州-市场监测.商品房市场.项目累计.供求.xlsx</v>
      </c>
      <c r="B19" t="str">
        <f t="shared" si="0"/>
        <v>儋州</v>
      </c>
      <c r="C19" t="s">
        <v>828</v>
      </c>
      <c r="D19">
        <f>VIPcric_2!F316</f>
        <v>10533</v>
      </c>
      <c r="E19">
        <f>VIPcric_2!D324</f>
        <v>82.5</v>
      </c>
      <c r="F19" s="22">
        <f>儋州!Q4</f>
        <v>27.141666666666666</v>
      </c>
      <c r="G19" s="33">
        <f>儋州!F89</f>
        <v>1798.1090909090908</v>
      </c>
      <c r="H19" s="33">
        <f>儋州!N88</f>
        <v>84.611563636363641</v>
      </c>
      <c r="I19" s="31">
        <f t="shared" si="1"/>
        <v>8.0329975919836358E-3</v>
      </c>
      <c r="J19" s="31">
        <f t="shared" si="2"/>
        <v>0.17071196154078522</v>
      </c>
    </row>
    <row r="20" spans="1:10">
      <c r="A20" t="str">
        <f>VIPcric_2!I330</f>
        <v>CRIC-六安-市场监测.商品房市场.项目累计.供求.xlsx</v>
      </c>
      <c r="B20" t="str">
        <f t="shared" si="0"/>
        <v>六安</v>
      </c>
      <c r="C20" t="s">
        <v>837</v>
      </c>
      <c r="D20">
        <f>VIPcric_2!F330</f>
        <v>8031</v>
      </c>
      <c r="E20">
        <f>VIPcric_2!E340</f>
        <v>20.7</v>
      </c>
      <c r="F20" s="22">
        <f>六安!S4</f>
        <v>27.141666666666666</v>
      </c>
      <c r="G20" s="33">
        <f>六安!F69</f>
        <v>2400</v>
      </c>
      <c r="H20" s="33">
        <f>六安!P68</f>
        <v>138.15337499999998</v>
      </c>
      <c r="I20" s="31">
        <f t="shared" si="1"/>
        <v>1.7202512140455734E-2</v>
      </c>
      <c r="J20" s="31">
        <f t="shared" si="2"/>
        <v>0.29884198729921552</v>
      </c>
    </row>
    <row r="21" spans="1:10">
      <c r="A21" t="str">
        <f>VIPcric_2!I348</f>
        <v>CRIC-兰州-市场监测.商品房市场.项目累计.供求.xlsx</v>
      </c>
      <c r="B21" t="str">
        <f t="shared" si="0"/>
        <v>兰州</v>
      </c>
      <c r="C21" t="s">
        <v>838</v>
      </c>
      <c r="D21">
        <f>VIPcric_2!F348</f>
        <v>10711</v>
      </c>
      <c r="E21">
        <f>VIPcric_2!D357</f>
        <v>52.1</v>
      </c>
      <c r="F21" s="22">
        <f>兰州!Q4</f>
        <v>28.008333333333333</v>
      </c>
      <c r="G21" s="33">
        <f>兰州!Q10</f>
        <v>3600</v>
      </c>
      <c r="H21" s="33">
        <f>兰州!N88</f>
        <v>139.00073176583496</v>
      </c>
      <c r="I21" s="31">
        <f t="shared" si="1"/>
        <v>1.2977381361762203E-2</v>
      </c>
      <c r="J21" s="31">
        <f t="shared" si="2"/>
        <v>0.33610307160862662</v>
      </c>
    </row>
    <row r="22" spans="1:10">
      <c r="A22" t="str">
        <f>VIPcric_2!I366</f>
        <v>CRIC-北京-市场监测.商品房市场.项目累计.供求.xlsx</v>
      </c>
      <c r="B22" t="str">
        <f t="shared" si="0"/>
        <v>北京</v>
      </c>
      <c r="C22" t="s">
        <v>839</v>
      </c>
      <c r="D22">
        <f>VIPcric_2!F366</f>
        <v>40094</v>
      </c>
      <c r="E22">
        <f>VIPcric_2!E376</f>
        <v>19</v>
      </c>
      <c r="F22" s="22">
        <f>北京!Q4</f>
        <v>28.008333333333333</v>
      </c>
      <c r="G22" s="33">
        <f>北京!F89</f>
        <v>5000</v>
      </c>
      <c r="H22" s="33">
        <f>北京!N88</f>
        <v>1175.8516973684211</v>
      </c>
      <c r="I22" s="31">
        <f t="shared" si="1"/>
        <v>2.9327373107408117E-2</v>
      </c>
      <c r="J22" s="31">
        <f t="shared" si="2"/>
        <v>0.12470693869406894</v>
      </c>
    </row>
    <row r="23" spans="1:10">
      <c r="A23" t="str">
        <f>VIPcric_2!I391</f>
        <v>CRIC-北海-市场监测.商品房市场.城市总量.xlsx</v>
      </c>
      <c r="B23" t="str">
        <f t="shared" si="0"/>
        <v>北海</v>
      </c>
      <c r="C23" t="s">
        <v>840</v>
      </c>
      <c r="D23">
        <f>VIPcric_2!D391</f>
        <v>6800</v>
      </c>
      <c r="E23" s="18">
        <f>VIPcric_2!C401</f>
        <v>11.524896817743491</v>
      </c>
      <c r="F23" s="22">
        <f>北海!Q4</f>
        <v>27.141666666666666</v>
      </c>
      <c r="G23" s="33">
        <f>北海!F89</f>
        <v>2560.1078977230795</v>
      </c>
      <c r="H23" s="33">
        <f>北海!N88</f>
        <v>315.86099395899265</v>
      </c>
      <c r="I23" s="31">
        <f t="shared" si="1"/>
        <v>4.6450146170440097E-2</v>
      </c>
      <c r="J23" s="31">
        <f t="shared" si="2"/>
        <v>0.3764864555475117</v>
      </c>
    </row>
    <row r="24" spans="1:10" hidden="1">
      <c r="A24" t="str">
        <f>VIPcric_2!I406</f>
        <v>CRIC-南京-市场监测.商品房市场.项目累计.供求.xlsx</v>
      </c>
      <c r="B24" t="str">
        <f t="shared" si="0"/>
        <v>南京</v>
      </c>
      <c r="C24" t="s">
        <v>841</v>
      </c>
      <c r="D24">
        <f>VIPcric_2!F406</f>
        <v>29181</v>
      </c>
      <c r="E24">
        <f>VIPcric_2!D415</f>
        <v>14.9</v>
      </c>
      <c r="F24" s="22">
        <f>(10+19+150+605*1.05)/30</f>
        <v>27.141666666666666</v>
      </c>
      <c r="I24" s="31">
        <f t="shared" si="1"/>
        <v>0</v>
      </c>
      <c r="J24" s="31">
        <f t="shared" si="2"/>
        <v>0</v>
      </c>
    </row>
    <row r="25" spans="1:10" hidden="1">
      <c r="A25" t="str">
        <f>VIPcric_2!I423</f>
        <v>CRIC-南宁-市场监测.商品房市场.项目累计.供求.xlsx</v>
      </c>
      <c r="B25" t="str">
        <f t="shared" si="0"/>
        <v>南宁</v>
      </c>
      <c r="C25" t="s">
        <v>840</v>
      </c>
      <c r="D25">
        <f>VIPcric_2!F423</f>
        <v>11733</v>
      </c>
      <c r="E25">
        <f>VIPcric_2!D432</f>
        <v>19.7</v>
      </c>
      <c r="F25" s="22">
        <f t="shared" ref="F25:F29" si="3">(10+19+150+605*1.05)/30</f>
        <v>27.141666666666666</v>
      </c>
      <c r="I25" s="31">
        <f t="shared" si="1"/>
        <v>0</v>
      </c>
      <c r="J25" s="31">
        <f t="shared" si="2"/>
        <v>0</v>
      </c>
    </row>
    <row r="26" spans="1:10" hidden="1">
      <c r="A26" t="str">
        <f>VIPcric_2!I440</f>
        <v>CRIC-南昌-市场监测.商品房市场.项目累计.供求.xlsx</v>
      </c>
      <c r="B26" t="str">
        <f t="shared" si="0"/>
        <v>南昌</v>
      </c>
      <c r="C26" t="s">
        <v>830</v>
      </c>
      <c r="D26">
        <f>VIPcric_2!F440</f>
        <v>13287</v>
      </c>
      <c r="E26">
        <f>VIPcric_2!D449</f>
        <v>7.4</v>
      </c>
      <c r="F26" s="22">
        <f t="shared" si="3"/>
        <v>27.141666666666666</v>
      </c>
      <c r="I26" s="31">
        <f t="shared" si="1"/>
        <v>0</v>
      </c>
      <c r="J26" s="31">
        <f t="shared" si="2"/>
        <v>0</v>
      </c>
    </row>
    <row r="27" spans="1:10" hidden="1">
      <c r="A27" t="str">
        <f>VIPcric_2!I457</f>
        <v>CRIC-南通-市场监测.商品房市场.项目累计.供求.xlsx</v>
      </c>
      <c r="B27" t="str">
        <f t="shared" si="0"/>
        <v>南通</v>
      </c>
      <c r="C27" t="s">
        <v>841</v>
      </c>
      <c r="D27">
        <f>VIPcric_2!F457</f>
        <v>22233</v>
      </c>
      <c r="E27">
        <f>VIPcric_2!D467</f>
        <v>60</v>
      </c>
      <c r="F27" s="22">
        <f t="shared" si="3"/>
        <v>27.141666666666666</v>
      </c>
      <c r="I27" s="31">
        <f t="shared" si="1"/>
        <v>0</v>
      </c>
      <c r="J27" s="31">
        <f t="shared" si="2"/>
        <v>0</v>
      </c>
    </row>
    <row r="28" spans="1:10" hidden="1">
      <c r="A28" t="str">
        <f>VIPcric_2!I475</f>
        <v>CRIC-厦门-市场监测.商品房市场.项目累计.供求.xlsx</v>
      </c>
      <c r="B28" t="str">
        <f t="shared" si="0"/>
        <v>厦门</v>
      </c>
      <c r="C28" t="s">
        <v>842</v>
      </c>
      <c r="D28">
        <f>VIPcric_2!F475</f>
        <v>43024</v>
      </c>
      <c r="E28">
        <f>VIPcric_2!D484</f>
        <v>16.100000000000001</v>
      </c>
      <c r="F28" s="22">
        <f t="shared" si="3"/>
        <v>27.141666666666666</v>
      </c>
      <c r="I28" s="31">
        <f t="shared" si="1"/>
        <v>0</v>
      </c>
      <c r="J28" s="31">
        <f t="shared" si="2"/>
        <v>0</v>
      </c>
    </row>
    <row r="29" spans="1:10">
      <c r="A29" t="str">
        <f>VIPcric_2!I509</f>
        <v>CRIC-合肥-市场监测.商品房市场.项目累计.供求.xlsx</v>
      </c>
      <c r="B29" t="str">
        <f t="shared" si="0"/>
        <v>合肥</v>
      </c>
      <c r="C29" t="s">
        <v>837</v>
      </c>
      <c r="D29">
        <f>VIPcric_2!F509</f>
        <v>21353</v>
      </c>
      <c r="E29">
        <f>VIPcric_2!D518</f>
        <v>7.1</v>
      </c>
      <c r="F29" s="22">
        <f t="shared" si="3"/>
        <v>27.141666666666666</v>
      </c>
      <c r="G29" s="33">
        <f>合肥!F69</f>
        <v>2400</v>
      </c>
      <c r="H29" s="33">
        <f>合肥!P68</f>
        <v>244.26000000000005</v>
      </c>
      <c r="I29" s="31">
        <f t="shared" si="1"/>
        <v>1.1439142040931018E-2</v>
      </c>
      <c r="J29" s="31">
        <f t="shared" si="2"/>
        <v>0.11239638458296258</v>
      </c>
    </row>
    <row r="30" spans="1:10" hidden="1">
      <c r="A30" t="str">
        <f>VIPcric_2!I526</f>
        <v>CRIC-吉林-市场监测.商品房市场.项目累计.供求.xlsx</v>
      </c>
      <c r="B30" t="str">
        <f t="shared" si="0"/>
        <v>吉林</v>
      </c>
      <c r="C30" t="s">
        <v>843</v>
      </c>
      <c r="D30">
        <f>VIPcric_2!F526</f>
        <v>6593</v>
      </c>
      <c r="E30">
        <f>VIPcric_2!E536</f>
        <v>33.5</v>
      </c>
      <c r="F30" s="22">
        <f>(10+19+160+665*1.05)/30</f>
        <v>29.574999999999999</v>
      </c>
      <c r="I30" s="31">
        <f t="shared" si="1"/>
        <v>0</v>
      </c>
      <c r="J30" s="31">
        <f t="shared" si="2"/>
        <v>0</v>
      </c>
    </row>
    <row r="31" spans="1:10" hidden="1">
      <c r="A31" t="str">
        <f>VIPcric_2!I544</f>
        <v>CRIC-启东-市场监测.商品房市场.项目累计.供求.xlsx</v>
      </c>
      <c r="B31" t="str">
        <f t="shared" si="0"/>
        <v>启东</v>
      </c>
      <c r="C31" t="s">
        <v>841</v>
      </c>
      <c r="D31">
        <f>VIPcric_2!F544</f>
        <v>13606</v>
      </c>
      <c r="E31">
        <v>59</v>
      </c>
      <c r="F31" s="22">
        <f>(10+19+150+605*1.05)/30</f>
        <v>27.141666666666666</v>
      </c>
      <c r="I31" s="31">
        <f t="shared" si="1"/>
        <v>0</v>
      </c>
      <c r="J31" s="31">
        <f t="shared" si="2"/>
        <v>0</v>
      </c>
    </row>
    <row r="32" spans="1:10" hidden="1">
      <c r="A32" t="str">
        <f>VIPcric_2!I557</f>
        <v>CRIC-吴忠-市场监测.商品房市场.项目累计.供求.xlsx</v>
      </c>
      <c r="B32" t="str">
        <f t="shared" si="0"/>
        <v>吴忠</v>
      </c>
      <c r="C32" t="s">
        <v>833</v>
      </c>
      <c r="D32">
        <f>VIPcric_2!F557</f>
        <v>5487</v>
      </c>
      <c r="E32">
        <f>VIPcric_2!D566</f>
        <v>46.2</v>
      </c>
      <c r="F32" s="22">
        <f>(10+19+155+625*1.05)/30</f>
        <v>28.008333333333333</v>
      </c>
      <c r="I32" s="31">
        <f t="shared" si="1"/>
        <v>0</v>
      </c>
      <c r="J32" s="31">
        <f t="shared" si="2"/>
        <v>0</v>
      </c>
    </row>
    <row r="33" spans="1:10" hidden="1">
      <c r="A33" t="str">
        <f>VIPcric_2!I571</f>
        <v>CRIC-呼和浩特-市场监测.商品房市场.项目累计.供求.xlsx</v>
      </c>
      <c r="B33" t="str">
        <f>MID(A33,6,4)</f>
        <v>呼和浩特</v>
      </c>
      <c r="C33" t="s">
        <v>849</v>
      </c>
      <c r="D33">
        <f>VIPcric_2!F571</f>
        <v>10230</v>
      </c>
      <c r="E33">
        <f>VIPcric_2!D580</f>
        <v>38.1</v>
      </c>
      <c r="F33" s="22">
        <f t="shared" ref="F33:F34" si="4">(10+19+160+665*1.05)/30</f>
        <v>29.574999999999999</v>
      </c>
      <c r="I33" s="31">
        <f t="shared" si="1"/>
        <v>0</v>
      </c>
      <c r="J33" s="31">
        <f t="shared" si="2"/>
        <v>0</v>
      </c>
    </row>
    <row r="34" spans="1:10" hidden="1">
      <c r="A34" t="str">
        <f>VIPcric_2!I588</f>
        <v>CRIC-哈尔滨-市场监测.商品房市场.项目累计.供求.xlsx</v>
      </c>
      <c r="B34" t="str">
        <f>MID(A34,6,3)</f>
        <v>哈尔滨</v>
      </c>
      <c r="C34" t="s">
        <v>850</v>
      </c>
      <c r="D34">
        <f>VIPcric_2!F588</f>
        <v>12452</v>
      </c>
      <c r="E34">
        <f>VIPcric_2!D597</f>
        <v>59.8</v>
      </c>
      <c r="F34" s="22">
        <f t="shared" si="4"/>
        <v>29.574999999999999</v>
      </c>
      <c r="I34" s="31">
        <f t="shared" ref="I34:I58" si="5">H34/D34</f>
        <v>0</v>
      </c>
      <c r="J34" s="31">
        <f t="shared" ref="J34:J58" si="6">G34/D34</f>
        <v>0</v>
      </c>
    </row>
    <row r="35" spans="1:10" hidden="1">
      <c r="A35" t="str">
        <f>VIPcric_2!I605</f>
        <v>CRIC-嘉兴-市场监测.商品房市场.项目累计.供求.xlsx</v>
      </c>
      <c r="B35" t="str">
        <f>MID(A35,6,2)</f>
        <v>嘉兴</v>
      </c>
      <c r="C35" t="s">
        <v>834</v>
      </c>
      <c r="D35">
        <f>VIPcric_2!F606</f>
        <v>17448</v>
      </c>
      <c r="E35">
        <f>VIPcric_2!D615</f>
        <v>14.6</v>
      </c>
      <c r="F35" s="22">
        <f t="shared" ref="F35:F36" si="7">(10+19+150+605*1.05)/30</f>
        <v>27.141666666666666</v>
      </c>
      <c r="I35" s="31">
        <f t="shared" si="5"/>
        <v>0</v>
      </c>
      <c r="J35" s="31">
        <f t="shared" si="6"/>
        <v>0</v>
      </c>
    </row>
    <row r="36" spans="1:10" hidden="1">
      <c r="A36" t="str">
        <f>VIPcric_2!I622</f>
        <v>CRIC-嘉善-市场监测.商品房市场.项目累计.供求.xlsx</v>
      </c>
      <c r="B36" t="str">
        <f>MID(A36,6,2)</f>
        <v>嘉善</v>
      </c>
      <c r="C36" t="s">
        <v>834</v>
      </c>
      <c r="D36">
        <f>VIPcric_2!F622</f>
        <v>19253</v>
      </c>
      <c r="E36">
        <f>VIPcric_2!D632</f>
        <v>19.100000000000001</v>
      </c>
      <c r="F36" s="22">
        <f t="shared" si="7"/>
        <v>27.141666666666666</v>
      </c>
      <c r="I36" s="31">
        <f t="shared" si="5"/>
        <v>0</v>
      </c>
      <c r="J36" s="31">
        <f t="shared" si="6"/>
        <v>0</v>
      </c>
    </row>
    <row r="37" spans="1:10" hidden="1">
      <c r="A37" t="str">
        <f>VIPcric_2!I640</f>
        <v>CRIC-嘉峪关-市场监测.商品房市场.项目累计.供求.xlsx</v>
      </c>
      <c r="B37" t="str">
        <f>MID(A37,6,3)</f>
        <v>嘉峪关</v>
      </c>
      <c r="C37" t="s">
        <v>838</v>
      </c>
      <c r="D37">
        <f>VIPcric_2!F640</f>
        <v>4628</v>
      </c>
      <c r="E37">
        <f>VIPcric_2!D650</f>
        <v>68.599999999999994</v>
      </c>
      <c r="F37" s="22">
        <f t="shared" ref="F37:F38" si="8">(10+19+155+625*1.05)/30</f>
        <v>28.008333333333333</v>
      </c>
      <c r="I37" s="31">
        <f t="shared" si="5"/>
        <v>0</v>
      </c>
      <c r="J37" s="31">
        <f t="shared" si="6"/>
        <v>0</v>
      </c>
    </row>
    <row r="38" spans="1:10" hidden="1">
      <c r="A38" t="str">
        <f>VIPcric_2!I658</f>
        <v>CRIC-固原-市场监测.商品房市场.项目累计.供求 (1).xlsx</v>
      </c>
      <c r="B38" t="str">
        <f t="shared" ref="B38:B93" si="9">MID(A38,6,2)</f>
        <v>固原</v>
      </c>
      <c r="C38" t="s">
        <v>833</v>
      </c>
      <c r="D38">
        <f>VIPcric_2!F658</f>
        <v>5329</v>
      </c>
      <c r="E38">
        <f>VIPcric_2!D676</f>
        <v>37.9</v>
      </c>
      <c r="F38" s="22">
        <f t="shared" si="8"/>
        <v>28.008333333333333</v>
      </c>
      <c r="I38" s="31">
        <f t="shared" si="5"/>
        <v>0</v>
      </c>
      <c r="J38" s="31">
        <f t="shared" si="6"/>
        <v>0</v>
      </c>
    </row>
    <row r="39" spans="1:10" hidden="1">
      <c r="A39" t="str">
        <f>VIPcric_2!I701</f>
        <v>CRIC-大连-市场监测.商品房市场.城市总量.xlsx</v>
      </c>
      <c r="B39" t="str">
        <f t="shared" si="9"/>
        <v>大连</v>
      </c>
      <c r="C39" t="s">
        <v>851</v>
      </c>
      <c r="D39">
        <f>VIPcric_2!F710</f>
        <v>13826</v>
      </c>
      <c r="E39" s="18">
        <f>VIPcric_2!E701</f>
        <v>27.831343206563808</v>
      </c>
      <c r="F39" s="22">
        <f>(10+19+160+665*1.05)/30</f>
        <v>29.574999999999999</v>
      </c>
      <c r="I39" s="31">
        <f t="shared" si="5"/>
        <v>0</v>
      </c>
      <c r="J39" s="31">
        <f t="shared" si="6"/>
        <v>0</v>
      </c>
    </row>
    <row r="40" spans="1:10" hidden="1">
      <c r="A40" t="str">
        <f>VIPcric_2!I719</f>
        <v>CRIC-天水-市场监测.商品房市场.项目累计.供求.xlsx</v>
      </c>
      <c r="B40" t="str">
        <f t="shared" si="9"/>
        <v>天水</v>
      </c>
      <c r="C40" t="s">
        <v>838</v>
      </c>
      <c r="D40">
        <f>VIPcric_2!F719</f>
        <v>8149</v>
      </c>
      <c r="E40">
        <f>VIPcric_2!D729</f>
        <v>87.4</v>
      </c>
      <c r="F40" s="22">
        <f t="shared" ref="F40:F41" si="10">(10+19+155+625*1.05)/30</f>
        <v>28.008333333333333</v>
      </c>
      <c r="I40" s="31">
        <f t="shared" si="5"/>
        <v>0</v>
      </c>
      <c r="J40" s="31">
        <f t="shared" si="6"/>
        <v>0</v>
      </c>
    </row>
    <row r="41" spans="1:10" hidden="1">
      <c r="A41" t="str">
        <f>VIPcric_2!I735</f>
        <v>CRIC-天津-市场监测.商品房市场.项目累计.供求.xlsx</v>
      </c>
      <c r="B41" t="str">
        <f t="shared" si="9"/>
        <v>天津</v>
      </c>
      <c r="C41" t="s">
        <v>866</v>
      </c>
      <c r="D41">
        <f>VIPcric_2!F735</f>
        <v>17772</v>
      </c>
      <c r="E41">
        <f>VIPcric_2!D744</f>
        <v>14.6</v>
      </c>
      <c r="F41" s="22">
        <f t="shared" si="10"/>
        <v>28.008333333333333</v>
      </c>
      <c r="I41" s="31">
        <f t="shared" si="5"/>
        <v>0</v>
      </c>
      <c r="J41" s="31">
        <f t="shared" si="6"/>
        <v>0</v>
      </c>
    </row>
    <row r="42" spans="1:10" hidden="1">
      <c r="A42" t="str">
        <f>VIPcric_2!I751</f>
        <v>CRIC-太仓-市场监测.商品房市场.项目累计.供求.xlsx</v>
      </c>
      <c r="B42" t="str">
        <f t="shared" si="9"/>
        <v>太仓</v>
      </c>
      <c r="C42" t="s">
        <v>841</v>
      </c>
      <c r="D42">
        <f>VIPcric_2!F751</f>
        <v>18644</v>
      </c>
      <c r="E42">
        <f>VIPcric_2!D761</f>
        <v>16</v>
      </c>
      <c r="F42" s="22">
        <f>(10+19+150+605*1.05)/30</f>
        <v>27.141666666666666</v>
      </c>
      <c r="I42" s="31">
        <f t="shared" si="5"/>
        <v>0</v>
      </c>
      <c r="J42" s="31">
        <f t="shared" si="6"/>
        <v>0</v>
      </c>
    </row>
    <row r="43" spans="1:10" hidden="1">
      <c r="A43" t="str">
        <f>VIPcric_2!I769</f>
        <v>CRIC-太原-市场监测.商品房市场.项目累计.供求.xlsx</v>
      </c>
      <c r="B43" t="str">
        <f t="shared" si="9"/>
        <v>太原</v>
      </c>
      <c r="C43" t="s">
        <v>855</v>
      </c>
      <c r="D43">
        <v>10664</v>
      </c>
      <c r="E43">
        <f>VIPcric_2!D779</f>
        <v>14.3</v>
      </c>
      <c r="F43" s="22">
        <f>(10+19+155+625*1.05)/30</f>
        <v>28.008333333333333</v>
      </c>
      <c r="I43" s="31">
        <f t="shared" si="5"/>
        <v>0</v>
      </c>
      <c r="J43" s="31">
        <f t="shared" si="6"/>
        <v>0</v>
      </c>
    </row>
    <row r="44" spans="1:10" hidden="1">
      <c r="A44" t="str">
        <f>VIPcric_2!I783</f>
        <v>CRIC-宁波-市场监测.商品房市场.项目累计.供求.xlsx</v>
      </c>
      <c r="B44" t="str">
        <f t="shared" si="9"/>
        <v>宁波</v>
      </c>
      <c r="C44" t="s">
        <v>834</v>
      </c>
      <c r="D44">
        <f>VIPcric_2!F783</f>
        <v>35117</v>
      </c>
      <c r="E44">
        <f>VIPcric_2!D792</f>
        <v>14.4</v>
      </c>
      <c r="F44" s="22">
        <f t="shared" ref="F44:F50" si="11">(10+19+150+605*1.05)/30</f>
        <v>27.141666666666666</v>
      </c>
      <c r="I44" s="31">
        <f t="shared" si="5"/>
        <v>0</v>
      </c>
      <c r="J44" s="31">
        <f t="shared" si="6"/>
        <v>0</v>
      </c>
    </row>
    <row r="45" spans="1:10" hidden="1">
      <c r="A45" t="str">
        <f>VIPcric_2!I801</f>
        <v>CRIC-安庆-市场监测.商品房市场.项目累计.供求.xlsx</v>
      </c>
      <c r="B45" t="str">
        <f t="shared" si="9"/>
        <v>安庆</v>
      </c>
      <c r="C45" t="s">
        <v>837</v>
      </c>
      <c r="D45">
        <f>VIPcric_2!F801</f>
        <v>8639</v>
      </c>
      <c r="E45">
        <f>VIPcric_2!D811</f>
        <v>13.5</v>
      </c>
      <c r="F45" s="22">
        <f t="shared" si="11"/>
        <v>27.141666666666666</v>
      </c>
      <c r="I45" s="31">
        <f t="shared" si="5"/>
        <v>0</v>
      </c>
      <c r="J45" s="31">
        <f t="shared" si="6"/>
        <v>0</v>
      </c>
    </row>
    <row r="46" spans="1:10" hidden="1">
      <c r="A46" t="str">
        <f>VIPcric_2!I819</f>
        <v>CRIC-安顺-市场监测.商品房市场.项目累计.供求.xlsx</v>
      </c>
      <c r="B46" t="str">
        <f t="shared" si="9"/>
        <v>安顺</v>
      </c>
      <c r="C46" t="s">
        <v>854</v>
      </c>
      <c r="D46">
        <f>VIPcric_2!F819</f>
        <v>4902</v>
      </c>
      <c r="E46">
        <f>VIPcric_2!D829</f>
        <v>54.8</v>
      </c>
      <c r="F46" s="22">
        <f t="shared" si="11"/>
        <v>27.141666666666666</v>
      </c>
      <c r="I46" s="31">
        <f t="shared" si="5"/>
        <v>0</v>
      </c>
      <c r="J46" s="31">
        <f t="shared" si="6"/>
        <v>0</v>
      </c>
    </row>
    <row r="47" spans="1:10">
      <c r="A47" t="str">
        <f>VIPcric_2!I836</f>
        <v>CRIC-定安-市场监测.商品房市场.项目累计.供求.xlsx</v>
      </c>
      <c r="B47" t="str">
        <f t="shared" si="9"/>
        <v>定安</v>
      </c>
      <c r="C47" t="s">
        <v>828</v>
      </c>
      <c r="D47">
        <f>VIPcric_2!F836</f>
        <v>8030</v>
      </c>
      <c r="E47">
        <f>VIPcric_2!D846</f>
        <v>41.5</v>
      </c>
      <c r="F47" s="22">
        <f t="shared" si="11"/>
        <v>27.141666666666666</v>
      </c>
      <c r="G47" s="33">
        <f>定安!F89</f>
        <v>1315.7590361445782</v>
      </c>
      <c r="H47" s="33">
        <f>定安!N88</f>
        <v>67.589864457831339</v>
      </c>
      <c r="I47" s="31">
        <f t="shared" si="5"/>
        <v>8.4171686746987977E-3</v>
      </c>
      <c r="J47" s="31">
        <f t="shared" si="6"/>
        <v>0.16385542168674697</v>
      </c>
    </row>
    <row r="48" spans="1:10" hidden="1">
      <c r="A48" t="str">
        <f>VIPcric_2!I853</f>
        <v>CRIC-宜兴-市场监测.商品房市场.项目累计.供求.xlsx</v>
      </c>
      <c r="B48" t="str">
        <f t="shared" si="9"/>
        <v>宜兴</v>
      </c>
      <c r="C48" t="s">
        <v>841</v>
      </c>
      <c r="D48">
        <f>VIPcric_2!F853</f>
        <v>15313</v>
      </c>
      <c r="E48">
        <f>VIPcric_2!D863</f>
        <v>111.7</v>
      </c>
      <c r="F48" s="22">
        <f t="shared" si="11"/>
        <v>27.141666666666666</v>
      </c>
      <c r="I48" s="31">
        <f t="shared" si="5"/>
        <v>0</v>
      </c>
      <c r="J48" s="31">
        <f t="shared" si="6"/>
        <v>0</v>
      </c>
    </row>
    <row r="49" spans="1:10" hidden="1">
      <c r="A49" t="str">
        <f>VIPcric_2!I871</f>
        <v>CRIC-宜宾-市场监测.商品房市场.项目累计.供求.xlsx</v>
      </c>
      <c r="B49" t="str">
        <f t="shared" si="9"/>
        <v>宜宾</v>
      </c>
      <c r="C49" t="s">
        <v>835</v>
      </c>
      <c r="D49">
        <f>VIPcric_2!F871</f>
        <v>8102</v>
      </c>
      <c r="E49">
        <f>VIPcric_2!D881</f>
        <v>10.5</v>
      </c>
      <c r="F49" s="22">
        <f t="shared" si="11"/>
        <v>27.141666666666666</v>
      </c>
      <c r="I49" s="31">
        <f t="shared" si="5"/>
        <v>0</v>
      </c>
      <c r="J49" s="31">
        <f t="shared" si="6"/>
        <v>0</v>
      </c>
    </row>
    <row r="50" spans="1:10" hidden="1">
      <c r="A50" t="str">
        <f>VIPcric_2!I900</f>
        <v>CRIC-宜春-市场监测.商品房市场.项目累计.供求.xlsx</v>
      </c>
      <c r="B50" t="str">
        <f t="shared" si="9"/>
        <v>宜春</v>
      </c>
      <c r="C50" t="s">
        <v>830</v>
      </c>
      <c r="D50">
        <f>VIPcric_2!F900</f>
        <v>9347</v>
      </c>
      <c r="E50">
        <f>VIPcric_2!D909</f>
        <v>508.3</v>
      </c>
      <c r="F50" s="22">
        <f t="shared" si="11"/>
        <v>27.141666666666666</v>
      </c>
      <c r="I50" s="31">
        <f t="shared" si="5"/>
        <v>0</v>
      </c>
      <c r="J50" s="31">
        <f t="shared" si="6"/>
        <v>0</v>
      </c>
    </row>
    <row r="51" spans="1:10" hidden="1">
      <c r="A51" t="str">
        <f>VIPcric_2!I917</f>
        <v>CRIC-宝鸡-市场监测.商品房市场.项目累计.供求.xlsx</v>
      </c>
      <c r="B51" t="str">
        <f t="shared" si="9"/>
        <v>宝鸡</v>
      </c>
      <c r="C51" t="s">
        <v>853</v>
      </c>
      <c r="D51">
        <f>VIPcric_2!F917</f>
        <v>6367</v>
      </c>
      <c r="E51">
        <f>VIPcric_2!D927</f>
        <v>138.5</v>
      </c>
      <c r="F51" s="22">
        <f>(10+19+155+625*1.05)/30</f>
        <v>28.008333333333333</v>
      </c>
      <c r="I51" s="31">
        <f t="shared" si="5"/>
        <v>0</v>
      </c>
      <c r="J51" s="31">
        <f t="shared" si="6"/>
        <v>0</v>
      </c>
    </row>
    <row r="52" spans="1:10">
      <c r="A52" t="str">
        <f>VIPcric_2!I949</f>
        <v>CRIC-屯昌-市场监测.商品房市场.项目累计.供求.xlsx</v>
      </c>
      <c r="B52" t="s">
        <v>859</v>
      </c>
      <c r="C52" t="s">
        <v>828</v>
      </c>
      <c r="D52">
        <f>VIPcric_2!F949</f>
        <v>8395</v>
      </c>
      <c r="E52">
        <f>VIPcric_2!E957</f>
        <v>75</v>
      </c>
      <c r="F52" s="22">
        <f t="shared" ref="F52:F57" si="12">(10+19+150+605*1.05)/30</f>
        <v>27.141666666666666</v>
      </c>
      <c r="G52" s="33">
        <f>屯昌!F89</f>
        <v>761.14666666666653</v>
      </c>
      <c r="H52" s="33">
        <f>屯昌!N88</f>
        <v>39.09971250000001</v>
      </c>
      <c r="I52" s="31">
        <f t="shared" si="5"/>
        <v>4.657500000000001E-3</v>
      </c>
      <c r="J52" s="31">
        <f t="shared" si="6"/>
        <v>9.0666666666666645E-2</v>
      </c>
    </row>
    <row r="53" spans="1:10" hidden="1">
      <c r="A53" t="str">
        <f>VIPcric_2!I964</f>
        <v>CRIC-岳阳-市场监测.商品房市场.项目累计.供求.xlsx</v>
      </c>
      <c r="B53" t="str">
        <f t="shared" si="9"/>
        <v>岳阳</v>
      </c>
      <c r="C53" t="s">
        <v>856</v>
      </c>
      <c r="D53">
        <f>VIPcric_2!F964</f>
        <v>6854</v>
      </c>
      <c r="E53">
        <f>VIPcric_2!D974</f>
        <v>13.7</v>
      </c>
      <c r="F53" s="22">
        <f t="shared" si="12"/>
        <v>27.141666666666666</v>
      </c>
      <c r="I53" s="31">
        <f t="shared" si="5"/>
        <v>0</v>
      </c>
      <c r="J53" s="31">
        <f t="shared" si="6"/>
        <v>0</v>
      </c>
    </row>
    <row r="54" spans="1:10" hidden="1">
      <c r="A54" t="str">
        <f>VIPcric_2!I981</f>
        <v>CRIC-嵊州-市场监测.商品房市场.项目累计.供求.xlsx</v>
      </c>
      <c r="B54" t="str">
        <f t="shared" si="9"/>
        <v>嵊州</v>
      </c>
      <c r="C54" t="s">
        <v>834</v>
      </c>
      <c r="D54">
        <f>VIPcric_2!F981</f>
        <v>11777</v>
      </c>
      <c r="E54">
        <f>VIPcric_2!D991</f>
        <v>18</v>
      </c>
      <c r="F54" s="22">
        <f t="shared" si="12"/>
        <v>27.141666666666666</v>
      </c>
      <c r="I54" s="31">
        <f t="shared" si="5"/>
        <v>0</v>
      </c>
      <c r="J54" s="31">
        <f t="shared" si="6"/>
        <v>0</v>
      </c>
    </row>
    <row r="55" spans="1:10" hidden="1">
      <c r="A55" t="str">
        <f>VIPcric_2!I1000</f>
        <v>CRIC-常州-市场监测.商品房市场.项目累计.供求.xlsx</v>
      </c>
      <c r="B55" t="str">
        <f t="shared" si="9"/>
        <v>常州</v>
      </c>
      <c r="C55" t="s">
        <v>841</v>
      </c>
      <c r="D55">
        <f>VIPcric_2!F1000</f>
        <v>16519</v>
      </c>
      <c r="E55">
        <f>VIPcric_2!D1011</f>
        <v>25.8</v>
      </c>
      <c r="F55" s="22">
        <f t="shared" si="12"/>
        <v>27.141666666666666</v>
      </c>
      <c r="I55" s="31">
        <f t="shared" si="5"/>
        <v>0</v>
      </c>
      <c r="J55" s="31">
        <f t="shared" si="6"/>
        <v>0</v>
      </c>
    </row>
    <row r="56" spans="1:10" hidden="1">
      <c r="A56" t="str">
        <f>VIPcric_2!I1020</f>
        <v>CRIC-常德-市场监测.商品房市场.城市总量.xlsx</v>
      </c>
      <c r="B56" t="str">
        <f t="shared" si="9"/>
        <v>常德</v>
      </c>
      <c r="C56" t="s">
        <v>856</v>
      </c>
      <c r="D56">
        <f>VIPcric_2!D1020</f>
        <v>6487</v>
      </c>
      <c r="E56" s="18">
        <f>VIPcric_2!F1020</f>
        <v>8.2120028426495448</v>
      </c>
      <c r="F56" s="22">
        <f t="shared" si="12"/>
        <v>27.141666666666666</v>
      </c>
      <c r="I56" s="31">
        <f t="shared" si="5"/>
        <v>0</v>
      </c>
      <c r="J56" s="31">
        <f t="shared" si="6"/>
        <v>0</v>
      </c>
    </row>
    <row r="57" spans="1:10" hidden="1">
      <c r="A57" t="str">
        <f>VIPcric_2!I1040</f>
        <v>CRIC-常熟-市场监测.商品房市场.项目累计.供求.xlsx</v>
      </c>
      <c r="B57" t="str">
        <f t="shared" si="9"/>
        <v>常熟</v>
      </c>
      <c r="C57" t="s">
        <v>841</v>
      </c>
      <c r="D57">
        <f>VIPcric_2!F1040</f>
        <v>15775</v>
      </c>
      <c r="E57">
        <f>VIPcric_2!D1049</f>
        <v>26.8</v>
      </c>
      <c r="F57" s="22">
        <f t="shared" si="12"/>
        <v>27.141666666666666</v>
      </c>
      <c r="I57" s="31">
        <f t="shared" si="5"/>
        <v>0</v>
      </c>
      <c r="J57" s="31">
        <f t="shared" si="6"/>
        <v>0</v>
      </c>
    </row>
    <row r="58" spans="1:10" hidden="1">
      <c r="A58" t="str">
        <f>VIPcric_2!I1058</f>
        <v>CRIC-平顶山-市场监测.商品房市场.项目累计.供求.xlsx</v>
      </c>
      <c r="B58" t="str">
        <f>MID(A58,6,3)</f>
        <v>平顶山</v>
      </c>
      <c r="C58" t="s">
        <v>836</v>
      </c>
      <c r="D58">
        <f>VIPcric_2!F1058</f>
        <v>7122</v>
      </c>
      <c r="E58">
        <f>VIPcric_2!D1067</f>
        <v>25</v>
      </c>
      <c r="F58" s="22">
        <f>(10+19+155+625*1.05)/30</f>
        <v>28.008333333333333</v>
      </c>
      <c r="I58" s="31">
        <f t="shared" si="5"/>
        <v>0</v>
      </c>
      <c r="J58" s="31">
        <f t="shared" si="6"/>
        <v>0</v>
      </c>
    </row>
    <row r="59" spans="1:10" hidden="1">
      <c r="A59" t="str">
        <f>VIPcric_2!I1075</f>
        <v>CRIC-广安-市场监测.商品房市场.项目累计.供求.xlsx</v>
      </c>
      <c r="B59" t="str">
        <f t="shared" si="9"/>
        <v>广安</v>
      </c>
      <c r="C59" t="s">
        <v>835</v>
      </c>
      <c r="D59">
        <f>VIPcric_2!F1075</f>
        <v>6184</v>
      </c>
      <c r="E59">
        <f>VIPcric_2!D1084</f>
        <v>11.7</v>
      </c>
      <c r="F59" s="22">
        <f t="shared" ref="F59:F60" si="13">(10+19+150+605*1.05)/30</f>
        <v>27.141666666666666</v>
      </c>
      <c r="I59" s="31">
        <f t="shared" ref="I59:I97" si="14">H59/D59</f>
        <v>0</v>
      </c>
      <c r="J59" s="31">
        <f t="shared" ref="J59:J97" si="15">G59/D59</f>
        <v>0</v>
      </c>
    </row>
    <row r="60" spans="1:10">
      <c r="A60" t="str">
        <f>VIPcric_2!I1090</f>
        <v>CRIC-广州-市场监测.商品房市场.项目累计.供求.xlsx</v>
      </c>
      <c r="B60" t="str">
        <f t="shared" si="9"/>
        <v>广州</v>
      </c>
      <c r="C60" t="s">
        <v>831</v>
      </c>
      <c r="D60">
        <f>VIPcric_2!F1090</f>
        <v>37881</v>
      </c>
      <c r="E60">
        <f>VIPcric_2!D1100</f>
        <v>17.600000000000001</v>
      </c>
      <c r="F60" s="22">
        <f t="shared" si="13"/>
        <v>27.141666666666666</v>
      </c>
      <c r="G60" s="33">
        <f>广州!F89</f>
        <v>6177.1857954545458</v>
      </c>
      <c r="H60" s="33">
        <f>广州!P88</f>
        <v>809.75480241477283</v>
      </c>
      <c r="I60" s="31">
        <f t="shared" si="14"/>
        <v>2.1376278409090912E-2</v>
      </c>
      <c r="J60" s="31">
        <f t="shared" si="15"/>
        <v>0.16306818181818183</v>
      </c>
    </row>
    <row r="61" spans="1:10" hidden="1">
      <c r="A61" t="str">
        <f>VIPcric_2!I1115</f>
        <v>CRIC-廊坊-市场监测.商品房市场.项目累计.供求.xlsx</v>
      </c>
      <c r="B61" t="str">
        <f t="shared" si="9"/>
        <v>廊坊</v>
      </c>
      <c r="C61" t="s">
        <v>852</v>
      </c>
      <c r="D61">
        <f>VIPcric_2!F1115</f>
        <v>9213</v>
      </c>
      <c r="E61">
        <f>VIPcric_2!F1112</f>
        <v>24</v>
      </c>
      <c r="F61" s="22">
        <f>(10+19+155+625*1.05)/30</f>
        <v>28.008333333333333</v>
      </c>
      <c r="I61" s="31">
        <f t="shared" si="14"/>
        <v>0</v>
      </c>
      <c r="J61" s="31">
        <f t="shared" si="15"/>
        <v>0</v>
      </c>
    </row>
    <row r="62" spans="1:10" hidden="1">
      <c r="A62" t="str">
        <f>VIPcric_2!I1126</f>
        <v>CRIC-建德-市场监测.商品房市场.项目累计.供求 (1).xlsx</v>
      </c>
      <c r="B62" t="str">
        <f t="shared" si="9"/>
        <v>建德</v>
      </c>
      <c r="C62" t="s">
        <v>834</v>
      </c>
      <c r="D62">
        <f>VIPcric_2!F1126</f>
        <v>16254</v>
      </c>
      <c r="E62">
        <f>VIPcric_2!D1136</f>
        <v>27.5</v>
      </c>
      <c r="F62" s="22">
        <f t="shared" ref="F62:F68" si="16">(10+19+150+605*1.05)/30</f>
        <v>27.141666666666666</v>
      </c>
      <c r="I62" s="31">
        <f t="shared" si="14"/>
        <v>0</v>
      </c>
      <c r="J62" s="31">
        <f t="shared" si="15"/>
        <v>0</v>
      </c>
    </row>
    <row r="63" spans="1:10" hidden="1">
      <c r="A63" t="str">
        <f>VIPcric_2!I1145</f>
        <v>CRIC-张家港-市场监测.商品房市场.项目累计.供求.xlsx</v>
      </c>
      <c r="B63" t="str">
        <f>MID(A63,6,3)</f>
        <v>张家港</v>
      </c>
      <c r="C63" t="s">
        <v>841</v>
      </c>
      <c r="D63">
        <f>VIPcric_2!F1145</f>
        <v>15801</v>
      </c>
      <c r="E63">
        <f>VIPcric_2!D1155</f>
        <v>27</v>
      </c>
      <c r="F63" s="22">
        <f t="shared" si="16"/>
        <v>27.141666666666666</v>
      </c>
      <c r="I63" s="31">
        <f t="shared" si="14"/>
        <v>0</v>
      </c>
      <c r="J63" s="31">
        <f t="shared" si="15"/>
        <v>0</v>
      </c>
    </row>
    <row r="64" spans="1:10" hidden="1">
      <c r="A64" t="str">
        <f>VIPcric_2!I1179</f>
        <v>CRIC-徐州-市场监测.商品房市场.项目累计.供求.xlsx</v>
      </c>
      <c r="B64" t="str">
        <f t="shared" si="9"/>
        <v>徐州</v>
      </c>
      <c r="C64" t="s">
        <v>841</v>
      </c>
      <c r="D64">
        <f>VIPcric_2!F1179</f>
        <v>9562</v>
      </c>
      <c r="E64">
        <f>VIPcric_2!D1189</f>
        <v>16.7</v>
      </c>
      <c r="F64" s="22">
        <f t="shared" si="16"/>
        <v>27.141666666666666</v>
      </c>
      <c r="I64" s="31">
        <f t="shared" si="14"/>
        <v>0</v>
      </c>
      <c r="J64" s="31">
        <f t="shared" si="15"/>
        <v>0</v>
      </c>
    </row>
    <row r="65" spans="1:10" hidden="1">
      <c r="A65" t="str">
        <f>VIPcric_2!I1198</f>
        <v>CRIC-德清-市场监测.商品房市场.项目累计.供求.xlsx</v>
      </c>
      <c r="B65" t="str">
        <f t="shared" si="9"/>
        <v>德清</v>
      </c>
      <c r="C65" t="s">
        <v>834</v>
      </c>
      <c r="D65">
        <f>VIPcric_2!F1198</f>
        <v>17132</v>
      </c>
      <c r="E65">
        <f>VIPcric_2!D1208</f>
        <v>44</v>
      </c>
      <c r="F65" s="22">
        <f t="shared" si="16"/>
        <v>27.141666666666666</v>
      </c>
      <c r="I65" s="31">
        <f t="shared" si="14"/>
        <v>0</v>
      </c>
      <c r="J65" s="31">
        <f t="shared" si="15"/>
        <v>0</v>
      </c>
    </row>
    <row r="66" spans="1:10" hidden="1">
      <c r="A66" t="str">
        <f>VIPcric_2!I1216</f>
        <v>CRIC-德阳-市场监测.商品房市场.项目累计.供求.xlsx</v>
      </c>
      <c r="B66" t="str">
        <f t="shared" si="9"/>
        <v>德阳</v>
      </c>
      <c r="C66" t="s">
        <v>835</v>
      </c>
      <c r="D66">
        <f>VIPcric_2!F1216</f>
        <v>9300</v>
      </c>
      <c r="E66">
        <f>VIPcric_2!D1225</f>
        <v>37.700000000000003</v>
      </c>
      <c r="F66" s="22">
        <f t="shared" si="16"/>
        <v>27.141666666666666</v>
      </c>
      <c r="I66" s="31">
        <f t="shared" si="14"/>
        <v>0</v>
      </c>
      <c r="J66" s="31">
        <f t="shared" si="15"/>
        <v>0</v>
      </c>
    </row>
    <row r="67" spans="1:10">
      <c r="A67" t="str">
        <f>VIPcric_2!I1232</f>
        <v>CRIC-惠州-市场监测.商品房市场.项目累计.供求.xlsx</v>
      </c>
      <c r="B67" t="str">
        <f t="shared" si="9"/>
        <v>惠州</v>
      </c>
      <c r="C67" t="s">
        <v>831</v>
      </c>
      <c r="D67">
        <f>VIPcric_2!F1232</f>
        <v>12824</v>
      </c>
      <c r="E67">
        <f>VIPcric_2!D1242</f>
        <v>25.1</v>
      </c>
      <c r="F67" s="22">
        <f t="shared" si="16"/>
        <v>27.141666666666666</v>
      </c>
      <c r="G67" s="33">
        <f>惠州!F89</f>
        <v>4281.4788844621517</v>
      </c>
      <c r="H67" s="33">
        <f>惠州!P88</f>
        <v>307.49627330677293</v>
      </c>
      <c r="I67" s="31">
        <f t="shared" si="14"/>
        <v>2.3978187250996017E-2</v>
      </c>
      <c r="J67" s="31">
        <f t="shared" si="15"/>
        <v>0.33386454183266934</v>
      </c>
    </row>
    <row r="68" spans="1:10" hidden="1">
      <c r="A68" t="str">
        <f>VIPcric_2!I1249</f>
        <v>CRIC-成都-市场监测.商品房市场.项目累计.供求.xlsx</v>
      </c>
      <c r="B68" t="str">
        <f t="shared" si="9"/>
        <v>成都</v>
      </c>
      <c r="C68" t="s">
        <v>835</v>
      </c>
      <c r="D68">
        <f>VIPcric_2!F1249</f>
        <v>19262</v>
      </c>
      <c r="E68">
        <f>VIPcric_2!D1258</f>
        <v>13.7</v>
      </c>
      <c r="F68" s="22">
        <f t="shared" si="16"/>
        <v>27.141666666666666</v>
      </c>
      <c r="I68" s="31">
        <f t="shared" si="14"/>
        <v>0</v>
      </c>
      <c r="J68" s="31">
        <f t="shared" si="15"/>
        <v>0</v>
      </c>
    </row>
    <row r="69" spans="1:10" hidden="1">
      <c r="A69" t="str">
        <f>VIPcric_2!I1291</f>
        <v>CRIC-拉萨-市场监测.商品房市场.项目累计.供求.xlsx</v>
      </c>
      <c r="B69" t="str">
        <f t="shared" si="9"/>
        <v>拉萨</v>
      </c>
      <c r="C69" t="s">
        <v>860</v>
      </c>
      <c r="D69">
        <f>VIPcric_2!F1291</f>
        <v>7137</v>
      </c>
      <c r="E69">
        <f>VIPcric_2!D1301</f>
        <v>32.299999999999997</v>
      </c>
      <c r="F69" s="22">
        <f>(10+19+160+665*1.05)/30</f>
        <v>29.574999999999999</v>
      </c>
      <c r="I69" s="31">
        <f t="shared" si="14"/>
        <v>0</v>
      </c>
      <c r="J69" s="31">
        <f t="shared" si="15"/>
        <v>0</v>
      </c>
    </row>
    <row r="70" spans="1:10">
      <c r="A70" t="str">
        <f>VIPcric_2!I1310</f>
        <v>CRIC-文昌-市场监测.商品房市场.项目累计.供求.xlsx</v>
      </c>
      <c r="B70" t="str">
        <f t="shared" si="9"/>
        <v>文昌</v>
      </c>
      <c r="C70" t="s">
        <v>828</v>
      </c>
      <c r="D70">
        <f>VIPcric_2!F1310</f>
        <v>12355</v>
      </c>
      <c r="E70">
        <f>VIPcric_2!D1320</f>
        <v>111.2</v>
      </c>
      <c r="F70" s="22">
        <f t="shared" ref="F70:F71" si="17">(10+19+150+605*1.05)/30</f>
        <v>27.141666666666666</v>
      </c>
      <c r="G70" s="33">
        <f>文昌!F89</f>
        <v>755.52158273381281</v>
      </c>
      <c r="H70" s="33">
        <f>文昌!N88</f>
        <v>38.810754833633105</v>
      </c>
      <c r="I70" s="31">
        <f t="shared" si="14"/>
        <v>3.1412994604316557E-3</v>
      </c>
      <c r="J70" s="31">
        <f t="shared" si="15"/>
        <v>6.1151079136690635E-2</v>
      </c>
    </row>
    <row r="71" spans="1:10" hidden="1">
      <c r="A71" t="str">
        <f>VIPcric_2!I1327</f>
        <v>CRIC-无锡-市场监测.商品房市场.项目累计.供求.xlsx</v>
      </c>
      <c r="B71" t="str">
        <f t="shared" si="9"/>
        <v>无锡</v>
      </c>
      <c r="C71" t="s">
        <v>841</v>
      </c>
      <c r="D71">
        <f>VIPcric_2!F1327</f>
        <v>22520</v>
      </c>
      <c r="E71">
        <f>VIPcric_2!D1337</f>
        <v>22.5</v>
      </c>
      <c r="F71" s="22">
        <f t="shared" si="17"/>
        <v>27.141666666666666</v>
      </c>
      <c r="I71" s="31">
        <f t="shared" si="14"/>
        <v>0</v>
      </c>
      <c r="J71" s="31">
        <f t="shared" si="15"/>
        <v>0</v>
      </c>
    </row>
    <row r="72" spans="1:10" hidden="1">
      <c r="A72" t="str">
        <f>VIPcric_2!I1345</f>
        <v>CRIC-日照-市场监测.商品房市场.项目累计.供求.xlsx</v>
      </c>
      <c r="B72" t="str">
        <f t="shared" si="9"/>
        <v>日照</v>
      </c>
      <c r="C72" t="s">
        <v>832</v>
      </c>
      <c r="D72">
        <f>VIPcric_2!F1345</f>
        <v>9769</v>
      </c>
      <c r="E72">
        <f>VIPcric_2!D1355</f>
        <v>76</v>
      </c>
      <c r="F72" s="22">
        <f>(10+19+155+625*1.05)/30</f>
        <v>28.008333333333333</v>
      </c>
      <c r="I72" s="31">
        <f t="shared" si="14"/>
        <v>0</v>
      </c>
      <c r="J72" s="31">
        <f t="shared" si="15"/>
        <v>0</v>
      </c>
    </row>
    <row r="73" spans="1:10" hidden="1">
      <c r="A73" t="str">
        <f>VIPcric_2!I1364</f>
        <v>CRIC-昆山-市场监测.商品房市场.项目累计.供求.xlsx</v>
      </c>
      <c r="B73" t="str">
        <f t="shared" si="9"/>
        <v>昆山</v>
      </c>
      <c r="C73" t="s">
        <v>841</v>
      </c>
      <c r="D73">
        <f>VIPcric_2!F1364</f>
        <v>23023</v>
      </c>
      <c r="E73">
        <f>VIPcric_2!D1374</f>
        <v>18.2</v>
      </c>
      <c r="F73" s="22">
        <f t="shared" ref="F73:F82" si="18">(10+19+150+605*1.05)/30</f>
        <v>27.141666666666666</v>
      </c>
      <c r="I73" s="31">
        <f t="shared" si="14"/>
        <v>0</v>
      </c>
      <c r="J73" s="31">
        <f t="shared" si="15"/>
        <v>0</v>
      </c>
    </row>
    <row r="74" spans="1:10" hidden="1">
      <c r="A74" t="str">
        <f>VIPcric_2!I1382</f>
        <v>CRIC-昆明-市场监测.商品房市场.项目累计.供求 (1).xlsx</v>
      </c>
      <c r="B74" t="str">
        <f t="shared" si="9"/>
        <v>昆明</v>
      </c>
      <c r="C74" t="s">
        <v>861</v>
      </c>
      <c r="D74">
        <f>VIPcric_2!F1382</f>
        <v>13533</v>
      </c>
      <c r="E74">
        <f>VIPcric_2!D1391</f>
        <v>19.3</v>
      </c>
      <c r="F74" s="22">
        <f t="shared" si="18"/>
        <v>27.141666666666666</v>
      </c>
      <c r="I74" s="31">
        <f t="shared" si="14"/>
        <v>0</v>
      </c>
      <c r="J74" s="31">
        <f t="shared" si="15"/>
        <v>0</v>
      </c>
    </row>
    <row r="75" spans="1:10">
      <c r="A75" t="str">
        <f>VIPcric_2!I1400</f>
        <v>CRIC-昌江-市场监测.商品房市场.项目累计.供求.xlsx</v>
      </c>
      <c r="B75" t="str">
        <f t="shared" si="9"/>
        <v>昌江</v>
      </c>
      <c r="C75" t="s">
        <v>828</v>
      </c>
      <c r="D75">
        <f>VIPcric_2!F1400</f>
        <v>6880</v>
      </c>
      <c r="E75">
        <f>VIPcric_2!D1408</f>
        <v>18.100000000000001</v>
      </c>
      <c r="F75" s="22">
        <f t="shared" si="18"/>
        <v>27.141666666666666</v>
      </c>
      <c r="G75" s="33">
        <f>昌江!F89</f>
        <v>2508.7292817679554</v>
      </c>
      <c r="H75" s="33">
        <f>昌江!N88</f>
        <v>131.79381215469616</v>
      </c>
      <c r="I75" s="31">
        <f t="shared" si="14"/>
        <v>1.9156077348066302E-2</v>
      </c>
      <c r="J75" s="31">
        <f t="shared" si="15"/>
        <v>0.36464088397790051</v>
      </c>
    </row>
    <row r="76" spans="1:10" hidden="1">
      <c r="A76" t="str">
        <f>VIPcric_2!I1429</f>
        <v>CRIC-晋江-市场监测.商品房市场.项目累计.供求.xlsx</v>
      </c>
      <c r="B76" t="str">
        <f t="shared" si="9"/>
        <v>晋江</v>
      </c>
      <c r="C76" t="s">
        <v>842</v>
      </c>
      <c r="D76">
        <f>VIPcric_2!F1429</f>
        <v>12985</v>
      </c>
      <c r="E76">
        <f>VIPcric_2!D1439</f>
        <v>25.5</v>
      </c>
      <c r="F76" s="22">
        <f t="shared" si="18"/>
        <v>27.141666666666666</v>
      </c>
      <c r="I76" s="31">
        <f t="shared" si="14"/>
        <v>0</v>
      </c>
      <c r="J76" s="31">
        <f t="shared" si="15"/>
        <v>0</v>
      </c>
    </row>
    <row r="77" spans="1:10" hidden="1">
      <c r="A77" t="str">
        <f>VIPcric_2!I1447</f>
        <v>CRIC-景德镇-市场监测.商品房市场.项目累计.供求.xlsx</v>
      </c>
      <c r="B77" t="str">
        <f>MID(A77,6,3)</f>
        <v>景德镇</v>
      </c>
      <c r="C77" t="s">
        <v>830</v>
      </c>
      <c r="D77">
        <f>VIPcric_2!F1447</f>
        <v>7871</v>
      </c>
      <c r="E77">
        <f>VIPcric_2!D1457</f>
        <v>35.5</v>
      </c>
      <c r="F77" s="22">
        <f t="shared" si="18"/>
        <v>27.141666666666666</v>
      </c>
      <c r="I77" s="31">
        <f t="shared" si="14"/>
        <v>0</v>
      </c>
      <c r="J77" s="31">
        <f t="shared" si="15"/>
        <v>0</v>
      </c>
    </row>
    <row r="78" spans="1:10" hidden="1">
      <c r="A78" t="str">
        <f>VIPcric_2!I1464</f>
        <v>CRIC-杭州-市场监测.商品房市场.项目累计.供求.xlsx</v>
      </c>
      <c r="B78" t="str">
        <f t="shared" si="9"/>
        <v>杭州</v>
      </c>
      <c r="C78" t="s">
        <v>834</v>
      </c>
      <c r="D78">
        <f>VIPcric_2!F1464</f>
        <v>32322</v>
      </c>
      <c r="E78">
        <f>VIPcric_2!D1473</f>
        <v>4.5</v>
      </c>
      <c r="F78" s="22">
        <f t="shared" si="18"/>
        <v>27.141666666666666</v>
      </c>
      <c r="I78" s="31">
        <f t="shared" si="14"/>
        <v>0</v>
      </c>
      <c r="J78" s="31">
        <f t="shared" si="15"/>
        <v>0</v>
      </c>
    </row>
    <row r="79" spans="1:10" hidden="1">
      <c r="A79" t="str">
        <f>VIPcric_2!I1491</f>
        <v>CRIC-桐乡-市场监测.商品房市场.项目累计.供求.xlsx</v>
      </c>
      <c r="B79" t="str">
        <f t="shared" si="9"/>
        <v>桐乡</v>
      </c>
      <c r="C79" t="s">
        <v>834</v>
      </c>
      <c r="D79">
        <f>VIPcric_2!F1491</f>
        <v>17669</v>
      </c>
      <c r="E79">
        <f>VIPcric_2!D1501</f>
        <v>16.3</v>
      </c>
      <c r="F79" s="22">
        <f t="shared" si="18"/>
        <v>27.141666666666666</v>
      </c>
      <c r="I79" s="31">
        <f t="shared" si="14"/>
        <v>0</v>
      </c>
      <c r="J79" s="31">
        <f t="shared" si="15"/>
        <v>0</v>
      </c>
    </row>
    <row r="80" spans="1:10" hidden="1">
      <c r="A80" t="str">
        <f>VIPcric_2!I1511</f>
        <v>CRIC-桐庐-市场监测.商品房市场.项目累计.供求.xlsx</v>
      </c>
      <c r="B80" t="str">
        <f t="shared" si="9"/>
        <v>桐庐</v>
      </c>
      <c r="C80" t="s">
        <v>834</v>
      </c>
      <c r="D80">
        <f>VIPcric_2!F1511</f>
        <v>18035</v>
      </c>
      <c r="E80">
        <f>VIPcric_2!D1521</f>
        <v>33.799999999999997</v>
      </c>
      <c r="F80" s="22">
        <f t="shared" si="18"/>
        <v>27.141666666666666</v>
      </c>
      <c r="I80" s="31">
        <f t="shared" si="14"/>
        <v>0</v>
      </c>
      <c r="J80" s="31">
        <f t="shared" si="15"/>
        <v>0</v>
      </c>
    </row>
    <row r="81" spans="1:10" hidden="1">
      <c r="A81" t="str">
        <f>VIPcric_2!I1529</f>
        <v>CRIC-武汉-市场监测.商品房市场.项目累计.供求.xlsx</v>
      </c>
      <c r="B81" t="str">
        <f t="shared" si="9"/>
        <v>武汉</v>
      </c>
      <c r="C81" t="s">
        <v>862</v>
      </c>
      <c r="D81">
        <f>VIPcric_2!F1529</f>
        <v>16780</v>
      </c>
      <c r="E81">
        <f>VIPcric_2!D1539</f>
        <v>17.899999999999999</v>
      </c>
      <c r="F81" s="22">
        <f t="shared" si="18"/>
        <v>27.141666666666666</v>
      </c>
      <c r="I81" s="31">
        <f t="shared" si="14"/>
        <v>0</v>
      </c>
      <c r="J81" s="31">
        <f t="shared" si="15"/>
        <v>0</v>
      </c>
    </row>
    <row r="82" spans="1:10" hidden="1">
      <c r="A82" t="str">
        <f>VIPcric_2!I1547</f>
        <v>CRIC-毕节-市场监测.商品房市场.项目累计.供求.xlsx</v>
      </c>
      <c r="B82" t="str">
        <f t="shared" si="9"/>
        <v>毕节</v>
      </c>
      <c r="C82" t="s">
        <v>854</v>
      </c>
      <c r="D82">
        <f>VIPcric_2!F1547</f>
        <v>5285</v>
      </c>
      <c r="E82">
        <f>VIPcric_2!D1557</f>
        <v>35.299999999999997</v>
      </c>
      <c r="F82" s="22">
        <f t="shared" si="18"/>
        <v>27.141666666666666</v>
      </c>
      <c r="I82" s="31">
        <f t="shared" si="14"/>
        <v>0</v>
      </c>
      <c r="J82" s="31">
        <f t="shared" si="15"/>
        <v>0</v>
      </c>
    </row>
    <row r="83" spans="1:10" hidden="1">
      <c r="A83" t="str">
        <f>VIPcric_2!I1563</f>
        <v>CRIC-汉中-市场监测.商品房市场.项目累计.供求.xlsx</v>
      </c>
      <c r="B83" t="str">
        <f t="shared" si="9"/>
        <v>汉中</v>
      </c>
      <c r="C83" t="s">
        <v>853</v>
      </c>
      <c r="D83">
        <f>VIPcric_2!F1563</f>
        <v>5476</v>
      </c>
      <c r="E83">
        <f>VIPcric_2!D1572</f>
        <v>38.9</v>
      </c>
      <c r="F83" s="22">
        <f>(10+19+155+625*1.05)/30</f>
        <v>28.008333333333333</v>
      </c>
      <c r="I83" s="31">
        <f t="shared" si="14"/>
        <v>0</v>
      </c>
      <c r="J83" s="31">
        <f t="shared" si="15"/>
        <v>0</v>
      </c>
    </row>
    <row r="84" spans="1:10">
      <c r="A84" t="str">
        <f>VIPcric_2!I1578</f>
        <v>CRIC-汕头-市场监测.商品房市场.项目累计.供求.xlsx</v>
      </c>
      <c r="B84" t="str">
        <f t="shared" si="9"/>
        <v>汕头</v>
      </c>
      <c r="C84" t="s">
        <v>831</v>
      </c>
      <c r="D84">
        <f>VIPcric_2!F1578</f>
        <v>10573</v>
      </c>
      <c r="E84">
        <f>VIPcric_2!D1588</f>
        <v>34.1</v>
      </c>
      <c r="F84" s="22">
        <f t="shared" ref="F84:F86" si="19">(10+19+150+605*1.05)/30</f>
        <v>27.141666666666666</v>
      </c>
      <c r="G84" s="33">
        <f>汕头!F89</f>
        <v>3485.5865102639295</v>
      </c>
      <c r="H84" s="33">
        <f>汕头!P88</f>
        <v>380.94829178885635</v>
      </c>
      <c r="I84" s="31">
        <f t="shared" si="14"/>
        <v>3.6030293368850504E-2</v>
      </c>
      <c r="J84" s="31">
        <f t="shared" si="15"/>
        <v>0.32966863806525393</v>
      </c>
    </row>
    <row r="85" spans="1:10" hidden="1">
      <c r="A85" t="str">
        <f>VIPcric_2!I1597</f>
        <v>CRIC-江阴-市场监测.商品房市场.项目累计.供求.xlsx</v>
      </c>
      <c r="B85" t="str">
        <f t="shared" si="9"/>
        <v>江阴</v>
      </c>
      <c r="C85" t="s">
        <v>841</v>
      </c>
      <c r="D85">
        <f>VIPcric_2!F1597</f>
        <v>13858</v>
      </c>
      <c r="E85">
        <f>VIPcric_2!D1607</f>
        <v>28</v>
      </c>
      <c r="F85" s="22">
        <f t="shared" si="19"/>
        <v>27.141666666666666</v>
      </c>
      <c r="I85" s="31">
        <f t="shared" si="14"/>
        <v>0</v>
      </c>
      <c r="J85" s="31">
        <f t="shared" si="15"/>
        <v>0</v>
      </c>
    </row>
    <row r="86" spans="1:10" hidden="1">
      <c r="A86" t="str">
        <f>VIPcric_2!I1616</f>
        <v>CRIC-池州-市场监测.商品房市场.项目累计.供求.xlsx</v>
      </c>
      <c r="B86" t="str">
        <f t="shared" si="9"/>
        <v>池州</v>
      </c>
      <c r="C86" t="s">
        <v>840</v>
      </c>
      <c r="D86">
        <f>VIPcric_2!F1616</f>
        <v>7825</v>
      </c>
      <c r="E86">
        <f>VIPcric_2!D1625</f>
        <v>38.299999999999997</v>
      </c>
      <c r="F86" s="22">
        <f t="shared" si="19"/>
        <v>27.141666666666666</v>
      </c>
      <c r="I86" s="31">
        <f t="shared" si="14"/>
        <v>0</v>
      </c>
      <c r="J86" s="31">
        <f t="shared" si="15"/>
        <v>0</v>
      </c>
    </row>
    <row r="87" spans="1:10" hidden="1">
      <c r="A87" t="str">
        <f>VIPcric_2!I1633</f>
        <v>CRIC-沈阳-市场监测.商品房市场.项目累计.供求.xlsx</v>
      </c>
      <c r="B87" t="str">
        <f t="shared" si="9"/>
        <v>沈阳</v>
      </c>
      <c r="C87" t="s">
        <v>851</v>
      </c>
      <c r="D87">
        <f>VIPcric_2!F1633</f>
        <v>10417</v>
      </c>
      <c r="E87">
        <f>VIPcric_2!D1642</f>
        <v>35.799999999999997</v>
      </c>
      <c r="F87" s="22">
        <f>(10+19+160+665*1.05)/30</f>
        <v>29.574999999999999</v>
      </c>
      <c r="I87" s="31">
        <f t="shared" si="14"/>
        <v>0</v>
      </c>
      <c r="J87" s="31">
        <f t="shared" si="15"/>
        <v>0</v>
      </c>
    </row>
    <row r="88" spans="1:10" hidden="1">
      <c r="A88" t="str">
        <f>VIPcric_2!I1651</f>
        <v>CRIC-泉州-市场监测.商品房市场.项目累计.供求.xlsx</v>
      </c>
      <c r="B88" t="str">
        <f t="shared" si="9"/>
        <v>泉州</v>
      </c>
      <c r="C88" t="s">
        <v>842</v>
      </c>
      <c r="D88">
        <f>VIPcric_2!F1651</f>
        <v>13023</v>
      </c>
      <c r="E88">
        <f>VIPcric_2!D1661</f>
        <v>22.3</v>
      </c>
      <c r="F88" s="22">
        <f t="shared" ref="F88:F90" si="20">(10+19+150+605*1.05)/30</f>
        <v>27.141666666666666</v>
      </c>
      <c r="I88" s="31">
        <f t="shared" si="14"/>
        <v>0</v>
      </c>
      <c r="J88" s="31">
        <f t="shared" si="15"/>
        <v>0</v>
      </c>
    </row>
    <row r="89" spans="1:10" hidden="1">
      <c r="A89" t="str">
        <f>VIPcric_2!I1669</f>
        <v>CRIC-泰州-市场监测.商品房市场.项目累计.供求.xlsx</v>
      </c>
      <c r="B89" t="str">
        <f t="shared" si="9"/>
        <v>泰州</v>
      </c>
      <c r="C89" t="s">
        <v>841</v>
      </c>
      <c r="D89">
        <f>VIPcric_2!F1669</f>
        <v>16139</v>
      </c>
      <c r="E89" s="18">
        <f>VIPcric_2!F1667</f>
        <v>14.681318681318682</v>
      </c>
      <c r="F89" s="22">
        <f t="shared" si="20"/>
        <v>27.141666666666666</v>
      </c>
      <c r="I89" s="31">
        <f t="shared" si="14"/>
        <v>0</v>
      </c>
      <c r="J89" s="31">
        <f t="shared" si="15"/>
        <v>0</v>
      </c>
    </row>
    <row r="90" spans="1:10" hidden="1">
      <c r="A90" t="str">
        <f>VIPcric_2!I1678</f>
        <v>CRIC-泸州-市场监测.商品房市场.项目累计.供求.xlsx</v>
      </c>
      <c r="B90" t="str">
        <f t="shared" si="9"/>
        <v>泸州</v>
      </c>
      <c r="C90" t="s">
        <v>835</v>
      </c>
      <c r="D90">
        <f>VIPcric_2!F1678</f>
        <v>6507</v>
      </c>
      <c r="E90">
        <f>VIPcric_2!D1688</f>
        <v>43.8</v>
      </c>
      <c r="F90" s="22">
        <f t="shared" si="20"/>
        <v>27.141666666666666</v>
      </c>
      <c r="I90" s="31">
        <f t="shared" si="14"/>
        <v>0</v>
      </c>
      <c r="J90" s="31">
        <f t="shared" si="15"/>
        <v>0</v>
      </c>
    </row>
    <row r="91" spans="1:10" hidden="1">
      <c r="A91" t="str">
        <f>VIPcric_2!I1696</f>
        <v>CRIC-洛阳-市场监测.商品房市场.项目累计.供求.xlsx</v>
      </c>
      <c r="B91" t="str">
        <f t="shared" si="9"/>
        <v>洛阳</v>
      </c>
      <c r="C91" t="s">
        <v>836</v>
      </c>
      <c r="D91">
        <f>VIPcric_2!F1696</f>
        <v>9567</v>
      </c>
      <c r="E91">
        <f>VIPcric_2!D1706</f>
        <v>25.6</v>
      </c>
      <c r="F91" s="22">
        <f t="shared" ref="F91:F92" si="21">(10+19+155+625*1.05)/30</f>
        <v>28.008333333333333</v>
      </c>
      <c r="I91" s="31">
        <f t="shared" si="14"/>
        <v>0</v>
      </c>
      <c r="J91" s="31">
        <f t="shared" si="15"/>
        <v>0</v>
      </c>
    </row>
    <row r="92" spans="1:10" hidden="1">
      <c r="A92" t="str">
        <f>VIPcric_2!I1713</f>
        <v>CRIC-济南-市场监测.商品房市场.项目累计.供求.xlsx</v>
      </c>
      <c r="B92" t="str">
        <f t="shared" si="9"/>
        <v>济南</v>
      </c>
      <c r="C92" t="s">
        <v>832</v>
      </c>
      <c r="D92">
        <f>VIPcric_2!F1713</f>
        <v>17887</v>
      </c>
      <c r="E92">
        <f>VIPcric_2!D1722</f>
        <v>12.1</v>
      </c>
      <c r="F92" s="22">
        <f t="shared" si="21"/>
        <v>28.008333333333333</v>
      </c>
      <c r="I92" s="31">
        <f t="shared" si="14"/>
        <v>0</v>
      </c>
      <c r="J92" s="31">
        <f t="shared" si="15"/>
        <v>0</v>
      </c>
    </row>
    <row r="93" spans="1:10" hidden="1">
      <c r="A93" t="str">
        <f>VIPcric_2!I1731</f>
        <v>CRIC-海东地区-市场监测.商品房市场.项目累计.供求.xlsx</v>
      </c>
      <c r="B93" t="str">
        <f t="shared" si="9"/>
        <v>海东</v>
      </c>
      <c r="C93" t="s">
        <v>863</v>
      </c>
      <c r="D93">
        <f>VIPcric_2!F1731</f>
        <v>5859</v>
      </c>
      <c r="E93">
        <f>VIPcric_2!D1740</f>
        <v>38.6</v>
      </c>
      <c r="F93" s="22">
        <f t="shared" ref="F93:F95" si="22">(10+19+160+665*1.05)/30</f>
        <v>29.574999999999999</v>
      </c>
      <c r="I93" s="31">
        <f t="shared" si="14"/>
        <v>0</v>
      </c>
      <c r="J93" s="31">
        <f t="shared" si="15"/>
        <v>0</v>
      </c>
    </row>
    <row r="94" spans="1:10" hidden="1">
      <c r="A94" t="str">
        <f>VIPcric_2!I1746</f>
        <v>CRIC-海北藏族自治州-市场监测.商品房市场.项目累计.供求.xlsx</v>
      </c>
      <c r="B94" t="str">
        <f>MID(A94,6,4)</f>
        <v>海北藏族</v>
      </c>
      <c r="C94" t="s">
        <v>863</v>
      </c>
      <c r="D94">
        <f>VIPcric_2!F1746</f>
        <v>4989</v>
      </c>
      <c r="E94">
        <f>VIPcric_2!D1755</f>
        <v>22.2</v>
      </c>
      <c r="F94" s="22">
        <f t="shared" si="22"/>
        <v>29.574999999999999</v>
      </c>
      <c r="I94" s="31">
        <f t="shared" si="14"/>
        <v>0</v>
      </c>
      <c r="J94" s="31">
        <f t="shared" si="15"/>
        <v>0</v>
      </c>
    </row>
    <row r="95" spans="1:10" hidden="1">
      <c r="A95" t="str">
        <f>VIPcric_2!I1760</f>
        <v>CRIC-海南藏族自治州-市场监测.商品房市场.项目累计.供求.xlsx</v>
      </c>
      <c r="B95" t="str">
        <f>MID(A95,6,4)</f>
        <v>海南藏族</v>
      </c>
      <c r="C95" t="s">
        <v>863</v>
      </c>
      <c r="D95">
        <f>VIPcric_2!F1760</f>
        <v>6309</v>
      </c>
      <c r="E95">
        <f>VIPcric_2!D1769</f>
        <v>28.4</v>
      </c>
      <c r="F95" s="22">
        <f t="shared" si="22"/>
        <v>29.574999999999999</v>
      </c>
      <c r="I95" s="31">
        <f t="shared" si="14"/>
        <v>0</v>
      </c>
      <c r="J95" s="31">
        <f t="shared" si="15"/>
        <v>0</v>
      </c>
    </row>
    <row r="96" spans="1:10">
      <c r="A96" t="str">
        <f>VIPcric_2!I1774</f>
        <v>CRIC-海口-市场监测.商品房市场.项目累计.供求.xlsx</v>
      </c>
      <c r="B96" t="str">
        <f>MID(A96,6,2)</f>
        <v>海口</v>
      </c>
      <c r="C96" t="s">
        <v>828</v>
      </c>
      <c r="D96">
        <f>VIPcric_2!F1774</f>
        <v>18307</v>
      </c>
      <c r="E96">
        <f>VIPcric_2!D1783</f>
        <v>19.399999999999999</v>
      </c>
      <c r="F96" s="22">
        <f t="shared" ref="F96:F97" si="23">(10+19+150+605*1.05)/30</f>
        <v>27.141666666666666</v>
      </c>
      <c r="G96" s="33">
        <f>海口!Q10</f>
        <v>5000</v>
      </c>
      <c r="H96" s="33">
        <f>海口!N88</f>
        <v>427.89905412371144</v>
      </c>
      <c r="I96" s="31">
        <f t="shared" si="14"/>
        <v>2.3373521282772241E-2</v>
      </c>
      <c r="J96" s="31">
        <f t="shared" si="15"/>
        <v>0.27311957174851148</v>
      </c>
    </row>
    <row r="97" spans="1:10" hidden="1">
      <c r="A97" t="str">
        <f>VIPcric_2!I1789</f>
        <v>CRIC-海宁-市场监测.商品房市场.项目累计.供求.xlsx</v>
      </c>
      <c r="B97" t="str">
        <f t="shared" ref="B97:B159" si="24">MID(A97,6,2)</f>
        <v>海宁</v>
      </c>
      <c r="C97" t="s">
        <v>834</v>
      </c>
      <c r="D97">
        <f>VIPcric_2!F1789</f>
        <v>19706</v>
      </c>
      <c r="E97">
        <f>VIPcric_2!D1799</f>
        <v>39.200000000000003</v>
      </c>
      <c r="F97" s="22">
        <f t="shared" si="23"/>
        <v>27.141666666666666</v>
      </c>
      <c r="I97" s="31">
        <f t="shared" si="14"/>
        <v>0</v>
      </c>
      <c r="J97" s="31">
        <f t="shared" si="15"/>
        <v>0</v>
      </c>
    </row>
    <row r="98" spans="1:10" hidden="1">
      <c r="A98" t="str">
        <f>VIPcric_2!I1808</f>
        <v>CRIC-海西蒙古族藏族自治州-市场监测.商品房市场.项目累计.供求.xlsx</v>
      </c>
      <c r="B98" t="str">
        <f>MID(A98,6,5)</f>
        <v>海西蒙古族</v>
      </c>
      <c r="C98" t="s">
        <v>863</v>
      </c>
      <c r="D98">
        <f>VIPcric_2!F1808</f>
        <v>5456</v>
      </c>
      <c r="E98">
        <f>VIPcric_2!D1817</f>
        <v>24.8</v>
      </c>
      <c r="F98" s="22">
        <f>(10+19+160+665*1.05)/30</f>
        <v>29.574999999999999</v>
      </c>
      <c r="I98" s="31">
        <f t="shared" ref="I98:I113" si="25">H98/D98</f>
        <v>0</v>
      </c>
      <c r="J98" s="31">
        <f t="shared" ref="J98:J113" si="26">G98/D98</f>
        <v>0</v>
      </c>
    </row>
    <row r="99" spans="1:10" hidden="1">
      <c r="A99" t="str">
        <f>VIPcric_2!I1823</f>
        <v>CRIC-淄博-市场监测.商品房市场.项目累计.供求.xlsx</v>
      </c>
      <c r="B99" t="str">
        <f t="shared" si="24"/>
        <v>淄博</v>
      </c>
      <c r="C99" t="s">
        <v>832</v>
      </c>
      <c r="D99">
        <f>VIPcric_2!F1823</f>
        <v>8077</v>
      </c>
      <c r="E99">
        <f>VIPcric_2!D1833</f>
        <v>31.9</v>
      </c>
      <c r="F99" s="22">
        <f>(10+19+155+625*1.05)/30</f>
        <v>28.008333333333333</v>
      </c>
      <c r="I99" s="31">
        <f t="shared" si="25"/>
        <v>0</v>
      </c>
      <c r="J99" s="31">
        <f t="shared" si="26"/>
        <v>0</v>
      </c>
    </row>
    <row r="100" spans="1:10" hidden="1">
      <c r="A100" t="str">
        <f>VIPcric_2!I1841</f>
        <v>CRIC-淮北-市场监测.商品房市场.项目累计.供求.xlsx</v>
      </c>
      <c r="B100" t="str">
        <f t="shared" si="24"/>
        <v>淮北</v>
      </c>
      <c r="C100" t="s">
        <v>837</v>
      </c>
      <c r="D100">
        <f>VIPcric_2!F1841</f>
        <v>8130</v>
      </c>
      <c r="E100">
        <f>VIPcric_2!D1850</f>
        <v>24.5</v>
      </c>
      <c r="F100" s="22">
        <f t="shared" ref="F100:F106" si="27">(10+19+150+605*1.05)/30</f>
        <v>27.141666666666666</v>
      </c>
      <c r="I100" s="31">
        <f t="shared" si="25"/>
        <v>0</v>
      </c>
      <c r="J100" s="31">
        <f t="shared" si="26"/>
        <v>0</v>
      </c>
    </row>
    <row r="101" spans="1:10" hidden="1">
      <c r="A101" t="str">
        <f>VIPcric_2!I1857</f>
        <v>CRIC-淮南-市场监测.商品房市场.项目累计.供求.xlsx</v>
      </c>
      <c r="B101" t="str">
        <f t="shared" si="24"/>
        <v>淮南</v>
      </c>
      <c r="C101" t="s">
        <v>837</v>
      </c>
      <c r="D101">
        <f>VIPcric_2!F1857</f>
        <v>6791</v>
      </c>
      <c r="E101">
        <f>VIPcric_2!D1866</f>
        <v>15.9</v>
      </c>
      <c r="F101" s="22">
        <f t="shared" si="27"/>
        <v>27.141666666666666</v>
      </c>
      <c r="I101" s="31">
        <f t="shared" si="25"/>
        <v>0</v>
      </c>
      <c r="J101" s="31">
        <f t="shared" si="26"/>
        <v>0</v>
      </c>
    </row>
    <row r="102" spans="1:10" hidden="1">
      <c r="A102" t="str">
        <f>VIPcric_2!I1874</f>
        <v>CRIC-淮安-市场监测.商品房市场.项目累计.供求.xlsx</v>
      </c>
      <c r="B102" t="str">
        <f t="shared" si="24"/>
        <v>淮安</v>
      </c>
      <c r="C102" t="s">
        <v>837</v>
      </c>
      <c r="D102">
        <f>VIPcric_2!F1874</f>
        <v>10302</v>
      </c>
      <c r="E102" s="22">
        <f>VIPcric_2!F1872</f>
        <v>10.112691466083152</v>
      </c>
      <c r="F102" s="22">
        <f t="shared" si="27"/>
        <v>27.141666666666666</v>
      </c>
      <c r="I102" s="31">
        <f t="shared" si="25"/>
        <v>0</v>
      </c>
      <c r="J102" s="31">
        <f t="shared" si="26"/>
        <v>0</v>
      </c>
    </row>
    <row r="103" spans="1:10">
      <c r="A103" t="str">
        <f>VIPcric_2!I1883</f>
        <v>CRIC-深圳-市场监测.商品房市场.项目累计.供求.xlsx</v>
      </c>
      <c r="B103" t="str">
        <f t="shared" si="24"/>
        <v>深圳</v>
      </c>
      <c r="C103" t="s">
        <v>831</v>
      </c>
      <c r="D103">
        <f>VIPcric_2!F1883</f>
        <v>63675</v>
      </c>
      <c r="E103">
        <f>VIPcric_2!D1892</f>
        <v>23.5</v>
      </c>
      <c r="F103" s="22">
        <f t="shared" si="27"/>
        <v>27.141666666666666</v>
      </c>
      <c r="G103" s="33">
        <f>深圳!F89</f>
        <v>8427.978723404256</v>
      </c>
      <c r="H103" s="33">
        <f>深圳!P88</f>
        <v>828.76523936170213</v>
      </c>
      <c r="I103" s="31">
        <f t="shared" si="25"/>
        <v>1.3015551462296068E-2</v>
      </c>
      <c r="J103" s="31">
        <f t="shared" si="26"/>
        <v>0.13235930464710258</v>
      </c>
    </row>
    <row r="104" spans="1:10" hidden="1">
      <c r="A104" t="str">
        <f>VIPcric_2!I1900</f>
        <v>CRIC-淳安-市场监测.商品房市场.项目累计.供求.xlsx</v>
      </c>
      <c r="B104" t="s">
        <v>864</v>
      </c>
      <c r="C104" t="s">
        <v>834</v>
      </c>
      <c r="D104">
        <f>VIPcric_2!F1900</f>
        <v>13188</v>
      </c>
      <c r="E104" s="22">
        <f>VIPcric_2!F1898</f>
        <v>14.4945295404814</v>
      </c>
      <c r="F104" s="22">
        <f t="shared" si="27"/>
        <v>27.141666666666666</v>
      </c>
      <c r="I104" s="31">
        <f t="shared" si="25"/>
        <v>0</v>
      </c>
      <c r="J104" s="31">
        <f t="shared" si="26"/>
        <v>0</v>
      </c>
    </row>
    <row r="105" spans="1:10">
      <c r="A105" t="str">
        <f>VIPcric_2!I1910</f>
        <v>CRIC-清远-市场监测.商品房市场.项目累计.供求.xlsx</v>
      </c>
      <c r="B105" t="str">
        <f t="shared" si="24"/>
        <v>清远</v>
      </c>
      <c r="C105" t="s">
        <v>831</v>
      </c>
      <c r="D105">
        <f>VIPcric_2!F1910</f>
        <v>6925</v>
      </c>
      <c r="E105">
        <f>VIPcric_2!D1920</f>
        <v>22.4</v>
      </c>
      <c r="F105" s="22">
        <f t="shared" si="27"/>
        <v>27.141666666666666</v>
      </c>
      <c r="G105" s="33">
        <f>清远!F89</f>
        <v>3391.5178571428573</v>
      </c>
      <c r="H105" s="33">
        <f>清远!P88</f>
        <v>281.77374441964287</v>
      </c>
      <c r="I105" s="31">
        <f t="shared" si="25"/>
        <v>4.068934937467767E-2</v>
      </c>
      <c r="J105" s="31">
        <f t="shared" si="26"/>
        <v>0.48974987106756063</v>
      </c>
    </row>
    <row r="106" spans="1:10" hidden="1">
      <c r="A106" t="str">
        <f>VIPcric_2!I1929</f>
        <v>CRIC-温州-市场监测.商品房市场.项目累计.供求.xlsx</v>
      </c>
      <c r="B106" t="str">
        <f t="shared" si="24"/>
        <v>温州</v>
      </c>
      <c r="C106" t="s">
        <v>834</v>
      </c>
      <c r="D106">
        <f>VIPcric_2!F1929</f>
        <v>18544</v>
      </c>
      <c r="E106">
        <f>VIPcric_2!D1939</f>
        <v>20.7</v>
      </c>
      <c r="F106" s="22">
        <f t="shared" si="27"/>
        <v>27.141666666666666</v>
      </c>
      <c r="I106" s="31">
        <f t="shared" si="25"/>
        <v>0</v>
      </c>
      <c r="J106" s="31">
        <f t="shared" si="26"/>
        <v>0</v>
      </c>
    </row>
    <row r="107" spans="1:10" hidden="1">
      <c r="A107" t="str">
        <f>VIPcric_2!I1947</f>
        <v>CRIC-渭南-市场监测.商品房市场.项目累计.供求.xlsx</v>
      </c>
      <c r="B107" t="str">
        <f t="shared" si="24"/>
        <v>渭南</v>
      </c>
      <c r="C107" t="s">
        <v>853</v>
      </c>
      <c r="D107">
        <f>VIPcric_2!F1947</f>
        <v>6541</v>
      </c>
      <c r="E107">
        <f>VIPcric_2!D1957</f>
        <v>43.8</v>
      </c>
      <c r="F107" s="22">
        <f>(10+19+155+625*1.05)/30</f>
        <v>28.008333333333333</v>
      </c>
      <c r="I107" s="31">
        <f t="shared" si="25"/>
        <v>0</v>
      </c>
      <c r="J107" s="31">
        <f t="shared" si="26"/>
        <v>0</v>
      </c>
    </row>
    <row r="108" spans="1:10" hidden="1">
      <c r="A108" t="str">
        <f>VIPcric_2!I1965</f>
        <v>CRIC-湖州-市场监测.商品房市场.项目累计.供求.xlsx</v>
      </c>
      <c r="B108" t="str">
        <f t="shared" si="24"/>
        <v>湖州</v>
      </c>
      <c r="C108" t="s">
        <v>834</v>
      </c>
      <c r="D108">
        <f>VIPcric_2!F1965</f>
        <v>12743</v>
      </c>
      <c r="E108">
        <f>VIPcric_2!D1974</f>
        <v>23.5</v>
      </c>
      <c r="F108" s="22">
        <f>(10+19+150+605*1.05)/30</f>
        <v>27.141666666666666</v>
      </c>
      <c r="I108" s="31">
        <f t="shared" si="25"/>
        <v>0</v>
      </c>
      <c r="J108" s="31">
        <f t="shared" si="26"/>
        <v>0</v>
      </c>
    </row>
    <row r="109" spans="1:10" hidden="1">
      <c r="A109" t="str">
        <f>VIPcric_2!I1983</f>
        <v>CRIC-滨州-市场监测.商品房市场.项目累计.供求.xlsx</v>
      </c>
      <c r="B109" t="str">
        <f t="shared" si="24"/>
        <v>滨州</v>
      </c>
      <c r="C109" t="s">
        <v>832</v>
      </c>
      <c r="D109">
        <f>VIPcric_2!F1983</f>
        <v>7199</v>
      </c>
      <c r="E109">
        <f>VIPcric_2!D1993</f>
        <v>30.2</v>
      </c>
      <c r="F109" s="22">
        <f t="shared" ref="F109:F110" si="28">(10+19+155+625*1.05)/30</f>
        <v>28.008333333333333</v>
      </c>
      <c r="I109" s="31">
        <f t="shared" si="25"/>
        <v>0</v>
      </c>
      <c r="J109" s="31">
        <f t="shared" si="26"/>
        <v>0</v>
      </c>
    </row>
    <row r="110" spans="1:10" hidden="1">
      <c r="A110" t="str">
        <f>VIPcric_2!I1999</f>
        <v>CRIC-漯河-市场监测.商品房市场.项目累计.供求.xlsx</v>
      </c>
      <c r="B110" t="str">
        <f t="shared" si="24"/>
        <v>漯河</v>
      </c>
      <c r="C110" t="s">
        <v>836</v>
      </c>
      <c r="D110">
        <f>VIPcric_2!F1999</f>
        <v>6057</v>
      </c>
      <c r="E110">
        <f>VIPcric_2!D2009</f>
        <v>21.6</v>
      </c>
      <c r="F110" s="22">
        <f t="shared" si="28"/>
        <v>28.008333333333333</v>
      </c>
      <c r="I110" s="31">
        <f t="shared" si="25"/>
        <v>0</v>
      </c>
      <c r="J110" s="31">
        <f t="shared" si="26"/>
        <v>0</v>
      </c>
    </row>
    <row r="111" spans="1:10" hidden="1">
      <c r="A111" t="str">
        <f>VIPcric_2!I2016</f>
        <v>CRIC-漳州-市场监测.商品房市场.项目累计.供求.xlsx</v>
      </c>
      <c r="B111" t="str">
        <f t="shared" si="24"/>
        <v>漳州</v>
      </c>
      <c r="C111" t="s">
        <v>842</v>
      </c>
      <c r="D111">
        <f>VIPcric_2!F2016</f>
        <v>13213</v>
      </c>
      <c r="E111">
        <f>VIPcric_2!D2025</f>
        <v>15.1</v>
      </c>
      <c r="F111" s="22">
        <f t="shared" ref="F111:F112" si="29">(10+19+150+605*1.05)/30</f>
        <v>27.141666666666666</v>
      </c>
      <c r="I111" s="31">
        <f t="shared" si="25"/>
        <v>0</v>
      </c>
      <c r="J111" s="31">
        <f t="shared" si="26"/>
        <v>0</v>
      </c>
    </row>
    <row r="112" spans="1:10">
      <c r="A112" t="str">
        <f>VIPcric_2!I2035</f>
        <v>CRIC-澄迈-市场监测.商品房市场.项目累计.供求.xlsx</v>
      </c>
      <c r="B112" t="str">
        <f t="shared" si="24"/>
        <v>澄迈</v>
      </c>
      <c r="C112" t="s">
        <v>828</v>
      </c>
      <c r="D112">
        <f>VIPcric_2!F2035</f>
        <v>11522</v>
      </c>
      <c r="E112">
        <f>VIPcric_2!D2045</f>
        <v>54.5</v>
      </c>
      <c r="F112" s="22">
        <f t="shared" si="29"/>
        <v>27.141666666666666</v>
      </c>
      <c r="G112" s="33">
        <f>澄迈!Q10</f>
        <v>3500</v>
      </c>
      <c r="H112" s="33">
        <f>澄迈!N88</f>
        <v>498.09375000000006</v>
      </c>
      <c r="I112" s="31">
        <f t="shared" si="25"/>
        <v>4.3229799513973273E-2</v>
      </c>
      <c r="J112" s="31">
        <f t="shared" si="26"/>
        <v>0.30376670716889431</v>
      </c>
    </row>
    <row r="113" spans="1:10" hidden="1">
      <c r="A113" t="str">
        <f>VIPcric_2!I2051</f>
        <v>CRIC-濮阳-市场监测.商品房市场.项目累计.供求.xlsx</v>
      </c>
      <c r="B113" t="str">
        <f t="shared" si="24"/>
        <v>濮阳</v>
      </c>
      <c r="C113" t="s">
        <v>836</v>
      </c>
      <c r="D113">
        <f>VIPcric_2!F2051</f>
        <v>8765</v>
      </c>
      <c r="E113">
        <f>VIPcric_2!D2061</f>
        <v>26.4</v>
      </c>
      <c r="F113" s="22">
        <f t="shared" ref="F113:F116" si="30">(10+19+155+625*1.05)/30</f>
        <v>28.008333333333333</v>
      </c>
      <c r="I113" s="31">
        <f t="shared" si="25"/>
        <v>0</v>
      </c>
      <c r="J113" s="31">
        <f t="shared" si="26"/>
        <v>0</v>
      </c>
    </row>
    <row r="114" spans="1:10" hidden="1">
      <c r="A114" t="str">
        <f>VIPcric_2!I2068</f>
        <v>CRIC-烟台-市场监测.商品房市场.项目累计.供求.xlsx</v>
      </c>
      <c r="B114" t="str">
        <f t="shared" si="24"/>
        <v>烟台</v>
      </c>
      <c r="C114" t="s">
        <v>832</v>
      </c>
      <c r="D114">
        <f>VIPcric_2!F2068</f>
        <v>11467</v>
      </c>
      <c r="E114">
        <f>VIPcric_2!D2078</f>
        <v>37.799999999999997</v>
      </c>
      <c r="F114" s="22">
        <f t="shared" si="30"/>
        <v>28.008333333333333</v>
      </c>
      <c r="I114" s="31">
        <f t="shared" ref="I114:I130" si="31">H114/D114</f>
        <v>0</v>
      </c>
      <c r="J114" s="31">
        <f t="shared" ref="J114:J130" si="32">G114/D114</f>
        <v>0</v>
      </c>
    </row>
    <row r="115" spans="1:10" hidden="1">
      <c r="A115" t="str">
        <f>VIPcric_2!I2086</f>
        <v>CRIC-焦作-市场监测.商品房市场.项目累计.供求.xlsx</v>
      </c>
      <c r="B115" t="str">
        <f t="shared" si="24"/>
        <v>焦作</v>
      </c>
      <c r="C115" t="s">
        <v>836</v>
      </c>
      <c r="D115">
        <f>VIPcric_2!F2086</f>
        <v>6058</v>
      </c>
      <c r="E115">
        <f>VIPcric_2!D2095</f>
        <v>17.899999999999999</v>
      </c>
      <c r="F115" s="22">
        <f t="shared" si="30"/>
        <v>28.008333333333333</v>
      </c>
      <c r="I115" s="31">
        <f t="shared" si="31"/>
        <v>0</v>
      </c>
      <c r="J115" s="31">
        <f t="shared" si="32"/>
        <v>0</v>
      </c>
    </row>
    <row r="116" spans="1:10" hidden="1">
      <c r="A116" t="str">
        <f>VIPcric_2!I2101</f>
        <v>CRIC-燕郊-市场监测.商品房市场.项目累计.供求.xlsx</v>
      </c>
      <c r="B116" t="str">
        <f t="shared" si="24"/>
        <v>燕郊</v>
      </c>
      <c r="C116" t="s">
        <v>852</v>
      </c>
      <c r="D116">
        <f>VIPcric_2!F2101</f>
        <v>19633</v>
      </c>
      <c r="E116">
        <f>VIPcric_2!F2099</f>
        <v>38.299999999999997</v>
      </c>
      <c r="F116" s="22">
        <f t="shared" si="30"/>
        <v>28.008333333333333</v>
      </c>
      <c r="I116" s="31">
        <f t="shared" si="31"/>
        <v>0</v>
      </c>
      <c r="J116" s="31">
        <f t="shared" si="32"/>
        <v>0</v>
      </c>
    </row>
    <row r="117" spans="1:10">
      <c r="A117" t="str">
        <f>VIPcric_2!I2112</f>
        <v>CRIC-珠海-市场监测.商品房市场.项目累计.供求.xlsx</v>
      </c>
      <c r="B117" t="str">
        <f t="shared" si="24"/>
        <v>珠海</v>
      </c>
      <c r="C117" t="s">
        <v>831</v>
      </c>
      <c r="D117">
        <f>VIPcric_2!F2112</f>
        <v>26073</v>
      </c>
      <c r="E117">
        <f>VIPcric_2!D2122</f>
        <v>55.7</v>
      </c>
      <c r="F117" s="22">
        <f t="shared" ref="F117:F120" si="33">(10+19+150+605*1.05)/30</f>
        <v>27.141666666666666</v>
      </c>
      <c r="G117" s="33">
        <f>珠海!F89</f>
        <v>4000</v>
      </c>
      <c r="H117" s="33">
        <f>珠海!P88</f>
        <v>2174.6102558348293</v>
      </c>
      <c r="I117" s="31">
        <f t="shared" si="31"/>
        <v>8.3404681311503442E-2</v>
      </c>
      <c r="J117" s="31">
        <f t="shared" si="32"/>
        <v>0.15341541057799257</v>
      </c>
    </row>
    <row r="118" spans="1:10">
      <c r="A118" t="str">
        <f>VIPcric_2!I2138</f>
        <v>CRIC-琼中-市场监测.商品房市场.项目累计.供求.xlsx</v>
      </c>
      <c r="B118" t="str">
        <f t="shared" si="24"/>
        <v>琼中</v>
      </c>
      <c r="C118" t="s">
        <v>828</v>
      </c>
      <c r="D118">
        <f>VIPcric_2!F2138</f>
        <v>8655</v>
      </c>
      <c r="E118">
        <f>VIPcric_2!D2146</f>
        <v>152.5</v>
      </c>
      <c r="F118" s="22">
        <f t="shared" si="33"/>
        <v>27.141666666666666</v>
      </c>
      <c r="G118" s="33">
        <f>琼中!F89</f>
        <v>3150</v>
      </c>
      <c r="H118" s="33">
        <f>琼中!N88</f>
        <v>978.07500000000005</v>
      </c>
      <c r="I118" s="31">
        <f t="shared" si="31"/>
        <v>0.11300693240901213</v>
      </c>
      <c r="J118" s="31">
        <f t="shared" si="32"/>
        <v>0.36395147313691506</v>
      </c>
    </row>
    <row r="119" spans="1:10">
      <c r="A119" t="str">
        <f>VIPcric_2!I2153</f>
        <v>CRIC-琼海-市场监测.商品房市场.项目累计.供求.xlsx</v>
      </c>
      <c r="B119" t="str">
        <f t="shared" si="24"/>
        <v>琼海</v>
      </c>
      <c r="C119" t="s">
        <v>828</v>
      </c>
      <c r="D119">
        <f>VIPcric_2!F2153</f>
        <v>14729</v>
      </c>
      <c r="E119">
        <f>VIPcric_2!D2163</f>
        <v>49</v>
      </c>
      <c r="F119" s="22">
        <f t="shared" si="33"/>
        <v>27.141666666666666</v>
      </c>
      <c r="G119" s="33">
        <f>琼海!Q10</f>
        <v>6384.85</v>
      </c>
      <c r="H119" s="33">
        <f>琼海!N88</f>
        <v>1313.4035503125006</v>
      </c>
      <c r="I119" s="31">
        <f t="shared" si="31"/>
        <v>8.9171264193937172E-2</v>
      </c>
      <c r="J119" s="31">
        <f t="shared" si="32"/>
        <v>0.43348835630389032</v>
      </c>
    </row>
    <row r="120" spans="1:10">
      <c r="A120" t="str">
        <f>VIPcric_2!I2170</f>
        <v>CRIC-白沙-市场监测.商品房市场.项目累计.供求.xlsx</v>
      </c>
      <c r="B120" t="str">
        <f t="shared" si="24"/>
        <v>白沙</v>
      </c>
      <c r="C120" t="s">
        <v>828</v>
      </c>
      <c r="D120">
        <f>VIPcric_2!F2170</f>
        <v>7850</v>
      </c>
      <c r="E120">
        <f>VIPcric_2!D2178</f>
        <v>109.1</v>
      </c>
      <c r="F120" s="22">
        <f t="shared" si="33"/>
        <v>27.141666666666666</v>
      </c>
      <c r="G120" s="33">
        <f>白沙县!Q10</f>
        <v>3500</v>
      </c>
      <c r="H120" s="33">
        <f>白沙县!N88</f>
        <v>44.559243975903627</v>
      </c>
      <c r="I120" s="31">
        <f t="shared" si="31"/>
        <v>5.6763368122170225E-3</v>
      </c>
      <c r="J120" s="31">
        <f t="shared" si="32"/>
        <v>0.44585987261146498</v>
      </c>
    </row>
    <row r="121" spans="1:10" hidden="1">
      <c r="A121" t="str">
        <f>VIPcric_2!I2184</f>
        <v>CRIC-白银-市场监测.商品房市场.项目累计.供求.xlsx</v>
      </c>
      <c r="B121" t="str">
        <f t="shared" si="24"/>
        <v>白银</v>
      </c>
      <c r="C121" t="s">
        <v>838</v>
      </c>
      <c r="D121">
        <f>VIPcric_2!F2184</f>
        <v>5635</v>
      </c>
      <c r="E121">
        <f>VIPcric_2!D2194</f>
        <v>240.1</v>
      </c>
      <c r="F121" s="22">
        <f>(10+19+155+625*1.05)/30</f>
        <v>28.008333333333333</v>
      </c>
      <c r="I121" s="31">
        <f t="shared" si="31"/>
        <v>0</v>
      </c>
      <c r="J121" s="31">
        <f t="shared" si="32"/>
        <v>0</v>
      </c>
    </row>
    <row r="122" spans="1:10" hidden="1">
      <c r="A122" t="str">
        <f>VIPcric_2!I2213</f>
        <v>CRIC-盐城-市场监测.商品房市场.项目累计.供求.xlsx</v>
      </c>
      <c r="B122" t="str">
        <f t="shared" si="24"/>
        <v>盐城</v>
      </c>
      <c r="C122" t="s">
        <v>841</v>
      </c>
      <c r="D122">
        <f>VIPcric_2!F2213</f>
        <v>13652</v>
      </c>
      <c r="E122" s="22">
        <f>VIPcric_2!G2210</f>
        <v>27.337278106508876</v>
      </c>
      <c r="F122" s="22">
        <f t="shared" ref="F122:F124" si="34">(10+19+150+605*1.05)/30</f>
        <v>27.141666666666666</v>
      </c>
      <c r="I122" s="31">
        <f t="shared" si="31"/>
        <v>0</v>
      </c>
      <c r="J122" s="31">
        <f t="shared" si="32"/>
        <v>0</v>
      </c>
    </row>
    <row r="123" spans="1:10" hidden="1">
      <c r="A123" t="str">
        <f>VIPcric_2!I2222</f>
        <v>CRIC-福州-市场监测.商品房市场.项目累计.供求.xlsx</v>
      </c>
      <c r="B123" t="str">
        <f t="shared" si="24"/>
        <v>福州</v>
      </c>
      <c r="C123" t="s">
        <v>842</v>
      </c>
      <c r="D123">
        <f>VIPcric_2!F2222</f>
        <v>25210</v>
      </c>
      <c r="E123">
        <f>VIPcric_2!D2231</f>
        <v>19.399999999999999</v>
      </c>
      <c r="F123" s="22">
        <f t="shared" si="34"/>
        <v>27.141666666666666</v>
      </c>
      <c r="I123" s="31">
        <f t="shared" si="31"/>
        <v>0</v>
      </c>
      <c r="J123" s="31">
        <f t="shared" si="32"/>
        <v>0</v>
      </c>
    </row>
    <row r="124" spans="1:10" hidden="1">
      <c r="A124" t="str">
        <f>VIPcric_2!I2240</f>
        <v>CRIC-绍兴-市场监测.商品房市场.项目累计.供求.xlsx</v>
      </c>
      <c r="B124" t="str">
        <f t="shared" si="24"/>
        <v>绍兴</v>
      </c>
      <c r="C124" t="s">
        <v>834</v>
      </c>
      <c r="D124">
        <f>VIPcric_2!F2240</f>
        <v>24601</v>
      </c>
      <c r="E124">
        <f>VIPcric_2!D2250</f>
        <v>24.5</v>
      </c>
      <c r="F124" s="22">
        <f t="shared" si="34"/>
        <v>27.141666666666666</v>
      </c>
      <c r="I124" s="31">
        <f t="shared" si="31"/>
        <v>0</v>
      </c>
      <c r="J124" s="31">
        <f t="shared" si="32"/>
        <v>0</v>
      </c>
    </row>
    <row r="125" spans="1:10" hidden="1">
      <c r="A125" t="str">
        <f>VIPcric_2!I2266</f>
        <v>CRIC-聊城-市场监测.商品房市场.项目累计.供求.xlsx</v>
      </c>
      <c r="B125" t="str">
        <f t="shared" si="24"/>
        <v>聊城</v>
      </c>
      <c r="C125" t="s">
        <v>832</v>
      </c>
      <c r="D125">
        <f>VIPcric_2!F2266</f>
        <v>10133</v>
      </c>
      <c r="E125" s="22">
        <f>VIPcric_2!D2259</f>
        <v>18.959200091943455</v>
      </c>
      <c r="F125" s="22">
        <f>(10+19+155+625*1.05)/30</f>
        <v>28.008333333333333</v>
      </c>
      <c r="I125" s="31">
        <f t="shared" si="31"/>
        <v>0</v>
      </c>
      <c r="J125" s="31">
        <f t="shared" si="32"/>
        <v>0</v>
      </c>
    </row>
    <row r="126" spans="1:10">
      <c r="A126" t="str">
        <f>VIPcric_2!I2275</f>
        <v>CRIC-肇庆-市场监测.商品房市场.项目累计.供求.xlsx</v>
      </c>
      <c r="B126" t="str">
        <f t="shared" si="24"/>
        <v>肇庆</v>
      </c>
      <c r="C126" t="s">
        <v>831</v>
      </c>
      <c r="D126">
        <f>VIPcric_2!F2275</f>
        <v>5911</v>
      </c>
      <c r="E126">
        <f>VIPcric_2!D2285</f>
        <v>12</v>
      </c>
      <c r="F126" s="22">
        <f t="shared" ref="F126:F130" si="35">(10+19+150+605*1.05)/30</f>
        <v>27.141666666666666</v>
      </c>
      <c r="G126" s="33">
        <f>肇庆!F89</f>
        <v>502.43499999999995</v>
      </c>
      <c r="H126" s="33">
        <f>肇庆!P88</f>
        <v>26.001011249999998</v>
      </c>
      <c r="I126" s="31">
        <f t="shared" si="31"/>
        <v>4.3987499999999999E-3</v>
      </c>
      <c r="J126" s="31">
        <f t="shared" si="32"/>
        <v>8.4999999999999992E-2</v>
      </c>
    </row>
    <row r="127" spans="1:10" hidden="1">
      <c r="A127" t="str">
        <f>VIPcric_2!I2294</f>
        <v>CRIC-舟山-市场监测.商品房市场.项目累计.供求.xlsx</v>
      </c>
      <c r="B127" t="str">
        <f t="shared" si="24"/>
        <v>舟山</v>
      </c>
      <c r="C127" t="s">
        <v>834</v>
      </c>
      <c r="D127">
        <f>VIPcric_2!F2294</f>
        <v>15754</v>
      </c>
      <c r="E127">
        <f>VIPcric_2!D2304</f>
        <v>19.600000000000001</v>
      </c>
      <c r="F127" s="22">
        <f t="shared" si="35"/>
        <v>27.141666666666666</v>
      </c>
      <c r="I127" s="31">
        <f t="shared" si="31"/>
        <v>0</v>
      </c>
      <c r="J127" s="31">
        <f t="shared" si="32"/>
        <v>0</v>
      </c>
    </row>
    <row r="128" spans="1:10" hidden="1">
      <c r="A128" t="str">
        <f>VIPcric_2!I2313</f>
        <v>CRIC-芜湖-市场监测.商品房市场.项目累计.供求.xlsx</v>
      </c>
      <c r="B128" t="str">
        <f t="shared" si="24"/>
        <v>芜湖</v>
      </c>
      <c r="C128" t="s">
        <v>837</v>
      </c>
      <c r="D128">
        <f>VIPcric_2!F2313</f>
        <v>15237</v>
      </c>
      <c r="E128">
        <f>VIPcric_2!D2323</f>
        <v>33.9</v>
      </c>
      <c r="F128" s="22">
        <f t="shared" si="35"/>
        <v>27.141666666666666</v>
      </c>
      <c r="I128" s="31">
        <f t="shared" si="31"/>
        <v>0</v>
      </c>
      <c r="J128" s="31">
        <f t="shared" si="32"/>
        <v>0</v>
      </c>
    </row>
    <row r="129" spans="1:10" hidden="1">
      <c r="A129" t="str">
        <f>VIPcric_2!I2331</f>
        <v>CRIC-苏州-市场监测.商品房市场.项目累计.供求.xlsx</v>
      </c>
      <c r="B129" t="str">
        <f t="shared" si="24"/>
        <v>苏州</v>
      </c>
      <c r="C129" t="s">
        <v>841</v>
      </c>
      <c r="D129">
        <f>VIPcric_2!F2331</f>
        <v>27955</v>
      </c>
      <c r="E129">
        <f>VIPcric_2!D2340</f>
        <v>14.9</v>
      </c>
      <c r="F129" s="22">
        <f t="shared" si="35"/>
        <v>27.141666666666666</v>
      </c>
      <c r="I129" s="31">
        <f t="shared" si="31"/>
        <v>0</v>
      </c>
      <c r="J129" s="31">
        <f t="shared" si="32"/>
        <v>0</v>
      </c>
    </row>
    <row r="130" spans="1:10" hidden="1">
      <c r="A130" t="str">
        <f>VIPcric_2!I2348</f>
        <v>CRIC-荆门-市场监测.商品房市场.项目累计.供求.xlsx</v>
      </c>
      <c r="B130" t="str">
        <f t="shared" si="24"/>
        <v>荆门</v>
      </c>
      <c r="C130" t="s">
        <v>862</v>
      </c>
      <c r="D130">
        <f>VIPcric_2!F2348</f>
        <v>5487</v>
      </c>
      <c r="E130">
        <f>VIPcric_2!D2358</f>
        <v>23.7</v>
      </c>
      <c r="F130" s="22">
        <f t="shared" si="35"/>
        <v>27.141666666666666</v>
      </c>
      <c r="I130" s="31">
        <f t="shared" si="31"/>
        <v>0</v>
      </c>
      <c r="J130" s="31">
        <f t="shared" si="32"/>
        <v>0</v>
      </c>
    </row>
    <row r="131" spans="1:10" hidden="1">
      <c r="A131" t="str">
        <f>VIPcric_2!I2364</f>
        <v>CRIC-菏泽-市场监测.商品房市场.项目累计.供求.xlsx</v>
      </c>
      <c r="B131" t="str">
        <f t="shared" si="24"/>
        <v>菏泽</v>
      </c>
      <c r="C131" t="s">
        <v>832</v>
      </c>
      <c r="D131">
        <f>VIPcric_2!F2364</f>
        <v>6813</v>
      </c>
      <c r="E131">
        <f>VIPcric_2!D2373</f>
        <v>16.8</v>
      </c>
      <c r="F131" s="22">
        <f>(10+19+155+625*1.05)/30</f>
        <v>28.008333333333333</v>
      </c>
      <c r="I131" s="31">
        <f t="shared" ref="I131:I151" si="36">H131/D131</f>
        <v>0</v>
      </c>
      <c r="J131" s="31">
        <f t="shared" ref="J131:J151" si="37">G131/D131</f>
        <v>0</v>
      </c>
    </row>
    <row r="132" spans="1:10" hidden="1">
      <c r="A132" t="str">
        <f>VIPcric_2!I2380</f>
        <v>CRIC-蚌埠-市场监测.商品房市场.项目累计.供求.xlsx</v>
      </c>
      <c r="B132" t="str">
        <f t="shared" si="24"/>
        <v>蚌埠</v>
      </c>
      <c r="C132" t="s">
        <v>837</v>
      </c>
      <c r="D132">
        <f>VIPcric_2!F2380</f>
        <v>9161</v>
      </c>
      <c r="E132">
        <f>VIPcric_2!D2386</f>
        <v>14.3</v>
      </c>
      <c r="F132" s="22">
        <f t="shared" ref="F132:F134" si="38">(10+19+150+605*1.05)/30</f>
        <v>27.141666666666666</v>
      </c>
      <c r="I132" s="31">
        <f t="shared" si="36"/>
        <v>0</v>
      </c>
      <c r="J132" s="31">
        <f t="shared" si="37"/>
        <v>0</v>
      </c>
    </row>
    <row r="133" spans="1:10" hidden="1">
      <c r="A133" t="str">
        <f>VIPcric_2!I2391</f>
        <v>CRIC-衡阳-市场监测.商品房市场.项目累计.供求.xlsx</v>
      </c>
      <c r="B133" t="str">
        <f t="shared" si="24"/>
        <v>衡阳</v>
      </c>
      <c r="C133" t="s">
        <v>856</v>
      </c>
      <c r="D133">
        <f>VIPcric_2!F2391</f>
        <v>5922</v>
      </c>
      <c r="E133">
        <f>VIPcric_2!D2401</f>
        <v>30</v>
      </c>
      <c r="F133" s="22">
        <f t="shared" si="38"/>
        <v>27.141666666666666</v>
      </c>
      <c r="I133" s="31">
        <f t="shared" si="36"/>
        <v>0</v>
      </c>
      <c r="J133" s="31">
        <f t="shared" si="37"/>
        <v>0</v>
      </c>
    </row>
    <row r="134" spans="1:10" hidden="1">
      <c r="A134" t="str">
        <f>VIPcric_2!I2408</f>
        <v>CRIC-衢州-市场监测.商品房市场.项目累计.供求.xlsx</v>
      </c>
      <c r="B134" t="str">
        <f t="shared" si="24"/>
        <v>衢州</v>
      </c>
      <c r="C134" t="s">
        <v>834</v>
      </c>
      <c r="D134">
        <f>VIPcric_2!F2408</f>
        <v>18798</v>
      </c>
      <c r="E134">
        <f>VIPcric_2!D2418</f>
        <v>24.1</v>
      </c>
      <c r="F134" s="22">
        <f t="shared" si="38"/>
        <v>27.141666666666666</v>
      </c>
      <c r="I134" s="31">
        <f t="shared" si="36"/>
        <v>0</v>
      </c>
      <c r="J134" s="31">
        <f t="shared" si="37"/>
        <v>0</v>
      </c>
    </row>
    <row r="135" spans="1:10" hidden="1">
      <c r="A135" t="str">
        <f>VIPcric_2!I2427</f>
        <v>CRIC-西宁-市场监测.商品房市场.项目累计.供求.xlsx</v>
      </c>
      <c r="B135" t="str">
        <f t="shared" si="24"/>
        <v>西宁</v>
      </c>
      <c r="C135" t="s">
        <v>863</v>
      </c>
      <c r="D135">
        <f>VIPcric_2!F2427</f>
        <v>9539</v>
      </c>
      <c r="E135">
        <f>VIPcric_2!D2436</f>
        <v>25.7</v>
      </c>
      <c r="F135" s="22">
        <f>(10+19+160+665*1.05)/30</f>
        <v>29.574999999999999</v>
      </c>
      <c r="I135" s="31">
        <f t="shared" si="36"/>
        <v>0</v>
      </c>
      <c r="J135" s="31">
        <f t="shared" si="37"/>
        <v>0</v>
      </c>
    </row>
    <row r="136" spans="1:10" hidden="1">
      <c r="A136" t="str">
        <f>VIPcric_2!I2443</f>
        <v>CRIC-西安-市场监测.商品房市场.项目累计.供求.xlsx</v>
      </c>
      <c r="B136" t="str">
        <f t="shared" si="24"/>
        <v>西安</v>
      </c>
      <c r="C136" t="s">
        <v>853</v>
      </c>
      <c r="D136">
        <f>VIPcric_2!F2443</f>
        <v>18151</v>
      </c>
      <c r="E136">
        <f>VIPcric_2!D2453</f>
        <v>8.8000000000000007</v>
      </c>
      <c r="F136" s="22">
        <f>(10+19+155+625*1.05)/30</f>
        <v>28.008333333333333</v>
      </c>
      <c r="I136" s="31">
        <f t="shared" si="36"/>
        <v>0</v>
      </c>
      <c r="J136" s="31">
        <f t="shared" si="37"/>
        <v>0</v>
      </c>
    </row>
    <row r="137" spans="1:10" hidden="1">
      <c r="A137" t="str">
        <f>VIPcric_2!I2461</f>
        <v>CRIC-贵阳-市场监测.商品房市场.项目累计.供求.xlsx</v>
      </c>
      <c r="B137" t="str">
        <f t="shared" si="24"/>
        <v>贵阳</v>
      </c>
      <c r="C137" t="s">
        <v>854</v>
      </c>
      <c r="D137">
        <f>VIPcric_2!F2461</f>
        <v>11137</v>
      </c>
      <c r="E137" s="22">
        <f>VIPcric_2!G2459</f>
        <v>16.465984978734955</v>
      </c>
      <c r="F137" s="22">
        <f t="shared" ref="F137:F139" si="39">(10+19+150+605*1.05)/30</f>
        <v>27.141666666666666</v>
      </c>
      <c r="I137" s="31">
        <f t="shared" si="36"/>
        <v>0</v>
      </c>
      <c r="J137" s="31">
        <f t="shared" si="37"/>
        <v>0</v>
      </c>
    </row>
    <row r="138" spans="1:10" hidden="1">
      <c r="A138" t="str">
        <f>VIPcric_2!I2472</f>
        <v>CRIC-资阳-市场监测.商品房市场.项目累计.供求.xlsx</v>
      </c>
      <c r="B138" t="str">
        <f t="shared" si="24"/>
        <v>资阳</v>
      </c>
      <c r="C138" t="s">
        <v>835</v>
      </c>
      <c r="D138">
        <f>VIPcric_2!F2472</f>
        <v>7408</v>
      </c>
      <c r="E138">
        <f>VIPcric_2!D2482</f>
        <v>18.600000000000001</v>
      </c>
      <c r="F138" s="22">
        <f t="shared" si="39"/>
        <v>27.141666666666666</v>
      </c>
      <c r="I138" s="31">
        <f t="shared" si="36"/>
        <v>0</v>
      </c>
      <c r="J138" s="31">
        <f t="shared" si="37"/>
        <v>0</v>
      </c>
    </row>
    <row r="139" spans="1:10" hidden="1">
      <c r="A139" t="str">
        <f>VIPcric_2!I2488</f>
        <v>CRIC-赣州-市场监测.商品房市场.项目累计.供求.xlsx</v>
      </c>
      <c r="B139" t="str">
        <f t="shared" si="24"/>
        <v>赣州</v>
      </c>
      <c r="C139" t="s">
        <v>830</v>
      </c>
      <c r="D139">
        <f>VIPcric_2!F2488</f>
        <v>7092</v>
      </c>
      <c r="E139">
        <f>VIPcric_2!D2496</f>
        <v>18</v>
      </c>
      <c r="F139" s="22">
        <f t="shared" si="39"/>
        <v>27.141666666666666</v>
      </c>
      <c r="I139" s="31">
        <f t="shared" si="36"/>
        <v>0</v>
      </c>
      <c r="J139" s="31">
        <f t="shared" si="37"/>
        <v>0</v>
      </c>
    </row>
    <row r="140" spans="1:10" hidden="1">
      <c r="A140" t="str">
        <f>VIPcric_2!I2501</f>
        <v>CRIC-赤峰-市场监测.商品房市场.项目累计.供求.xlsx</v>
      </c>
      <c r="B140" t="str">
        <f t="shared" si="24"/>
        <v>赤峰</v>
      </c>
      <c r="C140" t="s">
        <v>849</v>
      </c>
      <c r="D140">
        <f>VIPcric_2!F2501</f>
        <v>9239</v>
      </c>
      <c r="E140">
        <f>VIPcric_2!D2511</f>
        <v>25.4</v>
      </c>
      <c r="F140" s="22">
        <f>(10+19+160+665*1.05)/30</f>
        <v>29.574999999999999</v>
      </c>
      <c r="I140" s="31">
        <f t="shared" si="36"/>
        <v>0</v>
      </c>
      <c r="J140" s="31">
        <f t="shared" si="37"/>
        <v>0</v>
      </c>
    </row>
    <row r="141" spans="1:10" hidden="1">
      <c r="A141" t="str">
        <f>VIPcric_2!I2518</f>
        <v>CRIC-运城-市场监测.商品房市场.项目累计.供求.xlsx</v>
      </c>
      <c r="B141" t="str">
        <f t="shared" si="24"/>
        <v>运城</v>
      </c>
      <c r="C141" t="s">
        <v>855</v>
      </c>
      <c r="D141">
        <f>VIPcric_2!F2518</f>
        <v>6363</v>
      </c>
      <c r="E141">
        <f>VIPcric_2!D2528</f>
        <v>29.6</v>
      </c>
      <c r="F141" s="22">
        <f>(10+19+155+625*1.05)/30</f>
        <v>28.008333333333333</v>
      </c>
      <c r="I141" s="31">
        <f t="shared" si="36"/>
        <v>0</v>
      </c>
      <c r="J141" s="31">
        <f t="shared" si="37"/>
        <v>0</v>
      </c>
    </row>
    <row r="142" spans="1:10" hidden="1">
      <c r="A142" t="str">
        <f>VIPcric_2!I2536</f>
        <v>CRIC-连云港-市场监测.商品房市场.项目累计.供求.xlsx</v>
      </c>
      <c r="B142" t="str">
        <f>MID(A142,6,3)</f>
        <v>连云港</v>
      </c>
      <c r="C142" t="s">
        <v>841</v>
      </c>
      <c r="D142">
        <f>VIPcric_2!F2536</f>
        <v>11053</v>
      </c>
      <c r="E142" s="18">
        <f>VIPcric_2!G2534</f>
        <v>13.192067372996469</v>
      </c>
      <c r="F142" s="22">
        <f>(10+19+150+605*1.05)/30</f>
        <v>27.141666666666666</v>
      </c>
      <c r="I142" s="31">
        <f t="shared" si="36"/>
        <v>0</v>
      </c>
      <c r="J142" s="31">
        <f t="shared" si="37"/>
        <v>0</v>
      </c>
    </row>
    <row r="143" spans="1:10" hidden="1">
      <c r="A143" t="str">
        <f>VIPcric_2!I2546</f>
        <v>CRIC-郑州-市场监测.商品房市场.项目累计.供求.xlsx</v>
      </c>
      <c r="B143" t="str">
        <f t="shared" si="24"/>
        <v>郑州</v>
      </c>
      <c r="C143" t="s">
        <v>836</v>
      </c>
      <c r="D143">
        <f>VIPcric_2!F2546</f>
        <v>15086</v>
      </c>
      <c r="E143">
        <f>VIPcric_2!D2556</f>
        <v>17.7</v>
      </c>
      <c r="F143" s="22">
        <f>(10+19+155+625*1.05)/30</f>
        <v>28.008333333333333</v>
      </c>
      <c r="I143" s="31">
        <f t="shared" si="36"/>
        <v>0</v>
      </c>
      <c r="J143" s="31">
        <f t="shared" si="37"/>
        <v>0</v>
      </c>
    </row>
    <row r="144" spans="1:10" hidden="1">
      <c r="A144" t="str">
        <f>VIPcric_2!I2566</f>
        <v>CRIC-重庆-市场监测.商品房市场.项目累计.供求.xlsx</v>
      </c>
      <c r="B144" t="str">
        <f t="shared" si="24"/>
        <v>重庆</v>
      </c>
      <c r="C144" t="s">
        <v>865</v>
      </c>
      <c r="D144">
        <f>VIPcric_2!F2566</f>
        <v>14805</v>
      </c>
      <c r="E144">
        <f>VIPcric_2!D2575</f>
        <v>15.2</v>
      </c>
      <c r="F144" s="22">
        <f t="shared" ref="F144:F145" si="40">(10+19+150+605*1.05)/30</f>
        <v>27.141666666666666</v>
      </c>
      <c r="I144" s="31">
        <f t="shared" si="36"/>
        <v>0</v>
      </c>
      <c r="J144" s="31">
        <f t="shared" si="37"/>
        <v>0</v>
      </c>
    </row>
    <row r="145" spans="1:10" hidden="1">
      <c r="A145" t="str">
        <f>VIPcric_2!I2583</f>
        <v>CRIC-金华-市场监测.商品房市场.项目累计.供求.xlsx</v>
      </c>
      <c r="B145" t="str">
        <f t="shared" si="24"/>
        <v>金华</v>
      </c>
      <c r="C145" t="s">
        <v>834</v>
      </c>
      <c r="D145">
        <f>VIPcric_2!F2583</f>
        <v>18894</v>
      </c>
      <c r="E145">
        <f>VIPcric_2!D2592</f>
        <v>17.5</v>
      </c>
      <c r="F145" s="22">
        <f t="shared" si="40"/>
        <v>27.141666666666666</v>
      </c>
      <c r="I145" s="31">
        <f t="shared" si="36"/>
        <v>0</v>
      </c>
      <c r="J145" s="31">
        <f t="shared" si="37"/>
        <v>0</v>
      </c>
    </row>
    <row r="146" spans="1:10" hidden="1">
      <c r="A146" t="str">
        <f>VIPcric_2!I2600</f>
        <v>CRIC-铜川-市场监测.商品房市场.项目累计.供求.xlsx</v>
      </c>
      <c r="B146" t="str">
        <f t="shared" si="24"/>
        <v>铜川</v>
      </c>
      <c r="C146" t="s">
        <v>853</v>
      </c>
      <c r="D146">
        <f>VIPcric_2!F2600</f>
        <v>5532</v>
      </c>
      <c r="E146">
        <f>VIPcric_2!D2610</f>
        <v>57.1</v>
      </c>
      <c r="F146" s="22">
        <f>(10+19+155+625*1.05)/30</f>
        <v>28.008333333333333</v>
      </c>
      <c r="I146" s="31">
        <f t="shared" si="36"/>
        <v>0</v>
      </c>
      <c r="J146" s="31">
        <f t="shared" si="37"/>
        <v>0</v>
      </c>
    </row>
    <row r="147" spans="1:10" hidden="1">
      <c r="A147" t="str">
        <f>VIPcric_2!I2617</f>
        <v>CRIC-铜陵-市场监测.商品房市场.项目累计.供求.xlsx</v>
      </c>
      <c r="B147" t="str">
        <f t="shared" si="24"/>
        <v>铜陵</v>
      </c>
      <c r="C147" t="s">
        <v>837</v>
      </c>
      <c r="D147">
        <f>VIPcric_2!F2617</f>
        <v>7565</v>
      </c>
      <c r="E147">
        <f>VIPcric_2!D2627</f>
        <v>47.3</v>
      </c>
      <c r="F147" s="22">
        <f>(10+19+150+605*1.05)/30</f>
        <v>27.141666666666666</v>
      </c>
      <c r="I147" s="31">
        <f t="shared" si="36"/>
        <v>0</v>
      </c>
      <c r="J147" s="31">
        <f t="shared" si="37"/>
        <v>0</v>
      </c>
    </row>
    <row r="148" spans="1:10" hidden="1">
      <c r="A148" t="str">
        <f>VIPcric_2!I2636</f>
        <v>CRIC-银川-市场监测.商品房市场.项目累计.供求.xlsx</v>
      </c>
      <c r="B148" t="str">
        <f t="shared" si="24"/>
        <v>银川</v>
      </c>
      <c r="C148" t="s">
        <v>833</v>
      </c>
      <c r="D148">
        <f>VIPcric_2!F2636</f>
        <v>8194</v>
      </c>
      <c r="E148">
        <f>VIPcric_2!D2646</f>
        <v>69.599999999999994</v>
      </c>
      <c r="F148" s="22">
        <f>(10+19+155+625*1.05)/30</f>
        <v>28.008333333333333</v>
      </c>
      <c r="I148" s="31">
        <f t="shared" si="36"/>
        <v>0</v>
      </c>
      <c r="J148" s="31">
        <f t="shared" si="37"/>
        <v>0</v>
      </c>
    </row>
    <row r="149" spans="1:10" hidden="1">
      <c r="A149" t="str">
        <f>VIPcric_2!I2662</f>
        <v>CRIC-镇江-市场监测.商品房市场.项目累计.供求.xlsx</v>
      </c>
      <c r="B149" t="str">
        <f t="shared" si="24"/>
        <v>镇江</v>
      </c>
      <c r="C149" t="s">
        <v>841</v>
      </c>
      <c r="D149">
        <f>VIPcric_2!F2662</f>
        <v>10072</v>
      </c>
      <c r="E149" s="22">
        <f>VIPcric_2!D2652</f>
        <v>6.0509440286001563</v>
      </c>
      <c r="F149" s="22">
        <f>(10+19+150+605*1.05)/30</f>
        <v>27.141666666666666</v>
      </c>
      <c r="I149" s="31">
        <f t="shared" si="36"/>
        <v>0</v>
      </c>
      <c r="J149" s="31">
        <f t="shared" si="37"/>
        <v>0</v>
      </c>
    </row>
    <row r="150" spans="1:10" hidden="1">
      <c r="A150" t="str">
        <f>VIPcric_2!I2671</f>
        <v>CRIC-长春-市场监测.商品房市场.项目累计.供求.xlsx</v>
      </c>
      <c r="B150" t="str">
        <f t="shared" si="24"/>
        <v>长春</v>
      </c>
      <c r="C150" t="s">
        <v>843</v>
      </c>
      <c r="D150">
        <f>VIPcric_2!F2671</f>
        <v>8924</v>
      </c>
      <c r="E150">
        <f>VIPcric_2!H2671</f>
        <v>7.5594411515664692</v>
      </c>
      <c r="F150" s="22">
        <f>(10+19+160+665*1.05)/30</f>
        <v>29.574999999999999</v>
      </c>
      <c r="I150" s="31">
        <f t="shared" si="36"/>
        <v>0</v>
      </c>
      <c r="J150" s="31">
        <f t="shared" si="37"/>
        <v>0</v>
      </c>
    </row>
    <row r="151" spans="1:10" hidden="1">
      <c r="A151" t="str">
        <f>VIPcric_2!I2689</f>
        <v>CRIC-长沙-市场监测.商品房市场.项目累计.供求.xlsx</v>
      </c>
      <c r="B151" t="str">
        <f t="shared" si="24"/>
        <v>长沙</v>
      </c>
      <c r="C151" t="s">
        <v>856</v>
      </c>
      <c r="D151">
        <f>VIPcric_2!F2689</f>
        <v>12589</v>
      </c>
      <c r="E151">
        <f>VIPcric_2!D2699</f>
        <v>10.3</v>
      </c>
      <c r="F151" s="22">
        <f>(10+19+150+605*1.05)/30</f>
        <v>27.141666666666666</v>
      </c>
      <c r="I151" s="31">
        <f t="shared" si="36"/>
        <v>0</v>
      </c>
      <c r="J151" s="31">
        <f t="shared" si="37"/>
        <v>0</v>
      </c>
    </row>
    <row r="152" spans="1:10" hidden="1">
      <c r="A152" t="str">
        <f>VIPcric_2!I2707</f>
        <v>CRIC-阜新-市场监测.商品房市场.项目累计.供求.xlsx</v>
      </c>
      <c r="B152" t="str">
        <f t="shared" si="24"/>
        <v>阜新</v>
      </c>
      <c r="C152" t="s">
        <v>851</v>
      </c>
      <c r="D152">
        <f>VIPcric_2!F2707</f>
        <v>4002</v>
      </c>
      <c r="E152">
        <f>VIPcric_2!D2716</f>
        <v>49.3</v>
      </c>
      <c r="F152" s="22">
        <f>(10+19+160+665*1.05)/30</f>
        <v>29.574999999999999</v>
      </c>
      <c r="I152" s="31">
        <f t="shared" ref="I152:I161" si="41">H152/D152</f>
        <v>0</v>
      </c>
      <c r="J152" s="31">
        <f t="shared" ref="J152:J161" si="42">G152/D152</f>
        <v>0</v>
      </c>
    </row>
    <row r="153" spans="1:10">
      <c r="A153" t="str">
        <f>VIPcric_2!I2725</f>
        <v>CRIC-陵水-市场监测.商品房市场.项目累计.供求.xlsx</v>
      </c>
      <c r="B153" t="str">
        <f t="shared" si="24"/>
        <v>陵水</v>
      </c>
      <c r="C153" t="s">
        <v>828</v>
      </c>
      <c r="D153">
        <f>VIPcric_2!F2725</f>
        <v>19437</v>
      </c>
      <c r="E153">
        <f>VIPcric_2!D2735</f>
        <v>25.4</v>
      </c>
      <c r="F153" s="22">
        <f>(10+19+150+605*1.05)/30</f>
        <v>27.141666666666666</v>
      </c>
      <c r="G153" s="33">
        <f>陵水!F89</f>
        <v>5662.748031496063</v>
      </c>
      <c r="H153" s="33">
        <f>陵水!N88</f>
        <v>360.36886712598414</v>
      </c>
      <c r="I153" s="31">
        <f t="shared" si="41"/>
        <v>1.8540354330708657E-2</v>
      </c>
      <c r="J153" s="31">
        <f t="shared" si="42"/>
        <v>0.29133858267716534</v>
      </c>
    </row>
    <row r="154" spans="1:10" hidden="1">
      <c r="A154" t="str">
        <f>VIPcric_2!I2741</f>
        <v>CRIC-青岛-市场监测.商品房市场.项目累计.供求.xlsx</v>
      </c>
      <c r="B154" t="str">
        <f t="shared" si="24"/>
        <v>青岛</v>
      </c>
      <c r="C154" t="s">
        <v>832</v>
      </c>
      <c r="D154">
        <f>VIPcric_2!F2741</f>
        <v>14796</v>
      </c>
      <c r="E154">
        <f>VIPcric_2!D2750</f>
        <v>14.7</v>
      </c>
      <c r="F154" s="22">
        <f>(10+19+155+625*1.05)/30</f>
        <v>28.008333333333333</v>
      </c>
      <c r="I154" s="31">
        <f t="shared" si="41"/>
        <v>0</v>
      </c>
      <c r="J154" s="31">
        <f t="shared" si="42"/>
        <v>0</v>
      </c>
    </row>
    <row r="155" spans="1:10">
      <c r="A155" t="str">
        <f>VIPcric_2!I2774</f>
        <v>CRIC-韶关-市场监测.商品房市场.城市总量.xlsx</v>
      </c>
      <c r="B155" t="str">
        <f t="shared" si="24"/>
        <v>韶关</v>
      </c>
      <c r="C155" t="s">
        <v>831</v>
      </c>
      <c r="D155">
        <f>VIPcric_2!F2784</f>
        <v>6205</v>
      </c>
      <c r="E155" s="22">
        <f>VIPcric_2!F2775</f>
        <v>19.789568751411153</v>
      </c>
      <c r="F155" s="22">
        <f t="shared" ref="F155:F156" si="43">(10+19+150+605*1.05)/30</f>
        <v>27.141666666666666</v>
      </c>
      <c r="G155" s="33">
        <f>韶关!F88</f>
        <v>1881.2941538882801</v>
      </c>
      <c r="H155" s="33">
        <f>韶关!P88</f>
        <v>553.59156727050254</v>
      </c>
      <c r="I155" s="31">
        <f t="shared" si="41"/>
        <v>8.9217013258743358E-2</v>
      </c>
      <c r="J155" s="31">
        <f t="shared" si="42"/>
        <v>0.30319003285870749</v>
      </c>
    </row>
    <row r="156" spans="1:10" hidden="1">
      <c r="A156" t="str">
        <f>VIPcric_2!I2804</f>
        <v>CRIC-马鞍山-市场监测.商品房市场.项目累计.供求.xlsx</v>
      </c>
      <c r="B156" t="str">
        <f>MID(A156,6,3)</f>
        <v>马鞍山</v>
      </c>
      <c r="C156" t="s">
        <v>837</v>
      </c>
      <c r="D156">
        <f>VIPcric_2!F2804</f>
        <v>10831</v>
      </c>
      <c r="E156">
        <f>VIPcric_2!G2801</f>
        <v>21.624421831637374</v>
      </c>
      <c r="F156" s="22">
        <f t="shared" si="43"/>
        <v>27.141666666666666</v>
      </c>
      <c r="I156" s="31">
        <f t="shared" si="41"/>
        <v>0</v>
      </c>
      <c r="J156" s="31">
        <f t="shared" si="42"/>
        <v>0</v>
      </c>
    </row>
    <row r="157" spans="1:10" hidden="1">
      <c r="A157" t="str">
        <f>VIPcric_2!I2814</f>
        <v>CRIC-驻马店-市场监测.商品房市场.项目累计.供求.xlsx</v>
      </c>
      <c r="B157" t="str">
        <f>MID(A157,6,3)</f>
        <v>驻马店</v>
      </c>
      <c r="C157" t="s">
        <v>836</v>
      </c>
      <c r="D157">
        <f>VIPcric_2!F2814</f>
        <v>6354</v>
      </c>
      <c r="E157">
        <f>VIPcric_2!D2824</f>
        <v>51.2</v>
      </c>
      <c r="F157" s="22">
        <f t="shared" ref="F157:F158" si="44">(10+19+155+625*1.05)/30</f>
        <v>28.008333333333333</v>
      </c>
      <c r="I157" s="31">
        <f t="shared" si="41"/>
        <v>0</v>
      </c>
      <c r="J157" s="31">
        <f t="shared" si="42"/>
        <v>0</v>
      </c>
    </row>
    <row r="158" spans="1:10" hidden="1">
      <c r="A158" t="str">
        <f>VIPcric_2!I2832</f>
        <v>CRIC-鹤壁-市场监测.商品房市场.项目累计.供求.xlsx</v>
      </c>
      <c r="B158" t="str">
        <f t="shared" si="24"/>
        <v>鹤壁</v>
      </c>
      <c r="C158" t="s">
        <v>836</v>
      </c>
      <c r="D158">
        <f>VIPcric_2!F2832</f>
        <v>6016</v>
      </c>
      <c r="E158">
        <f>VIPcric_2!D2841</f>
        <v>36.4</v>
      </c>
      <c r="F158" s="22">
        <f t="shared" si="44"/>
        <v>28.008333333333333</v>
      </c>
      <c r="I158" s="31">
        <f t="shared" si="41"/>
        <v>0</v>
      </c>
      <c r="J158" s="31">
        <f t="shared" si="42"/>
        <v>0</v>
      </c>
    </row>
    <row r="159" spans="1:10" hidden="1">
      <c r="A159" t="str">
        <f>VIPcric_2!I2847</f>
        <v>CRIC-鹰潭-市场监测.商品房市场.项目累计.供求.xlsx</v>
      </c>
      <c r="B159" t="str">
        <f t="shared" si="24"/>
        <v>鹰潭</v>
      </c>
      <c r="C159" t="s">
        <v>830</v>
      </c>
      <c r="D159">
        <f>VIPcric_2!F2847</f>
        <v>7221</v>
      </c>
      <c r="E159">
        <f>VIPcric_2!D2858</f>
        <v>22.1</v>
      </c>
      <c r="F159" s="22">
        <f>(10+19+150+605*1.05)/30</f>
        <v>27.141666666666666</v>
      </c>
      <c r="I159" s="31">
        <f t="shared" si="41"/>
        <v>0</v>
      </c>
      <c r="J159" s="31">
        <f t="shared" si="42"/>
        <v>0</v>
      </c>
    </row>
    <row r="160" spans="1:10" hidden="1">
      <c r="A160" t="str">
        <f>VIPcric_2!I2862</f>
        <v>CRIC-黄南藏族自治州-市场监测.商品房市场.项目累计.供求.xlsx</v>
      </c>
      <c r="B160" t="str">
        <f>MID(A160,6,4)</f>
        <v>黄南藏族</v>
      </c>
      <c r="C160" t="s">
        <v>863</v>
      </c>
      <c r="D160">
        <f>VIPcric_2!F2862</f>
        <v>5551</v>
      </c>
      <c r="E160">
        <f>VIPcric_2!D2871</f>
        <v>26.9</v>
      </c>
      <c r="F160" s="22">
        <f>(10+19+160+665*1.05)/30</f>
        <v>29.574999999999999</v>
      </c>
      <c r="I160" s="31">
        <f t="shared" si="41"/>
        <v>0</v>
      </c>
      <c r="J160" s="31">
        <f t="shared" si="42"/>
        <v>0</v>
      </c>
    </row>
    <row r="161" spans="1:10" hidden="1">
      <c r="A161" t="str">
        <f>VIPcric_2!I2877</f>
        <v>CRIC-黄石-市场监测.商品房市场.项目累计.供求.xlsx</v>
      </c>
      <c r="B161" t="str">
        <f t="shared" ref="B161" si="45">MID(A161,6,2)</f>
        <v>黄石</v>
      </c>
      <c r="C161" t="s">
        <v>862</v>
      </c>
      <c r="D161">
        <f>VIPcric_2!F2877</f>
        <v>7247</v>
      </c>
      <c r="E161">
        <f>VIPcric_2!D2887</f>
        <v>13.8</v>
      </c>
      <c r="F161" s="22">
        <f>(10+19+150+605*1.05)/30</f>
        <v>27.141666666666666</v>
      </c>
      <c r="I161" s="31">
        <f t="shared" si="41"/>
        <v>0</v>
      </c>
      <c r="J161" s="31">
        <f t="shared" si="42"/>
        <v>0</v>
      </c>
    </row>
    <row r="162" spans="1:10">
      <c r="I162" s="31"/>
      <c r="J162" s="31"/>
    </row>
    <row r="163" spans="1:10">
      <c r="I163" s="31"/>
      <c r="J163" s="31"/>
    </row>
    <row r="164" spans="1:10">
      <c r="I164" s="31"/>
      <c r="J164" s="31"/>
    </row>
    <row r="165" spans="1:10">
      <c r="I165" s="31"/>
      <c r="J165" s="31"/>
    </row>
    <row r="166" spans="1:10">
      <c r="I166" s="31"/>
      <c r="J166" s="31"/>
    </row>
    <row r="167" spans="1:10">
      <c r="I167" s="31"/>
      <c r="J167" s="31"/>
    </row>
    <row r="168" spans="1:10">
      <c r="I168" s="31"/>
      <c r="J168" s="31"/>
    </row>
    <row r="169" spans="1:10">
      <c r="I169" s="31"/>
      <c r="J169" s="31"/>
    </row>
    <row r="170" spans="1:10">
      <c r="I170" s="31"/>
      <c r="J170" s="31"/>
    </row>
    <row r="171" spans="1:10">
      <c r="I171" s="31"/>
      <c r="J171" s="31"/>
    </row>
    <row r="172" spans="1:10">
      <c r="I172" s="31"/>
      <c r="J172" s="31"/>
    </row>
    <row r="173" spans="1:10">
      <c r="I173" s="31"/>
      <c r="J173" s="31"/>
    </row>
    <row r="174" spans="1:10">
      <c r="I174" s="31"/>
      <c r="J174" s="31"/>
    </row>
    <row r="175" spans="1:10">
      <c r="I175" s="31"/>
      <c r="J175" s="31"/>
    </row>
    <row r="176" spans="1:10">
      <c r="I176" s="31"/>
      <c r="J176" s="31"/>
    </row>
    <row r="177" spans="9:10">
      <c r="I177" s="31"/>
      <c r="J177" s="31"/>
    </row>
    <row r="178" spans="9:10">
      <c r="I178" s="31"/>
      <c r="J178" s="31"/>
    </row>
    <row r="179" spans="9:10">
      <c r="I179" s="31"/>
      <c r="J179" s="31"/>
    </row>
    <row r="180" spans="9:10">
      <c r="I180" s="31"/>
      <c r="J180" s="31"/>
    </row>
    <row r="181" spans="9:10">
      <c r="I181" s="31"/>
      <c r="J181" s="31"/>
    </row>
    <row r="182" spans="9:10">
      <c r="I182" s="31"/>
      <c r="J182" s="31"/>
    </row>
    <row r="183" spans="9:10">
      <c r="I183" s="31"/>
      <c r="J183" s="31"/>
    </row>
    <row r="184" spans="9:10">
      <c r="I184" s="31"/>
      <c r="J184" s="31"/>
    </row>
    <row r="185" spans="9:10">
      <c r="I185" s="31"/>
      <c r="J185" s="31"/>
    </row>
    <row r="1018" spans="6:6">
      <c r="F1018" t="s">
        <v>857</v>
      </c>
    </row>
    <row r="1020" spans="6:6">
      <c r="F1020" s="38" t="e">
        <f>B1029/B1020*12</f>
        <v>#DIV/0!</v>
      </c>
    </row>
    <row r="1111" spans="6:6">
      <c r="F1111" t="s">
        <v>857</v>
      </c>
    </row>
    <row r="1112" spans="6:6">
      <c r="F1112">
        <v>24</v>
      </c>
    </row>
    <row r="1666" spans="6:6">
      <c r="F1666" t="s">
        <v>857</v>
      </c>
    </row>
    <row r="1667" spans="6:6">
      <c r="F1667" s="18" t="e">
        <f>C1669/E1669*12</f>
        <v>#DIV/0!</v>
      </c>
    </row>
    <row r="1871" spans="6:6">
      <c r="F1871" t="s">
        <v>857</v>
      </c>
    </row>
    <row r="1872" spans="6:6">
      <c r="F1872" s="22" t="e">
        <f>C1874/E1874*12</f>
        <v>#DIV/0!</v>
      </c>
    </row>
    <row r="1897" spans="6:6">
      <c r="F1897" t="s">
        <v>857</v>
      </c>
    </row>
    <row r="1898" spans="6:6">
      <c r="F1898" s="22" t="e">
        <f>C1906/E1905*12</f>
        <v>#DIV/0!</v>
      </c>
    </row>
    <row r="2098" spans="6:6">
      <c r="F2098" t="s">
        <v>857</v>
      </c>
    </row>
    <row r="2099" spans="6:6">
      <c r="F2099">
        <v>38.299999999999997</v>
      </c>
    </row>
    <row r="2199" spans="6:6">
      <c r="F2199" t="s">
        <v>857</v>
      </c>
    </row>
    <row r="2200" spans="6:6">
      <c r="F2200" s="18" t="e">
        <f>C2202/E2202*12</f>
        <v>#DIV/0!</v>
      </c>
    </row>
    <row r="2210" spans="6:7">
      <c r="F2210" t="s">
        <v>858</v>
      </c>
      <c r="G2210" s="18" t="e">
        <f>C2212/E2212*12</f>
        <v>#DIV/0!</v>
      </c>
    </row>
    <row r="2257" spans="4:4">
      <c r="D2257" t="s">
        <v>857</v>
      </c>
    </row>
    <row r="2259" spans="4:4">
      <c r="D2259" s="18" t="e">
        <f>C2266/B2259*12</f>
        <v>#DIV/0!</v>
      </c>
    </row>
    <row r="2459" spans="6:7">
      <c r="F2459" t="s">
        <v>858</v>
      </c>
      <c r="G2459" s="22" t="e">
        <f>C2463/E2463*12</f>
        <v>#DIV/0!</v>
      </c>
    </row>
    <row r="2534" spans="6:7">
      <c r="F2534" t="s">
        <v>858</v>
      </c>
      <c r="G2534" s="33" t="e">
        <f>C2536/E2536*12</f>
        <v>#DIV/0!</v>
      </c>
    </row>
    <row r="2650" spans="4:4">
      <c r="D2650" t="s">
        <v>857</v>
      </c>
    </row>
    <row r="2652" spans="4:4">
      <c r="D2652" t="e">
        <f>C2662/E2662*12</f>
        <v>#DIV/0!</v>
      </c>
    </row>
    <row r="2653" spans="4:4">
      <c r="D2653" t="e">
        <f t="shared" ref="D2653:D2655" si="46">C2663/E2663*12</f>
        <v>#DIV/0!</v>
      </c>
    </row>
    <row r="2654" spans="4:4">
      <c r="D2654" t="e">
        <f t="shared" si="46"/>
        <v>#DIV/0!</v>
      </c>
    </row>
    <row r="2655" spans="4:4">
      <c r="D2655" t="e">
        <f t="shared" si="46"/>
        <v>#DIV/0!</v>
      </c>
    </row>
    <row r="2670" spans="8:8">
      <c r="H2670" s="33" t="s">
        <v>857</v>
      </c>
    </row>
    <row r="2671" spans="8:8">
      <c r="H2671" s="33" t="e">
        <f>C2671/E2671*12</f>
        <v>#DIV/0!</v>
      </c>
    </row>
    <row r="2672" spans="8:8">
      <c r="H2672" s="33" t="e">
        <f>C2672/E2672*12</f>
        <v>#DIV/0!</v>
      </c>
    </row>
    <row r="2673" spans="8:8">
      <c r="H2673" s="33" t="e">
        <f>C2673/E2673*12</f>
        <v>#DIV/0!</v>
      </c>
    </row>
    <row r="2773" spans="6:6">
      <c r="F2773" t="s">
        <v>857</v>
      </c>
    </row>
    <row r="2775" spans="6:6">
      <c r="F2775" s="8" t="e">
        <f>C2784/E2784*12</f>
        <v>#DIV/0!</v>
      </c>
    </row>
    <row r="2776" spans="6:6">
      <c r="F2776" s="8" t="e">
        <f t="shared" ref="F2776:F2778" si="47">C2785/E2785*12</f>
        <v>#DIV/0!</v>
      </c>
    </row>
    <row r="2777" spans="6:6">
      <c r="F2777" s="8" t="e">
        <f t="shared" si="47"/>
        <v>#DIV/0!</v>
      </c>
    </row>
    <row r="2778" spans="6:6">
      <c r="F2778" s="8" t="e">
        <f t="shared" si="47"/>
        <v>#DIV/0!</v>
      </c>
    </row>
    <row r="2801" spans="6:7">
      <c r="F2801" t="s">
        <v>858</v>
      </c>
      <c r="G2801" s="33" t="e">
        <f>C2804/E2804*12</f>
        <v>#DIV/0!</v>
      </c>
    </row>
    <row r="2860" spans="6:7">
      <c r="F2860" t="s">
        <v>858</v>
      </c>
      <c r="G2860" s="33" t="e">
        <f>C2862/E2862*12</f>
        <v>#DIV/0!</v>
      </c>
    </row>
  </sheetData>
  <autoFilter ref="A1:J161" xr:uid="{00000000-0001-0000-0E00-000000000000}">
    <filterColumn colId="7">
      <customFilters>
        <customFilter operator="notEqual" val=" "/>
      </customFilters>
    </filterColumn>
  </autoFilter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9"/>
  <sheetViews>
    <sheetView topLeftCell="A49" workbookViewId="0">
      <selection activeCell="D59" sqref="D59"/>
    </sheetView>
  </sheetViews>
  <sheetFormatPr defaultRowHeight="13.8"/>
  <cols>
    <col min="1" max="1" width="5.5546875" bestFit="1" customWidth="1"/>
    <col min="2" max="2" width="9.5546875" bestFit="1" customWidth="1"/>
    <col min="3" max="4" width="9.5546875" customWidth="1"/>
    <col min="5" max="5" width="8.5546875" style="23" bestFit="1" customWidth="1"/>
    <col min="6" max="6" width="10.5546875" style="59" bestFit="1" customWidth="1"/>
    <col min="7" max="8" width="10.5546875" style="59" customWidth="1"/>
    <col min="9" max="9" width="10.5546875" style="59" bestFit="1" customWidth="1"/>
    <col min="10" max="10" width="7.5546875" style="59" bestFit="1" customWidth="1"/>
    <col min="11" max="11" width="13.88671875" style="59" bestFit="1" customWidth="1"/>
    <col min="12" max="16" width="9.5546875" style="59" bestFit="1" customWidth="1"/>
    <col min="18" max="18" width="9.5546875" bestFit="1" customWidth="1"/>
    <col min="19" max="19" width="9.88671875" bestFit="1" customWidth="1"/>
    <col min="20" max="20" width="7" bestFit="1" customWidth="1"/>
  </cols>
  <sheetData>
    <row r="1" spans="1:22">
      <c r="A1" t="s">
        <v>1433</v>
      </c>
      <c r="B1" t="s">
        <v>1434</v>
      </c>
      <c r="C1" t="s">
        <v>1435</v>
      </c>
      <c r="D1" t="s">
        <v>1436</v>
      </c>
      <c r="E1" s="23" t="s">
        <v>1437</v>
      </c>
      <c r="F1" s="59" t="s">
        <v>1438</v>
      </c>
      <c r="K1" s="59" t="s">
        <v>1439</v>
      </c>
      <c r="P1" s="59" t="s">
        <v>1440</v>
      </c>
      <c r="R1" s="55" t="s">
        <v>1441</v>
      </c>
      <c r="S1" s="56">
        <f>3.45%*3/12</f>
        <v>8.6250000000000007E-3</v>
      </c>
      <c r="T1" s="56">
        <f>S1*12</f>
        <v>0.10350000000000001</v>
      </c>
    </row>
    <row r="2" spans="1:22">
      <c r="G2" s="59" t="s">
        <v>1442</v>
      </c>
      <c r="L2" s="59" t="s">
        <v>1443</v>
      </c>
      <c r="R2" s="55" t="s">
        <v>1444</v>
      </c>
      <c r="S2" s="56">
        <f>VIPcric_3!D20</f>
        <v>8031</v>
      </c>
      <c r="T2" s="56" t="s">
        <v>1445</v>
      </c>
    </row>
    <row r="3" spans="1:22">
      <c r="H3" s="59" t="s">
        <v>1446</v>
      </c>
      <c r="M3" s="59" t="s">
        <v>1447</v>
      </c>
      <c r="R3" s="55" t="s">
        <v>1448</v>
      </c>
      <c r="S3" s="56">
        <f>VIPcric_3!E20</f>
        <v>20.7</v>
      </c>
      <c r="T3" s="56" t="s">
        <v>1449</v>
      </c>
    </row>
    <row r="4" spans="1:22">
      <c r="I4" s="59" t="s">
        <v>1450</v>
      </c>
      <c r="J4" s="59" t="s">
        <v>1451</v>
      </c>
      <c r="N4" s="59" t="s">
        <v>1452</v>
      </c>
      <c r="O4" s="59" t="s">
        <v>1453</v>
      </c>
      <c r="R4" s="55" t="s">
        <v>1454</v>
      </c>
      <c r="S4" s="57">
        <f>(10+19+150+605*1.05)/30</f>
        <v>27.141666666666666</v>
      </c>
      <c r="T4" s="56" t="s">
        <v>1455</v>
      </c>
      <c r="U4">
        <v>1.05</v>
      </c>
      <c r="V4" t="s">
        <v>1456</v>
      </c>
    </row>
    <row r="5" spans="1:22">
      <c r="A5">
        <f>ROW()-4</f>
        <v>1</v>
      </c>
      <c r="C5">
        <v>1</v>
      </c>
      <c r="P5" s="59">
        <f t="shared" ref="P5:P18" si="0">(F5*K5+G5*L5+H5*M5+I5*N5+J5*O5)*$S$1</f>
        <v>0</v>
      </c>
      <c r="R5" s="55" t="s">
        <v>1457</v>
      </c>
      <c r="S5" s="57">
        <f>(10+19+150)/30</f>
        <v>5.9666666666666668</v>
      </c>
      <c r="T5" s="56" t="s">
        <v>1455</v>
      </c>
    </row>
    <row r="6" spans="1:22">
      <c r="A6">
        <f t="shared" ref="A6:A41" si="1">ROW()-4</f>
        <v>2</v>
      </c>
      <c r="C6">
        <v>1</v>
      </c>
      <c r="P6" s="59">
        <f t="shared" si="0"/>
        <v>0</v>
      </c>
      <c r="R6" s="55" t="s">
        <v>1458</v>
      </c>
      <c r="S6" s="57">
        <f>(10+19+150+605*1.05-S7*30)/30</f>
        <v>20.141666666666666</v>
      </c>
      <c r="T6" s="56" t="s">
        <v>1455</v>
      </c>
    </row>
    <row r="7" spans="1:22">
      <c r="A7">
        <f t="shared" si="1"/>
        <v>3</v>
      </c>
      <c r="C7">
        <v>1</v>
      </c>
      <c r="P7" s="59">
        <f t="shared" si="0"/>
        <v>0</v>
      </c>
      <c r="R7" s="55" t="s">
        <v>1459</v>
      </c>
      <c r="S7" s="56">
        <v>7</v>
      </c>
      <c r="T7" s="56" t="s">
        <v>1455</v>
      </c>
    </row>
    <row r="8" spans="1:22">
      <c r="A8">
        <f t="shared" si="1"/>
        <v>4</v>
      </c>
      <c r="C8">
        <v>1</v>
      </c>
      <c r="P8" s="59">
        <f t="shared" si="0"/>
        <v>0</v>
      </c>
      <c r="R8" s="56" t="s">
        <v>1460</v>
      </c>
      <c r="S8" s="56">
        <v>2</v>
      </c>
      <c r="T8" s="56" t="s">
        <v>1455</v>
      </c>
    </row>
    <row r="9" spans="1:22">
      <c r="A9">
        <f t="shared" si="1"/>
        <v>5</v>
      </c>
      <c r="C9">
        <v>1</v>
      </c>
      <c r="P9" s="59">
        <f t="shared" si="0"/>
        <v>0</v>
      </c>
      <c r="R9" s="55" t="s">
        <v>1461</v>
      </c>
      <c r="S9" s="56">
        <v>12</v>
      </c>
      <c r="T9" s="56" t="s">
        <v>1455</v>
      </c>
    </row>
    <row r="10" spans="1:22">
      <c r="A10">
        <f t="shared" si="1"/>
        <v>6</v>
      </c>
      <c r="C10">
        <v>1</v>
      </c>
      <c r="P10" s="59">
        <f t="shared" si="0"/>
        <v>0</v>
      </c>
      <c r="R10" s="56" t="s">
        <v>1462</v>
      </c>
      <c r="S10" s="58">
        <v>2400</v>
      </c>
      <c r="T10" s="56"/>
    </row>
    <row r="11" spans="1:22">
      <c r="A11">
        <f t="shared" si="1"/>
        <v>7</v>
      </c>
      <c r="B11">
        <v>1</v>
      </c>
      <c r="C11">
        <v>1</v>
      </c>
      <c r="E11" s="23">
        <f t="shared" ref="E11:E18" si="2">1/$S$3*$S$2</f>
        <v>387.97101449275362</v>
      </c>
      <c r="F11" s="59">
        <f t="shared" ref="F11:F16" si="3">E11</f>
        <v>387.97101449275362</v>
      </c>
      <c r="K11" s="59">
        <v>6</v>
      </c>
      <c r="P11" s="59">
        <f>(F11*K11+G11*L11+H11*M11+I11*N11+J11*O11)*$S$1</f>
        <v>20.077500000000004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387.97101449275362</v>
      </c>
      <c r="F12" s="59">
        <f t="shared" si="3"/>
        <v>387.97101449275362</v>
      </c>
      <c r="K12" s="59">
        <f>K11-1</f>
        <v>5</v>
      </c>
      <c r="P12" s="59">
        <f t="shared" si="0"/>
        <v>16.731249999999999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387.97101449275362</v>
      </c>
      <c r="F13" s="59">
        <f t="shared" si="3"/>
        <v>387.97101449275362</v>
      </c>
      <c r="K13" s="59">
        <f t="shared" ref="K13:K16" si="4">K12-1</f>
        <v>4</v>
      </c>
      <c r="P13" s="59">
        <f t="shared" si="0"/>
        <v>13.385000000000002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387.97101449275362</v>
      </c>
      <c r="F14" s="59">
        <f t="shared" si="3"/>
        <v>387.97101449275362</v>
      </c>
      <c r="K14" s="59">
        <f t="shared" si="4"/>
        <v>3</v>
      </c>
      <c r="P14" s="59">
        <f t="shared" si="0"/>
        <v>10.038750000000002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387.97101449275362</v>
      </c>
      <c r="F15" s="59">
        <f t="shared" si="3"/>
        <v>387.97101449275362</v>
      </c>
      <c r="K15" s="59">
        <f t="shared" si="4"/>
        <v>2</v>
      </c>
      <c r="P15" s="59">
        <f t="shared" si="0"/>
        <v>6.6925000000000008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387.97101449275362</v>
      </c>
      <c r="F16" s="59">
        <f t="shared" si="3"/>
        <v>387.97101449275362</v>
      </c>
      <c r="K16" s="59">
        <f t="shared" si="4"/>
        <v>1</v>
      </c>
      <c r="P16" s="59">
        <f t="shared" si="0"/>
        <v>3.3462500000000004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387.97101449275362</v>
      </c>
      <c r="G17" s="59">
        <f>E17*55%</f>
        <v>213.3840579710145</v>
      </c>
      <c r="L17" s="59">
        <v>3</v>
      </c>
      <c r="P17" s="59">
        <f t="shared" si="0"/>
        <v>5.5213125000000005</v>
      </c>
    </row>
    <row r="18" spans="1:16">
      <c r="A18">
        <f t="shared" si="1"/>
        <v>14</v>
      </c>
      <c r="B18">
        <v>1</v>
      </c>
      <c r="C18">
        <v>1</v>
      </c>
      <c r="E18" s="23">
        <f t="shared" si="2"/>
        <v>387.97101449275362</v>
      </c>
      <c r="G18" s="59">
        <f t="shared" ref="G18:G19" si="5">E18*55%</f>
        <v>213.3840579710145</v>
      </c>
      <c r="L18" s="59">
        <v>2</v>
      </c>
      <c r="P18" s="59">
        <f t="shared" si="0"/>
        <v>3.6808750000000003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31" si="6">1/$S$3*$S$2</f>
        <v>387.97101449275362</v>
      </c>
      <c r="G19" s="59">
        <f t="shared" si="5"/>
        <v>213.3840579710145</v>
      </c>
      <c r="L19" s="59">
        <v>1</v>
      </c>
      <c r="P19" s="59">
        <f>(F19*K19+G19*L19+H19*M19+I19*N19+J19*O19)*$S$1</f>
        <v>1.8404375000000002</v>
      </c>
    </row>
    <row r="20" spans="1:16">
      <c r="A20">
        <f t="shared" si="1"/>
        <v>16</v>
      </c>
      <c r="B20">
        <v>1</v>
      </c>
      <c r="C20">
        <v>1</v>
      </c>
      <c r="E20" s="23">
        <f t="shared" si="6"/>
        <v>387.97101449275362</v>
      </c>
      <c r="H20" s="59">
        <f>E20*90%</f>
        <v>349.17391304347825</v>
      </c>
      <c r="M20" s="59">
        <v>12</v>
      </c>
      <c r="P20" s="59">
        <f t="shared" ref="P20:P63" si="7">(F20*K20+G20*L20+H20*M20+I20*N20+J20*O20)*$S$1</f>
        <v>36.139500000000005</v>
      </c>
    </row>
    <row r="21" spans="1:16">
      <c r="A21">
        <f t="shared" si="1"/>
        <v>17</v>
      </c>
      <c r="B21">
        <v>1</v>
      </c>
      <c r="C21">
        <v>1</v>
      </c>
      <c r="E21" s="23">
        <f t="shared" si="6"/>
        <v>387.97101449275362</v>
      </c>
      <c r="M21" s="59">
        <f>M20-1</f>
        <v>11</v>
      </c>
      <c r="P21" s="59">
        <f t="shared" si="7"/>
        <v>0</v>
      </c>
    </row>
    <row r="22" spans="1:16">
      <c r="A22">
        <f t="shared" si="1"/>
        <v>18</v>
      </c>
      <c r="B22">
        <v>1</v>
      </c>
      <c r="C22">
        <v>1</v>
      </c>
      <c r="E22" s="23">
        <f t="shared" si="6"/>
        <v>387.97101449275362</v>
      </c>
      <c r="M22" s="59">
        <f t="shared" ref="M22:M31" si="8">M21-1</f>
        <v>10</v>
      </c>
      <c r="P22" s="59">
        <f t="shared" si="7"/>
        <v>0</v>
      </c>
    </row>
    <row r="23" spans="1:16">
      <c r="A23">
        <f t="shared" si="1"/>
        <v>19</v>
      </c>
      <c r="B23">
        <v>1</v>
      </c>
      <c r="C23">
        <v>1</v>
      </c>
      <c r="E23" s="23">
        <f t="shared" si="6"/>
        <v>387.97101449275362</v>
      </c>
      <c r="M23" s="59">
        <f t="shared" si="8"/>
        <v>9</v>
      </c>
      <c r="P23" s="59">
        <f t="shared" si="7"/>
        <v>0</v>
      </c>
    </row>
    <row r="24" spans="1:16">
      <c r="A24">
        <f t="shared" si="1"/>
        <v>20</v>
      </c>
      <c r="B24">
        <v>1</v>
      </c>
      <c r="C24">
        <v>1</v>
      </c>
      <c r="E24" s="23">
        <f t="shared" si="6"/>
        <v>387.97101449275362</v>
      </c>
      <c r="M24" s="59">
        <f t="shared" si="8"/>
        <v>8</v>
      </c>
      <c r="P24" s="59">
        <f t="shared" si="7"/>
        <v>0</v>
      </c>
    </row>
    <row r="25" spans="1:16">
      <c r="A25">
        <f t="shared" si="1"/>
        <v>21</v>
      </c>
      <c r="B25">
        <v>1</v>
      </c>
      <c r="C25">
        <v>1</v>
      </c>
      <c r="E25" s="23">
        <f t="shared" si="6"/>
        <v>387.97101449275362</v>
      </c>
      <c r="M25" s="59">
        <f t="shared" si="8"/>
        <v>7</v>
      </c>
      <c r="P25" s="59">
        <f t="shared" si="7"/>
        <v>0</v>
      </c>
    </row>
    <row r="26" spans="1:16">
      <c r="A26">
        <f t="shared" si="1"/>
        <v>22</v>
      </c>
      <c r="B26">
        <v>1</v>
      </c>
      <c r="C26">
        <v>1</v>
      </c>
      <c r="E26" s="23">
        <f t="shared" si="6"/>
        <v>387.97101449275362</v>
      </c>
      <c r="M26" s="59">
        <f t="shared" si="8"/>
        <v>6</v>
      </c>
      <c r="P26" s="59">
        <f t="shared" si="7"/>
        <v>0</v>
      </c>
    </row>
    <row r="27" spans="1:16">
      <c r="A27">
        <f t="shared" si="1"/>
        <v>23</v>
      </c>
      <c r="B27">
        <v>1</v>
      </c>
      <c r="C27">
        <v>1</v>
      </c>
      <c r="E27" s="23">
        <f t="shared" si="6"/>
        <v>387.97101449275362</v>
      </c>
      <c r="M27" s="59">
        <f t="shared" si="8"/>
        <v>5</v>
      </c>
      <c r="P27" s="59">
        <f t="shared" si="7"/>
        <v>0</v>
      </c>
    </row>
    <row r="28" spans="1:16">
      <c r="A28">
        <f t="shared" si="1"/>
        <v>24</v>
      </c>
      <c r="B28">
        <v>1</v>
      </c>
      <c r="C28">
        <v>1</v>
      </c>
      <c r="E28" s="23">
        <f t="shared" si="6"/>
        <v>387.97101449275362</v>
      </c>
      <c r="M28" s="59">
        <f t="shared" si="8"/>
        <v>4</v>
      </c>
      <c r="P28" s="59">
        <f t="shared" si="7"/>
        <v>0</v>
      </c>
    </row>
    <row r="29" spans="1:16">
      <c r="A29">
        <f t="shared" si="1"/>
        <v>25</v>
      </c>
      <c r="B29">
        <v>1</v>
      </c>
      <c r="C29">
        <v>1</v>
      </c>
      <c r="E29" s="23">
        <f t="shared" si="6"/>
        <v>387.97101449275362</v>
      </c>
      <c r="M29" s="59">
        <f t="shared" si="8"/>
        <v>3</v>
      </c>
      <c r="P29" s="59">
        <f t="shared" si="7"/>
        <v>0</v>
      </c>
    </row>
    <row r="30" spans="1:16">
      <c r="A30">
        <f t="shared" si="1"/>
        <v>26</v>
      </c>
      <c r="B30">
        <v>1</v>
      </c>
      <c r="C30">
        <v>1</v>
      </c>
      <c r="E30" s="23">
        <f t="shared" si="6"/>
        <v>387.97101449275362</v>
      </c>
      <c r="M30" s="59">
        <f t="shared" si="8"/>
        <v>2</v>
      </c>
      <c r="P30" s="59">
        <f t="shared" si="7"/>
        <v>0</v>
      </c>
    </row>
    <row r="31" spans="1:16">
      <c r="A31">
        <f t="shared" si="1"/>
        <v>27</v>
      </c>
      <c r="B31">
        <v>0.7</v>
      </c>
      <c r="C31">
        <v>1</v>
      </c>
      <c r="E31" s="23">
        <f t="shared" si="6"/>
        <v>387.97101449275362</v>
      </c>
      <c r="M31" s="59">
        <f t="shared" si="8"/>
        <v>1</v>
      </c>
      <c r="P31" s="59">
        <f t="shared" si="7"/>
        <v>0</v>
      </c>
    </row>
    <row r="32" spans="1:16">
      <c r="A32">
        <f t="shared" si="1"/>
        <v>28</v>
      </c>
      <c r="D32">
        <v>1</v>
      </c>
      <c r="I32" s="59">
        <v>240</v>
      </c>
      <c r="N32" s="59">
        <v>10</v>
      </c>
      <c r="P32" s="59">
        <f t="shared" si="7"/>
        <v>20.700000000000003</v>
      </c>
    </row>
    <row r="33" spans="1:16">
      <c r="A33">
        <f t="shared" si="1"/>
        <v>29</v>
      </c>
      <c r="D33">
        <v>1</v>
      </c>
      <c r="N33" s="59">
        <f>N32-1</f>
        <v>9</v>
      </c>
      <c r="P33" s="59">
        <f t="shared" si="7"/>
        <v>0</v>
      </c>
    </row>
    <row r="34" spans="1:16">
      <c r="A34">
        <f t="shared" si="1"/>
        <v>30</v>
      </c>
      <c r="D34">
        <v>1</v>
      </c>
      <c r="N34" s="59">
        <f t="shared" ref="N34:N41" si="9">N33-1</f>
        <v>8</v>
      </c>
      <c r="P34" s="59">
        <f t="shared" si="7"/>
        <v>0</v>
      </c>
    </row>
    <row r="35" spans="1:16">
      <c r="A35">
        <f t="shared" si="1"/>
        <v>31</v>
      </c>
      <c r="D35">
        <v>1</v>
      </c>
      <c r="N35" s="59">
        <f t="shared" si="9"/>
        <v>7</v>
      </c>
      <c r="P35" s="59">
        <f t="shared" si="7"/>
        <v>0</v>
      </c>
    </row>
    <row r="36" spans="1:16">
      <c r="A36">
        <f t="shared" si="1"/>
        <v>32</v>
      </c>
      <c r="D36">
        <v>1</v>
      </c>
      <c r="N36" s="59">
        <f t="shared" si="9"/>
        <v>6</v>
      </c>
      <c r="P36" s="59">
        <f t="shared" si="7"/>
        <v>0</v>
      </c>
    </row>
    <row r="37" spans="1:16">
      <c r="A37">
        <f t="shared" si="1"/>
        <v>33</v>
      </c>
      <c r="D37">
        <v>1</v>
      </c>
      <c r="N37" s="59">
        <f t="shared" si="9"/>
        <v>5</v>
      </c>
      <c r="P37" s="59">
        <f t="shared" si="7"/>
        <v>0</v>
      </c>
    </row>
    <row r="38" spans="1:16">
      <c r="A38">
        <f t="shared" si="1"/>
        <v>34</v>
      </c>
      <c r="D38">
        <v>1</v>
      </c>
      <c r="N38" s="59">
        <f t="shared" si="9"/>
        <v>4</v>
      </c>
      <c r="P38" s="59">
        <f t="shared" si="7"/>
        <v>0</v>
      </c>
    </row>
    <row r="39" spans="1:16">
      <c r="A39">
        <f t="shared" si="1"/>
        <v>35</v>
      </c>
      <c r="D39">
        <v>1</v>
      </c>
      <c r="N39" s="59">
        <f t="shared" si="9"/>
        <v>3</v>
      </c>
      <c r="P39" s="59">
        <f t="shared" si="7"/>
        <v>0</v>
      </c>
    </row>
    <row r="40" spans="1:16">
      <c r="A40">
        <f t="shared" si="1"/>
        <v>36</v>
      </c>
      <c r="D40">
        <v>1</v>
      </c>
      <c r="N40" s="59">
        <f t="shared" si="9"/>
        <v>2</v>
      </c>
      <c r="P40" s="59">
        <f t="shared" si="7"/>
        <v>0</v>
      </c>
    </row>
    <row r="41" spans="1:16">
      <c r="A41">
        <f t="shared" si="1"/>
        <v>37</v>
      </c>
      <c r="D41">
        <v>1</v>
      </c>
      <c r="N41" s="59">
        <f t="shared" si="9"/>
        <v>1</v>
      </c>
      <c r="P41" s="59">
        <f t="shared" si="7"/>
        <v>0</v>
      </c>
    </row>
    <row r="42" spans="1:16">
      <c r="P42" s="59">
        <f t="shared" si="7"/>
        <v>0</v>
      </c>
    </row>
    <row r="43" spans="1:16">
      <c r="P43" s="59">
        <f t="shared" si="7"/>
        <v>0</v>
      </c>
    </row>
    <row r="44" spans="1:16">
      <c r="P44" s="59">
        <f t="shared" si="7"/>
        <v>0</v>
      </c>
    </row>
    <row r="45" spans="1:16">
      <c r="P45" s="59">
        <f t="shared" si="7"/>
        <v>0</v>
      </c>
    </row>
    <row r="46" spans="1:16">
      <c r="P46" s="59">
        <f t="shared" si="7"/>
        <v>0</v>
      </c>
    </row>
    <row r="47" spans="1:16">
      <c r="P47" s="59">
        <f t="shared" si="7"/>
        <v>0</v>
      </c>
    </row>
    <row r="48" spans="1:16">
      <c r="P48" s="59">
        <f t="shared" si="7"/>
        <v>0</v>
      </c>
    </row>
    <row r="49" spans="16:16">
      <c r="P49" s="59">
        <f t="shared" si="7"/>
        <v>0</v>
      </c>
    </row>
    <row r="50" spans="16:16">
      <c r="P50" s="59">
        <f t="shared" si="7"/>
        <v>0</v>
      </c>
    </row>
    <row r="51" spans="16:16">
      <c r="P51" s="59">
        <f t="shared" si="7"/>
        <v>0</v>
      </c>
    </row>
    <row r="52" spans="16:16">
      <c r="P52" s="59">
        <f t="shared" si="7"/>
        <v>0</v>
      </c>
    </row>
    <row r="53" spans="16:16">
      <c r="P53" s="59">
        <f t="shared" si="7"/>
        <v>0</v>
      </c>
    </row>
    <row r="54" spans="16:16">
      <c r="P54" s="59">
        <f t="shared" si="7"/>
        <v>0</v>
      </c>
    </row>
    <row r="55" spans="16:16">
      <c r="P55" s="59">
        <f t="shared" si="7"/>
        <v>0</v>
      </c>
    </row>
    <row r="56" spans="16:16">
      <c r="P56" s="59">
        <f t="shared" si="7"/>
        <v>0</v>
      </c>
    </row>
    <row r="57" spans="16:16">
      <c r="P57" s="59">
        <f t="shared" si="7"/>
        <v>0</v>
      </c>
    </row>
    <row r="58" spans="16:16">
      <c r="P58" s="59">
        <f t="shared" si="7"/>
        <v>0</v>
      </c>
    </row>
    <row r="59" spans="16:16">
      <c r="P59" s="59">
        <f t="shared" si="7"/>
        <v>0</v>
      </c>
    </row>
    <row r="60" spans="16:16">
      <c r="P60" s="59">
        <f t="shared" si="7"/>
        <v>0</v>
      </c>
    </row>
    <row r="61" spans="16:16">
      <c r="P61" s="59">
        <f t="shared" si="7"/>
        <v>0</v>
      </c>
    </row>
    <row r="62" spans="16:16">
      <c r="P62" s="59">
        <f t="shared" si="7"/>
        <v>0</v>
      </c>
    </row>
    <row r="63" spans="16:16">
      <c r="P63" s="59">
        <f t="shared" si="7"/>
        <v>0</v>
      </c>
    </row>
    <row r="64" spans="16:16">
      <c r="P64" s="59">
        <f t="shared" ref="P64:P67" si="10">(F64*K64+G64*L64+H64*M64+I64*N64+J64*O64)*$S$1</f>
        <v>0</v>
      </c>
    </row>
    <row r="65" spans="1:16">
      <c r="P65" s="59">
        <f t="shared" si="10"/>
        <v>0</v>
      </c>
    </row>
    <row r="66" spans="1:16">
      <c r="P66" s="59">
        <f t="shared" si="10"/>
        <v>0</v>
      </c>
    </row>
    <row r="67" spans="1:16">
      <c r="P67" s="59">
        <f t="shared" si="10"/>
        <v>0</v>
      </c>
    </row>
    <row r="68" spans="1:16" s="28" customFormat="1">
      <c r="A68" s="28">
        <f>COUNT(A5:A67)</f>
        <v>37</v>
      </c>
      <c r="B68" s="28">
        <f>SUM(B13:B67)</f>
        <v>18.7</v>
      </c>
      <c r="C68" s="28">
        <f>SUM(C5:C67)</f>
        <v>27</v>
      </c>
      <c r="E68" s="29"/>
      <c r="F68" s="29">
        <f>SUM(F5:F67)</f>
        <v>2327.8260869565215</v>
      </c>
      <c r="G68" s="29">
        <f>SUM(G5:G67)</f>
        <v>640.1521739130435</v>
      </c>
      <c r="H68" s="29">
        <f>SUM(H5:H67)</f>
        <v>349.17391304347825</v>
      </c>
      <c r="I68" s="29">
        <f>SUM(I5:I67)</f>
        <v>240</v>
      </c>
      <c r="J68" s="29"/>
      <c r="K68" s="29"/>
      <c r="L68" s="29"/>
      <c r="M68" s="29"/>
      <c r="N68" s="29"/>
      <c r="O68" s="29"/>
      <c r="P68" s="29">
        <f>SUM(P5:P67)</f>
        <v>138.15337499999998</v>
      </c>
    </row>
    <row r="69" spans="1:16">
      <c r="F69" s="72">
        <f>S10</f>
        <v>2400</v>
      </c>
      <c r="G69" s="72"/>
      <c r="H69" s="72"/>
      <c r="I69" s="72"/>
      <c r="J69" s="60"/>
    </row>
  </sheetData>
  <mergeCells count="1">
    <mergeCell ref="F69:I69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6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VIPcric_3!D29</f>
        <v>21353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VIPcric_3!E29</f>
        <v>7.1</v>
      </c>
      <c r="T3" s="27" t="s">
        <v>756</v>
      </c>
    </row>
    <row r="4" spans="1:22">
      <c r="I4" s="24" t="s">
        <v>822</v>
      </c>
      <c r="J4" s="24" t="s">
        <v>823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(10+19+150)/30</f>
        <v>5.9666666666666668</v>
      </c>
      <c r="T5" s="27" t="s">
        <v>758</v>
      </c>
    </row>
    <row r="6" spans="1:22">
      <c r="A6">
        <f t="shared" ref="A6:A41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789</v>
      </c>
      <c r="S10" s="34">
        <v>2400</v>
      </c>
      <c r="T10" s="27"/>
    </row>
    <row r="11" spans="1:22">
      <c r="A11">
        <f t="shared" si="1"/>
        <v>7</v>
      </c>
      <c r="B11">
        <v>1</v>
      </c>
      <c r="C11">
        <v>1</v>
      </c>
      <c r="E11" s="23">
        <f t="shared" ref="E11:E17" si="2">1/$S$3*$S$2</f>
        <v>3007.4647887323945</v>
      </c>
      <c r="F11" s="24">
        <v>2400</v>
      </c>
      <c r="K11" s="24">
        <v>6</v>
      </c>
      <c r="P11" s="24">
        <f>(F11*K11+G11*L11+H11*M11+I11*N11+J11*O11)*$S$1</f>
        <v>124.20000000000002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3007.4647887323945</v>
      </c>
      <c r="K12" s="24">
        <f>K11-1</f>
        <v>5</v>
      </c>
      <c r="P12" s="24">
        <f t="shared" si="0"/>
        <v>0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3007.4647887323945</v>
      </c>
      <c r="K13" s="24">
        <f t="shared" ref="K13:K16" si="3">K12-1</f>
        <v>4</v>
      </c>
      <c r="P13" s="24">
        <f t="shared" si="0"/>
        <v>0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3007.4647887323945</v>
      </c>
      <c r="K14" s="24">
        <f t="shared" si="3"/>
        <v>3</v>
      </c>
      <c r="P14" s="24">
        <f t="shared" si="0"/>
        <v>0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3007.4647887323945</v>
      </c>
      <c r="K15" s="24">
        <f t="shared" si="3"/>
        <v>2</v>
      </c>
      <c r="P15" s="24">
        <f t="shared" si="0"/>
        <v>0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3007.4647887323945</v>
      </c>
      <c r="K16" s="24">
        <f t="shared" si="3"/>
        <v>1</v>
      </c>
      <c r="P16" s="24">
        <f t="shared" si="0"/>
        <v>0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3007.4647887323945</v>
      </c>
      <c r="G17" s="24">
        <f>S10*60%</f>
        <v>1440</v>
      </c>
      <c r="L17" s="24">
        <v>3</v>
      </c>
      <c r="P17" s="24">
        <f t="shared" si="0"/>
        <v>37.260000000000005</v>
      </c>
    </row>
    <row r="18" spans="1:16">
      <c r="A18">
        <f t="shared" si="1"/>
        <v>14</v>
      </c>
      <c r="C18">
        <v>1</v>
      </c>
      <c r="G18" s="24">
        <f t="shared" ref="G18:G19" si="4">E18*55%</f>
        <v>0</v>
      </c>
      <c r="L18" s="24">
        <v>2</v>
      </c>
      <c r="P18" s="24">
        <f t="shared" si="0"/>
        <v>0</v>
      </c>
    </row>
    <row r="19" spans="1:16">
      <c r="A19">
        <f t="shared" si="1"/>
        <v>15</v>
      </c>
      <c r="C19">
        <v>1</v>
      </c>
      <c r="G19" s="24">
        <f t="shared" si="4"/>
        <v>0</v>
      </c>
      <c r="L19" s="24">
        <v>1</v>
      </c>
      <c r="P19" s="24">
        <f>(F19*K19+G19*L19+H19*M19+I19*N19+J19*O19)*$S$1</f>
        <v>0</v>
      </c>
    </row>
    <row r="20" spans="1:16">
      <c r="A20">
        <f t="shared" si="1"/>
        <v>16</v>
      </c>
      <c r="C20">
        <v>1</v>
      </c>
      <c r="H20" s="24">
        <f>S10*25%</f>
        <v>600</v>
      </c>
      <c r="M20" s="24">
        <v>12</v>
      </c>
      <c r="P20" s="24">
        <f t="shared" ref="P20:P67" si="5">(F20*K20+G20*L20+H20*M20+I20*N20+J20*O20)*$S$1</f>
        <v>62.100000000000009</v>
      </c>
    </row>
    <row r="21" spans="1:16">
      <c r="A21">
        <f t="shared" si="1"/>
        <v>17</v>
      </c>
      <c r="C21">
        <v>1</v>
      </c>
      <c r="H21" s="24">
        <f t="shared" ref="H21:H31" si="6">E21*90%</f>
        <v>0</v>
      </c>
      <c r="M21" s="24">
        <f>M20-1</f>
        <v>11</v>
      </c>
      <c r="P21" s="24">
        <f t="shared" si="5"/>
        <v>0</v>
      </c>
    </row>
    <row r="22" spans="1:16">
      <c r="A22">
        <f t="shared" si="1"/>
        <v>18</v>
      </c>
      <c r="C22">
        <v>1</v>
      </c>
      <c r="H22" s="24">
        <f t="shared" si="6"/>
        <v>0</v>
      </c>
      <c r="M22" s="24">
        <f t="shared" ref="M22:M31" si="7">M21-1</f>
        <v>10</v>
      </c>
      <c r="P22" s="24">
        <f t="shared" si="5"/>
        <v>0</v>
      </c>
    </row>
    <row r="23" spans="1:16">
      <c r="A23">
        <f t="shared" si="1"/>
        <v>19</v>
      </c>
      <c r="C23">
        <v>1</v>
      </c>
      <c r="H23" s="24">
        <f t="shared" si="6"/>
        <v>0</v>
      </c>
      <c r="M23" s="24">
        <f t="shared" si="7"/>
        <v>9</v>
      </c>
      <c r="P23" s="24">
        <f t="shared" si="5"/>
        <v>0</v>
      </c>
    </row>
    <row r="24" spans="1:16">
      <c r="A24">
        <f t="shared" si="1"/>
        <v>20</v>
      </c>
      <c r="C24">
        <v>1</v>
      </c>
      <c r="H24" s="24">
        <f t="shared" si="6"/>
        <v>0</v>
      </c>
      <c r="M24" s="24">
        <f t="shared" si="7"/>
        <v>8</v>
      </c>
      <c r="P24" s="24">
        <f t="shared" si="5"/>
        <v>0</v>
      </c>
    </row>
    <row r="25" spans="1:16">
      <c r="A25">
        <f t="shared" si="1"/>
        <v>21</v>
      </c>
      <c r="C25">
        <v>1</v>
      </c>
      <c r="H25" s="24">
        <f t="shared" si="6"/>
        <v>0</v>
      </c>
      <c r="M25" s="24">
        <f t="shared" si="7"/>
        <v>7</v>
      </c>
      <c r="P25" s="24">
        <f t="shared" si="5"/>
        <v>0</v>
      </c>
    </row>
    <row r="26" spans="1:16">
      <c r="A26">
        <f t="shared" si="1"/>
        <v>22</v>
      </c>
      <c r="C26">
        <v>1</v>
      </c>
      <c r="H26" s="24">
        <f t="shared" si="6"/>
        <v>0</v>
      </c>
      <c r="M26" s="24">
        <f t="shared" si="7"/>
        <v>6</v>
      </c>
      <c r="P26" s="24">
        <f t="shared" si="5"/>
        <v>0</v>
      </c>
    </row>
    <row r="27" spans="1:16">
      <c r="A27">
        <f t="shared" si="1"/>
        <v>23</v>
      </c>
      <c r="C27">
        <v>1</v>
      </c>
      <c r="H27" s="24">
        <f t="shared" si="6"/>
        <v>0</v>
      </c>
      <c r="M27" s="24">
        <f t="shared" si="7"/>
        <v>5</v>
      </c>
      <c r="P27" s="24">
        <f t="shared" si="5"/>
        <v>0</v>
      </c>
    </row>
    <row r="28" spans="1:16">
      <c r="A28">
        <f t="shared" si="1"/>
        <v>24</v>
      </c>
      <c r="C28">
        <v>1</v>
      </c>
      <c r="H28" s="24">
        <f t="shared" si="6"/>
        <v>0</v>
      </c>
      <c r="M28" s="24">
        <f t="shared" si="7"/>
        <v>4</v>
      </c>
      <c r="P28" s="24">
        <f t="shared" si="5"/>
        <v>0</v>
      </c>
    </row>
    <row r="29" spans="1:16">
      <c r="A29">
        <f t="shared" si="1"/>
        <v>25</v>
      </c>
      <c r="C29">
        <v>1</v>
      </c>
      <c r="H29" s="24">
        <f t="shared" si="6"/>
        <v>0</v>
      </c>
      <c r="M29" s="24">
        <f t="shared" si="7"/>
        <v>3</v>
      </c>
      <c r="P29" s="24">
        <f t="shared" si="5"/>
        <v>0</v>
      </c>
    </row>
    <row r="30" spans="1:16">
      <c r="A30">
        <f t="shared" si="1"/>
        <v>26</v>
      </c>
      <c r="C30">
        <v>1</v>
      </c>
      <c r="H30" s="24">
        <f t="shared" si="6"/>
        <v>0</v>
      </c>
      <c r="M30" s="24">
        <f t="shared" si="7"/>
        <v>2</v>
      </c>
      <c r="P30" s="24">
        <f t="shared" si="5"/>
        <v>0</v>
      </c>
    </row>
    <row r="31" spans="1:16">
      <c r="A31">
        <f t="shared" si="1"/>
        <v>27</v>
      </c>
      <c r="C31">
        <v>1</v>
      </c>
      <c r="H31" s="24">
        <f t="shared" si="6"/>
        <v>0</v>
      </c>
      <c r="M31" s="24">
        <f t="shared" si="7"/>
        <v>1</v>
      </c>
      <c r="P31" s="24">
        <f t="shared" si="5"/>
        <v>0</v>
      </c>
    </row>
    <row r="32" spans="1:16">
      <c r="A32">
        <f t="shared" si="1"/>
        <v>28</v>
      </c>
      <c r="D32">
        <v>1</v>
      </c>
      <c r="I32" s="24">
        <v>240</v>
      </c>
      <c r="N32" s="24">
        <v>10</v>
      </c>
      <c r="P32" s="24">
        <f t="shared" si="5"/>
        <v>20.700000000000003</v>
      </c>
    </row>
    <row r="33" spans="1:16">
      <c r="A33">
        <f t="shared" si="1"/>
        <v>29</v>
      </c>
      <c r="D33">
        <v>1</v>
      </c>
      <c r="N33" s="24">
        <f>N32-1</f>
        <v>9</v>
      </c>
      <c r="P33" s="24">
        <f t="shared" si="5"/>
        <v>0</v>
      </c>
    </row>
    <row r="34" spans="1:16">
      <c r="A34">
        <f t="shared" si="1"/>
        <v>30</v>
      </c>
      <c r="D34">
        <v>1</v>
      </c>
      <c r="N34" s="24">
        <f t="shared" ref="N34:N41" si="8">N33-1</f>
        <v>8</v>
      </c>
      <c r="P34" s="24">
        <f t="shared" si="5"/>
        <v>0</v>
      </c>
    </row>
    <row r="35" spans="1:16">
      <c r="A35">
        <f t="shared" si="1"/>
        <v>31</v>
      </c>
      <c r="D35">
        <v>1</v>
      </c>
      <c r="N35" s="24">
        <f t="shared" si="8"/>
        <v>7</v>
      </c>
      <c r="P35" s="24">
        <f t="shared" si="5"/>
        <v>0</v>
      </c>
    </row>
    <row r="36" spans="1:16">
      <c r="A36">
        <f t="shared" si="1"/>
        <v>32</v>
      </c>
      <c r="D36">
        <v>1</v>
      </c>
      <c r="N36" s="24">
        <f t="shared" si="8"/>
        <v>6</v>
      </c>
      <c r="P36" s="24">
        <f t="shared" si="5"/>
        <v>0</v>
      </c>
    </row>
    <row r="37" spans="1:16">
      <c r="A37">
        <f t="shared" si="1"/>
        <v>33</v>
      </c>
      <c r="D37">
        <v>1</v>
      </c>
      <c r="N37" s="24">
        <f t="shared" si="8"/>
        <v>5</v>
      </c>
      <c r="P37" s="24">
        <f t="shared" si="5"/>
        <v>0</v>
      </c>
    </row>
    <row r="38" spans="1:16">
      <c r="A38">
        <f t="shared" si="1"/>
        <v>34</v>
      </c>
      <c r="D38">
        <v>1</v>
      </c>
      <c r="N38" s="24">
        <f t="shared" si="8"/>
        <v>4</v>
      </c>
      <c r="P38" s="24">
        <f t="shared" si="5"/>
        <v>0</v>
      </c>
    </row>
    <row r="39" spans="1:16">
      <c r="A39">
        <f t="shared" si="1"/>
        <v>35</v>
      </c>
      <c r="D39">
        <v>1</v>
      </c>
      <c r="N39" s="24">
        <f t="shared" si="8"/>
        <v>3</v>
      </c>
      <c r="P39" s="24">
        <f t="shared" si="5"/>
        <v>0</v>
      </c>
    </row>
    <row r="40" spans="1:16">
      <c r="A40">
        <f t="shared" si="1"/>
        <v>36</v>
      </c>
      <c r="D40">
        <v>1</v>
      </c>
      <c r="N40" s="24">
        <f t="shared" si="8"/>
        <v>2</v>
      </c>
      <c r="P40" s="24">
        <f t="shared" si="5"/>
        <v>0</v>
      </c>
    </row>
    <row r="41" spans="1:16">
      <c r="A41">
        <f t="shared" si="1"/>
        <v>37</v>
      </c>
      <c r="D41">
        <v>1</v>
      </c>
      <c r="N41" s="24">
        <f t="shared" si="8"/>
        <v>1</v>
      </c>
      <c r="P41" s="24">
        <f t="shared" si="5"/>
        <v>0</v>
      </c>
    </row>
    <row r="42" spans="1:16">
      <c r="P42" s="24">
        <f t="shared" si="5"/>
        <v>0</v>
      </c>
    </row>
    <row r="43" spans="1:16">
      <c r="P43" s="24">
        <f t="shared" si="5"/>
        <v>0</v>
      </c>
    </row>
    <row r="44" spans="1:16">
      <c r="P44" s="24">
        <f t="shared" si="5"/>
        <v>0</v>
      </c>
    </row>
    <row r="45" spans="1:16">
      <c r="P45" s="24">
        <f t="shared" si="5"/>
        <v>0</v>
      </c>
    </row>
    <row r="46" spans="1:16">
      <c r="P46" s="24">
        <f t="shared" si="5"/>
        <v>0</v>
      </c>
    </row>
    <row r="47" spans="1:16">
      <c r="P47" s="24">
        <f t="shared" si="5"/>
        <v>0</v>
      </c>
    </row>
    <row r="48" spans="1:16">
      <c r="P48" s="24">
        <f t="shared" si="5"/>
        <v>0</v>
      </c>
    </row>
    <row r="49" spans="16:16">
      <c r="P49" s="24">
        <f t="shared" si="5"/>
        <v>0</v>
      </c>
    </row>
    <row r="50" spans="16:16">
      <c r="P50" s="24">
        <f t="shared" si="5"/>
        <v>0</v>
      </c>
    </row>
    <row r="51" spans="16:16">
      <c r="P51" s="24">
        <f t="shared" si="5"/>
        <v>0</v>
      </c>
    </row>
    <row r="52" spans="16:16">
      <c r="P52" s="24">
        <f t="shared" si="5"/>
        <v>0</v>
      </c>
    </row>
    <row r="53" spans="16:16">
      <c r="P53" s="24">
        <f t="shared" si="5"/>
        <v>0</v>
      </c>
    </row>
    <row r="54" spans="16:16">
      <c r="P54" s="24">
        <f t="shared" si="5"/>
        <v>0</v>
      </c>
    </row>
    <row r="55" spans="16:16">
      <c r="P55" s="24">
        <f t="shared" si="5"/>
        <v>0</v>
      </c>
    </row>
    <row r="56" spans="16:16">
      <c r="P56" s="24">
        <f t="shared" si="5"/>
        <v>0</v>
      </c>
    </row>
    <row r="57" spans="16:16">
      <c r="P57" s="24">
        <f t="shared" si="5"/>
        <v>0</v>
      </c>
    </row>
    <row r="58" spans="16:16">
      <c r="P58" s="24">
        <f t="shared" si="5"/>
        <v>0</v>
      </c>
    </row>
    <row r="59" spans="16:16">
      <c r="P59" s="24">
        <f t="shared" si="5"/>
        <v>0</v>
      </c>
    </row>
    <row r="60" spans="16:16">
      <c r="P60" s="24">
        <f t="shared" si="5"/>
        <v>0</v>
      </c>
    </row>
    <row r="61" spans="16:16">
      <c r="P61" s="24">
        <f t="shared" si="5"/>
        <v>0</v>
      </c>
    </row>
    <row r="62" spans="16:16">
      <c r="P62" s="24">
        <f t="shared" si="5"/>
        <v>0</v>
      </c>
    </row>
    <row r="63" spans="16:16">
      <c r="P63" s="24">
        <f t="shared" si="5"/>
        <v>0</v>
      </c>
    </row>
    <row r="64" spans="16:16">
      <c r="P64" s="24">
        <f t="shared" si="5"/>
        <v>0</v>
      </c>
    </row>
    <row r="65" spans="1:16">
      <c r="P65" s="24">
        <f t="shared" si="5"/>
        <v>0</v>
      </c>
    </row>
    <row r="66" spans="1:16">
      <c r="P66" s="24">
        <f t="shared" si="5"/>
        <v>0</v>
      </c>
    </row>
    <row r="67" spans="1:16">
      <c r="P67" s="24">
        <f t="shared" si="5"/>
        <v>0</v>
      </c>
    </row>
    <row r="68" spans="1:16">
      <c r="A68" s="28">
        <f>COUNT(A5:A67)</f>
        <v>37</v>
      </c>
      <c r="B68" s="28">
        <f>SUM(B13:B67)</f>
        <v>5</v>
      </c>
      <c r="C68" s="28">
        <f>SUM(C5:C67)</f>
        <v>27</v>
      </c>
      <c r="E68" s="29"/>
      <c r="F68" s="29">
        <f>SUM(F5:F67)</f>
        <v>2400</v>
      </c>
      <c r="G68" s="29">
        <f>SUM(G5:G67)</f>
        <v>1440</v>
      </c>
      <c r="H68" s="29">
        <f>SUM(H5:H67)</f>
        <v>600</v>
      </c>
      <c r="I68" s="29">
        <f>SUM(I5:I67)</f>
        <v>240</v>
      </c>
      <c r="J68" s="29"/>
      <c r="K68" s="29"/>
      <c r="L68" s="29"/>
      <c r="M68" s="29"/>
      <c r="N68" s="29"/>
      <c r="O68" s="29"/>
      <c r="P68" s="29">
        <f>SUM(P5:P67)</f>
        <v>244.26000000000005</v>
      </c>
    </row>
    <row r="69" spans="1:16">
      <c r="F69" s="25">
        <f>S10</f>
        <v>2400</v>
      </c>
      <c r="G69" s="25"/>
      <c r="H69" s="25"/>
      <c r="I69" s="25"/>
      <c r="J69" s="25"/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782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781</v>
      </c>
      <c r="L2" s="24" t="s">
        <v>763</v>
      </c>
      <c r="R2" s="26" t="s">
        <v>754</v>
      </c>
      <c r="S2" s="27">
        <f>VIPcric_3!D6</f>
        <v>36305</v>
      </c>
      <c r="T2" s="27" t="s">
        <v>755</v>
      </c>
    </row>
    <row r="3" spans="1:22">
      <c r="H3" s="24" t="s">
        <v>747</v>
      </c>
      <c r="M3" s="24" t="s">
        <v>786</v>
      </c>
      <c r="R3" s="26" t="s">
        <v>738</v>
      </c>
      <c r="S3" s="27">
        <f>VIPcric_3!E6</f>
        <v>25.6</v>
      </c>
      <c r="T3" s="27" t="s">
        <v>756</v>
      </c>
    </row>
    <row r="4" spans="1:22">
      <c r="I4" s="24" t="s">
        <v>784</v>
      </c>
      <c r="J4" s="24" t="s">
        <v>776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4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>
        <v>0.15</v>
      </c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23" si="2">1/$S$3*$S$2</f>
        <v>1418.1640625</v>
      </c>
      <c r="F19" s="24">
        <f>$E19*50%</f>
        <v>709.08203125</v>
      </c>
      <c r="I19" s="24">
        <f>$E19*25%</f>
        <v>354.541015625</v>
      </c>
      <c r="J19" s="24">
        <f>$E19*5%</f>
        <v>70.908203125</v>
      </c>
      <c r="K19" s="24">
        <v>5</v>
      </c>
      <c r="L19" s="24">
        <v>8</v>
      </c>
      <c r="M19" s="24">
        <v>12</v>
      </c>
      <c r="N19" s="24">
        <v>21</v>
      </c>
      <c r="O19" s="24">
        <v>21</v>
      </c>
      <c r="P19" s="24">
        <f>(F19*K19+G19*L19+H19*M19+I19*N19+J19*O19)*$S$1</f>
        <v>107.63865234375001</v>
      </c>
    </row>
    <row r="20" spans="1:16">
      <c r="A20">
        <f t="shared" si="1"/>
        <v>16</v>
      </c>
      <c r="B20">
        <v>1</v>
      </c>
      <c r="C20">
        <v>1</v>
      </c>
      <c r="E20" s="23">
        <f t="shared" si="2"/>
        <v>1418.1640625</v>
      </c>
      <c r="F20" s="24">
        <f t="shared" ref="F20:F23" si="3">$E20*50%</f>
        <v>709.08203125</v>
      </c>
      <c r="I20" s="24">
        <f t="shared" ref="I20:I39" si="4">$E20*25%</f>
        <v>354.541015625</v>
      </c>
      <c r="J20" s="24">
        <f t="shared" ref="J20:J39" si="5">$E20*5%</f>
        <v>70.908203125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20</v>
      </c>
      <c r="O20" s="24">
        <f>O19-1</f>
        <v>20</v>
      </c>
      <c r="P20" s="24">
        <f t="shared" ref="P20:P83" si="6">(F20*K20+G20*L20+H20*M20+I20*N20+J20*O20)*$S$1</f>
        <v>97.853320312500003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1418.1640625</v>
      </c>
      <c r="F21" s="24">
        <f t="shared" si="3"/>
        <v>709.08203125</v>
      </c>
      <c r="I21" s="24">
        <f t="shared" si="4"/>
        <v>354.541015625</v>
      </c>
      <c r="J21" s="24">
        <f t="shared" si="5"/>
        <v>70.908203125</v>
      </c>
      <c r="K21" s="24">
        <f t="shared" ref="K21:K22" si="7">K20-1</f>
        <v>3</v>
      </c>
      <c r="L21" s="24">
        <f t="shared" ref="L21:L26" si="8">L20-1</f>
        <v>6</v>
      </c>
      <c r="M21" s="24">
        <f t="shared" ref="M21:M30" si="9">M20-1</f>
        <v>10</v>
      </c>
      <c r="N21" s="24">
        <f t="shared" ref="N21:N39" si="10">N20-1</f>
        <v>19</v>
      </c>
      <c r="O21" s="24">
        <f t="shared" ref="O21:O39" si="11">O20-1</f>
        <v>19</v>
      </c>
      <c r="P21" s="24">
        <f t="shared" si="6"/>
        <v>88.06798828125001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1418.1640625</v>
      </c>
      <c r="F22" s="24">
        <f t="shared" si="3"/>
        <v>709.08203125</v>
      </c>
      <c r="I22" s="24">
        <f t="shared" si="4"/>
        <v>354.541015625</v>
      </c>
      <c r="J22" s="24">
        <f t="shared" si="5"/>
        <v>70.908203125</v>
      </c>
      <c r="K22" s="24">
        <f t="shared" si="7"/>
        <v>2</v>
      </c>
      <c r="L22" s="24">
        <f t="shared" si="8"/>
        <v>5</v>
      </c>
      <c r="M22" s="24">
        <f t="shared" si="9"/>
        <v>9</v>
      </c>
      <c r="N22" s="24">
        <f t="shared" si="10"/>
        <v>18</v>
      </c>
      <c r="O22" s="24">
        <f t="shared" si="11"/>
        <v>18</v>
      </c>
      <c r="P22" s="24">
        <f t="shared" si="6"/>
        <v>78.282656250000002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1418.1640625</v>
      </c>
      <c r="F23" s="24">
        <f t="shared" si="3"/>
        <v>709.08203125</v>
      </c>
      <c r="I23" s="24">
        <f t="shared" si="4"/>
        <v>354.541015625</v>
      </c>
      <c r="J23" s="24">
        <f t="shared" si="5"/>
        <v>70.908203125</v>
      </c>
      <c r="L23" s="24">
        <f t="shared" si="8"/>
        <v>4</v>
      </c>
      <c r="M23" s="24">
        <f t="shared" si="9"/>
        <v>8</v>
      </c>
      <c r="N23" s="24">
        <f t="shared" si="10"/>
        <v>17</v>
      </c>
      <c r="O23" s="24">
        <f t="shared" si="11"/>
        <v>17</v>
      </c>
      <c r="P23" s="24">
        <f t="shared" si="6"/>
        <v>62.381491699218756</v>
      </c>
    </row>
    <row r="24" spans="1:16">
      <c r="A24">
        <f t="shared" si="1"/>
        <v>20</v>
      </c>
      <c r="B24">
        <v>1</v>
      </c>
      <c r="C24">
        <v>1</v>
      </c>
      <c r="E24" s="23">
        <f t="shared" ref="E24:E44" si="12">1/$S$3*$S$2</f>
        <v>1418.1640625</v>
      </c>
      <c r="G24" s="24">
        <f t="shared" ref="G24:G26" si="13">$E24*40%</f>
        <v>567.265625</v>
      </c>
      <c r="I24" s="24">
        <f t="shared" si="4"/>
        <v>354.541015625</v>
      </c>
      <c r="J24" s="24">
        <f t="shared" si="5"/>
        <v>70.908203125</v>
      </c>
      <c r="L24" s="24">
        <f t="shared" si="8"/>
        <v>3</v>
      </c>
      <c r="M24" s="24">
        <f t="shared" si="9"/>
        <v>7</v>
      </c>
      <c r="N24" s="24">
        <f t="shared" si="10"/>
        <v>16</v>
      </c>
      <c r="O24" s="24">
        <f t="shared" si="11"/>
        <v>16</v>
      </c>
      <c r="P24" s="24">
        <f t="shared" si="6"/>
        <v>73.389990234375006</v>
      </c>
    </row>
    <row r="25" spans="1:16">
      <c r="A25">
        <f t="shared" si="1"/>
        <v>21</v>
      </c>
      <c r="B25">
        <v>1</v>
      </c>
      <c r="C25">
        <v>1</v>
      </c>
      <c r="E25" s="23">
        <f t="shared" si="12"/>
        <v>1418.1640625</v>
      </c>
      <c r="G25" s="24">
        <f t="shared" si="13"/>
        <v>567.265625</v>
      </c>
      <c r="I25" s="24">
        <f t="shared" si="4"/>
        <v>354.541015625</v>
      </c>
      <c r="J25" s="24">
        <f t="shared" si="5"/>
        <v>70.908203125</v>
      </c>
      <c r="L25" s="24">
        <f t="shared" si="8"/>
        <v>2</v>
      </c>
      <c r="M25" s="24">
        <f t="shared" si="9"/>
        <v>6</v>
      </c>
      <c r="N25" s="24">
        <f t="shared" si="10"/>
        <v>15</v>
      </c>
      <c r="O25" s="24">
        <f t="shared" si="11"/>
        <v>15</v>
      </c>
      <c r="P25" s="24">
        <f t="shared" si="6"/>
        <v>64.827824707031255</v>
      </c>
    </row>
    <row r="26" spans="1:16">
      <c r="A26">
        <f t="shared" si="1"/>
        <v>22</v>
      </c>
      <c r="B26">
        <v>1</v>
      </c>
      <c r="C26">
        <v>1</v>
      </c>
      <c r="E26" s="23">
        <f t="shared" si="12"/>
        <v>1418.1640625</v>
      </c>
      <c r="G26" s="24">
        <f t="shared" si="13"/>
        <v>567.265625</v>
      </c>
      <c r="I26" s="24">
        <f t="shared" si="4"/>
        <v>354.541015625</v>
      </c>
      <c r="J26" s="24">
        <f t="shared" si="5"/>
        <v>70.908203125</v>
      </c>
      <c r="L26" s="24">
        <f t="shared" si="8"/>
        <v>1</v>
      </c>
      <c r="M26" s="24">
        <f t="shared" si="9"/>
        <v>5</v>
      </c>
      <c r="N26" s="24">
        <f t="shared" si="10"/>
        <v>14</v>
      </c>
      <c r="O26" s="24">
        <f t="shared" si="11"/>
        <v>14</v>
      </c>
      <c r="P26" s="24">
        <f t="shared" si="6"/>
        <v>56.265659179687503</v>
      </c>
    </row>
    <row r="27" spans="1:16">
      <c r="A27">
        <f t="shared" si="1"/>
        <v>23</v>
      </c>
      <c r="B27">
        <v>1</v>
      </c>
      <c r="C27">
        <v>1</v>
      </c>
      <c r="E27" s="23">
        <f t="shared" si="12"/>
        <v>1418.1640625</v>
      </c>
      <c r="H27" s="24">
        <f t="shared" ref="H27:H31" si="14">$E27*30%</f>
        <v>425.44921875</v>
      </c>
      <c r="I27" s="24">
        <f t="shared" si="4"/>
        <v>354.541015625</v>
      </c>
      <c r="J27" s="24">
        <f t="shared" si="5"/>
        <v>70.908203125</v>
      </c>
      <c r="M27" s="24">
        <f t="shared" si="9"/>
        <v>4</v>
      </c>
      <c r="N27" s="24">
        <f t="shared" si="10"/>
        <v>13</v>
      </c>
      <c r="O27" s="24">
        <f t="shared" si="11"/>
        <v>13</v>
      </c>
      <c r="P27" s="24">
        <f t="shared" si="6"/>
        <v>62.381491699218756</v>
      </c>
    </row>
    <row r="28" spans="1:16">
      <c r="A28">
        <f t="shared" si="1"/>
        <v>24</v>
      </c>
      <c r="B28">
        <v>1</v>
      </c>
      <c r="C28">
        <v>1</v>
      </c>
      <c r="E28" s="23">
        <f t="shared" si="12"/>
        <v>1418.1640625</v>
      </c>
      <c r="H28" s="24">
        <f t="shared" si="14"/>
        <v>425.44921875</v>
      </c>
      <c r="I28" s="24">
        <f t="shared" si="4"/>
        <v>354.541015625</v>
      </c>
      <c r="J28" s="24">
        <f t="shared" si="5"/>
        <v>70.908203125</v>
      </c>
      <c r="M28" s="24">
        <f t="shared" si="9"/>
        <v>3</v>
      </c>
      <c r="N28" s="24">
        <f t="shared" si="10"/>
        <v>12</v>
      </c>
      <c r="O28" s="24">
        <f t="shared" si="11"/>
        <v>12</v>
      </c>
      <c r="P28" s="24">
        <f t="shared" si="6"/>
        <v>55.042492675781254</v>
      </c>
    </row>
    <row r="29" spans="1:16">
      <c r="A29">
        <f t="shared" si="1"/>
        <v>25</v>
      </c>
      <c r="B29">
        <v>1</v>
      </c>
      <c r="C29">
        <v>1</v>
      </c>
      <c r="E29" s="23">
        <f t="shared" si="12"/>
        <v>1418.1640625</v>
      </c>
      <c r="H29" s="24">
        <f t="shared" si="14"/>
        <v>425.44921875</v>
      </c>
      <c r="I29" s="24">
        <f t="shared" si="4"/>
        <v>354.541015625</v>
      </c>
      <c r="J29" s="24">
        <f t="shared" si="5"/>
        <v>70.908203125</v>
      </c>
      <c r="M29" s="24">
        <f t="shared" si="9"/>
        <v>2</v>
      </c>
      <c r="N29" s="24">
        <f t="shared" si="10"/>
        <v>11</v>
      </c>
      <c r="O29" s="24">
        <f t="shared" si="11"/>
        <v>11</v>
      </c>
      <c r="P29" s="24">
        <f t="shared" si="6"/>
        <v>47.703493652343752</v>
      </c>
    </row>
    <row r="30" spans="1:16">
      <c r="A30">
        <f t="shared" si="1"/>
        <v>26</v>
      </c>
      <c r="B30">
        <v>1</v>
      </c>
      <c r="C30">
        <v>1</v>
      </c>
      <c r="E30" s="23">
        <f t="shared" si="12"/>
        <v>1418.1640625</v>
      </c>
      <c r="H30" s="24">
        <f t="shared" si="14"/>
        <v>425.44921875</v>
      </c>
      <c r="I30" s="24">
        <f t="shared" si="4"/>
        <v>354.541015625</v>
      </c>
      <c r="J30" s="24">
        <f t="shared" si="5"/>
        <v>70.908203125</v>
      </c>
      <c r="M30" s="24">
        <f t="shared" si="9"/>
        <v>1</v>
      </c>
      <c r="N30" s="24">
        <f t="shared" si="10"/>
        <v>10</v>
      </c>
      <c r="O30" s="24">
        <f t="shared" si="11"/>
        <v>10</v>
      </c>
      <c r="P30" s="24">
        <f t="shared" si="6"/>
        <v>40.36449462890625</v>
      </c>
    </row>
    <row r="31" spans="1:16">
      <c r="A31">
        <f t="shared" si="1"/>
        <v>27</v>
      </c>
      <c r="B31">
        <v>1</v>
      </c>
      <c r="C31">
        <v>1</v>
      </c>
      <c r="E31" s="23">
        <f t="shared" si="12"/>
        <v>1418.1640625</v>
      </c>
      <c r="H31" s="24">
        <f t="shared" si="14"/>
        <v>425.44921875</v>
      </c>
      <c r="I31" s="24">
        <f t="shared" si="4"/>
        <v>354.541015625</v>
      </c>
      <c r="J31" s="24">
        <f t="shared" si="5"/>
        <v>70.908203125</v>
      </c>
      <c r="N31" s="24">
        <f t="shared" si="10"/>
        <v>9</v>
      </c>
      <c r="O31" s="24">
        <f t="shared" si="11"/>
        <v>9</v>
      </c>
      <c r="P31" s="24">
        <f t="shared" si="6"/>
        <v>33.025495605468755</v>
      </c>
    </row>
    <row r="32" spans="1:16">
      <c r="A32">
        <f t="shared" si="1"/>
        <v>28</v>
      </c>
      <c r="B32">
        <v>1</v>
      </c>
      <c r="D32">
        <v>1</v>
      </c>
      <c r="E32" s="23">
        <f t="shared" si="12"/>
        <v>1418.1640625</v>
      </c>
      <c r="I32" s="24">
        <f t="shared" si="4"/>
        <v>354.541015625</v>
      </c>
      <c r="J32" s="24">
        <f t="shared" si="5"/>
        <v>70.908203125</v>
      </c>
      <c r="N32" s="24">
        <f t="shared" si="10"/>
        <v>8</v>
      </c>
      <c r="O32" s="24">
        <f t="shared" si="11"/>
        <v>8</v>
      </c>
      <c r="P32" s="24">
        <f t="shared" si="6"/>
        <v>29.355996093750001</v>
      </c>
    </row>
    <row r="33" spans="1:16">
      <c r="A33">
        <f t="shared" si="1"/>
        <v>29</v>
      </c>
      <c r="B33">
        <v>1</v>
      </c>
      <c r="D33">
        <v>1</v>
      </c>
      <c r="E33" s="23">
        <f t="shared" si="12"/>
        <v>1418.1640625</v>
      </c>
      <c r="I33" s="24">
        <f t="shared" si="4"/>
        <v>354.541015625</v>
      </c>
      <c r="J33" s="24">
        <f t="shared" si="5"/>
        <v>70.908203125</v>
      </c>
      <c r="N33" s="24">
        <f t="shared" si="10"/>
        <v>7</v>
      </c>
      <c r="O33" s="24">
        <f t="shared" si="11"/>
        <v>7</v>
      </c>
      <c r="P33" s="24">
        <f t="shared" si="6"/>
        <v>25.686496582031253</v>
      </c>
    </row>
    <row r="34" spans="1:16">
      <c r="A34">
        <f t="shared" si="1"/>
        <v>30</v>
      </c>
      <c r="B34">
        <v>1</v>
      </c>
      <c r="D34">
        <v>1</v>
      </c>
      <c r="E34" s="23">
        <f t="shared" si="12"/>
        <v>1418.1640625</v>
      </c>
      <c r="I34" s="24">
        <f t="shared" si="4"/>
        <v>354.541015625</v>
      </c>
      <c r="J34" s="24">
        <f t="shared" si="5"/>
        <v>70.908203125</v>
      </c>
      <c r="N34" s="24">
        <f t="shared" si="10"/>
        <v>6</v>
      </c>
      <c r="O34" s="24">
        <f t="shared" si="11"/>
        <v>6</v>
      </c>
      <c r="P34" s="24">
        <f t="shared" si="6"/>
        <v>22.016997070312502</v>
      </c>
    </row>
    <row r="35" spans="1:16">
      <c r="A35">
        <f t="shared" si="1"/>
        <v>31</v>
      </c>
      <c r="B35">
        <v>1</v>
      </c>
      <c r="D35">
        <v>1</v>
      </c>
      <c r="E35" s="23">
        <f t="shared" si="12"/>
        <v>1418.1640625</v>
      </c>
      <c r="I35" s="24">
        <f t="shared" si="4"/>
        <v>354.541015625</v>
      </c>
      <c r="J35" s="24">
        <f t="shared" si="5"/>
        <v>70.908203125</v>
      </c>
      <c r="N35" s="24">
        <f t="shared" si="10"/>
        <v>5</v>
      </c>
      <c r="O35" s="24">
        <f t="shared" si="11"/>
        <v>5</v>
      </c>
      <c r="P35" s="24">
        <f t="shared" si="6"/>
        <v>18.347497558593751</v>
      </c>
    </row>
    <row r="36" spans="1:16">
      <c r="A36">
        <f t="shared" si="1"/>
        <v>32</v>
      </c>
      <c r="B36">
        <v>1</v>
      </c>
      <c r="D36">
        <v>1</v>
      </c>
      <c r="E36" s="23">
        <f t="shared" si="12"/>
        <v>1418.1640625</v>
      </c>
      <c r="I36" s="24">
        <f t="shared" si="4"/>
        <v>354.541015625</v>
      </c>
      <c r="J36" s="24">
        <f t="shared" si="5"/>
        <v>70.908203125</v>
      </c>
      <c r="N36" s="24">
        <f t="shared" si="10"/>
        <v>4</v>
      </c>
      <c r="O36" s="24">
        <f t="shared" si="11"/>
        <v>4</v>
      </c>
      <c r="P36" s="24">
        <f t="shared" si="6"/>
        <v>14.677998046875</v>
      </c>
    </row>
    <row r="37" spans="1:16">
      <c r="A37">
        <f t="shared" si="1"/>
        <v>33</v>
      </c>
      <c r="B37">
        <v>1</v>
      </c>
      <c r="D37">
        <v>1</v>
      </c>
      <c r="E37" s="23">
        <f t="shared" si="12"/>
        <v>1418.1640625</v>
      </c>
      <c r="I37" s="24">
        <f t="shared" si="4"/>
        <v>354.541015625</v>
      </c>
      <c r="J37" s="24">
        <f t="shared" si="5"/>
        <v>70.908203125</v>
      </c>
      <c r="N37" s="24">
        <f t="shared" si="10"/>
        <v>3</v>
      </c>
      <c r="O37" s="24">
        <f t="shared" si="11"/>
        <v>3</v>
      </c>
      <c r="P37" s="24">
        <f t="shared" si="6"/>
        <v>11.008498535156251</v>
      </c>
    </row>
    <row r="38" spans="1:16">
      <c r="A38">
        <f t="shared" si="1"/>
        <v>34</v>
      </c>
      <c r="B38">
        <v>1</v>
      </c>
      <c r="D38">
        <v>1</v>
      </c>
      <c r="E38" s="23">
        <f t="shared" si="12"/>
        <v>1418.1640625</v>
      </c>
      <c r="I38" s="24">
        <f t="shared" si="4"/>
        <v>354.541015625</v>
      </c>
      <c r="J38" s="24">
        <f t="shared" si="5"/>
        <v>70.908203125</v>
      </c>
      <c r="N38" s="24">
        <f t="shared" si="10"/>
        <v>2</v>
      </c>
      <c r="O38" s="24">
        <f t="shared" si="11"/>
        <v>2</v>
      </c>
      <c r="P38" s="24">
        <f t="shared" si="6"/>
        <v>7.3389990234375002</v>
      </c>
    </row>
    <row r="39" spans="1:16">
      <c r="A39">
        <f t="shared" si="1"/>
        <v>35</v>
      </c>
      <c r="B39">
        <v>1</v>
      </c>
      <c r="D39">
        <v>1</v>
      </c>
      <c r="E39" s="23">
        <f t="shared" si="12"/>
        <v>1418.1640625</v>
      </c>
      <c r="I39" s="24">
        <f t="shared" si="4"/>
        <v>354.541015625</v>
      </c>
      <c r="J39" s="24">
        <f t="shared" si="5"/>
        <v>70.908203125</v>
      </c>
      <c r="N39" s="24">
        <f t="shared" si="10"/>
        <v>1</v>
      </c>
      <c r="O39" s="24">
        <f t="shared" si="11"/>
        <v>1</v>
      </c>
      <c r="P39" s="24">
        <f t="shared" si="6"/>
        <v>3.6694995117187501</v>
      </c>
    </row>
    <row r="40" spans="1:16">
      <c r="A40">
        <f t="shared" si="1"/>
        <v>36</v>
      </c>
      <c r="B40">
        <v>1</v>
      </c>
      <c r="E40" s="23">
        <f t="shared" si="12"/>
        <v>1418.1640625</v>
      </c>
      <c r="P40" s="24">
        <f t="shared" si="6"/>
        <v>0</v>
      </c>
    </row>
    <row r="41" spans="1:16">
      <c r="A41">
        <f t="shared" si="1"/>
        <v>37</v>
      </c>
      <c r="B41">
        <v>1</v>
      </c>
      <c r="E41" s="23">
        <f t="shared" si="12"/>
        <v>1418.1640625</v>
      </c>
      <c r="P41" s="24">
        <f t="shared" si="6"/>
        <v>0</v>
      </c>
    </row>
    <row r="42" spans="1:16">
      <c r="A42">
        <f t="shared" si="1"/>
        <v>38</v>
      </c>
      <c r="B42">
        <v>1</v>
      </c>
      <c r="E42" s="23">
        <f t="shared" si="12"/>
        <v>1418.1640625</v>
      </c>
      <c r="P42" s="24">
        <f t="shared" si="6"/>
        <v>0</v>
      </c>
    </row>
    <row r="43" spans="1:16">
      <c r="A43">
        <f t="shared" si="1"/>
        <v>39</v>
      </c>
      <c r="B43">
        <v>1</v>
      </c>
      <c r="E43" s="23">
        <f t="shared" si="12"/>
        <v>1418.1640625</v>
      </c>
      <c r="P43" s="24">
        <f t="shared" si="6"/>
        <v>0</v>
      </c>
    </row>
    <row r="44" spans="1:16">
      <c r="A44">
        <f t="shared" si="1"/>
        <v>40</v>
      </c>
      <c r="B44">
        <v>0.5</v>
      </c>
      <c r="E44" s="23">
        <f t="shared" si="12"/>
        <v>1418.1640625</v>
      </c>
      <c r="P44" s="24">
        <f t="shared" si="6"/>
        <v>0</v>
      </c>
    </row>
    <row r="45" spans="1:16">
      <c r="P45" s="24">
        <f t="shared" si="6"/>
        <v>0</v>
      </c>
    </row>
    <row r="46" spans="1:16">
      <c r="P46" s="24">
        <f t="shared" si="6"/>
        <v>0</v>
      </c>
    </row>
    <row r="47" spans="1:16">
      <c r="P47" s="24">
        <f t="shared" si="6"/>
        <v>0</v>
      </c>
    </row>
    <row r="48" spans="1:16">
      <c r="P48" s="24">
        <f t="shared" si="6"/>
        <v>0</v>
      </c>
    </row>
    <row r="49" spans="16:16">
      <c r="P49" s="24">
        <f t="shared" si="6"/>
        <v>0</v>
      </c>
    </row>
    <row r="50" spans="16:16">
      <c r="P50" s="24">
        <f t="shared" si="6"/>
        <v>0</v>
      </c>
    </row>
    <row r="51" spans="16:16">
      <c r="P51" s="24">
        <f t="shared" si="6"/>
        <v>0</v>
      </c>
    </row>
    <row r="52" spans="16:16">
      <c r="P52" s="24">
        <f t="shared" si="6"/>
        <v>0</v>
      </c>
    </row>
    <row r="53" spans="16:16">
      <c r="P53" s="24">
        <f t="shared" si="6"/>
        <v>0</v>
      </c>
    </row>
    <row r="54" spans="16:16">
      <c r="P54" s="24">
        <f t="shared" si="6"/>
        <v>0</v>
      </c>
    </row>
    <row r="55" spans="16:16">
      <c r="P55" s="24">
        <f t="shared" si="6"/>
        <v>0</v>
      </c>
    </row>
    <row r="56" spans="16:16">
      <c r="P56" s="24">
        <f t="shared" si="6"/>
        <v>0</v>
      </c>
    </row>
    <row r="57" spans="16:16">
      <c r="P57" s="24">
        <f t="shared" si="6"/>
        <v>0</v>
      </c>
    </row>
    <row r="58" spans="16:16">
      <c r="P58" s="24">
        <f t="shared" si="6"/>
        <v>0</v>
      </c>
    </row>
    <row r="59" spans="16:16">
      <c r="P59" s="24">
        <f t="shared" si="6"/>
        <v>0</v>
      </c>
    </row>
    <row r="60" spans="16:16">
      <c r="P60" s="24">
        <f t="shared" si="6"/>
        <v>0</v>
      </c>
    </row>
    <row r="61" spans="16:16">
      <c r="P61" s="24">
        <f t="shared" si="6"/>
        <v>0</v>
      </c>
    </row>
    <row r="62" spans="16:16">
      <c r="P62" s="24">
        <f t="shared" si="6"/>
        <v>0</v>
      </c>
    </row>
    <row r="63" spans="16:16">
      <c r="P63" s="24">
        <f t="shared" si="6"/>
        <v>0</v>
      </c>
    </row>
    <row r="64" spans="16:16">
      <c r="P64" s="24">
        <f t="shared" si="6"/>
        <v>0</v>
      </c>
    </row>
    <row r="65" spans="16:16">
      <c r="P65" s="24">
        <f t="shared" si="6"/>
        <v>0</v>
      </c>
    </row>
    <row r="66" spans="16:16">
      <c r="P66" s="24">
        <f t="shared" si="6"/>
        <v>0</v>
      </c>
    </row>
    <row r="67" spans="16:16">
      <c r="P67" s="24">
        <f t="shared" si="6"/>
        <v>0</v>
      </c>
    </row>
    <row r="68" spans="16:16">
      <c r="P68" s="24">
        <f t="shared" si="6"/>
        <v>0</v>
      </c>
    </row>
    <row r="69" spans="16:16">
      <c r="P69" s="24">
        <f t="shared" si="6"/>
        <v>0</v>
      </c>
    </row>
    <row r="70" spans="16:16">
      <c r="P70" s="24">
        <f t="shared" si="6"/>
        <v>0</v>
      </c>
    </row>
    <row r="71" spans="16:16">
      <c r="P71" s="24">
        <f t="shared" si="6"/>
        <v>0</v>
      </c>
    </row>
    <row r="72" spans="16:16">
      <c r="P72" s="24">
        <f t="shared" si="6"/>
        <v>0</v>
      </c>
    </row>
    <row r="73" spans="16:16">
      <c r="P73" s="24">
        <f t="shared" si="6"/>
        <v>0</v>
      </c>
    </row>
    <row r="74" spans="16:16">
      <c r="P74" s="24">
        <f t="shared" si="6"/>
        <v>0</v>
      </c>
    </row>
    <row r="75" spans="16:16">
      <c r="P75" s="24">
        <f t="shared" si="6"/>
        <v>0</v>
      </c>
    </row>
    <row r="76" spans="16:16">
      <c r="P76" s="24">
        <f t="shared" si="6"/>
        <v>0</v>
      </c>
    </row>
    <row r="77" spans="16:16">
      <c r="P77" s="24">
        <f t="shared" si="6"/>
        <v>0</v>
      </c>
    </row>
    <row r="78" spans="16:16">
      <c r="P78" s="24">
        <f t="shared" si="6"/>
        <v>0</v>
      </c>
    </row>
    <row r="79" spans="16:16">
      <c r="P79" s="24">
        <f t="shared" si="6"/>
        <v>0</v>
      </c>
    </row>
    <row r="80" spans="16:16">
      <c r="P80" s="24">
        <f t="shared" si="6"/>
        <v>0</v>
      </c>
    </row>
    <row r="81" spans="1:16">
      <c r="P81" s="24">
        <f t="shared" si="6"/>
        <v>0</v>
      </c>
    </row>
    <row r="82" spans="1:16">
      <c r="P82" s="24">
        <f t="shared" si="6"/>
        <v>0</v>
      </c>
    </row>
    <row r="83" spans="1:16">
      <c r="P83" s="24">
        <f t="shared" si="6"/>
        <v>0</v>
      </c>
    </row>
    <row r="84" spans="1:16">
      <c r="P84" s="24">
        <f t="shared" ref="P84:P87" si="15">(F84*K84+G84*L84+H84*M84+I84*N84+J84*O84)*$S$1</f>
        <v>0</v>
      </c>
    </row>
    <row r="85" spans="1:16">
      <c r="P85" s="24">
        <f t="shared" si="15"/>
        <v>0</v>
      </c>
    </row>
    <row r="86" spans="1:16">
      <c r="P86" s="24">
        <f t="shared" si="15"/>
        <v>0</v>
      </c>
    </row>
    <row r="87" spans="1:16">
      <c r="P87" s="24">
        <f t="shared" si="15"/>
        <v>0</v>
      </c>
    </row>
    <row r="88" spans="1:16">
      <c r="A88" s="28">
        <f>COUNT(A5:A87)</f>
        <v>40</v>
      </c>
      <c r="B88" s="28">
        <f>SUM(B13:B87)</f>
        <v>25.5</v>
      </c>
      <c r="C88" s="28">
        <f>SUM(C5:C87)</f>
        <v>27</v>
      </c>
      <c r="E88" s="29"/>
      <c r="F88" s="29">
        <f>SUM(F5:F87)</f>
        <v>3545.41015625</v>
      </c>
      <c r="G88" s="29">
        <f t="shared" ref="G88:I88" si="16">SUM(G5:G87)</f>
        <v>1701.796875</v>
      </c>
      <c r="H88" s="29">
        <f>SUM(H5:H87)</f>
        <v>2127.24609375</v>
      </c>
      <c r="I88" s="29">
        <f t="shared" si="16"/>
        <v>7445.361328125</v>
      </c>
      <c r="J88" s="29"/>
      <c r="K88" s="29"/>
      <c r="L88" s="29"/>
      <c r="M88" s="29"/>
      <c r="N88" s="29"/>
      <c r="O88" s="29"/>
      <c r="P88" s="29">
        <f t="shared" ref="P88" si="17">SUM(P5:P87)</f>
        <v>999.32703369140654</v>
      </c>
    </row>
    <row r="89" spans="1:16">
      <c r="F89" s="25">
        <f>SUM(F88:I88)</f>
        <v>14819.814453125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89"/>
  <sheetViews>
    <sheetView workbookViewId="0">
      <selection activeCell="K28" sqref="K28"/>
    </sheetView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801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802</v>
      </c>
      <c r="L2" s="24" t="s">
        <v>763</v>
      </c>
      <c r="R2" s="26" t="s">
        <v>754</v>
      </c>
      <c r="S2" s="27">
        <f>VIPcric_3!D9</f>
        <v>13988</v>
      </c>
      <c r="T2" s="27" t="s">
        <v>755</v>
      </c>
    </row>
    <row r="3" spans="1:22">
      <c r="H3" s="24" t="s">
        <v>803</v>
      </c>
      <c r="M3" s="24" t="s">
        <v>786</v>
      </c>
      <c r="R3" s="26" t="s">
        <v>738</v>
      </c>
      <c r="S3" s="27">
        <f>VIPcric_3!E9</f>
        <v>22.6</v>
      </c>
      <c r="T3" s="27" t="s">
        <v>756</v>
      </c>
    </row>
    <row r="4" spans="1:22">
      <c r="I4" s="24" t="s">
        <v>804</v>
      </c>
      <c r="N4" s="24" t="s">
        <v>787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2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4">
        <v>4500</v>
      </c>
      <c r="T10" s="27" t="s">
        <v>755</v>
      </c>
      <c r="U10" t="s">
        <v>799</v>
      </c>
      <c r="V10" t="s">
        <v>800</v>
      </c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C19">
        <v>1</v>
      </c>
      <c r="P19" s="24">
        <f>(F19*K19+G19*L19+H19*M19+I19*N19+J19*O19)*$S$1</f>
        <v>0</v>
      </c>
    </row>
    <row r="20" spans="1:16">
      <c r="A20">
        <f t="shared" si="1"/>
        <v>16</v>
      </c>
      <c r="B20">
        <v>1</v>
      </c>
      <c r="C20">
        <v>1</v>
      </c>
      <c r="E20" s="23">
        <f t="shared" ref="E20:E23" si="2">1/$S$3*$S$2</f>
        <v>618.93805309734512</v>
      </c>
      <c r="P20" s="24">
        <f t="shared" ref="P20:P83" si="3">(F20*K20+G20*L20+H20*M20+I20*N20+J20*O20)*$S$1</f>
        <v>0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618.93805309734512</v>
      </c>
      <c r="P21" s="24">
        <f t="shared" si="3"/>
        <v>0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618.93805309734512</v>
      </c>
      <c r="P22" s="24">
        <f t="shared" si="3"/>
        <v>0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618.93805309734512</v>
      </c>
      <c r="P23" s="24">
        <f t="shared" si="3"/>
        <v>0</v>
      </c>
    </row>
    <row r="24" spans="1:16">
      <c r="A24">
        <f t="shared" si="1"/>
        <v>20</v>
      </c>
      <c r="B24">
        <v>1</v>
      </c>
      <c r="C24">
        <v>1</v>
      </c>
      <c r="E24" s="23">
        <f t="shared" ref="E24:E42" si="4">1/$S$3*$S$2</f>
        <v>618.93805309734512</v>
      </c>
      <c r="F24" s="24">
        <v>3500</v>
      </c>
      <c r="G24" s="24">
        <v>3000</v>
      </c>
      <c r="H24" s="24">
        <v>2500</v>
      </c>
      <c r="I24" s="24">
        <v>1000</v>
      </c>
      <c r="K24" s="24">
        <v>1</v>
      </c>
      <c r="L24" s="24">
        <v>1</v>
      </c>
      <c r="M24" s="24">
        <v>7</v>
      </c>
      <c r="N24" s="24">
        <v>15</v>
      </c>
      <c r="P24" s="24">
        <f t="shared" si="3"/>
        <v>336.375</v>
      </c>
    </row>
    <row r="25" spans="1:16">
      <c r="A25">
        <f t="shared" si="1"/>
        <v>21</v>
      </c>
      <c r="B25">
        <v>1</v>
      </c>
      <c r="C25">
        <v>1</v>
      </c>
      <c r="E25" s="23">
        <f t="shared" si="4"/>
        <v>618.93805309734512</v>
      </c>
      <c r="F25" s="24">
        <f>SUM($E$20:$E25)-3500</f>
        <v>213.62831858407026</v>
      </c>
      <c r="G25" s="24">
        <f>SUM($E$20:$E25)-3000</f>
        <v>713.62831858407026</v>
      </c>
      <c r="H25" s="24">
        <f>SUM($E$20:$E25)-2500</f>
        <v>1213.6283185840703</v>
      </c>
      <c r="I25" s="24">
        <f>SUM($E$20:$E25)-1000</f>
        <v>2713.6283185840703</v>
      </c>
      <c r="P25" s="24">
        <f t="shared" si="3"/>
        <v>0</v>
      </c>
    </row>
    <row r="26" spans="1:16">
      <c r="A26">
        <f t="shared" si="1"/>
        <v>22</v>
      </c>
      <c r="B26">
        <v>1</v>
      </c>
      <c r="C26">
        <v>1</v>
      </c>
      <c r="E26" s="23">
        <f t="shared" si="4"/>
        <v>618.93805309734512</v>
      </c>
      <c r="H26" s="24">
        <f>SUM($E$20:$E26)-2500</f>
        <v>1832.5663716814151</v>
      </c>
      <c r="I26" s="24">
        <f>SUM($E$20:$E26)-1000</f>
        <v>3332.5663716814151</v>
      </c>
      <c r="P26" s="24">
        <f t="shared" si="3"/>
        <v>0</v>
      </c>
    </row>
    <row r="27" spans="1:16">
      <c r="A27">
        <f t="shared" si="1"/>
        <v>23</v>
      </c>
      <c r="B27">
        <v>1</v>
      </c>
      <c r="C27">
        <v>1</v>
      </c>
      <c r="E27" s="23">
        <f t="shared" si="4"/>
        <v>618.93805309734512</v>
      </c>
      <c r="H27" s="24">
        <f>SUM($E$20:$E27)-2500</f>
        <v>2451.50442477876</v>
      </c>
      <c r="I27" s="24">
        <f>SUM($E$20:$E27)-1000</f>
        <v>3951.50442477876</v>
      </c>
      <c r="P27" s="24">
        <f t="shared" si="3"/>
        <v>0</v>
      </c>
    </row>
    <row r="28" spans="1:16">
      <c r="A28">
        <f t="shared" si="1"/>
        <v>24</v>
      </c>
      <c r="B28">
        <v>1</v>
      </c>
      <c r="C28">
        <v>1</v>
      </c>
      <c r="E28" s="23">
        <f t="shared" si="4"/>
        <v>618.93805309734512</v>
      </c>
      <c r="H28" s="24">
        <f>SUM($E$20:$E28)-2500</f>
        <v>3070.4424778761049</v>
      </c>
      <c r="I28" s="24">
        <f>SUM($E$20:$E28)-1000</f>
        <v>4570.4424778761049</v>
      </c>
      <c r="P28" s="24">
        <f t="shared" si="3"/>
        <v>0</v>
      </c>
    </row>
    <row r="29" spans="1:16">
      <c r="A29">
        <f t="shared" si="1"/>
        <v>25</v>
      </c>
      <c r="B29">
        <v>1</v>
      </c>
      <c r="C29">
        <v>1</v>
      </c>
      <c r="E29" s="23">
        <f t="shared" si="4"/>
        <v>618.93805309734512</v>
      </c>
      <c r="H29" s="24">
        <f>SUM($E$20:$E29)-2500</f>
        <v>3689.3805309734498</v>
      </c>
      <c r="I29" s="24">
        <f>SUM($E$20:$E29)-1000</f>
        <v>5189.3805309734498</v>
      </c>
      <c r="P29" s="24">
        <f t="shared" si="3"/>
        <v>0</v>
      </c>
    </row>
    <row r="30" spans="1:16">
      <c r="A30">
        <f t="shared" si="1"/>
        <v>26</v>
      </c>
      <c r="B30">
        <v>1</v>
      </c>
      <c r="C30">
        <v>1</v>
      </c>
      <c r="E30" s="23">
        <f t="shared" si="4"/>
        <v>618.93805309734512</v>
      </c>
      <c r="H30" s="24">
        <f>SUM($E$20:$E30)-2500</f>
        <v>4308.3185840707947</v>
      </c>
      <c r="I30" s="24">
        <f>SUM($E$20:$E30)-1000</f>
        <v>5808.3185840707947</v>
      </c>
      <c r="P30" s="24">
        <f t="shared" si="3"/>
        <v>0</v>
      </c>
    </row>
    <row r="31" spans="1:16">
      <c r="A31">
        <f t="shared" si="1"/>
        <v>27</v>
      </c>
      <c r="B31">
        <v>1</v>
      </c>
      <c r="C31">
        <v>1</v>
      </c>
      <c r="E31" s="23">
        <f t="shared" si="4"/>
        <v>618.93805309734512</v>
      </c>
      <c r="H31" s="24">
        <f>SUM($E$20:$E31)-2500</f>
        <v>4927.2566371681396</v>
      </c>
      <c r="I31" s="24">
        <f>SUM($E$20:$E31)-1000</f>
        <v>6427.2566371681396</v>
      </c>
      <c r="P31" s="24">
        <f t="shared" si="3"/>
        <v>0</v>
      </c>
    </row>
    <row r="32" spans="1:16">
      <c r="A32">
        <f t="shared" si="1"/>
        <v>28</v>
      </c>
      <c r="B32">
        <v>1</v>
      </c>
      <c r="D32">
        <v>1</v>
      </c>
      <c r="E32" s="23">
        <f t="shared" si="4"/>
        <v>618.93805309734512</v>
      </c>
      <c r="I32" s="24">
        <f>SUM($E$20:$E32)-1000</f>
        <v>7046.1946902654845</v>
      </c>
      <c r="P32" s="24">
        <f t="shared" si="3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4"/>
        <v>618.93805309734512</v>
      </c>
      <c r="I33" s="24">
        <f>SUM($E$20:$E33)-1000</f>
        <v>7665.1327433628303</v>
      </c>
      <c r="P33" s="24">
        <f t="shared" si="3"/>
        <v>0</v>
      </c>
    </row>
    <row r="34" spans="1:16">
      <c r="A34">
        <f t="shared" si="1"/>
        <v>30</v>
      </c>
      <c r="B34">
        <v>1</v>
      </c>
      <c r="D34">
        <v>1</v>
      </c>
      <c r="E34" s="23">
        <f t="shared" si="4"/>
        <v>618.93805309734512</v>
      </c>
      <c r="I34" s="24">
        <f>SUM($E$20:$E34)-1000</f>
        <v>8284.0707964601752</v>
      </c>
      <c r="P34" s="24">
        <f t="shared" si="3"/>
        <v>0</v>
      </c>
    </row>
    <row r="35" spans="1:16">
      <c r="A35">
        <f t="shared" si="1"/>
        <v>31</v>
      </c>
      <c r="B35">
        <v>1</v>
      </c>
      <c r="D35">
        <v>1</v>
      </c>
      <c r="E35" s="23">
        <f t="shared" si="4"/>
        <v>618.93805309734512</v>
      </c>
      <c r="I35" s="24">
        <f>SUM($E$20:$E35)-1000</f>
        <v>8903.0088495575201</v>
      </c>
      <c r="P35" s="24">
        <f t="shared" si="3"/>
        <v>0</v>
      </c>
    </row>
    <row r="36" spans="1:16">
      <c r="A36">
        <f t="shared" si="1"/>
        <v>32</v>
      </c>
      <c r="B36">
        <v>1</v>
      </c>
      <c r="D36">
        <v>1</v>
      </c>
      <c r="E36" s="23">
        <f t="shared" si="4"/>
        <v>618.93805309734512</v>
      </c>
      <c r="I36" s="24">
        <f>SUM($E$20:$E36)-1000</f>
        <v>9521.946902654865</v>
      </c>
      <c r="P36" s="24">
        <f t="shared" si="3"/>
        <v>0</v>
      </c>
    </row>
    <row r="37" spans="1:16">
      <c r="A37">
        <f t="shared" si="1"/>
        <v>33</v>
      </c>
      <c r="B37">
        <v>1</v>
      </c>
      <c r="D37">
        <v>1</v>
      </c>
      <c r="E37" s="23">
        <f t="shared" si="4"/>
        <v>618.93805309734512</v>
      </c>
      <c r="I37" s="24">
        <f>SUM($E$20:$E37)-1000</f>
        <v>10140.88495575221</v>
      </c>
      <c r="P37" s="24">
        <f t="shared" si="3"/>
        <v>0</v>
      </c>
    </row>
    <row r="38" spans="1:16">
      <c r="A38">
        <f t="shared" si="1"/>
        <v>34</v>
      </c>
      <c r="B38">
        <v>1</v>
      </c>
      <c r="D38">
        <v>1</v>
      </c>
      <c r="E38" s="23">
        <f t="shared" si="4"/>
        <v>618.93805309734512</v>
      </c>
      <c r="I38" s="24">
        <f>SUM($E$20:$E38)-1000</f>
        <v>10759.823008849555</v>
      </c>
      <c r="P38" s="24">
        <f t="shared" si="3"/>
        <v>0</v>
      </c>
    </row>
    <row r="39" spans="1:16">
      <c r="A39">
        <f t="shared" si="1"/>
        <v>35</v>
      </c>
      <c r="B39">
        <v>1</v>
      </c>
      <c r="D39">
        <v>1</v>
      </c>
      <c r="E39" s="23">
        <f t="shared" si="4"/>
        <v>618.93805309734512</v>
      </c>
      <c r="I39" s="24">
        <f>SUM($E$20:$E39)-1000</f>
        <v>11378.7610619469</v>
      </c>
      <c r="P39" s="24">
        <f t="shared" si="3"/>
        <v>0</v>
      </c>
    </row>
    <row r="40" spans="1:16">
      <c r="A40">
        <f t="shared" si="1"/>
        <v>36</v>
      </c>
      <c r="B40">
        <v>1</v>
      </c>
      <c r="E40" s="23">
        <f t="shared" si="4"/>
        <v>618.93805309734512</v>
      </c>
      <c r="P40" s="24">
        <f t="shared" si="3"/>
        <v>0</v>
      </c>
    </row>
    <row r="41" spans="1:16">
      <c r="A41">
        <f t="shared" si="1"/>
        <v>37</v>
      </c>
      <c r="B41">
        <v>1</v>
      </c>
      <c r="E41" s="23">
        <f t="shared" si="4"/>
        <v>618.93805309734512</v>
      </c>
      <c r="P41" s="24">
        <f t="shared" si="3"/>
        <v>0</v>
      </c>
    </row>
    <row r="42" spans="1:16">
      <c r="A42">
        <f t="shared" si="1"/>
        <v>38</v>
      </c>
      <c r="B42">
        <v>0.6</v>
      </c>
      <c r="E42" s="23">
        <f t="shared" si="4"/>
        <v>618.93805309734512</v>
      </c>
      <c r="P42" s="24">
        <f t="shared" si="3"/>
        <v>0</v>
      </c>
    </row>
    <row r="43" spans="1:16">
      <c r="P43" s="24">
        <f t="shared" si="3"/>
        <v>0</v>
      </c>
    </row>
    <row r="44" spans="1:16">
      <c r="P44" s="24">
        <f t="shared" si="3"/>
        <v>0</v>
      </c>
    </row>
    <row r="45" spans="1:16">
      <c r="P45" s="24">
        <f t="shared" si="3"/>
        <v>0</v>
      </c>
    </row>
    <row r="46" spans="1:16">
      <c r="P46" s="24">
        <f t="shared" si="3"/>
        <v>0</v>
      </c>
    </row>
    <row r="47" spans="1:16">
      <c r="P47" s="24">
        <f t="shared" si="3"/>
        <v>0</v>
      </c>
    </row>
    <row r="48" spans="1:16">
      <c r="P48" s="24">
        <f t="shared" si="3"/>
        <v>0</v>
      </c>
    </row>
    <row r="49" spans="16:16">
      <c r="P49" s="24">
        <f t="shared" si="3"/>
        <v>0</v>
      </c>
    </row>
    <row r="50" spans="16:16">
      <c r="P50" s="24">
        <f t="shared" si="3"/>
        <v>0</v>
      </c>
    </row>
    <row r="51" spans="16:16">
      <c r="P51" s="24">
        <f t="shared" si="3"/>
        <v>0</v>
      </c>
    </row>
    <row r="52" spans="16:16">
      <c r="P52" s="24">
        <f t="shared" si="3"/>
        <v>0</v>
      </c>
    </row>
    <row r="53" spans="16:16">
      <c r="P53" s="24">
        <f t="shared" si="3"/>
        <v>0</v>
      </c>
    </row>
    <row r="54" spans="16:16">
      <c r="P54" s="24">
        <f t="shared" si="3"/>
        <v>0</v>
      </c>
    </row>
    <row r="55" spans="16:16">
      <c r="P55" s="24">
        <f t="shared" si="3"/>
        <v>0</v>
      </c>
    </row>
    <row r="56" spans="16:16">
      <c r="P56" s="24">
        <f t="shared" si="3"/>
        <v>0</v>
      </c>
    </row>
    <row r="57" spans="16:16">
      <c r="P57" s="24">
        <f t="shared" si="3"/>
        <v>0</v>
      </c>
    </row>
    <row r="58" spans="16:16">
      <c r="P58" s="24">
        <f t="shared" si="3"/>
        <v>0</v>
      </c>
    </row>
    <row r="59" spans="16:16">
      <c r="P59" s="24">
        <f t="shared" si="3"/>
        <v>0</v>
      </c>
    </row>
    <row r="60" spans="16:16">
      <c r="P60" s="24">
        <f t="shared" si="3"/>
        <v>0</v>
      </c>
    </row>
    <row r="61" spans="16:16">
      <c r="P61" s="24">
        <f t="shared" si="3"/>
        <v>0</v>
      </c>
    </row>
    <row r="62" spans="16:16">
      <c r="P62" s="24">
        <f t="shared" si="3"/>
        <v>0</v>
      </c>
    </row>
    <row r="63" spans="16:16">
      <c r="P63" s="24">
        <f t="shared" si="3"/>
        <v>0</v>
      </c>
    </row>
    <row r="64" spans="16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ref="P84:P87" si="5">(F84*K84+G84*L84+H84*M84+I84*N84+J84*O84)*$S$1</f>
        <v>0</v>
      </c>
    </row>
    <row r="85" spans="1:16">
      <c r="P85" s="24">
        <f t="shared" si="5"/>
        <v>0</v>
      </c>
    </row>
    <row r="86" spans="1:16">
      <c r="P86" s="24">
        <f t="shared" si="5"/>
        <v>0</v>
      </c>
    </row>
    <row r="87" spans="1:16">
      <c r="P87" s="24">
        <f t="shared" si="5"/>
        <v>0</v>
      </c>
    </row>
    <row r="88" spans="1:16">
      <c r="A88" s="28">
        <f>COUNT(A5:A87)</f>
        <v>38</v>
      </c>
      <c r="B88" s="28">
        <f>SUM(B13:B87)</f>
        <v>22.6</v>
      </c>
      <c r="C88" s="28">
        <f>SUM(C5:C87)</f>
        <v>27</v>
      </c>
      <c r="E88" s="29"/>
      <c r="F88" s="29">
        <f>SUM(F5:F87)</f>
        <v>3713.6283185840703</v>
      </c>
      <c r="G88" s="29">
        <f t="shared" ref="G88:I88" si="6">SUM(G5:G87)</f>
        <v>3713.6283185840703</v>
      </c>
      <c r="H88" s="29">
        <f>SUM(H5:H87)</f>
        <v>23993.097345132734</v>
      </c>
      <c r="I88" s="29">
        <f t="shared" si="6"/>
        <v>106692.92035398226</v>
      </c>
      <c r="J88" s="29"/>
      <c r="K88" s="29"/>
      <c r="L88" s="29"/>
      <c r="M88" s="29"/>
      <c r="N88" s="29"/>
      <c r="O88" s="29"/>
      <c r="P88" s="29">
        <f t="shared" ref="P88" si="7">SUM(P5:P87)</f>
        <v>336.375</v>
      </c>
    </row>
    <row r="89" spans="1:16">
      <c r="F89" s="25">
        <v>3500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VIPcric_3!D17</f>
        <v>18333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VIPcric_3!E17</f>
        <v>19.899999999999999</v>
      </c>
      <c r="T3" s="27" t="s">
        <v>756</v>
      </c>
    </row>
    <row r="4" spans="1:22">
      <c r="I4" s="24" t="s">
        <v>822</v>
      </c>
      <c r="J4" s="24" t="s">
        <v>823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1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38" si="2">1/$S$3*$S$2</f>
        <v>921.2562814070352</v>
      </c>
      <c r="F19" s="24">
        <f>$E19*10%</f>
        <v>92.125628140703526</v>
      </c>
      <c r="G19" s="24">
        <f t="shared" ref="G19:G26" si="3">$E19*5%</f>
        <v>46.062814070351763</v>
      </c>
      <c r="H19" s="24">
        <f t="shared" ref="H19:H31" si="4">$E19*3%</f>
        <v>27.637688442211054</v>
      </c>
      <c r="I19" s="24">
        <f>$E19*1%</f>
        <v>9.2125628140703526</v>
      </c>
      <c r="K19" s="24">
        <v>5</v>
      </c>
      <c r="L19" s="24">
        <v>8</v>
      </c>
      <c r="M19" s="24">
        <v>12</v>
      </c>
      <c r="N19" s="24">
        <v>23</v>
      </c>
      <c r="P19" s="24">
        <f>(F19*K19+G19*L19+H19*M19+I19*N19+J19*O19)*$S$1</f>
        <v>11.839294786432161</v>
      </c>
    </row>
    <row r="20" spans="1:16">
      <c r="A20">
        <f t="shared" si="1"/>
        <v>16</v>
      </c>
      <c r="B20">
        <v>1</v>
      </c>
      <c r="C20">
        <v>1</v>
      </c>
      <c r="E20" s="23">
        <f t="shared" si="2"/>
        <v>921.2562814070352</v>
      </c>
      <c r="F20" s="24">
        <f>$E20*10%</f>
        <v>92.125628140703526</v>
      </c>
      <c r="G20" s="24">
        <f t="shared" si="3"/>
        <v>46.062814070351763</v>
      </c>
      <c r="H20" s="24">
        <f t="shared" si="4"/>
        <v>27.637688442211054</v>
      </c>
      <c r="I20" s="24">
        <f t="shared" ref="I20:I38" si="5">$E20*1%</f>
        <v>9.2125628140703526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22</v>
      </c>
      <c r="P20" s="24">
        <f t="shared" ref="P20:P83" si="6">(F20*K20+G20*L20+H20*M20+I20*N20+J20*O20)*$S$1</f>
        <v>10.329586055276383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921.2562814070352</v>
      </c>
      <c r="F21" s="24">
        <f>$E21*10%</f>
        <v>92.125628140703526</v>
      </c>
      <c r="G21" s="24">
        <f t="shared" si="3"/>
        <v>46.062814070351763</v>
      </c>
      <c r="H21" s="24">
        <f t="shared" si="4"/>
        <v>27.637688442211054</v>
      </c>
      <c r="I21" s="24">
        <f t="shared" si="5"/>
        <v>9.2125628140703526</v>
      </c>
      <c r="K21" s="24">
        <f t="shared" ref="K21:N30" si="7">K20-1</f>
        <v>3</v>
      </c>
      <c r="L21" s="24">
        <f t="shared" si="7"/>
        <v>6</v>
      </c>
      <c r="M21" s="24">
        <f t="shared" si="7"/>
        <v>10</v>
      </c>
      <c r="N21" s="24">
        <f t="shared" si="7"/>
        <v>21</v>
      </c>
      <c r="P21" s="24">
        <f t="shared" si="6"/>
        <v>8.8198773241206059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921.2562814070352</v>
      </c>
      <c r="F22" s="24">
        <f>$E22*10%</f>
        <v>92.125628140703526</v>
      </c>
      <c r="G22" s="24">
        <f t="shared" si="3"/>
        <v>46.062814070351763</v>
      </c>
      <c r="H22" s="24">
        <f t="shared" si="4"/>
        <v>27.637688442211054</v>
      </c>
      <c r="I22" s="24">
        <f t="shared" si="5"/>
        <v>9.2125628140703526</v>
      </c>
      <c r="K22" s="24">
        <f t="shared" si="7"/>
        <v>2</v>
      </c>
      <c r="L22" s="24">
        <f t="shared" si="7"/>
        <v>5</v>
      </c>
      <c r="M22" s="24">
        <f t="shared" si="7"/>
        <v>9</v>
      </c>
      <c r="N22" s="24">
        <f t="shared" si="7"/>
        <v>20</v>
      </c>
      <c r="P22" s="24">
        <f t="shared" si="6"/>
        <v>7.3101685929648239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921.2562814070352</v>
      </c>
      <c r="F23" s="24">
        <f>$E23*10%</f>
        <v>92.125628140703526</v>
      </c>
      <c r="G23" s="24">
        <f t="shared" si="3"/>
        <v>46.062814070351763</v>
      </c>
      <c r="H23" s="24">
        <f t="shared" si="4"/>
        <v>27.637688442211054</v>
      </c>
      <c r="I23" s="24">
        <f t="shared" si="5"/>
        <v>9.2125628140703526</v>
      </c>
      <c r="K23" s="24">
        <f t="shared" si="7"/>
        <v>1</v>
      </c>
      <c r="L23" s="24">
        <f t="shared" si="7"/>
        <v>4</v>
      </c>
      <c r="M23" s="24">
        <f t="shared" si="7"/>
        <v>8</v>
      </c>
      <c r="N23" s="24">
        <f t="shared" si="7"/>
        <v>19</v>
      </c>
      <c r="P23" s="24">
        <f t="shared" si="6"/>
        <v>5.8004598618090464</v>
      </c>
    </row>
    <row r="24" spans="1:16">
      <c r="A24">
        <f t="shared" si="1"/>
        <v>20</v>
      </c>
      <c r="B24">
        <v>1</v>
      </c>
      <c r="C24">
        <v>1</v>
      </c>
      <c r="E24" s="23">
        <f t="shared" si="2"/>
        <v>921.2562814070352</v>
      </c>
      <c r="G24" s="24">
        <f t="shared" si="3"/>
        <v>46.062814070351763</v>
      </c>
      <c r="H24" s="24">
        <f t="shared" si="4"/>
        <v>27.637688442211054</v>
      </c>
      <c r="I24" s="24">
        <f t="shared" si="5"/>
        <v>9.2125628140703526</v>
      </c>
      <c r="L24" s="24">
        <f t="shared" si="7"/>
        <v>3</v>
      </c>
      <c r="M24" s="24">
        <f t="shared" si="7"/>
        <v>7</v>
      </c>
      <c r="N24" s="24">
        <f t="shared" si="7"/>
        <v>18</v>
      </c>
      <c r="P24" s="24">
        <f t="shared" si="6"/>
        <v>4.2907511306532671</v>
      </c>
    </row>
    <row r="25" spans="1:16">
      <c r="A25">
        <f t="shared" si="1"/>
        <v>21</v>
      </c>
      <c r="B25">
        <v>1</v>
      </c>
      <c r="C25">
        <v>1</v>
      </c>
      <c r="E25" s="23">
        <f t="shared" si="2"/>
        <v>921.2562814070352</v>
      </c>
      <c r="G25" s="24">
        <f t="shared" si="3"/>
        <v>46.062814070351763</v>
      </c>
      <c r="H25" s="24">
        <f t="shared" si="4"/>
        <v>27.637688442211054</v>
      </c>
      <c r="I25" s="24">
        <f t="shared" si="5"/>
        <v>9.2125628140703526</v>
      </c>
      <c r="L25" s="24">
        <f t="shared" si="7"/>
        <v>2</v>
      </c>
      <c r="M25" s="24">
        <f t="shared" si="7"/>
        <v>6</v>
      </c>
      <c r="N25" s="24">
        <f t="shared" si="7"/>
        <v>17</v>
      </c>
      <c r="P25" s="24">
        <f t="shared" si="6"/>
        <v>3.5756259422110555</v>
      </c>
    </row>
    <row r="26" spans="1:16">
      <c r="A26">
        <f t="shared" si="1"/>
        <v>22</v>
      </c>
      <c r="B26">
        <v>1</v>
      </c>
      <c r="C26">
        <v>1</v>
      </c>
      <c r="E26" s="23">
        <f t="shared" si="2"/>
        <v>921.2562814070352</v>
      </c>
      <c r="G26" s="24">
        <f t="shared" si="3"/>
        <v>46.062814070351763</v>
      </c>
      <c r="H26" s="24">
        <f t="shared" si="4"/>
        <v>27.637688442211054</v>
      </c>
      <c r="I26" s="24">
        <f t="shared" si="5"/>
        <v>9.2125628140703526</v>
      </c>
      <c r="L26" s="24">
        <f t="shared" si="7"/>
        <v>1</v>
      </c>
      <c r="M26" s="24">
        <f t="shared" si="7"/>
        <v>5</v>
      </c>
      <c r="N26" s="24">
        <f t="shared" si="7"/>
        <v>16</v>
      </c>
      <c r="P26" s="24">
        <f t="shared" si="6"/>
        <v>2.8605007537688447</v>
      </c>
    </row>
    <row r="27" spans="1:16">
      <c r="A27">
        <f t="shared" si="1"/>
        <v>23</v>
      </c>
      <c r="B27">
        <v>1</v>
      </c>
      <c r="C27">
        <v>1</v>
      </c>
      <c r="E27" s="23">
        <f t="shared" si="2"/>
        <v>921.2562814070352</v>
      </c>
      <c r="H27" s="24">
        <f t="shared" si="4"/>
        <v>27.637688442211054</v>
      </c>
      <c r="I27" s="24">
        <f t="shared" si="5"/>
        <v>9.2125628140703526</v>
      </c>
      <c r="M27" s="24">
        <f t="shared" si="7"/>
        <v>4</v>
      </c>
      <c r="N27" s="24">
        <f t="shared" si="7"/>
        <v>15</v>
      </c>
      <c r="P27" s="24">
        <f t="shared" si="6"/>
        <v>2.1453755653266335</v>
      </c>
    </row>
    <row r="28" spans="1:16">
      <c r="A28">
        <f t="shared" si="1"/>
        <v>24</v>
      </c>
      <c r="B28">
        <v>1</v>
      </c>
      <c r="C28">
        <v>1</v>
      </c>
      <c r="E28" s="23">
        <f t="shared" si="2"/>
        <v>921.2562814070352</v>
      </c>
      <c r="H28" s="24">
        <f t="shared" si="4"/>
        <v>27.637688442211054</v>
      </c>
      <c r="I28" s="24">
        <f t="shared" si="5"/>
        <v>9.2125628140703526</v>
      </c>
      <c r="M28" s="24">
        <f t="shared" si="7"/>
        <v>3</v>
      </c>
      <c r="N28" s="24">
        <f t="shared" si="7"/>
        <v>14</v>
      </c>
      <c r="P28" s="24">
        <f t="shared" si="6"/>
        <v>1.8275421482412062</v>
      </c>
    </row>
    <row r="29" spans="1:16">
      <c r="A29">
        <f t="shared" si="1"/>
        <v>25</v>
      </c>
      <c r="B29">
        <v>1</v>
      </c>
      <c r="C29">
        <v>1</v>
      </c>
      <c r="E29" s="23">
        <f t="shared" si="2"/>
        <v>921.2562814070352</v>
      </c>
      <c r="H29" s="24">
        <f t="shared" si="4"/>
        <v>27.637688442211054</v>
      </c>
      <c r="I29" s="24">
        <f t="shared" si="5"/>
        <v>9.2125628140703526</v>
      </c>
      <c r="M29" s="24">
        <f t="shared" si="7"/>
        <v>2</v>
      </c>
      <c r="N29" s="24">
        <f t="shared" si="7"/>
        <v>13</v>
      </c>
      <c r="P29" s="24">
        <f t="shared" si="6"/>
        <v>1.5097087311557791</v>
      </c>
    </row>
    <row r="30" spans="1:16">
      <c r="A30">
        <f t="shared" si="1"/>
        <v>26</v>
      </c>
      <c r="B30">
        <v>1</v>
      </c>
      <c r="C30">
        <v>1</v>
      </c>
      <c r="E30" s="23">
        <f t="shared" si="2"/>
        <v>921.2562814070352</v>
      </c>
      <c r="H30" s="24">
        <f t="shared" si="4"/>
        <v>27.637688442211054</v>
      </c>
      <c r="I30" s="24">
        <f t="shared" si="5"/>
        <v>9.2125628140703526</v>
      </c>
      <c r="M30" s="24">
        <f t="shared" si="7"/>
        <v>1</v>
      </c>
      <c r="N30" s="24">
        <f t="shared" si="7"/>
        <v>12</v>
      </c>
      <c r="P30" s="24">
        <f t="shared" si="6"/>
        <v>1.1918753140703517</v>
      </c>
    </row>
    <row r="31" spans="1:16">
      <c r="A31">
        <f t="shared" si="1"/>
        <v>27</v>
      </c>
      <c r="B31">
        <v>1</v>
      </c>
      <c r="C31">
        <v>1</v>
      </c>
      <c r="E31" s="23">
        <f t="shared" si="2"/>
        <v>921.2562814070352</v>
      </c>
      <c r="H31" s="24">
        <f t="shared" si="4"/>
        <v>27.637688442211054</v>
      </c>
      <c r="I31" s="24">
        <f t="shared" si="5"/>
        <v>9.2125628140703526</v>
      </c>
      <c r="N31" s="24">
        <f t="shared" ref="N31:N41" si="8">N30-1</f>
        <v>11</v>
      </c>
      <c r="P31" s="24">
        <f t="shared" si="6"/>
        <v>0.87404189698492474</v>
      </c>
    </row>
    <row r="32" spans="1:16">
      <c r="A32">
        <f t="shared" si="1"/>
        <v>28</v>
      </c>
      <c r="B32">
        <v>1</v>
      </c>
      <c r="D32">
        <v>1</v>
      </c>
      <c r="E32" s="23">
        <f t="shared" si="2"/>
        <v>921.2562814070352</v>
      </c>
      <c r="I32" s="24">
        <f t="shared" si="5"/>
        <v>9.2125628140703526</v>
      </c>
      <c r="N32" s="24">
        <f t="shared" si="8"/>
        <v>10</v>
      </c>
      <c r="P32" s="24">
        <f t="shared" si="6"/>
        <v>0.79458354271356801</v>
      </c>
    </row>
    <row r="33" spans="1:16">
      <c r="A33">
        <f t="shared" si="1"/>
        <v>29</v>
      </c>
      <c r="B33">
        <v>1</v>
      </c>
      <c r="D33">
        <v>1</v>
      </c>
      <c r="E33" s="23">
        <f t="shared" si="2"/>
        <v>921.2562814070352</v>
      </c>
      <c r="I33" s="24">
        <f t="shared" si="5"/>
        <v>9.2125628140703526</v>
      </c>
      <c r="N33" s="24">
        <f t="shared" si="8"/>
        <v>9</v>
      </c>
      <c r="P33" s="24">
        <f t="shared" si="6"/>
        <v>0.71512518844221118</v>
      </c>
    </row>
    <row r="34" spans="1:16">
      <c r="A34">
        <f t="shared" si="1"/>
        <v>30</v>
      </c>
      <c r="B34">
        <v>1</v>
      </c>
      <c r="D34">
        <v>1</v>
      </c>
      <c r="E34" s="23">
        <f t="shared" si="2"/>
        <v>921.2562814070352</v>
      </c>
      <c r="I34" s="24">
        <f t="shared" si="5"/>
        <v>9.2125628140703526</v>
      </c>
      <c r="N34" s="24">
        <f t="shared" si="8"/>
        <v>8</v>
      </c>
      <c r="P34" s="24">
        <f t="shared" si="6"/>
        <v>0.63566683417085434</v>
      </c>
    </row>
    <row r="35" spans="1:16">
      <c r="A35">
        <f t="shared" si="1"/>
        <v>31</v>
      </c>
      <c r="B35">
        <v>1</v>
      </c>
      <c r="D35">
        <v>1</v>
      </c>
      <c r="E35" s="23">
        <f t="shared" si="2"/>
        <v>921.2562814070352</v>
      </c>
      <c r="I35" s="24">
        <f t="shared" si="5"/>
        <v>9.2125628140703526</v>
      </c>
      <c r="N35" s="24">
        <f t="shared" si="8"/>
        <v>7</v>
      </c>
      <c r="P35" s="24">
        <f t="shared" si="6"/>
        <v>0.55620847989949762</v>
      </c>
    </row>
    <row r="36" spans="1:16">
      <c r="A36">
        <f t="shared" si="1"/>
        <v>32</v>
      </c>
      <c r="B36">
        <v>1</v>
      </c>
      <c r="D36">
        <v>1</v>
      </c>
      <c r="E36" s="23">
        <f t="shared" si="2"/>
        <v>921.2562814070352</v>
      </c>
      <c r="I36" s="24">
        <f t="shared" si="5"/>
        <v>9.2125628140703526</v>
      </c>
      <c r="N36" s="24">
        <f t="shared" si="8"/>
        <v>6</v>
      </c>
      <c r="P36" s="24">
        <f t="shared" si="6"/>
        <v>0.47675012562814079</v>
      </c>
    </row>
    <row r="37" spans="1:16">
      <c r="A37">
        <f t="shared" si="1"/>
        <v>33</v>
      </c>
      <c r="B37">
        <v>1</v>
      </c>
      <c r="D37">
        <v>1</v>
      </c>
      <c r="E37" s="23">
        <f t="shared" si="2"/>
        <v>921.2562814070352</v>
      </c>
      <c r="I37" s="24">
        <f t="shared" si="5"/>
        <v>9.2125628140703526</v>
      </c>
      <c r="N37" s="24">
        <f t="shared" si="8"/>
        <v>5</v>
      </c>
      <c r="P37" s="24">
        <f t="shared" si="6"/>
        <v>0.39729177135678401</v>
      </c>
    </row>
    <row r="38" spans="1:16">
      <c r="A38">
        <f t="shared" si="1"/>
        <v>34</v>
      </c>
      <c r="B38">
        <v>1</v>
      </c>
      <c r="D38">
        <v>1</v>
      </c>
      <c r="E38" s="23">
        <f t="shared" si="2"/>
        <v>921.2562814070352</v>
      </c>
      <c r="I38" s="24">
        <f t="shared" si="5"/>
        <v>9.2125628140703526</v>
      </c>
      <c r="N38" s="24">
        <f t="shared" si="8"/>
        <v>4</v>
      </c>
      <c r="P38" s="24">
        <f t="shared" si="6"/>
        <v>0.31783341708542717</v>
      </c>
    </row>
    <row r="39" spans="1:16">
      <c r="A39">
        <f t="shared" si="1"/>
        <v>35</v>
      </c>
      <c r="D39">
        <v>1</v>
      </c>
      <c r="N39" s="24">
        <f t="shared" si="8"/>
        <v>3</v>
      </c>
      <c r="P39" s="24">
        <f t="shared" si="6"/>
        <v>0</v>
      </c>
    </row>
    <row r="40" spans="1:16">
      <c r="A40">
        <f t="shared" si="1"/>
        <v>36</v>
      </c>
      <c r="D40">
        <v>1</v>
      </c>
      <c r="N40" s="24">
        <f t="shared" si="8"/>
        <v>2</v>
      </c>
      <c r="P40" s="24">
        <f t="shared" si="6"/>
        <v>0</v>
      </c>
    </row>
    <row r="41" spans="1:16">
      <c r="A41">
        <f t="shared" si="1"/>
        <v>37</v>
      </c>
      <c r="D41">
        <v>1</v>
      </c>
      <c r="N41" s="24">
        <f t="shared" si="8"/>
        <v>1</v>
      </c>
      <c r="P41" s="24">
        <f t="shared" si="6"/>
        <v>0</v>
      </c>
    </row>
    <row r="42" spans="1:16">
      <c r="P42" s="24">
        <f t="shared" si="6"/>
        <v>0</v>
      </c>
    </row>
    <row r="43" spans="1:16">
      <c r="P43" s="24">
        <f t="shared" si="6"/>
        <v>0</v>
      </c>
    </row>
    <row r="44" spans="1:16">
      <c r="P44" s="24">
        <f t="shared" si="6"/>
        <v>0</v>
      </c>
    </row>
    <row r="45" spans="1:16">
      <c r="P45" s="24">
        <f t="shared" si="6"/>
        <v>0</v>
      </c>
    </row>
    <row r="46" spans="1:16">
      <c r="P46" s="24">
        <f t="shared" si="6"/>
        <v>0</v>
      </c>
    </row>
    <row r="47" spans="1:16">
      <c r="P47" s="24">
        <f t="shared" si="6"/>
        <v>0</v>
      </c>
    </row>
    <row r="48" spans="1:16">
      <c r="P48" s="24">
        <f t="shared" si="6"/>
        <v>0</v>
      </c>
    </row>
    <row r="49" spans="16:16">
      <c r="P49" s="24">
        <f t="shared" si="6"/>
        <v>0</v>
      </c>
    </row>
    <row r="50" spans="16:16">
      <c r="P50" s="24">
        <f t="shared" si="6"/>
        <v>0</v>
      </c>
    </row>
    <row r="51" spans="16:16">
      <c r="P51" s="24">
        <f t="shared" si="6"/>
        <v>0</v>
      </c>
    </row>
    <row r="52" spans="16:16">
      <c r="P52" s="24">
        <f t="shared" si="6"/>
        <v>0</v>
      </c>
    </row>
    <row r="53" spans="16:16">
      <c r="P53" s="24">
        <f t="shared" si="6"/>
        <v>0</v>
      </c>
    </row>
    <row r="54" spans="16:16">
      <c r="P54" s="24">
        <f t="shared" si="6"/>
        <v>0</v>
      </c>
    </row>
    <row r="55" spans="16:16">
      <c r="P55" s="24">
        <f t="shared" si="6"/>
        <v>0</v>
      </c>
    </row>
    <row r="56" spans="16:16">
      <c r="P56" s="24">
        <f t="shared" si="6"/>
        <v>0</v>
      </c>
    </row>
    <row r="57" spans="16:16">
      <c r="P57" s="24">
        <f t="shared" si="6"/>
        <v>0</v>
      </c>
    </row>
    <row r="58" spans="16:16">
      <c r="P58" s="24">
        <f t="shared" si="6"/>
        <v>0</v>
      </c>
    </row>
    <row r="59" spans="16:16">
      <c r="P59" s="24">
        <f t="shared" si="6"/>
        <v>0</v>
      </c>
    </row>
    <row r="60" spans="16:16">
      <c r="P60" s="24">
        <f t="shared" si="6"/>
        <v>0</v>
      </c>
    </row>
    <row r="61" spans="16:16">
      <c r="P61" s="24">
        <f t="shared" si="6"/>
        <v>0</v>
      </c>
    </row>
    <row r="62" spans="16:16">
      <c r="P62" s="24">
        <f t="shared" si="6"/>
        <v>0</v>
      </c>
    </row>
    <row r="63" spans="16:16">
      <c r="P63" s="24">
        <f t="shared" si="6"/>
        <v>0</v>
      </c>
    </row>
    <row r="64" spans="16:16">
      <c r="P64" s="24">
        <f t="shared" si="6"/>
        <v>0</v>
      </c>
    </row>
    <row r="65" spans="16:16">
      <c r="P65" s="24">
        <f t="shared" si="6"/>
        <v>0</v>
      </c>
    </row>
    <row r="66" spans="16:16">
      <c r="P66" s="24">
        <f t="shared" si="6"/>
        <v>0</v>
      </c>
    </row>
    <row r="67" spans="16:16">
      <c r="P67" s="24">
        <f t="shared" si="6"/>
        <v>0</v>
      </c>
    </row>
    <row r="68" spans="16:16">
      <c r="P68" s="24">
        <f t="shared" si="6"/>
        <v>0</v>
      </c>
    </row>
    <row r="69" spans="16:16">
      <c r="P69" s="24">
        <f t="shared" si="6"/>
        <v>0</v>
      </c>
    </row>
    <row r="70" spans="16:16">
      <c r="P70" s="24">
        <f t="shared" si="6"/>
        <v>0</v>
      </c>
    </row>
    <row r="71" spans="16:16">
      <c r="P71" s="24">
        <f t="shared" si="6"/>
        <v>0</v>
      </c>
    </row>
    <row r="72" spans="16:16">
      <c r="P72" s="24">
        <f t="shared" si="6"/>
        <v>0</v>
      </c>
    </row>
    <row r="73" spans="16:16">
      <c r="P73" s="24">
        <f t="shared" si="6"/>
        <v>0</v>
      </c>
    </row>
    <row r="74" spans="16:16">
      <c r="P74" s="24">
        <f t="shared" si="6"/>
        <v>0</v>
      </c>
    </row>
    <row r="75" spans="16:16">
      <c r="P75" s="24">
        <f t="shared" si="6"/>
        <v>0</v>
      </c>
    </row>
    <row r="76" spans="16:16">
      <c r="P76" s="24">
        <f t="shared" si="6"/>
        <v>0</v>
      </c>
    </row>
    <row r="77" spans="16:16">
      <c r="P77" s="24">
        <f t="shared" si="6"/>
        <v>0</v>
      </c>
    </row>
    <row r="78" spans="16:16">
      <c r="P78" s="24">
        <f t="shared" si="6"/>
        <v>0</v>
      </c>
    </row>
    <row r="79" spans="16:16">
      <c r="P79" s="24">
        <f t="shared" si="6"/>
        <v>0</v>
      </c>
    </row>
    <row r="80" spans="16:16">
      <c r="P80" s="24">
        <f t="shared" si="6"/>
        <v>0</v>
      </c>
    </row>
    <row r="81" spans="1:16">
      <c r="P81" s="24">
        <f t="shared" si="6"/>
        <v>0</v>
      </c>
    </row>
    <row r="82" spans="1:16">
      <c r="P82" s="24">
        <f t="shared" si="6"/>
        <v>0</v>
      </c>
    </row>
    <row r="83" spans="1:16">
      <c r="P83" s="24">
        <f t="shared" si="6"/>
        <v>0</v>
      </c>
    </row>
    <row r="84" spans="1:16">
      <c r="P84" s="24">
        <f t="shared" ref="P84:P87" si="9">(F84*K84+G84*L84+H84*M84+I84*N84+J84*O84)*$S$1</f>
        <v>0</v>
      </c>
    </row>
    <row r="85" spans="1:16">
      <c r="P85" s="24">
        <f t="shared" si="9"/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37</v>
      </c>
      <c r="B88" s="28">
        <f>SUM(B13:B87)</f>
        <v>20</v>
      </c>
      <c r="C88" s="28">
        <f>SUM(C5:C87)</f>
        <v>27</v>
      </c>
      <c r="E88" s="29"/>
      <c r="F88" s="29">
        <f>SUM(F5:F87)</f>
        <v>460.6281407035176</v>
      </c>
      <c r="G88" s="29">
        <f t="shared" ref="G88:I88" si="10">SUM(G5:G87)</f>
        <v>368.50251256281405</v>
      </c>
      <c r="H88" s="29">
        <f>SUM(H5:H87)</f>
        <v>359.28994974874371</v>
      </c>
      <c r="I88" s="29">
        <f t="shared" si="10"/>
        <v>184.251256281407</v>
      </c>
      <c r="J88" s="29"/>
      <c r="K88" s="29"/>
      <c r="L88" s="29"/>
      <c r="M88" s="29"/>
      <c r="N88" s="29"/>
      <c r="O88" s="29"/>
      <c r="P88" s="29">
        <f>SUM(P5:P87)</f>
        <v>66.268267462311556</v>
      </c>
    </row>
    <row r="89" spans="1:16">
      <c r="F89" s="25">
        <f>SUM(F88:I88)</f>
        <v>1372.6718592964824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VIPcric_3!D67</f>
        <v>12824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VIPcric_3!E67</f>
        <v>25.1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4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11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C18">
        <v>1</v>
      </c>
      <c r="P18" s="24">
        <f t="shared" si="0"/>
        <v>0</v>
      </c>
    </row>
    <row r="19" spans="1:20">
      <c r="A19">
        <f t="shared" si="1"/>
        <v>15</v>
      </c>
      <c r="C19">
        <v>1</v>
      </c>
      <c r="P19" s="24">
        <f>(F19*K19+G19*L19+H19*M19+I19*N19+J19*O19)*$S$1</f>
        <v>0</v>
      </c>
    </row>
    <row r="20" spans="1:20">
      <c r="A20">
        <f t="shared" si="1"/>
        <v>16</v>
      </c>
      <c r="B20">
        <v>1</v>
      </c>
      <c r="C20">
        <v>1</v>
      </c>
      <c r="E20" s="23">
        <f>1/$S$3*$S$2</f>
        <v>510.9163346613546</v>
      </c>
      <c r="F20" s="24">
        <f t="shared" ref="F20:F26" si="2">E20</f>
        <v>510.9163346613546</v>
      </c>
      <c r="K20" s="24">
        <v>12</v>
      </c>
      <c r="P20" s="24">
        <f>(F20*K20+G20*L20+H20*M20+I20*N20+J20*O20)*$S$1</f>
        <v>52.879840637450208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ref="E21:E44" si="3">1/$S$3*$S$2</f>
        <v>510.9163346613546</v>
      </c>
      <c r="F21" s="24">
        <f t="shared" si="2"/>
        <v>510.9163346613546</v>
      </c>
      <c r="K21" s="24">
        <f t="shared" ref="K21:K26" si="4">K20-1</f>
        <v>11</v>
      </c>
      <c r="P21" s="24">
        <f t="shared" ref="P21:P84" si="5">(F21*K21+G21*L21+H21*M21+I21*N21+J21*O21)*$S$1</f>
        <v>48.47318725099602</v>
      </c>
    </row>
    <row r="22" spans="1:20">
      <c r="A22">
        <f t="shared" si="1"/>
        <v>18</v>
      </c>
      <c r="B22">
        <v>1</v>
      </c>
      <c r="C22">
        <v>1</v>
      </c>
      <c r="E22" s="23">
        <f t="shared" si="3"/>
        <v>510.9163346613546</v>
      </c>
      <c r="F22" s="24">
        <f t="shared" si="2"/>
        <v>510.9163346613546</v>
      </c>
      <c r="K22" s="24">
        <f t="shared" si="4"/>
        <v>10</v>
      </c>
      <c r="P22" s="24">
        <f t="shared" si="5"/>
        <v>44.066533864541839</v>
      </c>
    </row>
    <row r="23" spans="1:20">
      <c r="A23">
        <f t="shared" si="1"/>
        <v>19</v>
      </c>
      <c r="B23">
        <v>1</v>
      </c>
      <c r="C23">
        <v>1</v>
      </c>
      <c r="E23" s="23">
        <f t="shared" si="3"/>
        <v>510.9163346613546</v>
      </c>
      <c r="F23" s="24">
        <f t="shared" si="2"/>
        <v>510.9163346613546</v>
      </c>
      <c r="K23" s="24">
        <f t="shared" si="4"/>
        <v>9</v>
      </c>
      <c r="P23" s="24">
        <f t="shared" si="5"/>
        <v>39.659880478087651</v>
      </c>
    </row>
    <row r="24" spans="1:20">
      <c r="A24">
        <f t="shared" si="1"/>
        <v>20</v>
      </c>
      <c r="B24">
        <v>1</v>
      </c>
      <c r="C24">
        <v>1</v>
      </c>
      <c r="E24" s="23">
        <f t="shared" si="3"/>
        <v>510.9163346613546</v>
      </c>
      <c r="F24" s="24">
        <f t="shared" si="2"/>
        <v>510.9163346613546</v>
      </c>
      <c r="K24" s="24">
        <f t="shared" si="4"/>
        <v>8</v>
      </c>
      <c r="P24" s="24">
        <f t="shared" si="5"/>
        <v>35.25322709163347</v>
      </c>
    </row>
    <row r="25" spans="1:20">
      <c r="A25">
        <f t="shared" si="1"/>
        <v>21</v>
      </c>
      <c r="B25">
        <v>1</v>
      </c>
      <c r="C25">
        <v>1</v>
      </c>
      <c r="E25" s="23">
        <f t="shared" si="3"/>
        <v>510.9163346613546</v>
      </c>
      <c r="F25" s="24">
        <f t="shared" si="2"/>
        <v>510.9163346613546</v>
      </c>
      <c r="K25" s="24">
        <f t="shared" si="4"/>
        <v>7</v>
      </c>
      <c r="P25" s="24">
        <f t="shared" si="5"/>
        <v>30.846573705179289</v>
      </c>
    </row>
    <row r="26" spans="1:20">
      <c r="A26">
        <f t="shared" si="1"/>
        <v>22</v>
      </c>
      <c r="B26">
        <v>1</v>
      </c>
      <c r="C26">
        <v>1</v>
      </c>
      <c r="E26" s="23">
        <f t="shared" si="3"/>
        <v>510.9163346613546</v>
      </c>
      <c r="F26" s="24">
        <f t="shared" si="2"/>
        <v>510.9163346613546</v>
      </c>
      <c r="K26" s="24">
        <f t="shared" si="4"/>
        <v>6</v>
      </c>
      <c r="P26" s="24">
        <f t="shared" si="5"/>
        <v>26.439920318725104</v>
      </c>
    </row>
    <row r="27" spans="1:20">
      <c r="A27">
        <f t="shared" si="1"/>
        <v>23</v>
      </c>
      <c r="B27">
        <v>1</v>
      </c>
      <c r="C27">
        <v>1</v>
      </c>
      <c r="E27" s="23">
        <f t="shared" si="3"/>
        <v>510.9163346613546</v>
      </c>
      <c r="H27" s="24">
        <f>E27*10%</f>
        <v>51.091633466135463</v>
      </c>
      <c r="M27" s="24">
        <v>5</v>
      </c>
      <c r="P27" s="24">
        <f t="shared" si="5"/>
        <v>2.2033266932270923</v>
      </c>
    </row>
    <row r="28" spans="1:20">
      <c r="A28">
        <f t="shared" si="1"/>
        <v>24</v>
      </c>
      <c r="B28">
        <v>1</v>
      </c>
      <c r="C28">
        <v>1</v>
      </c>
      <c r="E28" s="23">
        <f t="shared" si="3"/>
        <v>510.9163346613546</v>
      </c>
      <c r="H28" s="24">
        <f>E28*10%</f>
        <v>51.091633466135463</v>
      </c>
      <c r="M28" s="24">
        <f>M27-1</f>
        <v>4</v>
      </c>
      <c r="P28" s="24">
        <f t="shared" si="5"/>
        <v>1.7626613545816736</v>
      </c>
    </row>
    <row r="29" spans="1:20">
      <c r="A29">
        <f t="shared" si="1"/>
        <v>25</v>
      </c>
      <c r="B29">
        <v>1</v>
      </c>
      <c r="C29">
        <v>1</v>
      </c>
      <c r="E29" s="23">
        <f t="shared" si="3"/>
        <v>510.9163346613546</v>
      </c>
      <c r="H29" s="24">
        <f>E29*10%</f>
        <v>51.091633466135463</v>
      </c>
      <c r="M29" s="24">
        <f t="shared" ref="M29:M31" si="6">M28-1</f>
        <v>3</v>
      </c>
      <c r="P29" s="24">
        <f t="shared" si="5"/>
        <v>1.3219960159362552</v>
      </c>
    </row>
    <row r="30" spans="1:20">
      <c r="A30">
        <f t="shared" si="1"/>
        <v>26</v>
      </c>
      <c r="B30">
        <v>1</v>
      </c>
      <c r="C30">
        <v>1</v>
      </c>
      <c r="E30" s="23">
        <f t="shared" si="3"/>
        <v>510.9163346613546</v>
      </c>
      <c r="H30" s="24">
        <f>E30*10%</f>
        <v>51.091633466135463</v>
      </c>
      <c r="M30" s="24">
        <f t="shared" si="6"/>
        <v>2</v>
      </c>
      <c r="P30" s="24">
        <f t="shared" si="5"/>
        <v>0.88133067729083681</v>
      </c>
    </row>
    <row r="31" spans="1:20">
      <c r="A31">
        <f t="shared" si="1"/>
        <v>27</v>
      </c>
      <c r="B31">
        <v>1</v>
      </c>
      <c r="C31">
        <v>1</v>
      </c>
      <c r="E31" s="23">
        <f t="shared" si="3"/>
        <v>510.9163346613546</v>
      </c>
      <c r="H31" s="24">
        <f>E31*10%</f>
        <v>51.091633466135463</v>
      </c>
      <c r="M31" s="24">
        <f t="shared" si="6"/>
        <v>1</v>
      </c>
      <c r="P31" s="24">
        <f t="shared" si="5"/>
        <v>0.4406653386454184</v>
      </c>
    </row>
    <row r="32" spans="1:20">
      <c r="A32">
        <f t="shared" si="1"/>
        <v>28</v>
      </c>
      <c r="B32">
        <v>1</v>
      </c>
      <c r="D32">
        <v>1</v>
      </c>
      <c r="E32" s="23">
        <f t="shared" si="3"/>
        <v>510.9163346613546</v>
      </c>
      <c r="I32" s="24">
        <f>E32*8%</f>
        <v>40.873306772908371</v>
      </c>
      <c r="N32" s="24">
        <v>11</v>
      </c>
      <c r="P32" s="24">
        <f t="shared" si="5"/>
        <v>3.877854980079682</v>
      </c>
    </row>
    <row r="33" spans="1:16">
      <c r="A33">
        <f t="shared" si="1"/>
        <v>29</v>
      </c>
      <c r="B33">
        <v>1</v>
      </c>
      <c r="D33">
        <v>1</v>
      </c>
      <c r="E33" s="23">
        <f t="shared" si="3"/>
        <v>510.9163346613546</v>
      </c>
      <c r="I33" s="24">
        <f t="shared" ref="I33:I42" si="7">E33*8%</f>
        <v>40.873306772908371</v>
      </c>
      <c r="N33" s="24">
        <f>N32-1</f>
        <v>10</v>
      </c>
      <c r="P33" s="24">
        <f t="shared" si="5"/>
        <v>3.5253227091633472</v>
      </c>
    </row>
    <row r="34" spans="1:16">
      <c r="A34">
        <f t="shared" si="1"/>
        <v>30</v>
      </c>
      <c r="B34">
        <v>1</v>
      </c>
      <c r="D34">
        <v>1</v>
      </c>
      <c r="E34" s="23">
        <f t="shared" si="3"/>
        <v>510.9163346613546</v>
      </c>
      <c r="I34" s="24">
        <f t="shared" si="7"/>
        <v>40.873306772908371</v>
      </c>
      <c r="N34" s="24">
        <f t="shared" ref="N34:N42" si="8">N33-1</f>
        <v>9</v>
      </c>
      <c r="P34" s="24">
        <f t="shared" si="5"/>
        <v>3.1727904382470129</v>
      </c>
    </row>
    <row r="35" spans="1:16">
      <c r="A35">
        <f t="shared" si="1"/>
        <v>31</v>
      </c>
      <c r="B35">
        <v>1</v>
      </c>
      <c r="D35">
        <v>1</v>
      </c>
      <c r="E35" s="23">
        <f t="shared" si="3"/>
        <v>510.9163346613546</v>
      </c>
      <c r="I35" s="24">
        <f t="shared" si="7"/>
        <v>40.873306772908371</v>
      </c>
      <c r="N35" s="24">
        <f t="shared" si="8"/>
        <v>8</v>
      </c>
      <c r="P35" s="24">
        <f t="shared" si="5"/>
        <v>2.8202581673306777</v>
      </c>
    </row>
    <row r="36" spans="1:16">
      <c r="A36">
        <f t="shared" si="1"/>
        <v>32</v>
      </c>
      <c r="B36">
        <v>1</v>
      </c>
      <c r="D36">
        <v>1</v>
      </c>
      <c r="E36" s="23">
        <f t="shared" si="3"/>
        <v>510.9163346613546</v>
      </c>
      <c r="I36" s="24">
        <f t="shared" si="7"/>
        <v>40.873306772908371</v>
      </c>
      <c r="N36" s="24">
        <f t="shared" si="8"/>
        <v>7</v>
      </c>
      <c r="P36" s="24">
        <f t="shared" si="5"/>
        <v>2.4677258964143429</v>
      </c>
    </row>
    <row r="37" spans="1:16">
      <c r="A37">
        <f t="shared" si="1"/>
        <v>33</v>
      </c>
      <c r="B37">
        <v>1</v>
      </c>
      <c r="D37">
        <v>1</v>
      </c>
      <c r="E37" s="23">
        <f t="shared" si="3"/>
        <v>510.9163346613546</v>
      </c>
      <c r="I37" s="24">
        <f t="shared" si="7"/>
        <v>40.873306772908371</v>
      </c>
      <c r="N37" s="24">
        <f t="shared" si="8"/>
        <v>6</v>
      </c>
      <c r="P37" s="24">
        <f t="shared" si="5"/>
        <v>2.1151936254980086</v>
      </c>
    </row>
    <row r="38" spans="1:16">
      <c r="A38">
        <f t="shared" si="1"/>
        <v>34</v>
      </c>
      <c r="B38">
        <v>1</v>
      </c>
      <c r="D38">
        <v>1</v>
      </c>
      <c r="E38" s="23">
        <f t="shared" si="3"/>
        <v>510.9163346613546</v>
      </c>
      <c r="I38" s="24">
        <f t="shared" si="7"/>
        <v>40.873306772908371</v>
      </c>
      <c r="N38" s="24">
        <f t="shared" si="8"/>
        <v>5</v>
      </c>
      <c r="P38" s="24">
        <f t="shared" si="5"/>
        <v>1.7626613545816736</v>
      </c>
    </row>
    <row r="39" spans="1:16">
      <c r="A39">
        <f t="shared" si="1"/>
        <v>35</v>
      </c>
      <c r="B39">
        <v>1</v>
      </c>
      <c r="D39">
        <v>1</v>
      </c>
      <c r="E39" s="23">
        <f t="shared" si="3"/>
        <v>510.9163346613546</v>
      </c>
      <c r="I39" s="24">
        <f t="shared" si="7"/>
        <v>40.873306772908371</v>
      </c>
      <c r="N39" s="24">
        <f t="shared" si="8"/>
        <v>4</v>
      </c>
      <c r="P39" s="24">
        <f t="shared" si="5"/>
        <v>1.4101290836653388</v>
      </c>
    </row>
    <row r="40" spans="1:16">
      <c r="A40">
        <f t="shared" si="1"/>
        <v>36</v>
      </c>
      <c r="B40">
        <v>1</v>
      </c>
      <c r="D40">
        <v>1</v>
      </c>
      <c r="E40" s="23">
        <f t="shared" si="3"/>
        <v>510.9163346613546</v>
      </c>
      <c r="I40" s="24">
        <f t="shared" si="7"/>
        <v>40.873306772908371</v>
      </c>
      <c r="N40" s="24">
        <f t="shared" si="8"/>
        <v>3</v>
      </c>
      <c r="P40" s="24">
        <f t="shared" si="5"/>
        <v>1.0575968127490043</v>
      </c>
    </row>
    <row r="41" spans="1:16">
      <c r="A41">
        <f t="shared" si="1"/>
        <v>37</v>
      </c>
      <c r="B41">
        <v>1</v>
      </c>
      <c r="D41">
        <v>1</v>
      </c>
      <c r="E41" s="23">
        <f t="shared" si="3"/>
        <v>510.9163346613546</v>
      </c>
      <c r="I41" s="24">
        <f t="shared" si="7"/>
        <v>40.873306772908371</v>
      </c>
      <c r="N41" s="24">
        <f t="shared" si="8"/>
        <v>2</v>
      </c>
      <c r="P41" s="24">
        <f t="shared" si="5"/>
        <v>0.70506454183266942</v>
      </c>
    </row>
    <row r="42" spans="1:16">
      <c r="A42">
        <f t="shared" si="1"/>
        <v>38</v>
      </c>
      <c r="B42">
        <v>1</v>
      </c>
      <c r="D42">
        <v>1</v>
      </c>
      <c r="E42" s="23">
        <f t="shared" si="3"/>
        <v>510.9163346613546</v>
      </c>
      <c r="I42" s="24">
        <f t="shared" si="7"/>
        <v>40.873306772908371</v>
      </c>
      <c r="N42" s="24">
        <f t="shared" si="8"/>
        <v>1</v>
      </c>
      <c r="P42" s="24">
        <f t="shared" si="5"/>
        <v>0.35253227091633471</v>
      </c>
    </row>
    <row r="43" spans="1:16">
      <c r="A43">
        <f t="shared" si="1"/>
        <v>39</v>
      </c>
      <c r="B43">
        <v>1</v>
      </c>
      <c r="E43" s="23">
        <f t="shared" si="3"/>
        <v>510.9163346613546</v>
      </c>
      <c r="P43" s="24">
        <f t="shared" si="5"/>
        <v>0</v>
      </c>
    </row>
    <row r="44" spans="1:16">
      <c r="A44">
        <f t="shared" si="1"/>
        <v>40</v>
      </c>
      <c r="B44">
        <v>1</v>
      </c>
      <c r="E44" s="23">
        <f t="shared" si="3"/>
        <v>510.9163346613546</v>
      </c>
      <c r="P44" s="24">
        <f t="shared" si="5"/>
        <v>0</v>
      </c>
    </row>
    <row r="45" spans="1:16">
      <c r="P45" s="24">
        <f t="shared" si="5"/>
        <v>0</v>
      </c>
    </row>
    <row r="46" spans="1:16">
      <c r="P46" s="24">
        <f t="shared" si="5"/>
        <v>0</v>
      </c>
    </row>
    <row r="47" spans="1:16">
      <c r="P47" s="24">
        <f t="shared" si="5"/>
        <v>0</v>
      </c>
    </row>
    <row r="48" spans="1:16">
      <c r="P48" s="24">
        <f t="shared" si="5"/>
        <v>0</v>
      </c>
    </row>
    <row r="49" spans="16:16">
      <c r="P49" s="24">
        <f t="shared" si="5"/>
        <v>0</v>
      </c>
    </row>
    <row r="50" spans="16:16">
      <c r="P50" s="24">
        <f t="shared" si="5"/>
        <v>0</v>
      </c>
    </row>
    <row r="51" spans="16:16">
      <c r="P51" s="24">
        <f t="shared" si="5"/>
        <v>0</v>
      </c>
    </row>
    <row r="52" spans="16:16">
      <c r="P52" s="24">
        <f t="shared" si="5"/>
        <v>0</v>
      </c>
    </row>
    <row r="53" spans="16:16">
      <c r="P53" s="24">
        <f t="shared" si="5"/>
        <v>0</v>
      </c>
    </row>
    <row r="54" spans="16:16">
      <c r="P54" s="24">
        <f t="shared" si="5"/>
        <v>0</v>
      </c>
    </row>
    <row r="55" spans="16:16">
      <c r="P55" s="24">
        <f t="shared" si="5"/>
        <v>0</v>
      </c>
    </row>
    <row r="56" spans="16:16">
      <c r="P56" s="24">
        <f t="shared" si="5"/>
        <v>0</v>
      </c>
    </row>
    <row r="57" spans="16:16">
      <c r="P57" s="24">
        <f t="shared" si="5"/>
        <v>0</v>
      </c>
    </row>
    <row r="58" spans="16:16">
      <c r="P58" s="24">
        <f t="shared" si="5"/>
        <v>0</v>
      </c>
    </row>
    <row r="59" spans="16:16">
      <c r="P59" s="24">
        <f t="shared" si="5"/>
        <v>0</v>
      </c>
    </row>
    <row r="60" spans="16:16">
      <c r="P60" s="24">
        <f t="shared" si="5"/>
        <v>0</v>
      </c>
    </row>
    <row r="61" spans="16:16">
      <c r="P61" s="24">
        <f t="shared" si="5"/>
        <v>0</v>
      </c>
    </row>
    <row r="62" spans="16:16">
      <c r="P62" s="24">
        <f t="shared" si="5"/>
        <v>0</v>
      </c>
    </row>
    <row r="63" spans="16:16">
      <c r="P63" s="24">
        <f t="shared" si="5"/>
        <v>0</v>
      </c>
    </row>
    <row r="64" spans="16:16">
      <c r="P64" s="24">
        <f t="shared" si="5"/>
        <v>0</v>
      </c>
    </row>
    <row r="65" spans="16:16">
      <c r="P65" s="24">
        <f t="shared" si="5"/>
        <v>0</v>
      </c>
    </row>
    <row r="66" spans="16:16">
      <c r="P66" s="24">
        <f t="shared" si="5"/>
        <v>0</v>
      </c>
    </row>
    <row r="67" spans="16:16">
      <c r="P67" s="24">
        <f t="shared" si="5"/>
        <v>0</v>
      </c>
    </row>
    <row r="68" spans="16:16">
      <c r="P68" s="24">
        <f t="shared" si="5"/>
        <v>0</v>
      </c>
    </row>
    <row r="69" spans="16:16">
      <c r="P69" s="24">
        <f t="shared" si="5"/>
        <v>0</v>
      </c>
    </row>
    <row r="70" spans="16:16">
      <c r="P70" s="24">
        <f t="shared" si="5"/>
        <v>0</v>
      </c>
    </row>
    <row r="71" spans="16:16">
      <c r="P71" s="24">
        <f t="shared" si="5"/>
        <v>0</v>
      </c>
    </row>
    <row r="72" spans="16:16">
      <c r="P72" s="24">
        <f t="shared" si="5"/>
        <v>0</v>
      </c>
    </row>
    <row r="73" spans="16:16">
      <c r="P73" s="24">
        <f t="shared" si="5"/>
        <v>0</v>
      </c>
    </row>
    <row r="74" spans="16:16">
      <c r="P74" s="24">
        <f t="shared" si="5"/>
        <v>0</v>
      </c>
    </row>
    <row r="75" spans="16:16">
      <c r="P75" s="24">
        <f t="shared" si="5"/>
        <v>0</v>
      </c>
    </row>
    <row r="76" spans="16:16">
      <c r="P76" s="24">
        <f t="shared" si="5"/>
        <v>0</v>
      </c>
    </row>
    <row r="77" spans="16:16">
      <c r="P77" s="24">
        <f t="shared" si="5"/>
        <v>0</v>
      </c>
    </row>
    <row r="78" spans="16:16">
      <c r="P78" s="24">
        <f t="shared" si="5"/>
        <v>0</v>
      </c>
    </row>
    <row r="79" spans="16:16">
      <c r="P79" s="24">
        <f t="shared" si="5"/>
        <v>0</v>
      </c>
    </row>
    <row r="80" spans="16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9">(F85*K85+G85*L85+H85*M85+I85*N85+J85*O85)*$S$1</f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40</v>
      </c>
      <c r="B88" s="28">
        <f>SUM(B13:B87)</f>
        <v>25</v>
      </c>
      <c r="C88" s="28">
        <f>SUM(C5:C87)</f>
        <v>27</v>
      </c>
      <c r="E88" s="29"/>
      <c r="F88" s="29">
        <f>SUM(F5:F87)</f>
        <v>3576.4143426294822</v>
      </c>
      <c r="G88" s="29">
        <f t="shared" ref="G88:I88" si="10">SUM(G5:G87)</f>
        <v>0</v>
      </c>
      <c r="H88" s="29">
        <f>SUM(H5:H87)</f>
        <v>255.45816733067733</v>
      </c>
      <c r="I88" s="29">
        <f t="shared" si="10"/>
        <v>449.60637450199215</v>
      </c>
      <c r="J88" s="29"/>
      <c r="K88" s="29"/>
      <c r="L88" s="29"/>
      <c r="M88" s="29"/>
      <c r="N88" s="29"/>
      <c r="O88" s="29"/>
      <c r="P88" s="29">
        <f t="shared" ref="P88" si="11">SUM(P5:P87)</f>
        <v>307.49627330677293</v>
      </c>
    </row>
    <row r="89" spans="1:16">
      <c r="F89" s="25">
        <f>SUM(F88:I88)</f>
        <v>4281.4788844621517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VIPcric_3!D60</f>
        <v>37881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VIPcric_3!E60</f>
        <v>17.600000000000001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4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C18">
        <v>1</v>
      </c>
      <c r="P18" s="24">
        <f t="shared" si="0"/>
        <v>0</v>
      </c>
    </row>
    <row r="19" spans="1:20">
      <c r="A19">
        <f t="shared" si="1"/>
        <v>15</v>
      </c>
      <c r="C19">
        <v>1</v>
      </c>
      <c r="P19" s="24">
        <f>(F19*K19+G19*L19+H19*M19+I19*N19+J19*O19)*$S$1</f>
        <v>0</v>
      </c>
    </row>
    <row r="20" spans="1:20">
      <c r="A20">
        <f t="shared" si="1"/>
        <v>16</v>
      </c>
      <c r="B20">
        <v>1</v>
      </c>
      <c r="C20">
        <v>1</v>
      </c>
      <c r="E20" s="23">
        <f>1/$S$3*$S$2</f>
        <v>2152.3295454545455</v>
      </c>
      <c r="F20" s="24">
        <f>$E20</f>
        <v>2152.3295454545455</v>
      </c>
      <c r="K20" s="24">
        <v>20</v>
      </c>
      <c r="L20" s="24">
        <v>8</v>
      </c>
      <c r="M20" s="24">
        <v>12</v>
      </c>
      <c r="N20" s="24">
        <v>20</v>
      </c>
      <c r="P20" s="24">
        <f>(F20*K20+G20*L20+H20*M20+I20*N20+J20*O20)*$S$1</f>
        <v>371.27684659090914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ref="E21:E37" si="2">1/$S$3*$S$2</f>
        <v>2152.3295454545455</v>
      </c>
      <c r="F21" s="24">
        <f>$E21</f>
        <v>2152.3295454545455</v>
      </c>
      <c r="K21" s="24">
        <v>19</v>
      </c>
      <c r="L21" s="24">
        <f>L20-1</f>
        <v>7</v>
      </c>
      <c r="M21" s="24">
        <f>M20-1</f>
        <v>11</v>
      </c>
      <c r="N21" s="24">
        <f>N20-1</f>
        <v>19</v>
      </c>
      <c r="P21" s="24">
        <f t="shared" ref="P21:P83" si="3">(F21*K21+G21*L21+H21*M21+I21*N21+J21*O21)*$S$1</f>
        <v>352.71300426136372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2152.3295454545455</v>
      </c>
      <c r="G22" s="24">
        <f t="shared" ref="G22:G27" si="4">$E22*6%</f>
        <v>129.13977272727271</v>
      </c>
      <c r="H22" s="24">
        <f t="shared" ref="H22:H32" si="5">$E22*3%</f>
        <v>64.569886363636357</v>
      </c>
      <c r="I22" s="24">
        <f t="shared" ref="I22:I37" si="6">$E22*1%</f>
        <v>21.523295454545455</v>
      </c>
      <c r="K22" s="24">
        <f t="shared" ref="K22:N39" si="7">K21-1</f>
        <v>18</v>
      </c>
      <c r="L22" s="24">
        <f t="shared" si="7"/>
        <v>6</v>
      </c>
      <c r="M22" s="24">
        <f t="shared" si="7"/>
        <v>10</v>
      </c>
      <c r="N22" s="24">
        <f t="shared" si="7"/>
        <v>18</v>
      </c>
      <c r="P22" s="24">
        <f t="shared" si="3"/>
        <v>15.593627556818182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2152.3295454545455</v>
      </c>
      <c r="G23" s="24">
        <f t="shared" si="4"/>
        <v>129.13977272727271</v>
      </c>
      <c r="H23" s="24">
        <f t="shared" si="5"/>
        <v>64.569886363636357</v>
      </c>
      <c r="I23" s="24">
        <f t="shared" si="6"/>
        <v>21.523295454545455</v>
      </c>
      <c r="K23" s="24">
        <f t="shared" si="7"/>
        <v>17</v>
      </c>
      <c r="L23" s="24">
        <f t="shared" si="7"/>
        <v>5</v>
      </c>
      <c r="M23" s="24">
        <f t="shared" si="7"/>
        <v>9</v>
      </c>
      <c r="N23" s="24">
        <f t="shared" si="7"/>
        <v>17</v>
      </c>
      <c r="P23" s="24">
        <f t="shared" si="3"/>
        <v>13.737243323863638</v>
      </c>
    </row>
    <row r="24" spans="1:20">
      <c r="A24">
        <f t="shared" si="1"/>
        <v>20</v>
      </c>
      <c r="B24">
        <v>1</v>
      </c>
      <c r="C24">
        <v>1</v>
      </c>
      <c r="E24" s="23">
        <f t="shared" si="2"/>
        <v>2152.3295454545455</v>
      </c>
      <c r="G24" s="24">
        <f t="shared" si="4"/>
        <v>129.13977272727271</v>
      </c>
      <c r="H24" s="24">
        <f t="shared" si="5"/>
        <v>64.569886363636357</v>
      </c>
      <c r="I24" s="24">
        <f t="shared" si="6"/>
        <v>21.523295454545455</v>
      </c>
      <c r="K24" s="24">
        <f t="shared" si="7"/>
        <v>16</v>
      </c>
      <c r="L24" s="24">
        <f t="shared" si="7"/>
        <v>4</v>
      </c>
      <c r="M24" s="24">
        <f t="shared" si="7"/>
        <v>8</v>
      </c>
      <c r="N24" s="24">
        <f t="shared" si="7"/>
        <v>16</v>
      </c>
      <c r="P24" s="24">
        <f t="shared" si="3"/>
        <v>11.880859090909093</v>
      </c>
    </row>
    <row r="25" spans="1:20">
      <c r="A25">
        <f t="shared" si="1"/>
        <v>21</v>
      </c>
      <c r="B25">
        <v>1</v>
      </c>
      <c r="C25">
        <v>1</v>
      </c>
      <c r="E25" s="23">
        <f t="shared" si="2"/>
        <v>2152.3295454545455</v>
      </c>
      <c r="G25" s="24">
        <f t="shared" si="4"/>
        <v>129.13977272727271</v>
      </c>
      <c r="H25" s="24">
        <f t="shared" si="5"/>
        <v>64.569886363636357</v>
      </c>
      <c r="I25" s="24">
        <f t="shared" si="6"/>
        <v>21.523295454545455</v>
      </c>
      <c r="L25" s="24">
        <f t="shared" si="7"/>
        <v>3</v>
      </c>
      <c r="M25" s="24">
        <f t="shared" si="7"/>
        <v>7</v>
      </c>
      <c r="N25" s="24">
        <f t="shared" si="7"/>
        <v>15</v>
      </c>
      <c r="P25" s="24">
        <f t="shared" si="3"/>
        <v>10.024474857954544</v>
      </c>
    </row>
    <row r="26" spans="1:20">
      <c r="A26">
        <f t="shared" si="1"/>
        <v>22</v>
      </c>
      <c r="B26">
        <v>1</v>
      </c>
      <c r="C26">
        <v>1</v>
      </c>
      <c r="E26" s="23">
        <f t="shared" si="2"/>
        <v>2152.3295454545455</v>
      </c>
      <c r="G26" s="24">
        <f t="shared" si="4"/>
        <v>129.13977272727271</v>
      </c>
      <c r="H26" s="24">
        <f t="shared" si="5"/>
        <v>64.569886363636357</v>
      </c>
      <c r="I26" s="24">
        <f t="shared" si="6"/>
        <v>21.523295454545455</v>
      </c>
      <c r="L26" s="24">
        <f t="shared" si="7"/>
        <v>2</v>
      </c>
      <c r="M26" s="24">
        <f t="shared" si="7"/>
        <v>6</v>
      </c>
      <c r="N26" s="24">
        <f t="shared" si="7"/>
        <v>14</v>
      </c>
      <c r="P26" s="24">
        <f t="shared" si="3"/>
        <v>8.1680906249999996</v>
      </c>
    </row>
    <row r="27" spans="1:20">
      <c r="A27">
        <f t="shared" si="1"/>
        <v>23</v>
      </c>
      <c r="B27">
        <v>1</v>
      </c>
      <c r="C27">
        <v>1</v>
      </c>
      <c r="E27" s="23">
        <f t="shared" si="2"/>
        <v>2152.3295454545455</v>
      </c>
      <c r="G27" s="24">
        <f t="shared" si="4"/>
        <v>129.13977272727271</v>
      </c>
      <c r="H27" s="24">
        <f t="shared" si="5"/>
        <v>64.569886363636357</v>
      </c>
      <c r="I27" s="24">
        <f t="shared" si="6"/>
        <v>21.523295454545455</v>
      </c>
      <c r="L27" s="24">
        <f t="shared" si="7"/>
        <v>1</v>
      </c>
      <c r="M27" s="24">
        <f t="shared" si="7"/>
        <v>5</v>
      </c>
      <c r="N27" s="24">
        <f t="shared" si="7"/>
        <v>13</v>
      </c>
      <c r="P27" s="24">
        <f t="shared" si="3"/>
        <v>6.3117063920454539</v>
      </c>
    </row>
    <row r="28" spans="1:20">
      <c r="A28">
        <f t="shared" si="1"/>
        <v>24</v>
      </c>
      <c r="B28">
        <v>1</v>
      </c>
      <c r="C28">
        <v>1</v>
      </c>
      <c r="E28" s="23">
        <f t="shared" si="2"/>
        <v>2152.3295454545455</v>
      </c>
      <c r="H28" s="24">
        <f t="shared" si="5"/>
        <v>64.569886363636357</v>
      </c>
      <c r="I28" s="24">
        <f t="shared" si="6"/>
        <v>21.523295454545455</v>
      </c>
      <c r="M28" s="24">
        <f t="shared" si="7"/>
        <v>4</v>
      </c>
      <c r="N28" s="24">
        <f t="shared" si="7"/>
        <v>12</v>
      </c>
      <c r="P28" s="24">
        <f t="shared" si="3"/>
        <v>4.4553221590909091</v>
      </c>
    </row>
    <row r="29" spans="1:20">
      <c r="A29">
        <f t="shared" si="1"/>
        <v>25</v>
      </c>
      <c r="B29">
        <v>1</v>
      </c>
      <c r="C29">
        <v>1</v>
      </c>
      <c r="E29" s="23">
        <f t="shared" si="2"/>
        <v>2152.3295454545455</v>
      </c>
      <c r="H29" s="24">
        <f t="shared" si="5"/>
        <v>64.569886363636357</v>
      </c>
      <c r="I29" s="24">
        <f t="shared" si="6"/>
        <v>21.523295454545455</v>
      </c>
      <c r="M29" s="24">
        <f t="shared" si="7"/>
        <v>3</v>
      </c>
      <c r="N29" s="24">
        <f t="shared" si="7"/>
        <v>11</v>
      </c>
      <c r="P29" s="24">
        <f t="shared" si="3"/>
        <v>3.7127684659090909</v>
      </c>
    </row>
    <row r="30" spans="1:20">
      <c r="A30">
        <f t="shared" si="1"/>
        <v>26</v>
      </c>
      <c r="B30">
        <v>1</v>
      </c>
      <c r="C30">
        <v>1</v>
      </c>
      <c r="E30" s="23">
        <f t="shared" si="2"/>
        <v>2152.3295454545455</v>
      </c>
      <c r="H30" s="24">
        <f t="shared" si="5"/>
        <v>64.569886363636357</v>
      </c>
      <c r="I30" s="24">
        <f t="shared" si="6"/>
        <v>21.523295454545455</v>
      </c>
      <c r="M30" s="24">
        <f t="shared" si="7"/>
        <v>2</v>
      </c>
      <c r="N30" s="24">
        <f t="shared" si="7"/>
        <v>10</v>
      </c>
      <c r="P30" s="24">
        <f t="shared" si="3"/>
        <v>2.9702147727272732</v>
      </c>
    </row>
    <row r="31" spans="1:20">
      <c r="A31">
        <f t="shared" si="1"/>
        <v>27</v>
      </c>
      <c r="B31">
        <v>1</v>
      </c>
      <c r="C31">
        <v>1</v>
      </c>
      <c r="E31" s="23">
        <f t="shared" si="2"/>
        <v>2152.3295454545455</v>
      </c>
      <c r="H31" s="24">
        <f t="shared" si="5"/>
        <v>64.569886363636357</v>
      </c>
      <c r="I31" s="24">
        <f t="shared" si="6"/>
        <v>21.523295454545455</v>
      </c>
      <c r="M31" s="24">
        <f t="shared" si="7"/>
        <v>1</v>
      </c>
      <c r="N31" s="24">
        <f t="shared" si="7"/>
        <v>9</v>
      </c>
      <c r="P31" s="24">
        <f t="shared" si="3"/>
        <v>2.2276610795454546</v>
      </c>
    </row>
    <row r="32" spans="1:20">
      <c r="A32">
        <f t="shared" si="1"/>
        <v>28</v>
      </c>
      <c r="B32">
        <v>1</v>
      </c>
      <c r="D32">
        <v>1</v>
      </c>
      <c r="E32" s="23">
        <f t="shared" si="2"/>
        <v>2152.3295454545455</v>
      </c>
      <c r="H32" s="24">
        <f t="shared" si="5"/>
        <v>64.569886363636357</v>
      </c>
      <c r="I32" s="24">
        <f t="shared" si="6"/>
        <v>21.523295454545455</v>
      </c>
      <c r="N32" s="24">
        <f t="shared" si="7"/>
        <v>8</v>
      </c>
      <c r="P32" s="24">
        <f t="shared" si="3"/>
        <v>1.4851073863636366</v>
      </c>
    </row>
    <row r="33" spans="1:16">
      <c r="A33">
        <f t="shared" si="1"/>
        <v>29</v>
      </c>
      <c r="B33">
        <v>1</v>
      </c>
      <c r="D33">
        <v>1</v>
      </c>
      <c r="E33" s="23">
        <f t="shared" si="2"/>
        <v>2152.3295454545455</v>
      </c>
      <c r="I33" s="24">
        <f t="shared" si="6"/>
        <v>21.523295454545455</v>
      </c>
      <c r="N33" s="24">
        <f t="shared" si="7"/>
        <v>7</v>
      </c>
      <c r="P33" s="24">
        <f t="shared" si="3"/>
        <v>1.2994689630681819</v>
      </c>
    </row>
    <row r="34" spans="1:16">
      <c r="A34">
        <f t="shared" si="1"/>
        <v>30</v>
      </c>
      <c r="B34">
        <v>1</v>
      </c>
      <c r="D34">
        <v>1</v>
      </c>
      <c r="E34" s="23">
        <f t="shared" si="2"/>
        <v>2152.3295454545455</v>
      </c>
      <c r="I34" s="24">
        <f t="shared" si="6"/>
        <v>21.523295454545455</v>
      </c>
      <c r="N34" s="24">
        <f t="shared" si="7"/>
        <v>6</v>
      </c>
      <c r="P34" s="24">
        <f t="shared" si="3"/>
        <v>1.1138305397727273</v>
      </c>
    </row>
    <row r="35" spans="1:16">
      <c r="A35">
        <f t="shared" si="1"/>
        <v>31</v>
      </c>
      <c r="B35">
        <v>1</v>
      </c>
      <c r="D35">
        <v>1</v>
      </c>
      <c r="E35" s="23">
        <f t="shared" si="2"/>
        <v>2152.3295454545455</v>
      </c>
      <c r="I35" s="24">
        <f t="shared" si="6"/>
        <v>21.523295454545455</v>
      </c>
      <c r="N35" s="24">
        <f t="shared" si="7"/>
        <v>5</v>
      </c>
      <c r="P35" s="24">
        <f t="shared" si="3"/>
        <v>0.92819211647727284</v>
      </c>
    </row>
    <row r="36" spans="1:16">
      <c r="A36">
        <f t="shared" si="1"/>
        <v>32</v>
      </c>
      <c r="B36">
        <v>1</v>
      </c>
      <c r="D36">
        <v>1</v>
      </c>
      <c r="E36" s="23">
        <f t="shared" si="2"/>
        <v>2152.3295454545455</v>
      </c>
      <c r="I36" s="24">
        <f t="shared" si="6"/>
        <v>21.523295454545455</v>
      </c>
      <c r="N36" s="24">
        <f t="shared" si="7"/>
        <v>4</v>
      </c>
      <c r="P36" s="24">
        <f t="shared" si="3"/>
        <v>0.7425536931818183</v>
      </c>
    </row>
    <row r="37" spans="1:16">
      <c r="A37">
        <f t="shared" si="1"/>
        <v>33</v>
      </c>
      <c r="B37">
        <v>0.6</v>
      </c>
      <c r="D37">
        <v>1</v>
      </c>
      <c r="E37" s="23">
        <f t="shared" si="2"/>
        <v>2152.3295454545455</v>
      </c>
      <c r="I37" s="24">
        <f t="shared" si="6"/>
        <v>21.523295454545455</v>
      </c>
      <c r="N37" s="24">
        <f t="shared" si="7"/>
        <v>3</v>
      </c>
      <c r="P37" s="24">
        <f t="shared" si="3"/>
        <v>0.55691526988636364</v>
      </c>
    </row>
    <row r="38" spans="1:16">
      <c r="A38">
        <f t="shared" si="1"/>
        <v>34</v>
      </c>
      <c r="D38">
        <v>1</v>
      </c>
      <c r="I38" s="24">
        <f>I37</f>
        <v>21.523295454545455</v>
      </c>
      <c r="N38" s="24">
        <f t="shared" si="7"/>
        <v>2</v>
      </c>
      <c r="P38" s="24">
        <f t="shared" si="3"/>
        <v>0.37127684659090915</v>
      </c>
    </row>
    <row r="39" spans="1:16">
      <c r="A39">
        <f t="shared" si="1"/>
        <v>35</v>
      </c>
      <c r="D39">
        <v>1</v>
      </c>
      <c r="I39" s="24">
        <f>I38</f>
        <v>21.523295454545455</v>
      </c>
      <c r="N39" s="24">
        <f t="shared" si="7"/>
        <v>1</v>
      </c>
      <c r="P39" s="24">
        <f t="shared" si="3"/>
        <v>0.18563842329545457</v>
      </c>
    </row>
    <row r="40" spans="1:16">
      <c r="A40">
        <f t="shared" si="1"/>
        <v>36</v>
      </c>
      <c r="P40" s="24">
        <f t="shared" si="3"/>
        <v>0</v>
      </c>
    </row>
    <row r="41" spans="1:16">
      <c r="A41">
        <f t="shared" si="1"/>
        <v>37</v>
      </c>
      <c r="P41" s="24">
        <f t="shared" si="3"/>
        <v>0</v>
      </c>
    </row>
    <row r="42" spans="1:16">
      <c r="A42">
        <f t="shared" si="1"/>
        <v>38</v>
      </c>
      <c r="P42" s="24">
        <f t="shared" si="3"/>
        <v>0</v>
      </c>
    </row>
    <row r="43" spans="1:16">
      <c r="A43">
        <f t="shared" si="1"/>
        <v>39</v>
      </c>
      <c r="P43" s="24">
        <f t="shared" si="3"/>
        <v>0</v>
      </c>
    </row>
    <row r="44" spans="1:16">
      <c r="A44">
        <f t="shared" si="1"/>
        <v>40</v>
      </c>
      <c r="P44" s="24">
        <f t="shared" si="3"/>
        <v>0</v>
      </c>
    </row>
    <row r="45" spans="1:16">
      <c r="P45" s="24">
        <f t="shared" si="3"/>
        <v>0</v>
      </c>
    </row>
    <row r="46" spans="1:16">
      <c r="P46" s="24">
        <f t="shared" si="3"/>
        <v>0</v>
      </c>
    </row>
    <row r="47" spans="1:16">
      <c r="P47" s="24">
        <f t="shared" si="3"/>
        <v>0</v>
      </c>
    </row>
    <row r="48" spans="1:16">
      <c r="P48" s="24">
        <f t="shared" si="3"/>
        <v>0</v>
      </c>
    </row>
    <row r="49" spans="16:16">
      <c r="P49" s="24">
        <f t="shared" si="3"/>
        <v>0</v>
      </c>
    </row>
    <row r="50" spans="16:16">
      <c r="P50" s="24">
        <f t="shared" si="3"/>
        <v>0</v>
      </c>
    </row>
    <row r="51" spans="16:16">
      <c r="P51" s="24">
        <f t="shared" si="3"/>
        <v>0</v>
      </c>
    </row>
    <row r="52" spans="16:16">
      <c r="P52" s="24">
        <f t="shared" si="3"/>
        <v>0</v>
      </c>
    </row>
    <row r="53" spans="16:16">
      <c r="P53" s="24">
        <f t="shared" si="3"/>
        <v>0</v>
      </c>
    </row>
    <row r="54" spans="16:16">
      <c r="P54" s="24">
        <f t="shared" si="3"/>
        <v>0</v>
      </c>
    </row>
    <row r="55" spans="16:16">
      <c r="P55" s="24">
        <f t="shared" si="3"/>
        <v>0</v>
      </c>
    </row>
    <row r="56" spans="16:16">
      <c r="P56" s="24">
        <f t="shared" si="3"/>
        <v>0</v>
      </c>
    </row>
    <row r="57" spans="16:16">
      <c r="P57" s="24">
        <f t="shared" si="3"/>
        <v>0</v>
      </c>
    </row>
    <row r="58" spans="16:16">
      <c r="P58" s="24">
        <f t="shared" si="3"/>
        <v>0</v>
      </c>
    </row>
    <row r="59" spans="16:16">
      <c r="P59" s="24">
        <f t="shared" si="3"/>
        <v>0</v>
      </c>
    </row>
    <row r="60" spans="16:16">
      <c r="P60" s="24">
        <f t="shared" si="3"/>
        <v>0</v>
      </c>
    </row>
    <row r="61" spans="16:16">
      <c r="P61" s="24">
        <f t="shared" si="3"/>
        <v>0</v>
      </c>
    </row>
    <row r="62" spans="16:16">
      <c r="P62" s="24">
        <f t="shared" si="3"/>
        <v>0</v>
      </c>
    </row>
    <row r="63" spans="16:16">
      <c r="P63" s="24">
        <f t="shared" si="3"/>
        <v>0</v>
      </c>
    </row>
    <row r="64" spans="16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ref="P84:P87" si="8">(F84*K84+G84*L84+H84*M84+I84*N84+J84*O84)*$S$1</f>
        <v>0</v>
      </c>
    </row>
    <row r="85" spans="1:16">
      <c r="P85" s="24">
        <f t="shared" si="8"/>
        <v>0</v>
      </c>
    </row>
    <row r="86" spans="1:16">
      <c r="P86" s="24">
        <f t="shared" si="8"/>
        <v>0</v>
      </c>
    </row>
    <row r="87" spans="1:16">
      <c r="P87" s="24">
        <f t="shared" si="8"/>
        <v>0</v>
      </c>
    </row>
    <row r="88" spans="1:16">
      <c r="A88" s="28">
        <f>COUNT(A5:A87)</f>
        <v>40</v>
      </c>
      <c r="B88" s="28">
        <f>SUM(B13:B87)</f>
        <v>17.600000000000001</v>
      </c>
      <c r="C88" s="28">
        <f>SUM(C5:C87)</f>
        <v>27</v>
      </c>
      <c r="E88" s="29"/>
      <c r="F88" s="29">
        <f>SUM(F5:F87)</f>
        <v>4304.659090909091</v>
      </c>
      <c r="G88" s="29">
        <f t="shared" ref="G88:I88" si="9">SUM(G5:G87)</f>
        <v>774.83863636363617</v>
      </c>
      <c r="H88" s="29">
        <f>SUM(H5:H87)</f>
        <v>710.26874999999973</v>
      </c>
      <c r="I88" s="29">
        <f t="shared" si="9"/>
        <v>387.41931818181826</v>
      </c>
      <c r="J88" s="29"/>
      <c r="K88" s="29"/>
      <c r="L88" s="29"/>
      <c r="M88" s="29"/>
      <c r="N88" s="29"/>
      <c r="O88" s="29"/>
      <c r="P88" s="29">
        <f t="shared" ref="P88" si="10">SUM(P5:P87)</f>
        <v>809.75480241477283</v>
      </c>
    </row>
    <row r="89" spans="1:16">
      <c r="F89" s="25">
        <f>SUM(F88:I88)</f>
        <v>6177.1857954545458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VIPcric_3!D84</f>
        <v>10573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VIPcric_3!E84</f>
        <v>34.1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0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3500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>
        <v>0.5</v>
      </c>
      <c r="U11">
        <f>T11*U10</f>
        <v>1750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>
        <v>0.65</v>
      </c>
      <c r="U12">
        <f>T12*U10</f>
        <v>2275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>
        <v>0.85</v>
      </c>
      <c r="U13">
        <f>T13*U10</f>
        <v>2975</v>
      </c>
    </row>
    <row r="14" spans="1:22">
      <c r="A14">
        <f t="shared" si="1"/>
        <v>10</v>
      </c>
      <c r="B14">
        <v>1</v>
      </c>
      <c r="C14">
        <v>1</v>
      </c>
      <c r="E14" s="23">
        <f t="shared" ref="E14:E19" si="2">1/$S$3*$S$2</f>
        <v>310.05865102639297</v>
      </c>
      <c r="F14" s="24">
        <f>E14</f>
        <v>310.05865102639297</v>
      </c>
      <c r="K14" s="24">
        <v>18</v>
      </c>
      <c r="P14" s="24">
        <f t="shared" si="0"/>
        <v>48.136605571847511</v>
      </c>
      <c r="T14" s="39">
        <v>0.01</v>
      </c>
      <c r="U14">
        <f>T14*U10</f>
        <v>35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310.05865102639297</v>
      </c>
      <c r="F15" s="24">
        <f t="shared" ref="F15:F18" si="3">E15</f>
        <v>310.05865102639297</v>
      </c>
      <c r="K15" s="24">
        <f>K14-1</f>
        <v>17</v>
      </c>
      <c r="P15" s="24">
        <f t="shared" si="0"/>
        <v>45.462349706744874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310.05865102639297</v>
      </c>
      <c r="F16" s="24">
        <f t="shared" si="3"/>
        <v>310.05865102639297</v>
      </c>
      <c r="K16" s="24">
        <f t="shared" ref="K16:K18" si="4">K15-1</f>
        <v>16</v>
      </c>
      <c r="P16" s="24">
        <f t="shared" si="0"/>
        <v>42.78809384164223</v>
      </c>
    </row>
    <row r="17" spans="1:20">
      <c r="A17">
        <f t="shared" si="1"/>
        <v>13</v>
      </c>
      <c r="B17">
        <v>1</v>
      </c>
      <c r="C17">
        <v>1</v>
      </c>
      <c r="E17" s="23">
        <f t="shared" si="2"/>
        <v>310.05865102639297</v>
      </c>
      <c r="F17" s="24">
        <f t="shared" si="3"/>
        <v>310.05865102639297</v>
      </c>
      <c r="K17" s="24">
        <f t="shared" si="4"/>
        <v>15</v>
      </c>
      <c r="P17" s="24">
        <f t="shared" si="0"/>
        <v>40.113837976539592</v>
      </c>
    </row>
    <row r="18" spans="1:20">
      <c r="A18">
        <f t="shared" si="1"/>
        <v>14</v>
      </c>
      <c r="B18">
        <v>1</v>
      </c>
      <c r="C18">
        <v>1</v>
      </c>
      <c r="E18" s="23">
        <f t="shared" si="2"/>
        <v>310.05865102639297</v>
      </c>
      <c r="F18" s="24">
        <f t="shared" si="3"/>
        <v>310.05865102639297</v>
      </c>
      <c r="K18" s="24">
        <f t="shared" si="4"/>
        <v>14</v>
      </c>
      <c r="P18" s="24">
        <f t="shared" si="0"/>
        <v>37.439582111436955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310.05865102639297</v>
      </c>
      <c r="G19" s="24">
        <f>E19</f>
        <v>310.05865102639297</v>
      </c>
      <c r="L19" s="24">
        <v>13</v>
      </c>
      <c r="P19" s="24">
        <f>(F19*K19+G19*L19+H19*M19+I19*N19+J19*O19)*$S$1</f>
        <v>34.765326246334318</v>
      </c>
    </row>
    <row r="20" spans="1:20">
      <c r="A20">
        <f t="shared" si="1"/>
        <v>16</v>
      </c>
      <c r="B20">
        <v>1</v>
      </c>
      <c r="C20">
        <v>1</v>
      </c>
      <c r="E20" s="23">
        <f>1/$S$3*$S$2</f>
        <v>310.05865102639297</v>
      </c>
      <c r="H20" s="24">
        <f>E20</f>
        <v>310.05865102639297</v>
      </c>
      <c r="M20" s="24">
        <v>12</v>
      </c>
      <c r="P20" s="24">
        <f>(F20*K20+G20*L20+H20*M20+I20*N20+J20*O20)*$S$1</f>
        <v>32.091070381231674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ref="E21:E47" si="5">1/$S$3*$S$2</f>
        <v>310.05865102639297</v>
      </c>
      <c r="H21" s="24">
        <f>E21</f>
        <v>310.05865102639297</v>
      </c>
      <c r="M21" s="24">
        <f>M20-1</f>
        <v>11</v>
      </c>
      <c r="P21" s="24">
        <f t="shared" ref="P21:P84" si="6">(F21*K21+G21*L21+H21*M21+I21*N21+J21*O21)*$S$1</f>
        <v>29.416814516129033</v>
      </c>
    </row>
    <row r="22" spans="1:20">
      <c r="A22">
        <f t="shared" si="1"/>
        <v>18</v>
      </c>
      <c r="B22">
        <v>1</v>
      </c>
      <c r="C22">
        <v>1</v>
      </c>
      <c r="E22" s="23">
        <f t="shared" si="5"/>
        <v>310.05865102639297</v>
      </c>
      <c r="H22" s="24">
        <f>E22</f>
        <v>310.05865102639297</v>
      </c>
      <c r="M22" s="24">
        <f>M21-1</f>
        <v>10</v>
      </c>
      <c r="P22" s="24">
        <f t="shared" si="6"/>
        <v>26.742558651026396</v>
      </c>
    </row>
    <row r="23" spans="1:20">
      <c r="A23">
        <f t="shared" si="1"/>
        <v>19</v>
      </c>
      <c r="B23">
        <v>1</v>
      </c>
      <c r="C23">
        <v>1</v>
      </c>
      <c r="E23" s="23">
        <f t="shared" si="5"/>
        <v>310.05865102639297</v>
      </c>
      <c r="H23" s="24">
        <f>E23</f>
        <v>310.05865102639297</v>
      </c>
      <c r="M23" s="24">
        <f>M22-1</f>
        <v>9</v>
      </c>
      <c r="P23" s="24">
        <f t="shared" si="6"/>
        <v>24.068302785923755</v>
      </c>
    </row>
    <row r="24" spans="1:20">
      <c r="A24">
        <f t="shared" si="1"/>
        <v>20</v>
      </c>
      <c r="B24">
        <v>1</v>
      </c>
      <c r="C24">
        <v>1</v>
      </c>
      <c r="E24" s="23">
        <f t="shared" si="5"/>
        <v>310.05865102639297</v>
      </c>
      <c r="P24" s="24">
        <f t="shared" si="6"/>
        <v>0</v>
      </c>
    </row>
    <row r="25" spans="1:20">
      <c r="A25">
        <f t="shared" si="1"/>
        <v>21</v>
      </c>
      <c r="B25">
        <v>1</v>
      </c>
      <c r="C25">
        <v>1</v>
      </c>
      <c r="E25" s="23">
        <f t="shared" si="5"/>
        <v>310.05865102639297</v>
      </c>
      <c r="P25" s="24">
        <f t="shared" si="6"/>
        <v>0</v>
      </c>
    </row>
    <row r="26" spans="1:20">
      <c r="A26">
        <f t="shared" si="1"/>
        <v>22</v>
      </c>
      <c r="B26">
        <v>1</v>
      </c>
      <c r="C26">
        <v>1</v>
      </c>
      <c r="E26" s="23">
        <f t="shared" si="5"/>
        <v>310.05865102639297</v>
      </c>
      <c r="P26" s="24">
        <f t="shared" si="6"/>
        <v>0</v>
      </c>
    </row>
    <row r="27" spans="1:20">
      <c r="A27">
        <f t="shared" si="1"/>
        <v>23</v>
      </c>
      <c r="B27">
        <v>1</v>
      </c>
      <c r="C27">
        <v>1</v>
      </c>
      <c r="E27" s="23">
        <f t="shared" si="5"/>
        <v>310.05865102639297</v>
      </c>
      <c r="P27" s="24">
        <f t="shared" si="6"/>
        <v>0</v>
      </c>
    </row>
    <row r="28" spans="1:20">
      <c r="A28">
        <f t="shared" si="1"/>
        <v>24</v>
      </c>
      <c r="B28">
        <v>1</v>
      </c>
      <c r="C28">
        <v>1</v>
      </c>
      <c r="E28" s="23">
        <f t="shared" si="5"/>
        <v>310.05865102639297</v>
      </c>
      <c r="P28" s="24">
        <f t="shared" si="6"/>
        <v>0</v>
      </c>
    </row>
    <row r="29" spans="1:20">
      <c r="A29">
        <f t="shared" si="1"/>
        <v>25</v>
      </c>
      <c r="B29">
        <v>1</v>
      </c>
      <c r="C29">
        <v>1</v>
      </c>
      <c r="E29" s="23">
        <f t="shared" si="5"/>
        <v>310.05865102639297</v>
      </c>
      <c r="P29" s="24">
        <f t="shared" si="6"/>
        <v>0</v>
      </c>
    </row>
    <row r="30" spans="1:20">
      <c r="A30">
        <f t="shared" si="1"/>
        <v>26</v>
      </c>
      <c r="B30">
        <v>1</v>
      </c>
      <c r="C30">
        <v>1</v>
      </c>
      <c r="E30" s="23">
        <f t="shared" si="5"/>
        <v>310.05865102639297</v>
      </c>
      <c r="P30" s="24">
        <f t="shared" si="6"/>
        <v>0</v>
      </c>
    </row>
    <row r="31" spans="1:20">
      <c r="A31">
        <f t="shared" si="1"/>
        <v>27</v>
      </c>
      <c r="B31">
        <v>1</v>
      </c>
      <c r="C31">
        <v>1</v>
      </c>
      <c r="E31" s="23">
        <f t="shared" si="5"/>
        <v>310.05865102639297</v>
      </c>
      <c r="P31" s="24">
        <f t="shared" si="6"/>
        <v>0</v>
      </c>
    </row>
    <row r="32" spans="1:20">
      <c r="A32">
        <f t="shared" si="1"/>
        <v>28</v>
      </c>
      <c r="B32">
        <v>1</v>
      </c>
      <c r="D32">
        <v>1</v>
      </c>
      <c r="E32" s="23">
        <f t="shared" si="5"/>
        <v>310.05865102639297</v>
      </c>
      <c r="P32" s="24">
        <f t="shared" si="6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5"/>
        <v>310.05865102639297</v>
      </c>
      <c r="I33" s="24">
        <f>$U$14</f>
        <v>35</v>
      </c>
      <c r="N33" s="24">
        <v>11</v>
      </c>
      <c r="P33" s="24">
        <f t="shared" si="6"/>
        <v>3.3206250000000002</v>
      </c>
    </row>
    <row r="34" spans="1:16">
      <c r="A34">
        <f t="shared" si="1"/>
        <v>30</v>
      </c>
      <c r="B34">
        <v>1</v>
      </c>
      <c r="D34">
        <v>1</v>
      </c>
      <c r="E34" s="23">
        <f t="shared" si="5"/>
        <v>310.05865102639297</v>
      </c>
      <c r="I34" s="24">
        <f t="shared" ref="I34:I43" si="7">$U$14</f>
        <v>35</v>
      </c>
      <c r="N34" s="24">
        <f>N33-1</f>
        <v>10</v>
      </c>
      <c r="P34" s="24">
        <f t="shared" si="6"/>
        <v>3.0187500000000003</v>
      </c>
    </row>
    <row r="35" spans="1:16">
      <c r="A35">
        <f t="shared" si="1"/>
        <v>31</v>
      </c>
      <c r="B35">
        <v>1</v>
      </c>
      <c r="D35">
        <v>1</v>
      </c>
      <c r="E35" s="23">
        <f t="shared" si="5"/>
        <v>310.05865102639297</v>
      </c>
      <c r="I35" s="24">
        <f t="shared" si="7"/>
        <v>35</v>
      </c>
      <c r="N35" s="24">
        <f t="shared" ref="N35:N43" si="8">N34-1</f>
        <v>9</v>
      </c>
      <c r="P35" s="24">
        <f t="shared" si="6"/>
        <v>2.7168750000000004</v>
      </c>
    </row>
    <row r="36" spans="1:16">
      <c r="A36">
        <f t="shared" si="1"/>
        <v>32</v>
      </c>
      <c r="B36">
        <v>1</v>
      </c>
      <c r="D36">
        <v>1</v>
      </c>
      <c r="E36" s="23">
        <f t="shared" si="5"/>
        <v>310.05865102639297</v>
      </c>
      <c r="I36" s="24">
        <f t="shared" si="7"/>
        <v>35</v>
      </c>
      <c r="N36" s="24">
        <f t="shared" si="8"/>
        <v>8</v>
      </c>
      <c r="P36" s="24">
        <f t="shared" si="6"/>
        <v>2.415</v>
      </c>
    </row>
    <row r="37" spans="1:16">
      <c r="A37">
        <f t="shared" si="1"/>
        <v>33</v>
      </c>
      <c r="B37">
        <v>1</v>
      </c>
      <c r="D37">
        <v>1</v>
      </c>
      <c r="E37" s="23">
        <f t="shared" si="5"/>
        <v>310.05865102639297</v>
      </c>
      <c r="I37" s="24">
        <f t="shared" si="7"/>
        <v>35</v>
      </c>
      <c r="N37" s="24">
        <f t="shared" si="8"/>
        <v>7</v>
      </c>
      <c r="P37" s="24">
        <f t="shared" si="6"/>
        <v>2.1131250000000001</v>
      </c>
    </row>
    <row r="38" spans="1:16">
      <c r="A38">
        <f t="shared" si="1"/>
        <v>34</v>
      </c>
      <c r="B38">
        <v>1</v>
      </c>
      <c r="D38">
        <v>1</v>
      </c>
      <c r="E38" s="23">
        <f t="shared" si="5"/>
        <v>310.05865102639297</v>
      </c>
      <c r="I38" s="24">
        <f t="shared" si="7"/>
        <v>35</v>
      </c>
      <c r="N38" s="24">
        <f t="shared" si="8"/>
        <v>6</v>
      </c>
      <c r="P38" s="24">
        <f t="shared" si="6"/>
        <v>1.8112500000000002</v>
      </c>
    </row>
    <row r="39" spans="1:16">
      <c r="A39">
        <f t="shared" si="1"/>
        <v>35</v>
      </c>
      <c r="B39">
        <v>1</v>
      </c>
      <c r="D39">
        <v>1</v>
      </c>
      <c r="E39" s="23">
        <f t="shared" si="5"/>
        <v>310.05865102639297</v>
      </c>
      <c r="I39" s="24">
        <f t="shared" si="7"/>
        <v>35</v>
      </c>
      <c r="N39" s="24">
        <f t="shared" si="8"/>
        <v>5</v>
      </c>
      <c r="P39" s="24">
        <f t="shared" si="6"/>
        <v>1.5093750000000001</v>
      </c>
    </row>
    <row r="40" spans="1:16">
      <c r="A40">
        <f t="shared" si="1"/>
        <v>36</v>
      </c>
      <c r="B40">
        <v>1</v>
      </c>
      <c r="D40">
        <v>1</v>
      </c>
      <c r="E40" s="23">
        <f t="shared" si="5"/>
        <v>310.05865102639297</v>
      </c>
      <c r="I40" s="24">
        <f t="shared" si="7"/>
        <v>35</v>
      </c>
      <c r="N40" s="24">
        <f t="shared" si="8"/>
        <v>4</v>
      </c>
      <c r="P40" s="24">
        <f t="shared" si="6"/>
        <v>1.2075</v>
      </c>
    </row>
    <row r="41" spans="1:16">
      <c r="A41">
        <f t="shared" si="1"/>
        <v>37</v>
      </c>
      <c r="B41">
        <v>1</v>
      </c>
      <c r="D41">
        <v>1</v>
      </c>
      <c r="E41" s="23">
        <f t="shared" si="5"/>
        <v>310.05865102639297</v>
      </c>
      <c r="I41" s="24">
        <f t="shared" si="7"/>
        <v>35</v>
      </c>
      <c r="N41" s="24">
        <f t="shared" si="8"/>
        <v>3</v>
      </c>
      <c r="P41" s="24">
        <f t="shared" si="6"/>
        <v>0.90562500000000012</v>
      </c>
    </row>
    <row r="42" spans="1:16">
      <c r="A42">
        <f t="shared" si="1"/>
        <v>38</v>
      </c>
      <c r="B42">
        <v>1</v>
      </c>
      <c r="D42">
        <v>1</v>
      </c>
      <c r="E42" s="23">
        <f t="shared" si="5"/>
        <v>310.05865102639297</v>
      </c>
      <c r="I42" s="24">
        <f t="shared" si="7"/>
        <v>35</v>
      </c>
      <c r="N42" s="24">
        <f t="shared" si="8"/>
        <v>2</v>
      </c>
      <c r="P42" s="24">
        <f t="shared" si="6"/>
        <v>0.60375000000000001</v>
      </c>
    </row>
    <row r="43" spans="1:16">
      <c r="A43">
        <f t="shared" si="1"/>
        <v>39</v>
      </c>
      <c r="B43">
        <v>1</v>
      </c>
      <c r="D43">
        <v>1</v>
      </c>
      <c r="E43" s="23">
        <f t="shared" si="5"/>
        <v>310.05865102639297</v>
      </c>
      <c r="I43" s="24">
        <f t="shared" si="7"/>
        <v>35</v>
      </c>
      <c r="N43" s="24">
        <f t="shared" si="8"/>
        <v>1</v>
      </c>
      <c r="P43" s="24">
        <f t="shared" si="6"/>
        <v>0.301875</v>
      </c>
    </row>
    <row r="44" spans="1:16">
      <c r="A44">
        <f t="shared" si="1"/>
        <v>40</v>
      </c>
      <c r="B44">
        <v>1</v>
      </c>
      <c r="E44" s="23">
        <f t="shared" si="5"/>
        <v>310.05865102639297</v>
      </c>
      <c r="P44" s="24">
        <f t="shared" si="6"/>
        <v>0</v>
      </c>
    </row>
    <row r="45" spans="1:16">
      <c r="A45">
        <f t="shared" si="1"/>
        <v>41</v>
      </c>
      <c r="B45">
        <v>1</v>
      </c>
      <c r="E45" s="23">
        <f t="shared" si="5"/>
        <v>310.05865102639297</v>
      </c>
      <c r="P45" s="24">
        <f t="shared" si="6"/>
        <v>0</v>
      </c>
    </row>
    <row r="46" spans="1:16">
      <c r="A46">
        <f t="shared" si="1"/>
        <v>42</v>
      </c>
      <c r="B46">
        <v>1</v>
      </c>
      <c r="E46" s="23">
        <f t="shared" si="5"/>
        <v>310.05865102639297</v>
      </c>
      <c r="P46" s="24">
        <f t="shared" si="6"/>
        <v>0</v>
      </c>
    </row>
    <row r="47" spans="1:16">
      <c r="A47">
        <f t="shared" si="1"/>
        <v>43</v>
      </c>
      <c r="B47">
        <v>1</v>
      </c>
      <c r="E47" s="23">
        <f t="shared" si="5"/>
        <v>310.05865102639297</v>
      </c>
      <c r="P47" s="24">
        <f t="shared" si="6"/>
        <v>0</v>
      </c>
    </row>
    <row r="48" spans="1:16">
      <c r="A48">
        <f t="shared" si="1"/>
        <v>44</v>
      </c>
      <c r="P48" s="24">
        <f t="shared" si="6"/>
        <v>0</v>
      </c>
    </row>
    <row r="49" spans="1:16">
      <c r="A49">
        <f t="shared" si="1"/>
        <v>45</v>
      </c>
      <c r="P49" s="24">
        <f t="shared" si="6"/>
        <v>0</v>
      </c>
    </row>
    <row r="50" spans="1:16">
      <c r="A50">
        <f t="shared" si="1"/>
        <v>46</v>
      </c>
      <c r="P50" s="24">
        <f t="shared" si="6"/>
        <v>0</v>
      </c>
    </row>
    <row r="51" spans="1:16">
      <c r="A51">
        <f t="shared" si="1"/>
        <v>47</v>
      </c>
      <c r="P51" s="24">
        <f t="shared" si="6"/>
        <v>0</v>
      </c>
    </row>
    <row r="52" spans="1:16">
      <c r="A52">
        <f t="shared" si="1"/>
        <v>48</v>
      </c>
      <c r="P52" s="24">
        <f t="shared" si="6"/>
        <v>0</v>
      </c>
    </row>
    <row r="53" spans="1:16">
      <c r="A53">
        <f t="shared" si="1"/>
        <v>49</v>
      </c>
      <c r="P53" s="24">
        <f t="shared" si="6"/>
        <v>0</v>
      </c>
    </row>
    <row r="54" spans="1:16">
      <c r="A54">
        <f t="shared" si="1"/>
        <v>50</v>
      </c>
      <c r="P54" s="24">
        <f t="shared" si="6"/>
        <v>0</v>
      </c>
    </row>
    <row r="55" spans="1:16">
      <c r="A55">
        <f t="shared" si="1"/>
        <v>51</v>
      </c>
      <c r="P55" s="24">
        <f t="shared" si="6"/>
        <v>0</v>
      </c>
    </row>
    <row r="56" spans="1:16">
      <c r="A56">
        <f t="shared" si="1"/>
        <v>52</v>
      </c>
      <c r="P56" s="24">
        <f t="shared" si="6"/>
        <v>0</v>
      </c>
    </row>
    <row r="57" spans="1:16">
      <c r="A57">
        <f t="shared" si="1"/>
        <v>53</v>
      </c>
      <c r="P57" s="24">
        <f t="shared" si="6"/>
        <v>0</v>
      </c>
    </row>
    <row r="58" spans="1:16">
      <c r="A58">
        <f t="shared" si="1"/>
        <v>54</v>
      </c>
      <c r="P58" s="24">
        <f t="shared" si="6"/>
        <v>0</v>
      </c>
    </row>
    <row r="59" spans="1:16">
      <c r="A59">
        <f t="shared" si="1"/>
        <v>55</v>
      </c>
      <c r="P59" s="24">
        <f t="shared" si="6"/>
        <v>0</v>
      </c>
    </row>
    <row r="60" spans="1:16">
      <c r="A60">
        <f t="shared" si="1"/>
        <v>56</v>
      </c>
      <c r="P60" s="24">
        <f t="shared" si="6"/>
        <v>0</v>
      </c>
    </row>
    <row r="61" spans="1:16">
      <c r="P61" s="24">
        <f t="shared" si="6"/>
        <v>0</v>
      </c>
    </row>
    <row r="62" spans="1:16">
      <c r="P62" s="24">
        <f t="shared" si="6"/>
        <v>0</v>
      </c>
    </row>
    <row r="63" spans="1:16">
      <c r="P63" s="24">
        <f t="shared" si="6"/>
        <v>0</v>
      </c>
    </row>
    <row r="64" spans="1:16">
      <c r="P64" s="24">
        <f t="shared" si="6"/>
        <v>0</v>
      </c>
    </row>
    <row r="65" spans="16:16">
      <c r="P65" s="24">
        <f t="shared" si="6"/>
        <v>0</v>
      </c>
    </row>
    <row r="66" spans="16:16">
      <c r="P66" s="24">
        <f t="shared" si="6"/>
        <v>0</v>
      </c>
    </row>
    <row r="67" spans="16:16">
      <c r="P67" s="24">
        <f t="shared" si="6"/>
        <v>0</v>
      </c>
    </row>
    <row r="68" spans="16:16">
      <c r="P68" s="24">
        <f t="shared" si="6"/>
        <v>0</v>
      </c>
    </row>
    <row r="69" spans="16:16">
      <c r="P69" s="24">
        <f t="shared" si="6"/>
        <v>0</v>
      </c>
    </row>
    <row r="70" spans="16:16">
      <c r="P70" s="24">
        <f t="shared" si="6"/>
        <v>0</v>
      </c>
    </row>
    <row r="71" spans="16:16">
      <c r="P71" s="24">
        <f t="shared" si="6"/>
        <v>0</v>
      </c>
    </row>
    <row r="72" spans="16:16">
      <c r="P72" s="24">
        <f t="shared" si="6"/>
        <v>0</v>
      </c>
    </row>
    <row r="73" spans="16:16">
      <c r="P73" s="24">
        <f t="shared" si="6"/>
        <v>0</v>
      </c>
    </row>
    <row r="74" spans="16:16">
      <c r="P74" s="24">
        <f t="shared" si="6"/>
        <v>0</v>
      </c>
    </row>
    <row r="75" spans="16:16">
      <c r="P75" s="24">
        <f t="shared" si="6"/>
        <v>0</v>
      </c>
    </row>
    <row r="76" spans="16:16">
      <c r="P76" s="24">
        <f t="shared" si="6"/>
        <v>0</v>
      </c>
    </row>
    <row r="77" spans="16:16">
      <c r="P77" s="24">
        <f t="shared" si="6"/>
        <v>0</v>
      </c>
    </row>
    <row r="78" spans="16:16">
      <c r="P78" s="24">
        <f t="shared" si="6"/>
        <v>0</v>
      </c>
    </row>
    <row r="79" spans="16:16">
      <c r="P79" s="24">
        <f t="shared" si="6"/>
        <v>0</v>
      </c>
    </row>
    <row r="80" spans="16:16">
      <c r="P80" s="24">
        <f t="shared" si="6"/>
        <v>0</v>
      </c>
    </row>
    <row r="81" spans="1:16">
      <c r="P81" s="24">
        <f t="shared" si="6"/>
        <v>0</v>
      </c>
    </row>
    <row r="82" spans="1:16">
      <c r="P82" s="24">
        <f t="shared" si="6"/>
        <v>0</v>
      </c>
    </row>
    <row r="83" spans="1:16">
      <c r="P83" s="24">
        <f t="shared" si="6"/>
        <v>0</v>
      </c>
    </row>
    <row r="84" spans="1:16">
      <c r="P84" s="24">
        <f t="shared" si="6"/>
        <v>0</v>
      </c>
    </row>
    <row r="85" spans="1:16">
      <c r="P85" s="24">
        <f t="shared" ref="P85:P87" si="9">(F85*K85+G85*L85+H85*M85+I85*N85+J85*O85)*$S$1</f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56</v>
      </c>
      <c r="B88" s="28">
        <f>SUM(B13:B87)</f>
        <v>34</v>
      </c>
      <c r="C88" s="28">
        <f>SUM(C5:C87)</f>
        <v>27</v>
      </c>
      <c r="E88" s="29"/>
      <c r="F88" s="29">
        <f>SUM(F5:F87)</f>
        <v>1550.2932551319648</v>
      </c>
      <c r="G88" s="29">
        <f t="shared" ref="G88:I88" si="10">SUM(G5:G87)</f>
        <v>310.05865102639297</v>
      </c>
      <c r="H88" s="29">
        <f>SUM(H5:H87)</f>
        <v>1240.2346041055719</v>
      </c>
      <c r="I88" s="29">
        <f t="shared" si="10"/>
        <v>385</v>
      </c>
      <c r="J88" s="29"/>
      <c r="K88" s="29"/>
      <c r="L88" s="29"/>
      <c r="M88" s="29"/>
      <c r="N88" s="29"/>
      <c r="O88" s="29"/>
      <c r="P88" s="29">
        <f>SUM(P5:P87)</f>
        <v>380.94829178885635</v>
      </c>
    </row>
    <row r="89" spans="1:16">
      <c r="F89" s="25">
        <f>SUM(F88:I88)</f>
        <v>3485.5865102639295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VIPcric_3!D103</f>
        <v>63675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VIPcric_3!E103</f>
        <v>23.5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0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3500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>
        <v>0.5</v>
      </c>
      <c r="U11">
        <f>T11*U10</f>
        <v>1750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>
        <v>0.65</v>
      </c>
      <c r="U12">
        <f>T12*U10</f>
        <v>2275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>
        <v>0.85</v>
      </c>
      <c r="U13">
        <f>T13*U10</f>
        <v>2975</v>
      </c>
    </row>
    <row r="14" spans="1:22">
      <c r="A14">
        <f t="shared" si="1"/>
        <v>10</v>
      </c>
      <c r="C14">
        <v>1</v>
      </c>
      <c r="P14" s="24">
        <f t="shared" si="0"/>
        <v>0</v>
      </c>
      <c r="T14" s="39">
        <v>0.05</v>
      </c>
      <c r="U14">
        <f>T14*U10</f>
        <v>175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2709.5744680851062</v>
      </c>
      <c r="F18" s="24">
        <f>E18</f>
        <v>2709.5744680851062</v>
      </c>
      <c r="K18" s="24">
        <v>14</v>
      </c>
      <c r="P18" s="24">
        <f t="shared" si="0"/>
        <v>327.18111702127663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2709.5744680851062</v>
      </c>
      <c r="F19" s="24">
        <f>E19</f>
        <v>2709.5744680851062</v>
      </c>
      <c r="K19" s="24">
        <f>K18-1</f>
        <v>13</v>
      </c>
      <c r="P19" s="24">
        <f>(F19*K19+G19*L19+H19*M19+I19*N19+J19*O19)*$S$1</f>
        <v>303.81103723404254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2709.5744680851062</v>
      </c>
      <c r="G20" s="24">
        <f>E20*10%</f>
        <v>270.95744680851061</v>
      </c>
      <c r="L20" s="24">
        <v>12</v>
      </c>
      <c r="P20" s="24">
        <f>(F20*K20+G20*L20+H20*M20+I20*N20+J20*O20)*$S$1</f>
        <v>28.044095744680849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2709.5744680851062</v>
      </c>
      <c r="G21" s="24">
        <f>E21*10%</f>
        <v>270.95744680851061</v>
      </c>
      <c r="L21" s="24">
        <f>L20-1</f>
        <v>11</v>
      </c>
      <c r="P21" s="24">
        <f t="shared" ref="P21:P84" si="3">(F21*K21+G21*L21+H21*M21+I21*N21+J21*O21)*$S$1</f>
        <v>25.707087765957446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2709.5744680851062</v>
      </c>
      <c r="G22" s="24">
        <f>E22*10%</f>
        <v>270.95744680851061</v>
      </c>
      <c r="L22" s="24">
        <f t="shared" ref="L22:L23" si="4">L21-1</f>
        <v>10</v>
      </c>
      <c r="P22" s="24">
        <f t="shared" si="3"/>
        <v>23.370079787234044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2709.5744680851062</v>
      </c>
      <c r="G23" s="24">
        <f>E23*10%</f>
        <v>270.95744680851061</v>
      </c>
      <c r="L23" s="24">
        <f t="shared" si="4"/>
        <v>9</v>
      </c>
      <c r="P23" s="24">
        <f t="shared" si="3"/>
        <v>21.033071808510638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2709.5744680851062</v>
      </c>
      <c r="P24" s="24">
        <f t="shared" si="3"/>
        <v>0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41" si="5">1/$S$3*$S$2</f>
        <v>2709.5744680851062</v>
      </c>
      <c r="P25" s="24">
        <f t="shared" si="3"/>
        <v>0</v>
      </c>
    </row>
    <row r="26" spans="1:20">
      <c r="A26">
        <f t="shared" si="1"/>
        <v>22</v>
      </c>
      <c r="B26">
        <v>1</v>
      </c>
      <c r="C26">
        <v>1</v>
      </c>
      <c r="E26" s="23">
        <f t="shared" si="5"/>
        <v>2709.5744680851062</v>
      </c>
      <c r="P26" s="24">
        <f t="shared" si="3"/>
        <v>0</v>
      </c>
    </row>
    <row r="27" spans="1:20">
      <c r="A27">
        <f t="shared" si="1"/>
        <v>23</v>
      </c>
      <c r="B27">
        <v>1</v>
      </c>
      <c r="C27">
        <v>1</v>
      </c>
      <c r="E27" s="23">
        <f t="shared" si="5"/>
        <v>2709.5744680851062</v>
      </c>
      <c r="P27" s="24">
        <f t="shared" si="3"/>
        <v>0</v>
      </c>
    </row>
    <row r="28" spans="1:20">
      <c r="A28">
        <f t="shared" si="1"/>
        <v>24</v>
      </c>
      <c r="B28">
        <v>1</v>
      </c>
      <c r="C28">
        <v>1</v>
      </c>
      <c r="E28" s="23">
        <f t="shared" si="5"/>
        <v>2709.5744680851062</v>
      </c>
      <c r="P28" s="24">
        <f t="shared" si="3"/>
        <v>0</v>
      </c>
    </row>
    <row r="29" spans="1:20">
      <c r="A29">
        <f t="shared" si="1"/>
        <v>25</v>
      </c>
      <c r="B29">
        <v>1</v>
      </c>
      <c r="C29">
        <v>1</v>
      </c>
      <c r="E29" s="23">
        <f t="shared" si="5"/>
        <v>2709.5744680851062</v>
      </c>
      <c r="P29" s="24">
        <f t="shared" si="3"/>
        <v>0</v>
      </c>
    </row>
    <row r="30" spans="1:20">
      <c r="A30">
        <f t="shared" si="1"/>
        <v>26</v>
      </c>
      <c r="B30">
        <v>1</v>
      </c>
      <c r="C30">
        <v>1</v>
      </c>
      <c r="E30" s="23">
        <f t="shared" si="5"/>
        <v>2709.5744680851062</v>
      </c>
      <c r="P30" s="24">
        <f t="shared" si="3"/>
        <v>0</v>
      </c>
    </row>
    <row r="31" spans="1:20">
      <c r="A31">
        <f t="shared" si="1"/>
        <v>27</v>
      </c>
      <c r="B31">
        <v>1</v>
      </c>
      <c r="C31">
        <v>1</v>
      </c>
      <c r="E31" s="23">
        <f t="shared" si="5"/>
        <v>2709.5744680851062</v>
      </c>
      <c r="P31" s="24">
        <f t="shared" si="3"/>
        <v>0</v>
      </c>
    </row>
    <row r="32" spans="1:20">
      <c r="A32">
        <f t="shared" si="1"/>
        <v>28</v>
      </c>
      <c r="B32">
        <v>1</v>
      </c>
      <c r="D32">
        <v>1</v>
      </c>
      <c r="E32" s="23">
        <f t="shared" si="5"/>
        <v>2709.5744680851062</v>
      </c>
      <c r="P32" s="24">
        <f t="shared" si="3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5"/>
        <v>2709.5744680851062</v>
      </c>
      <c r="I33" s="24">
        <f>$U$14</f>
        <v>175</v>
      </c>
      <c r="N33" s="24">
        <v>11</v>
      </c>
      <c r="P33" s="24">
        <f t="shared" si="3"/>
        <v>16.603125000000002</v>
      </c>
    </row>
    <row r="34" spans="1:16">
      <c r="A34">
        <f t="shared" si="1"/>
        <v>30</v>
      </c>
      <c r="B34">
        <v>1</v>
      </c>
      <c r="D34">
        <v>1</v>
      </c>
      <c r="E34" s="23">
        <f t="shared" si="5"/>
        <v>2709.5744680851062</v>
      </c>
      <c r="I34" s="24">
        <f t="shared" ref="I34:I43" si="6">$U$14</f>
        <v>175</v>
      </c>
      <c r="N34" s="24">
        <f>N33-1</f>
        <v>10</v>
      </c>
      <c r="P34" s="24">
        <f t="shared" si="3"/>
        <v>15.093750000000002</v>
      </c>
    </row>
    <row r="35" spans="1:16">
      <c r="A35">
        <f t="shared" si="1"/>
        <v>31</v>
      </c>
      <c r="B35">
        <v>1</v>
      </c>
      <c r="D35">
        <v>1</v>
      </c>
      <c r="E35" s="23">
        <f t="shared" si="5"/>
        <v>2709.5744680851062</v>
      </c>
      <c r="I35" s="24">
        <f t="shared" si="6"/>
        <v>175</v>
      </c>
      <c r="N35" s="24">
        <f t="shared" ref="N35:N43" si="7">N34-1</f>
        <v>9</v>
      </c>
      <c r="P35" s="24">
        <f t="shared" si="3"/>
        <v>13.584375000000001</v>
      </c>
    </row>
    <row r="36" spans="1:16">
      <c r="A36">
        <f t="shared" si="1"/>
        <v>32</v>
      </c>
      <c r="B36">
        <v>1</v>
      </c>
      <c r="D36">
        <v>1</v>
      </c>
      <c r="E36" s="23">
        <f t="shared" si="5"/>
        <v>2709.5744680851062</v>
      </c>
      <c r="I36" s="24">
        <f t="shared" si="6"/>
        <v>175</v>
      </c>
      <c r="N36" s="24">
        <f t="shared" si="7"/>
        <v>8</v>
      </c>
      <c r="P36" s="24">
        <f t="shared" si="3"/>
        <v>12.075000000000001</v>
      </c>
    </row>
    <row r="37" spans="1:16">
      <c r="A37">
        <f t="shared" si="1"/>
        <v>33</v>
      </c>
      <c r="B37">
        <v>1</v>
      </c>
      <c r="D37">
        <v>1</v>
      </c>
      <c r="E37" s="23">
        <f t="shared" si="5"/>
        <v>2709.5744680851062</v>
      </c>
      <c r="I37" s="24">
        <f t="shared" si="6"/>
        <v>175</v>
      </c>
      <c r="N37" s="24">
        <f t="shared" si="7"/>
        <v>7</v>
      </c>
      <c r="P37" s="24">
        <f t="shared" si="3"/>
        <v>10.565625000000001</v>
      </c>
    </row>
    <row r="38" spans="1:16">
      <c r="A38">
        <f t="shared" si="1"/>
        <v>34</v>
      </c>
      <c r="B38">
        <v>1</v>
      </c>
      <c r="D38">
        <v>1</v>
      </c>
      <c r="E38" s="23">
        <f t="shared" si="5"/>
        <v>2709.5744680851062</v>
      </c>
      <c r="I38" s="24">
        <f t="shared" si="6"/>
        <v>175</v>
      </c>
      <c r="N38" s="24">
        <f t="shared" si="7"/>
        <v>6</v>
      </c>
      <c r="P38" s="24">
        <f t="shared" si="3"/>
        <v>9.0562500000000004</v>
      </c>
    </row>
    <row r="39" spans="1:16">
      <c r="A39">
        <f t="shared" si="1"/>
        <v>35</v>
      </c>
      <c r="B39">
        <v>1</v>
      </c>
      <c r="D39">
        <v>1</v>
      </c>
      <c r="E39" s="23">
        <f t="shared" si="5"/>
        <v>2709.5744680851062</v>
      </c>
      <c r="I39" s="24">
        <f t="shared" si="6"/>
        <v>175</v>
      </c>
      <c r="N39" s="24">
        <f t="shared" si="7"/>
        <v>5</v>
      </c>
      <c r="P39" s="24">
        <f t="shared" si="3"/>
        <v>7.5468750000000009</v>
      </c>
    </row>
    <row r="40" spans="1:16">
      <c r="A40">
        <f t="shared" si="1"/>
        <v>36</v>
      </c>
      <c r="B40">
        <v>1</v>
      </c>
      <c r="D40">
        <v>1</v>
      </c>
      <c r="E40" s="23">
        <f t="shared" si="5"/>
        <v>2709.5744680851062</v>
      </c>
      <c r="I40" s="24">
        <f t="shared" si="6"/>
        <v>175</v>
      </c>
      <c r="N40" s="24">
        <f t="shared" si="7"/>
        <v>4</v>
      </c>
      <c r="P40" s="24">
        <f t="shared" si="3"/>
        <v>6.0375000000000005</v>
      </c>
    </row>
    <row r="41" spans="1:16">
      <c r="A41">
        <f t="shared" si="1"/>
        <v>37</v>
      </c>
      <c r="B41">
        <v>0.5</v>
      </c>
      <c r="D41">
        <v>1</v>
      </c>
      <c r="E41" s="23">
        <f t="shared" si="5"/>
        <v>2709.5744680851062</v>
      </c>
      <c r="I41" s="24">
        <f t="shared" si="6"/>
        <v>175</v>
      </c>
      <c r="N41" s="24">
        <f t="shared" si="7"/>
        <v>3</v>
      </c>
      <c r="P41" s="24">
        <f t="shared" si="3"/>
        <v>4.5281250000000002</v>
      </c>
    </row>
    <row r="42" spans="1:16">
      <c r="A42">
        <f t="shared" si="1"/>
        <v>38</v>
      </c>
      <c r="D42">
        <v>1</v>
      </c>
      <c r="I42" s="24">
        <f t="shared" si="6"/>
        <v>175</v>
      </c>
      <c r="N42" s="24">
        <f t="shared" si="7"/>
        <v>2</v>
      </c>
      <c r="P42" s="24">
        <f t="shared" si="3"/>
        <v>3.0187500000000003</v>
      </c>
    </row>
    <row r="43" spans="1:16">
      <c r="A43">
        <f t="shared" si="1"/>
        <v>39</v>
      </c>
      <c r="D43">
        <v>1</v>
      </c>
      <c r="I43" s="24">
        <f t="shared" si="6"/>
        <v>175</v>
      </c>
      <c r="N43" s="24">
        <f t="shared" si="7"/>
        <v>1</v>
      </c>
      <c r="P43" s="24">
        <f t="shared" si="3"/>
        <v>1.5093750000000001</v>
      </c>
    </row>
    <row r="44" spans="1:16">
      <c r="A44">
        <f t="shared" si="1"/>
        <v>40</v>
      </c>
      <c r="P44" s="24">
        <f t="shared" si="3"/>
        <v>0</v>
      </c>
    </row>
    <row r="45" spans="1:16">
      <c r="A45">
        <f t="shared" si="1"/>
        <v>41</v>
      </c>
      <c r="P45" s="24">
        <f t="shared" si="3"/>
        <v>0</v>
      </c>
    </row>
    <row r="46" spans="1:16">
      <c r="A46">
        <f t="shared" si="1"/>
        <v>42</v>
      </c>
      <c r="P46" s="24">
        <f t="shared" si="3"/>
        <v>0</v>
      </c>
    </row>
    <row r="47" spans="1:16">
      <c r="A47">
        <f t="shared" si="1"/>
        <v>43</v>
      </c>
      <c r="P47" s="24">
        <f t="shared" si="3"/>
        <v>0</v>
      </c>
    </row>
    <row r="48" spans="1:16">
      <c r="A48">
        <f t="shared" si="1"/>
        <v>44</v>
      </c>
      <c r="P48" s="24">
        <f t="shared" si="3"/>
        <v>0</v>
      </c>
    </row>
    <row r="49" spans="1:16">
      <c r="A49">
        <f t="shared" si="1"/>
        <v>45</v>
      </c>
      <c r="P49" s="24">
        <f t="shared" si="3"/>
        <v>0</v>
      </c>
    </row>
    <row r="50" spans="1:16">
      <c r="A50">
        <f t="shared" si="1"/>
        <v>46</v>
      </c>
      <c r="P50" s="24">
        <f t="shared" si="3"/>
        <v>0</v>
      </c>
    </row>
    <row r="51" spans="1:16">
      <c r="A51">
        <f t="shared" si="1"/>
        <v>47</v>
      </c>
      <c r="P51" s="24">
        <f t="shared" si="3"/>
        <v>0</v>
      </c>
    </row>
    <row r="52" spans="1:16">
      <c r="A52">
        <f t="shared" si="1"/>
        <v>48</v>
      </c>
      <c r="P52" s="24">
        <f t="shared" si="3"/>
        <v>0</v>
      </c>
    </row>
    <row r="53" spans="1:16">
      <c r="A53">
        <f t="shared" si="1"/>
        <v>49</v>
      </c>
      <c r="P53" s="24">
        <f t="shared" si="3"/>
        <v>0</v>
      </c>
    </row>
    <row r="54" spans="1:16">
      <c r="A54">
        <f t="shared" si="1"/>
        <v>50</v>
      </c>
      <c r="P54" s="24">
        <f t="shared" si="3"/>
        <v>0</v>
      </c>
    </row>
    <row r="55" spans="1:16">
      <c r="A55">
        <f t="shared" si="1"/>
        <v>51</v>
      </c>
      <c r="P55" s="24">
        <f t="shared" si="3"/>
        <v>0</v>
      </c>
    </row>
    <row r="56" spans="1:16">
      <c r="A56">
        <f t="shared" si="1"/>
        <v>52</v>
      </c>
      <c r="P56" s="24">
        <f t="shared" si="3"/>
        <v>0</v>
      </c>
    </row>
    <row r="57" spans="1:16">
      <c r="A57">
        <f t="shared" si="1"/>
        <v>53</v>
      </c>
      <c r="P57" s="24">
        <f t="shared" si="3"/>
        <v>0</v>
      </c>
    </row>
    <row r="58" spans="1:16">
      <c r="A58">
        <f t="shared" si="1"/>
        <v>54</v>
      </c>
      <c r="P58" s="24">
        <f t="shared" si="3"/>
        <v>0</v>
      </c>
    </row>
    <row r="59" spans="1:16">
      <c r="A59">
        <f t="shared" si="1"/>
        <v>55</v>
      </c>
      <c r="P59" s="24">
        <f t="shared" si="3"/>
        <v>0</v>
      </c>
    </row>
    <row r="60" spans="1:16">
      <c r="A60">
        <f t="shared" si="1"/>
        <v>56</v>
      </c>
      <c r="P60" s="24">
        <f t="shared" si="3"/>
        <v>0</v>
      </c>
    </row>
    <row r="61" spans="1:16">
      <c r="P61" s="24">
        <f t="shared" si="3"/>
        <v>0</v>
      </c>
    </row>
    <row r="62" spans="1:16">
      <c r="P62" s="24">
        <f t="shared" si="3"/>
        <v>0</v>
      </c>
    </row>
    <row r="63" spans="1:16">
      <c r="P63" s="24">
        <f t="shared" si="3"/>
        <v>0</v>
      </c>
    </row>
    <row r="64" spans="1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si="3"/>
        <v>0</v>
      </c>
    </row>
    <row r="85" spans="1:16">
      <c r="P85" s="24">
        <f t="shared" ref="P85:P87" si="8">(F85*K85+G85*L85+H85*M85+I85*N85+J85*O85)*$S$1</f>
        <v>0</v>
      </c>
    </row>
    <row r="86" spans="1:16">
      <c r="P86" s="24">
        <f t="shared" si="8"/>
        <v>0</v>
      </c>
    </row>
    <row r="87" spans="1:16">
      <c r="P87" s="24">
        <f t="shared" si="8"/>
        <v>0</v>
      </c>
    </row>
    <row r="88" spans="1:16">
      <c r="A88" s="28">
        <f>COUNT(A5:A87)</f>
        <v>56</v>
      </c>
      <c r="B88" s="28">
        <f>SUM(B13:B87)</f>
        <v>23.5</v>
      </c>
      <c r="C88" s="28">
        <f>SUM(C5:C87)</f>
        <v>27</v>
      </c>
      <c r="E88" s="29"/>
      <c r="F88" s="29">
        <f>SUM(F5:F87)</f>
        <v>5419.1489361702124</v>
      </c>
      <c r="G88" s="29">
        <f t="shared" ref="G88:I88" si="9">SUM(G5:G87)</f>
        <v>1083.8297872340424</v>
      </c>
      <c r="H88" s="29">
        <f>SUM(H5:H87)</f>
        <v>0</v>
      </c>
      <c r="I88" s="29">
        <f t="shared" si="9"/>
        <v>1925</v>
      </c>
      <c r="J88" s="29"/>
      <c r="K88" s="29"/>
      <c r="L88" s="29"/>
      <c r="M88" s="29"/>
      <c r="N88" s="29"/>
      <c r="O88" s="29"/>
      <c r="P88" s="29">
        <f>SUM(P5:P87)</f>
        <v>828.76523936170213</v>
      </c>
    </row>
    <row r="89" spans="1:16">
      <c r="F89" s="25">
        <f>SUM(F88:I88)</f>
        <v>8427.978723404256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VIPcric_3!D105</f>
        <v>6925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VIPcric_3!E105</f>
        <v>22.4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0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3000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>
        <v>0.4</v>
      </c>
      <c r="U11">
        <f>T11*U10</f>
        <v>1200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>
        <v>0.5</v>
      </c>
      <c r="U12">
        <f>T12*U10</f>
        <v>1500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>
        <v>0.85</v>
      </c>
      <c r="U13">
        <f>T13*U10</f>
        <v>2550</v>
      </c>
    </row>
    <row r="14" spans="1:22">
      <c r="A14">
        <f t="shared" si="1"/>
        <v>10</v>
      </c>
      <c r="C14">
        <v>1</v>
      </c>
      <c r="P14" s="24">
        <f t="shared" si="0"/>
        <v>0</v>
      </c>
      <c r="T14" s="39">
        <v>0.1</v>
      </c>
      <c r="U14">
        <f>T14*U10</f>
        <v>300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309.15178571428572</v>
      </c>
      <c r="F18" s="24">
        <f t="shared" ref="F18:F27" si="3">E18</f>
        <v>309.15178571428572</v>
      </c>
      <c r="K18" s="24">
        <v>14</v>
      </c>
      <c r="P18" s="24">
        <f t="shared" si="0"/>
        <v>37.330078125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309.15178571428572</v>
      </c>
      <c r="F19" s="24">
        <f t="shared" si="3"/>
        <v>309.15178571428572</v>
      </c>
      <c r="K19" s="24">
        <f t="shared" ref="K19:K27" si="4">K18-1</f>
        <v>13</v>
      </c>
      <c r="P19" s="24">
        <f>(F19*K19+G19*L19+H19*M19+I19*N19+J19*O19)*$S$1</f>
        <v>34.663643973214285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309.15178571428572</v>
      </c>
      <c r="F20" s="24">
        <f t="shared" si="3"/>
        <v>309.15178571428572</v>
      </c>
      <c r="K20" s="24">
        <f t="shared" si="4"/>
        <v>12</v>
      </c>
      <c r="P20" s="24">
        <f>(F20*K20+G20*L20+H20*M20+I20*N20+J20*O20)*$S$1</f>
        <v>31.997209821428573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309.15178571428572</v>
      </c>
      <c r="F21" s="24">
        <f t="shared" si="3"/>
        <v>309.15178571428572</v>
      </c>
      <c r="K21" s="24">
        <f t="shared" si="4"/>
        <v>11</v>
      </c>
      <c r="P21" s="24">
        <f t="shared" ref="P21:P84" si="5">(F21*K21+G21*L21+H21*M21+I21*N21+J21*O21)*$S$1</f>
        <v>29.330775669642861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309.15178571428572</v>
      </c>
      <c r="F22" s="24">
        <f t="shared" si="3"/>
        <v>309.15178571428572</v>
      </c>
      <c r="K22" s="24">
        <f t="shared" si="4"/>
        <v>10</v>
      </c>
      <c r="P22" s="24">
        <f t="shared" si="5"/>
        <v>26.664341517857146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309.15178571428572</v>
      </c>
      <c r="F23" s="24">
        <f t="shared" si="3"/>
        <v>309.15178571428572</v>
      </c>
      <c r="K23" s="24">
        <f t="shared" si="4"/>
        <v>9</v>
      </c>
      <c r="P23" s="24">
        <f t="shared" si="5"/>
        <v>23.997907366071431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309.15178571428572</v>
      </c>
      <c r="F24" s="24">
        <f t="shared" si="3"/>
        <v>309.15178571428572</v>
      </c>
      <c r="K24" s="24">
        <f t="shared" si="4"/>
        <v>8</v>
      </c>
      <c r="P24" s="24">
        <f t="shared" si="5"/>
        <v>21.331473214285715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40" si="6">1/$S$3*$S$2</f>
        <v>309.15178571428572</v>
      </c>
      <c r="F25" s="24">
        <f t="shared" si="3"/>
        <v>309.15178571428572</v>
      </c>
      <c r="K25" s="24">
        <f t="shared" si="4"/>
        <v>7</v>
      </c>
      <c r="P25" s="24">
        <f t="shared" si="5"/>
        <v>18.6650390625</v>
      </c>
    </row>
    <row r="26" spans="1:20">
      <c r="A26">
        <f t="shared" si="1"/>
        <v>22</v>
      </c>
      <c r="B26">
        <v>1</v>
      </c>
      <c r="C26">
        <v>1</v>
      </c>
      <c r="E26" s="23">
        <f t="shared" si="6"/>
        <v>309.15178571428572</v>
      </c>
      <c r="F26" s="24">
        <f t="shared" si="3"/>
        <v>309.15178571428572</v>
      </c>
      <c r="K26" s="24">
        <f t="shared" si="4"/>
        <v>6</v>
      </c>
      <c r="P26" s="24">
        <f t="shared" si="5"/>
        <v>15.998604910714286</v>
      </c>
    </row>
    <row r="27" spans="1:20">
      <c r="A27">
        <f t="shared" si="1"/>
        <v>23</v>
      </c>
      <c r="B27">
        <v>1</v>
      </c>
      <c r="C27">
        <v>1</v>
      </c>
      <c r="E27" s="23">
        <f t="shared" si="6"/>
        <v>309.15178571428572</v>
      </c>
      <c r="F27" s="24">
        <f t="shared" si="3"/>
        <v>309.15178571428572</v>
      </c>
      <c r="K27" s="24">
        <f t="shared" si="4"/>
        <v>5</v>
      </c>
      <c r="P27" s="24">
        <f t="shared" si="5"/>
        <v>13.332170758928573</v>
      </c>
    </row>
    <row r="28" spans="1:20">
      <c r="A28">
        <f t="shared" si="1"/>
        <v>24</v>
      </c>
      <c r="B28">
        <v>1</v>
      </c>
      <c r="C28">
        <v>1</v>
      </c>
      <c r="E28" s="23">
        <f t="shared" si="6"/>
        <v>309.15178571428572</v>
      </c>
      <c r="P28" s="24">
        <f t="shared" si="5"/>
        <v>0</v>
      </c>
    </row>
    <row r="29" spans="1:20">
      <c r="A29">
        <f t="shared" si="1"/>
        <v>25</v>
      </c>
      <c r="B29">
        <v>1</v>
      </c>
      <c r="C29">
        <v>1</v>
      </c>
      <c r="E29" s="23">
        <f t="shared" si="6"/>
        <v>309.15178571428572</v>
      </c>
      <c r="P29" s="24">
        <f t="shared" si="5"/>
        <v>0</v>
      </c>
    </row>
    <row r="30" spans="1:20">
      <c r="A30">
        <f t="shared" si="1"/>
        <v>26</v>
      </c>
      <c r="B30">
        <v>1</v>
      </c>
      <c r="C30">
        <v>1</v>
      </c>
      <c r="E30" s="23">
        <f t="shared" si="6"/>
        <v>309.15178571428572</v>
      </c>
      <c r="P30" s="24">
        <f t="shared" si="5"/>
        <v>0</v>
      </c>
    </row>
    <row r="31" spans="1:20">
      <c r="A31">
        <f t="shared" si="1"/>
        <v>27</v>
      </c>
      <c r="B31">
        <v>1</v>
      </c>
      <c r="C31">
        <v>1</v>
      </c>
      <c r="E31" s="23">
        <f t="shared" si="6"/>
        <v>309.15178571428572</v>
      </c>
      <c r="P31" s="24">
        <f t="shared" si="5"/>
        <v>0</v>
      </c>
    </row>
    <row r="32" spans="1:20">
      <c r="A32">
        <f t="shared" si="1"/>
        <v>28</v>
      </c>
      <c r="B32">
        <v>1</v>
      </c>
      <c r="D32">
        <v>1</v>
      </c>
      <c r="E32" s="23">
        <f t="shared" si="6"/>
        <v>309.15178571428572</v>
      </c>
      <c r="P32" s="24">
        <f t="shared" si="5"/>
        <v>0</v>
      </c>
    </row>
    <row r="33" spans="1:16">
      <c r="A33">
        <f t="shared" si="1"/>
        <v>29</v>
      </c>
      <c r="B33">
        <v>1</v>
      </c>
      <c r="D33">
        <v>1</v>
      </c>
      <c r="E33" s="23">
        <f t="shared" si="6"/>
        <v>309.15178571428572</v>
      </c>
      <c r="I33" s="24">
        <f>$U$14</f>
        <v>300</v>
      </c>
      <c r="N33" s="24">
        <v>11</v>
      </c>
      <c r="P33" s="24">
        <f t="shared" si="5"/>
        <v>28.462500000000002</v>
      </c>
    </row>
    <row r="34" spans="1:16">
      <c r="A34">
        <f t="shared" si="1"/>
        <v>30</v>
      </c>
      <c r="B34">
        <v>1</v>
      </c>
      <c r="D34">
        <v>1</v>
      </c>
      <c r="E34" s="23">
        <f t="shared" si="6"/>
        <v>309.15178571428572</v>
      </c>
      <c r="N34" s="24">
        <f>N33-1</f>
        <v>10</v>
      </c>
      <c r="P34" s="24">
        <f t="shared" si="5"/>
        <v>0</v>
      </c>
    </row>
    <row r="35" spans="1:16">
      <c r="A35">
        <f t="shared" si="1"/>
        <v>31</v>
      </c>
      <c r="B35">
        <v>1</v>
      </c>
      <c r="D35">
        <v>1</v>
      </c>
      <c r="E35" s="23">
        <f t="shared" si="6"/>
        <v>309.15178571428572</v>
      </c>
      <c r="N35" s="24">
        <f t="shared" ref="N35:N40" si="7">N34-1</f>
        <v>9</v>
      </c>
      <c r="P35" s="24">
        <f t="shared" si="5"/>
        <v>0</v>
      </c>
    </row>
    <row r="36" spans="1:16">
      <c r="A36">
        <f t="shared" si="1"/>
        <v>32</v>
      </c>
      <c r="B36">
        <v>1</v>
      </c>
      <c r="D36">
        <v>1</v>
      </c>
      <c r="E36" s="23">
        <f t="shared" si="6"/>
        <v>309.15178571428572</v>
      </c>
      <c r="N36" s="24">
        <f t="shared" si="7"/>
        <v>8</v>
      </c>
      <c r="P36" s="24">
        <f t="shared" si="5"/>
        <v>0</v>
      </c>
    </row>
    <row r="37" spans="1:16">
      <c r="A37">
        <f t="shared" si="1"/>
        <v>33</v>
      </c>
      <c r="B37">
        <v>1</v>
      </c>
      <c r="D37">
        <v>1</v>
      </c>
      <c r="E37" s="23">
        <f t="shared" si="6"/>
        <v>309.15178571428572</v>
      </c>
      <c r="N37" s="24">
        <f t="shared" si="7"/>
        <v>7</v>
      </c>
      <c r="P37" s="24">
        <f t="shared" si="5"/>
        <v>0</v>
      </c>
    </row>
    <row r="38" spans="1:16">
      <c r="A38">
        <f t="shared" si="1"/>
        <v>34</v>
      </c>
      <c r="B38">
        <v>1</v>
      </c>
      <c r="D38">
        <v>1</v>
      </c>
      <c r="E38" s="23">
        <f t="shared" si="6"/>
        <v>309.15178571428572</v>
      </c>
      <c r="N38" s="24">
        <f t="shared" si="7"/>
        <v>6</v>
      </c>
      <c r="P38" s="24">
        <f t="shared" si="5"/>
        <v>0</v>
      </c>
    </row>
    <row r="39" spans="1:16">
      <c r="A39">
        <f t="shared" si="1"/>
        <v>35</v>
      </c>
      <c r="B39">
        <v>1</v>
      </c>
      <c r="D39">
        <v>1</v>
      </c>
      <c r="E39" s="23">
        <f t="shared" si="6"/>
        <v>309.15178571428572</v>
      </c>
      <c r="N39" s="24">
        <f t="shared" si="7"/>
        <v>5</v>
      </c>
      <c r="P39" s="24">
        <f t="shared" si="5"/>
        <v>0</v>
      </c>
    </row>
    <row r="40" spans="1:16">
      <c r="A40">
        <f t="shared" si="1"/>
        <v>36</v>
      </c>
      <c r="B40">
        <v>0.5</v>
      </c>
      <c r="D40">
        <v>1</v>
      </c>
      <c r="E40" s="23">
        <f t="shared" si="6"/>
        <v>309.15178571428572</v>
      </c>
      <c r="N40" s="24">
        <f t="shared" si="7"/>
        <v>4</v>
      </c>
      <c r="P40" s="24">
        <f t="shared" si="5"/>
        <v>0</v>
      </c>
    </row>
    <row r="41" spans="1:16">
      <c r="A41">
        <f t="shared" si="1"/>
        <v>37</v>
      </c>
      <c r="D41">
        <v>1</v>
      </c>
      <c r="P41" s="24">
        <f t="shared" si="5"/>
        <v>0</v>
      </c>
    </row>
    <row r="42" spans="1:16">
      <c r="A42">
        <f t="shared" si="1"/>
        <v>38</v>
      </c>
      <c r="D42">
        <v>1</v>
      </c>
      <c r="P42" s="24">
        <f t="shared" si="5"/>
        <v>0</v>
      </c>
    </row>
    <row r="43" spans="1:16">
      <c r="A43">
        <f t="shared" si="1"/>
        <v>39</v>
      </c>
      <c r="D43">
        <v>1</v>
      </c>
      <c r="P43" s="24">
        <f t="shared" si="5"/>
        <v>0</v>
      </c>
    </row>
    <row r="44" spans="1:16">
      <c r="A44">
        <f t="shared" si="1"/>
        <v>40</v>
      </c>
      <c r="P44" s="24">
        <f t="shared" si="5"/>
        <v>0</v>
      </c>
    </row>
    <row r="45" spans="1:16">
      <c r="A45">
        <f t="shared" si="1"/>
        <v>41</v>
      </c>
      <c r="P45" s="24">
        <f t="shared" si="5"/>
        <v>0</v>
      </c>
    </row>
    <row r="46" spans="1:16">
      <c r="A46">
        <f t="shared" si="1"/>
        <v>42</v>
      </c>
      <c r="P46" s="24">
        <f t="shared" si="5"/>
        <v>0</v>
      </c>
    </row>
    <row r="47" spans="1:16">
      <c r="A47">
        <f t="shared" si="1"/>
        <v>43</v>
      </c>
      <c r="P47" s="24">
        <f t="shared" si="5"/>
        <v>0</v>
      </c>
    </row>
    <row r="48" spans="1:16">
      <c r="A48">
        <f t="shared" si="1"/>
        <v>44</v>
      </c>
      <c r="P48" s="24">
        <f t="shared" si="5"/>
        <v>0</v>
      </c>
    </row>
    <row r="49" spans="1:16">
      <c r="A49">
        <f t="shared" si="1"/>
        <v>45</v>
      </c>
      <c r="P49" s="24">
        <f t="shared" si="5"/>
        <v>0</v>
      </c>
    </row>
    <row r="50" spans="1:16">
      <c r="A50">
        <f t="shared" si="1"/>
        <v>46</v>
      </c>
      <c r="P50" s="24">
        <f t="shared" si="5"/>
        <v>0</v>
      </c>
    </row>
    <row r="51" spans="1:16">
      <c r="A51">
        <f t="shared" si="1"/>
        <v>47</v>
      </c>
      <c r="P51" s="24">
        <f t="shared" si="5"/>
        <v>0</v>
      </c>
    </row>
    <row r="52" spans="1:16">
      <c r="A52">
        <f t="shared" si="1"/>
        <v>48</v>
      </c>
      <c r="P52" s="24">
        <f t="shared" si="5"/>
        <v>0</v>
      </c>
    </row>
    <row r="53" spans="1:16">
      <c r="A53">
        <f t="shared" si="1"/>
        <v>49</v>
      </c>
      <c r="P53" s="24">
        <f t="shared" si="5"/>
        <v>0</v>
      </c>
    </row>
    <row r="54" spans="1:16">
      <c r="A54">
        <f t="shared" si="1"/>
        <v>50</v>
      </c>
      <c r="P54" s="24">
        <f t="shared" si="5"/>
        <v>0</v>
      </c>
    </row>
    <row r="55" spans="1:16">
      <c r="A55">
        <f t="shared" si="1"/>
        <v>51</v>
      </c>
      <c r="P55" s="24">
        <f t="shared" si="5"/>
        <v>0</v>
      </c>
    </row>
    <row r="56" spans="1:16">
      <c r="A56">
        <f t="shared" si="1"/>
        <v>52</v>
      </c>
      <c r="P56" s="24">
        <f t="shared" si="5"/>
        <v>0</v>
      </c>
    </row>
    <row r="57" spans="1:16">
      <c r="A57">
        <f t="shared" si="1"/>
        <v>53</v>
      </c>
      <c r="P57" s="24">
        <f t="shared" si="5"/>
        <v>0</v>
      </c>
    </row>
    <row r="58" spans="1:16">
      <c r="A58">
        <f t="shared" si="1"/>
        <v>54</v>
      </c>
      <c r="P58" s="24">
        <f t="shared" si="5"/>
        <v>0</v>
      </c>
    </row>
    <row r="59" spans="1:16">
      <c r="A59">
        <f t="shared" si="1"/>
        <v>55</v>
      </c>
      <c r="P59" s="24">
        <f t="shared" si="5"/>
        <v>0</v>
      </c>
    </row>
    <row r="60" spans="1:16">
      <c r="A60">
        <f t="shared" si="1"/>
        <v>56</v>
      </c>
      <c r="P60" s="24">
        <f t="shared" si="5"/>
        <v>0</v>
      </c>
    </row>
    <row r="61" spans="1:16">
      <c r="P61" s="24">
        <f t="shared" si="5"/>
        <v>0</v>
      </c>
    </row>
    <row r="62" spans="1:16">
      <c r="P62" s="24">
        <f t="shared" si="5"/>
        <v>0</v>
      </c>
    </row>
    <row r="63" spans="1:16">
      <c r="P63" s="24">
        <f t="shared" si="5"/>
        <v>0</v>
      </c>
    </row>
    <row r="64" spans="1:16">
      <c r="P64" s="24">
        <f t="shared" si="5"/>
        <v>0</v>
      </c>
    </row>
    <row r="65" spans="16:16">
      <c r="P65" s="24">
        <f t="shared" si="5"/>
        <v>0</v>
      </c>
    </row>
    <row r="66" spans="16:16">
      <c r="P66" s="24">
        <f t="shared" si="5"/>
        <v>0</v>
      </c>
    </row>
    <row r="67" spans="16:16">
      <c r="P67" s="24">
        <f t="shared" si="5"/>
        <v>0</v>
      </c>
    </row>
    <row r="68" spans="16:16">
      <c r="P68" s="24">
        <f t="shared" si="5"/>
        <v>0</v>
      </c>
    </row>
    <row r="69" spans="16:16">
      <c r="P69" s="24">
        <f t="shared" si="5"/>
        <v>0</v>
      </c>
    </row>
    <row r="70" spans="16:16">
      <c r="P70" s="24">
        <f t="shared" si="5"/>
        <v>0</v>
      </c>
    </row>
    <row r="71" spans="16:16">
      <c r="P71" s="24">
        <f t="shared" si="5"/>
        <v>0</v>
      </c>
    </row>
    <row r="72" spans="16:16">
      <c r="P72" s="24">
        <f t="shared" si="5"/>
        <v>0</v>
      </c>
    </row>
    <row r="73" spans="16:16">
      <c r="P73" s="24">
        <f t="shared" si="5"/>
        <v>0</v>
      </c>
    </row>
    <row r="74" spans="16:16">
      <c r="P74" s="24">
        <f t="shared" si="5"/>
        <v>0</v>
      </c>
    </row>
    <row r="75" spans="16:16">
      <c r="P75" s="24">
        <f t="shared" si="5"/>
        <v>0</v>
      </c>
    </row>
    <row r="76" spans="16:16">
      <c r="P76" s="24">
        <f t="shared" si="5"/>
        <v>0</v>
      </c>
    </row>
    <row r="77" spans="16:16">
      <c r="P77" s="24">
        <f t="shared" si="5"/>
        <v>0</v>
      </c>
    </row>
    <row r="78" spans="16:16">
      <c r="P78" s="24">
        <f t="shared" si="5"/>
        <v>0</v>
      </c>
    </row>
    <row r="79" spans="16:16">
      <c r="P79" s="24">
        <f t="shared" si="5"/>
        <v>0</v>
      </c>
    </row>
    <row r="80" spans="16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8">(F85*K85+G85*L85+H85*M85+I85*N85+J85*O85)*$S$1</f>
        <v>0</v>
      </c>
    </row>
    <row r="86" spans="1:16">
      <c r="P86" s="24">
        <f t="shared" si="8"/>
        <v>0</v>
      </c>
    </row>
    <row r="87" spans="1:16">
      <c r="P87" s="24">
        <f t="shared" si="8"/>
        <v>0</v>
      </c>
    </row>
    <row r="88" spans="1:16">
      <c r="A88" s="28">
        <f>COUNT(A5:A87)</f>
        <v>56</v>
      </c>
      <c r="B88" s="28">
        <f>SUM(B13:B87)</f>
        <v>22.5</v>
      </c>
      <c r="C88" s="28">
        <f>SUM(C5:C87)</f>
        <v>27</v>
      </c>
      <c r="E88" s="29"/>
      <c r="F88" s="29">
        <f>SUM(F5:F87)</f>
        <v>3091.5178571428573</v>
      </c>
      <c r="G88" s="29">
        <f t="shared" ref="G88:I88" si="9">SUM(G5:G87)</f>
        <v>0</v>
      </c>
      <c r="H88" s="29">
        <f>SUM(H5:H87)</f>
        <v>0</v>
      </c>
      <c r="I88" s="29">
        <f t="shared" si="9"/>
        <v>300</v>
      </c>
      <c r="J88" s="29"/>
      <c r="K88" s="29"/>
      <c r="L88" s="29"/>
      <c r="M88" s="29"/>
      <c r="N88" s="29"/>
      <c r="O88" s="29"/>
      <c r="P88" s="29">
        <f>SUM(P5:P87)</f>
        <v>281.77374441964287</v>
      </c>
    </row>
    <row r="89" spans="1:16">
      <c r="F89" s="25">
        <f>SUM(F88:I88)</f>
        <v>3391.5178571428573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VIPcric_3!D117</f>
        <v>26073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VIPcric_3!E117</f>
        <v>55.7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4000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/>
      <c r="U11">
        <v>1000</v>
      </c>
      <c r="V11" t="s">
        <v>755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/>
    </row>
    <row r="13" spans="1:22">
      <c r="A13">
        <f t="shared" si="1"/>
        <v>9</v>
      </c>
      <c r="C13">
        <v>1</v>
      </c>
      <c r="P13" s="24">
        <f t="shared" si="0"/>
        <v>0</v>
      </c>
      <c r="T13" s="39"/>
    </row>
    <row r="14" spans="1:22">
      <c r="A14">
        <f t="shared" si="1"/>
        <v>10</v>
      </c>
      <c r="C14">
        <v>1</v>
      </c>
      <c r="P14" s="24">
        <f t="shared" si="0"/>
        <v>0</v>
      </c>
      <c r="T14" s="39"/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468.09694793536806</v>
      </c>
      <c r="F18" s="24">
        <f t="shared" ref="F18:F26" si="3">E18</f>
        <v>468.09694793536806</v>
      </c>
      <c r="K18" s="24">
        <v>14</v>
      </c>
      <c r="P18" s="24">
        <f t="shared" si="0"/>
        <v>56.522706463195696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468.09694793536806</v>
      </c>
      <c r="F19" s="24">
        <f t="shared" si="3"/>
        <v>468.09694793536806</v>
      </c>
      <c r="K19" s="24">
        <f t="shared" ref="K19:K26" si="4">K18-1</f>
        <v>13</v>
      </c>
      <c r="P19" s="24">
        <f>(F19*K19+G19*L19+H19*M19+I19*N19+J19*O19)*$S$1</f>
        <v>52.485370287253147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468.09694793536806</v>
      </c>
      <c r="F20" s="24">
        <f t="shared" si="3"/>
        <v>468.09694793536806</v>
      </c>
      <c r="K20" s="24">
        <f t="shared" si="4"/>
        <v>12</v>
      </c>
      <c r="P20" s="24">
        <f>(F20*K20+G20*L20+H20*M20+I20*N20+J20*O20)*$S$1</f>
        <v>48.448034111310598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468.09694793536806</v>
      </c>
      <c r="F21" s="24">
        <f t="shared" si="3"/>
        <v>468.09694793536806</v>
      </c>
      <c r="K21" s="24">
        <f t="shared" si="4"/>
        <v>11</v>
      </c>
      <c r="P21" s="24">
        <f t="shared" ref="P21:P84" si="5">(F21*K21+G21*L21+H21*M21+I21*N21+J21*O21)*$S$1</f>
        <v>44.410697935368049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468.09694793536806</v>
      </c>
      <c r="F22" s="24">
        <f t="shared" si="3"/>
        <v>468.09694793536806</v>
      </c>
      <c r="K22" s="24">
        <f t="shared" si="4"/>
        <v>10</v>
      </c>
      <c r="P22" s="24">
        <f t="shared" si="5"/>
        <v>40.373361759425499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468.09694793536806</v>
      </c>
      <c r="F23" s="24">
        <f t="shared" si="3"/>
        <v>468.09694793536806</v>
      </c>
      <c r="K23" s="24">
        <f t="shared" si="4"/>
        <v>9</v>
      </c>
      <c r="P23" s="24">
        <f t="shared" si="5"/>
        <v>36.33602558348295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468.09694793536806</v>
      </c>
      <c r="F24" s="24">
        <f t="shared" si="3"/>
        <v>468.09694793536806</v>
      </c>
      <c r="K24" s="24">
        <f t="shared" si="4"/>
        <v>8</v>
      </c>
      <c r="P24" s="24">
        <f t="shared" si="5"/>
        <v>32.298689407540401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73" si="6">1/$S$3*$S$2</f>
        <v>468.09694793536806</v>
      </c>
      <c r="F25" s="24">
        <f t="shared" si="3"/>
        <v>468.09694793536806</v>
      </c>
      <c r="K25" s="24">
        <f t="shared" si="4"/>
        <v>7</v>
      </c>
      <c r="P25" s="24">
        <f t="shared" si="5"/>
        <v>28.261353231597848</v>
      </c>
    </row>
    <row r="26" spans="1:20">
      <c r="A26">
        <f t="shared" si="1"/>
        <v>22</v>
      </c>
      <c r="B26">
        <v>1</v>
      </c>
      <c r="C26">
        <v>1</v>
      </c>
      <c r="E26" s="23">
        <f t="shared" si="6"/>
        <v>468.09694793536806</v>
      </c>
      <c r="F26" s="24">
        <f t="shared" si="3"/>
        <v>468.09694793536806</v>
      </c>
      <c r="K26" s="24">
        <f t="shared" si="4"/>
        <v>6</v>
      </c>
      <c r="P26" s="24">
        <f t="shared" si="5"/>
        <v>24.224017055655299</v>
      </c>
    </row>
    <row r="27" spans="1:20">
      <c r="A27">
        <f t="shared" si="1"/>
        <v>23</v>
      </c>
      <c r="B27">
        <v>1</v>
      </c>
      <c r="C27">
        <v>1</v>
      </c>
      <c r="E27" s="23">
        <f t="shared" si="6"/>
        <v>468.09694793536806</v>
      </c>
      <c r="I27" s="24">
        <v>1000</v>
      </c>
      <c r="N27" s="24">
        <v>20</v>
      </c>
      <c r="P27" s="24">
        <f t="shared" si="5"/>
        <v>172.50000000000003</v>
      </c>
    </row>
    <row r="28" spans="1:20">
      <c r="A28">
        <f t="shared" si="1"/>
        <v>24</v>
      </c>
      <c r="B28">
        <v>1</v>
      </c>
      <c r="C28">
        <v>1</v>
      </c>
      <c r="E28" s="23">
        <f t="shared" si="6"/>
        <v>468.09694793536806</v>
      </c>
      <c r="I28" s="24">
        <f>I27</f>
        <v>1000</v>
      </c>
      <c r="N28" s="24">
        <f>N27-1</f>
        <v>19</v>
      </c>
      <c r="P28" s="24">
        <f t="shared" si="5"/>
        <v>163.875</v>
      </c>
    </row>
    <row r="29" spans="1:20">
      <c r="A29">
        <f t="shared" si="1"/>
        <v>25</v>
      </c>
      <c r="B29">
        <v>1</v>
      </c>
      <c r="C29">
        <v>1</v>
      </c>
      <c r="E29" s="23">
        <f t="shared" si="6"/>
        <v>468.09694793536806</v>
      </c>
      <c r="I29" s="24">
        <f t="shared" ref="I29:I46" si="7">I28</f>
        <v>1000</v>
      </c>
      <c r="N29" s="24">
        <f>N28-1</f>
        <v>18</v>
      </c>
      <c r="P29" s="24">
        <f t="shared" si="5"/>
        <v>155.25</v>
      </c>
    </row>
    <row r="30" spans="1:20">
      <c r="A30">
        <f t="shared" si="1"/>
        <v>26</v>
      </c>
      <c r="B30">
        <v>1</v>
      </c>
      <c r="C30">
        <v>1</v>
      </c>
      <c r="E30" s="23">
        <f t="shared" si="6"/>
        <v>468.09694793536806</v>
      </c>
      <c r="I30" s="24">
        <f t="shared" si="7"/>
        <v>1000</v>
      </c>
      <c r="N30" s="24">
        <f t="shared" ref="N30:N46" si="8">N29-1</f>
        <v>17</v>
      </c>
      <c r="P30" s="24">
        <f t="shared" si="5"/>
        <v>146.625</v>
      </c>
    </row>
    <row r="31" spans="1:20">
      <c r="A31">
        <f t="shared" si="1"/>
        <v>27</v>
      </c>
      <c r="B31">
        <v>1</v>
      </c>
      <c r="C31">
        <v>1</v>
      </c>
      <c r="E31" s="23">
        <f t="shared" si="6"/>
        <v>468.09694793536806</v>
      </c>
      <c r="I31" s="24">
        <f t="shared" si="7"/>
        <v>1000</v>
      </c>
      <c r="N31" s="24">
        <f t="shared" si="8"/>
        <v>16</v>
      </c>
      <c r="P31" s="24">
        <f t="shared" si="5"/>
        <v>138</v>
      </c>
    </row>
    <row r="32" spans="1:20">
      <c r="A32">
        <f t="shared" si="1"/>
        <v>28</v>
      </c>
      <c r="B32">
        <v>1</v>
      </c>
      <c r="D32">
        <v>1</v>
      </c>
      <c r="E32" s="23">
        <f t="shared" si="6"/>
        <v>468.09694793536806</v>
      </c>
      <c r="I32" s="24">
        <f t="shared" si="7"/>
        <v>1000</v>
      </c>
      <c r="N32" s="24">
        <f t="shared" si="8"/>
        <v>15</v>
      </c>
      <c r="P32" s="24">
        <f t="shared" si="5"/>
        <v>129.375</v>
      </c>
    </row>
    <row r="33" spans="1:16">
      <c r="A33">
        <f t="shared" si="1"/>
        <v>29</v>
      </c>
      <c r="B33">
        <v>1</v>
      </c>
      <c r="D33">
        <v>1</v>
      </c>
      <c r="E33" s="23">
        <f t="shared" si="6"/>
        <v>468.09694793536806</v>
      </c>
      <c r="I33" s="24">
        <f t="shared" si="7"/>
        <v>1000</v>
      </c>
      <c r="N33" s="24">
        <f t="shared" si="8"/>
        <v>14</v>
      </c>
      <c r="P33" s="24">
        <f t="shared" si="5"/>
        <v>120.75000000000001</v>
      </c>
    </row>
    <row r="34" spans="1:16">
      <c r="A34">
        <f t="shared" si="1"/>
        <v>30</v>
      </c>
      <c r="B34">
        <v>1</v>
      </c>
      <c r="D34">
        <v>1</v>
      </c>
      <c r="E34" s="23">
        <f t="shared" si="6"/>
        <v>468.09694793536806</v>
      </c>
      <c r="I34" s="24">
        <f t="shared" si="7"/>
        <v>1000</v>
      </c>
      <c r="N34" s="24">
        <f t="shared" si="8"/>
        <v>13</v>
      </c>
      <c r="P34" s="24">
        <f t="shared" si="5"/>
        <v>112.12500000000001</v>
      </c>
    </row>
    <row r="35" spans="1:16">
      <c r="A35">
        <f t="shared" si="1"/>
        <v>31</v>
      </c>
      <c r="B35">
        <v>1</v>
      </c>
      <c r="D35">
        <v>1</v>
      </c>
      <c r="E35" s="23">
        <f t="shared" si="6"/>
        <v>468.09694793536806</v>
      </c>
      <c r="I35" s="24">
        <f t="shared" si="7"/>
        <v>1000</v>
      </c>
      <c r="N35" s="24">
        <f t="shared" si="8"/>
        <v>12</v>
      </c>
      <c r="P35" s="24">
        <f t="shared" si="5"/>
        <v>103.50000000000001</v>
      </c>
    </row>
    <row r="36" spans="1:16">
      <c r="A36">
        <f t="shared" si="1"/>
        <v>32</v>
      </c>
      <c r="B36">
        <v>1</v>
      </c>
      <c r="D36">
        <v>1</v>
      </c>
      <c r="E36" s="23">
        <f t="shared" si="6"/>
        <v>468.09694793536806</v>
      </c>
      <c r="I36" s="24">
        <f t="shared" si="7"/>
        <v>1000</v>
      </c>
      <c r="N36" s="24">
        <f t="shared" si="8"/>
        <v>11</v>
      </c>
      <c r="P36" s="24">
        <f t="shared" si="5"/>
        <v>94.875000000000014</v>
      </c>
    </row>
    <row r="37" spans="1:16">
      <c r="A37">
        <f t="shared" si="1"/>
        <v>33</v>
      </c>
      <c r="B37">
        <v>1</v>
      </c>
      <c r="D37">
        <v>1</v>
      </c>
      <c r="E37" s="23">
        <f t="shared" si="6"/>
        <v>468.09694793536806</v>
      </c>
      <c r="I37" s="24">
        <f t="shared" si="7"/>
        <v>1000</v>
      </c>
      <c r="N37" s="24">
        <f t="shared" si="8"/>
        <v>10</v>
      </c>
      <c r="P37" s="24">
        <f t="shared" si="5"/>
        <v>86.250000000000014</v>
      </c>
    </row>
    <row r="38" spans="1:16">
      <c r="A38">
        <f t="shared" si="1"/>
        <v>34</v>
      </c>
      <c r="B38">
        <v>1</v>
      </c>
      <c r="D38">
        <v>1</v>
      </c>
      <c r="E38" s="23">
        <f t="shared" si="6"/>
        <v>468.09694793536806</v>
      </c>
      <c r="I38" s="24">
        <f t="shared" si="7"/>
        <v>1000</v>
      </c>
      <c r="N38" s="24">
        <f t="shared" si="8"/>
        <v>9</v>
      </c>
      <c r="P38" s="24">
        <f t="shared" si="5"/>
        <v>77.625</v>
      </c>
    </row>
    <row r="39" spans="1:16">
      <c r="A39">
        <f t="shared" si="1"/>
        <v>35</v>
      </c>
      <c r="B39">
        <v>1</v>
      </c>
      <c r="D39">
        <v>1</v>
      </c>
      <c r="E39" s="23">
        <f t="shared" si="6"/>
        <v>468.09694793536806</v>
      </c>
      <c r="I39" s="24">
        <f t="shared" si="7"/>
        <v>1000</v>
      </c>
      <c r="N39" s="24">
        <f t="shared" si="8"/>
        <v>8</v>
      </c>
      <c r="P39" s="24">
        <f t="shared" si="5"/>
        <v>69</v>
      </c>
    </row>
    <row r="40" spans="1:16">
      <c r="A40">
        <f t="shared" si="1"/>
        <v>36</v>
      </c>
      <c r="B40">
        <v>1</v>
      </c>
      <c r="D40">
        <v>1</v>
      </c>
      <c r="E40" s="23">
        <f t="shared" si="6"/>
        <v>468.09694793536806</v>
      </c>
      <c r="I40" s="24">
        <f t="shared" si="7"/>
        <v>1000</v>
      </c>
      <c r="N40" s="24">
        <f t="shared" si="8"/>
        <v>7</v>
      </c>
      <c r="P40" s="24">
        <f t="shared" si="5"/>
        <v>60.375000000000007</v>
      </c>
    </row>
    <row r="41" spans="1:16">
      <c r="A41">
        <f t="shared" si="1"/>
        <v>37</v>
      </c>
      <c r="B41">
        <v>1</v>
      </c>
      <c r="D41">
        <v>1</v>
      </c>
      <c r="E41" s="23">
        <f t="shared" si="6"/>
        <v>468.09694793536806</v>
      </c>
      <c r="I41" s="24">
        <f t="shared" si="7"/>
        <v>1000</v>
      </c>
      <c r="N41" s="24">
        <f t="shared" si="8"/>
        <v>6</v>
      </c>
      <c r="P41" s="24">
        <f t="shared" si="5"/>
        <v>51.750000000000007</v>
      </c>
    </row>
    <row r="42" spans="1:16">
      <c r="A42">
        <f t="shared" si="1"/>
        <v>38</v>
      </c>
      <c r="B42">
        <v>1</v>
      </c>
      <c r="D42">
        <v>1</v>
      </c>
      <c r="E42" s="23">
        <f t="shared" si="6"/>
        <v>468.09694793536806</v>
      </c>
      <c r="I42" s="24">
        <f t="shared" si="7"/>
        <v>1000</v>
      </c>
      <c r="N42" s="24">
        <f t="shared" si="8"/>
        <v>5</v>
      </c>
      <c r="P42" s="24">
        <f t="shared" si="5"/>
        <v>43.125000000000007</v>
      </c>
    </row>
    <row r="43" spans="1:16">
      <c r="A43">
        <f t="shared" si="1"/>
        <v>39</v>
      </c>
      <c r="B43">
        <v>1</v>
      </c>
      <c r="D43">
        <v>1</v>
      </c>
      <c r="E43" s="23">
        <f t="shared" si="6"/>
        <v>468.09694793536806</v>
      </c>
      <c r="I43" s="24">
        <f t="shared" si="7"/>
        <v>1000</v>
      </c>
      <c r="N43" s="24">
        <f t="shared" si="8"/>
        <v>4</v>
      </c>
      <c r="P43" s="24">
        <f t="shared" si="5"/>
        <v>34.5</v>
      </c>
    </row>
    <row r="44" spans="1:16">
      <c r="A44">
        <f t="shared" si="1"/>
        <v>40</v>
      </c>
      <c r="B44">
        <v>1</v>
      </c>
      <c r="D44">
        <v>1</v>
      </c>
      <c r="E44" s="23">
        <f t="shared" si="6"/>
        <v>468.09694793536806</v>
      </c>
      <c r="I44" s="24">
        <f t="shared" si="7"/>
        <v>1000</v>
      </c>
      <c r="N44" s="24">
        <f t="shared" si="8"/>
        <v>3</v>
      </c>
      <c r="P44" s="24">
        <f t="shared" si="5"/>
        <v>25.875000000000004</v>
      </c>
    </row>
    <row r="45" spans="1:16">
      <c r="A45">
        <f t="shared" si="1"/>
        <v>41</v>
      </c>
      <c r="B45">
        <v>1</v>
      </c>
      <c r="D45">
        <v>1</v>
      </c>
      <c r="E45" s="23">
        <f t="shared" si="6"/>
        <v>468.09694793536806</v>
      </c>
      <c r="I45" s="24">
        <f t="shared" si="7"/>
        <v>1000</v>
      </c>
      <c r="N45" s="24">
        <f t="shared" si="8"/>
        <v>2</v>
      </c>
      <c r="P45" s="24">
        <f t="shared" si="5"/>
        <v>17.25</v>
      </c>
    </row>
    <row r="46" spans="1:16">
      <c r="A46">
        <f t="shared" si="1"/>
        <v>42</v>
      </c>
      <c r="B46">
        <v>1</v>
      </c>
      <c r="D46">
        <v>1</v>
      </c>
      <c r="E46" s="23">
        <f t="shared" si="6"/>
        <v>468.09694793536806</v>
      </c>
      <c r="I46" s="24">
        <f t="shared" si="7"/>
        <v>1000</v>
      </c>
      <c r="N46" s="24">
        <f t="shared" si="8"/>
        <v>1</v>
      </c>
      <c r="P46" s="24">
        <f t="shared" si="5"/>
        <v>8.625</v>
      </c>
    </row>
    <row r="47" spans="1:16">
      <c r="A47">
        <f t="shared" si="1"/>
        <v>43</v>
      </c>
      <c r="B47">
        <v>1</v>
      </c>
      <c r="E47" s="23">
        <f t="shared" si="6"/>
        <v>468.09694793536806</v>
      </c>
      <c r="P47" s="24">
        <f t="shared" si="5"/>
        <v>0</v>
      </c>
    </row>
    <row r="48" spans="1:16">
      <c r="A48">
        <f t="shared" si="1"/>
        <v>44</v>
      </c>
      <c r="B48">
        <v>1</v>
      </c>
      <c r="E48" s="23">
        <f t="shared" si="6"/>
        <v>468.09694793536806</v>
      </c>
      <c r="P48" s="24">
        <f t="shared" si="5"/>
        <v>0</v>
      </c>
    </row>
    <row r="49" spans="1:16">
      <c r="A49">
        <f t="shared" si="1"/>
        <v>45</v>
      </c>
      <c r="B49">
        <v>1</v>
      </c>
      <c r="E49" s="23">
        <f t="shared" si="6"/>
        <v>468.09694793536806</v>
      </c>
      <c r="P49" s="24">
        <f t="shared" si="5"/>
        <v>0</v>
      </c>
    </row>
    <row r="50" spans="1:16">
      <c r="A50">
        <f t="shared" si="1"/>
        <v>46</v>
      </c>
      <c r="B50">
        <v>1</v>
      </c>
      <c r="E50" s="23">
        <f t="shared" si="6"/>
        <v>468.09694793536806</v>
      </c>
      <c r="P50" s="24">
        <f t="shared" si="5"/>
        <v>0</v>
      </c>
    </row>
    <row r="51" spans="1:16">
      <c r="A51">
        <f t="shared" si="1"/>
        <v>47</v>
      </c>
      <c r="B51">
        <v>1</v>
      </c>
      <c r="E51" s="23">
        <f t="shared" si="6"/>
        <v>468.09694793536806</v>
      </c>
      <c r="P51" s="24">
        <f t="shared" si="5"/>
        <v>0</v>
      </c>
    </row>
    <row r="52" spans="1:16">
      <c r="A52">
        <f t="shared" si="1"/>
        <v>48</v>
      </c>
      <c r="B52">
        <v>1</v>
      </c>
      <c r="E52" s="23">
        <f t="shared" si="6"/>
        <v>468.09694793536806</v>
      </c>
      <c r="P52" s="24">
        <f t="shared" si="5"/>
        <v>0</v>
      </c>
    </row>
    <row r="53" spans="1:16">
      <c r="A53">
        <f t="shared" si="1"/>
        <v>49</v>
      </c>
      <c r="B53">
        <v>1</v>
      </c>
      <c r="E53" s="23">
        <f t="shared" si="6"/>
        <v>468.09694793536806</v>
      </c>
      <c r="P53" s="24">
        <f t="shared" si="5"/>
        <v>0</v>
      </c>
    </row>
    <row r="54" spans="1:16">
      <c r="A54">
        <f t="shared" si="1"/>
        <v>50</v>
      </c>
      <c r="B54">
        <v>1</v>
      </c>
      <c r="E54" s="23">
        <f t="shared" si="6"/>
        <v>468.09694793536806</v>
      </c>
      <c r="P54" s="24">
        <f t="shared" si="5"/>
        <v>0</v>
      </c>
    </row>
    <row r="55" spans="1:16">
      <c r="A55">
        <f t="shared" si="1"/>
        <v>51</v>
      </c>
      <c r="B55">
        <v>1</v>
      </c>
      <c r="E55" s="23">
        <f t="shared" si="6"/>
        <v>468.09694793536806</v>
      </c>
      <c r="P55" s="24">
        <f t="shared" si="5"/>
        <v>0</v>
      </c>
    </row>
    <row r="56" spans="1:16">
      <c r="A56">
        <f t="shared" si="1"/>
        <v>52</v>
      </c>
      <c r="B56">
        <v>1</v>
      </c>
      <c r="E56" s="23">
        <f t="shared" si="6"/>
        <v>468.09694793536806</v>
      </c>
      <c r="P56" s="24">
        <f t="shared" si="5"/>
        <v>0</v>
      </c>
    </row>
    <row r="57" spans="1:16">
      <c r="A57">
        <f t="shared" si="1"/>
        <v>53</v>
      </c>
      <c r="B57">
        <v>1</v>
      </c>
      <c r="E57" s="23">
        <f t="shared" si="6"/>
        <v>468.09694793536806</v>
      </c>
      <c r="P57" s="24">
        <f t="shared" si="5"/>
        <v>0</v>
      </c>
    </row>
    <row r="58" spans="1:16">
      <c r="A58">
        <f t="shared" si="1"/>
        <v>54</v>
      </c>
      <c r="B58">
        <v>1</v>
      </c>
      <c r="E58" s="23">
        <f t="shared" si="6"/>
        <v>468.09694793536806</v>
      </c>
      <c r="P58" s="24">
        <f t="shared" si="5"/>
        <v>0</v>
      </c>
    </row>
    <row r="59" spans="1:16">
      <c r="A59">
        <f t="shared" si="1"/>
        <v>55</v>
      </c>
      <c r="B59">
        <v>1</v>
      </c>
      <c r="E59" s="23">
        <f t="shared" si="6"/>
        <v>468.09694793536806</v>
      </c>
      <c r="P59" s="24">
        <f t="shared" si="5"/>
        <v>0</v>
      </c>
    </row>
    <row r="60" spans="1:16">
      <c r="A60">
        <f t="shared" si="1"/>
        <v>56</v>
      </c>
      <c r="B60">
        <v>1</v>
      </c>
      <c r="E60" s="23">
        <f t="shared" si="6"/>
        <v>468.09694793536806</v>
      </c>
      <c r="P60" s="24">
        <f t="shared" si="5"/>
        <v>0</v>
      </c>
    </row>
    <row r="61" spans="1:16">
      <c r="A61">
        <f t="shared" si="1"/>
        <v>57</v>
      </c>
      <c r="B61">
        <v>1</v>
      </c>
      <c r="E61" s="23">
        <f t="shared" si="6"/>
        <v>468.09694793536806</v>
      </c>
      <c r="P61" s="24">
        <f t="shared" si="5"/>
        <v>0</v>
      </c>
    </row>
    <row r="62" spans="1:16">
      <c r="A62">
        <f t="shared" si="1"/>
        <v>58</v>
      </c>
      <c r="B62">
        <v>1</v>
      </c>
      <c r="E62" s="23">
        <f t="shared" si="6"/>
        <v>468.09694793536806</v>
      </c>
      <c r="P62" s="24">
        <f t="shared" si="5"/>
        <v>0</v>
      </c>
    </row>
    <row r="63" spans="1:16">
      <c r="A63">
        <f t="shared" si="1"/>
        <v>59</v>
      </c>
      <c r="B63">
        <v>1</v>
      </c>
      <c r="E63" s="23">
        <f t="shared" si="6"/>
        <v>468.09694793536806</v>
      </c>
      <c r="P63" s="24">
        <f t="shared" si="5"/>
        <v>0</v>
      </c>
    </row>
    <row r="64" spans="1:16">
      <c r="A64">
        <f t="shared" si="1"/>
        <v>60</v>
      </c>
      <c r="B64">
        <v>1</v>
      </c>
      <c r="E64" s="23">
        <f t="shared" si="6"/>
        <v>468.09694793536806</v>
      </c>
      <c r="P64" s="24">
        <f t="shared" si="5"/>
        <v>0</v>
      </c>
    </row>
    <row r="65" spans="1:16">
      <c r="A65">
        <f t="shared" si="1"/>
        <v>61</v>
      </c>
      <c r="B65">
        <v>1</v>
      </c>
      <c r="E65" s="23">
        <f t="shared" si="6"/>
        <v>468.09694793536806</v>
      </c>
      <c r="P65" s="24">
        <f t="shared" si="5"/>
        <v>0</v>
      </c>
    </row>
    <row r="66" spans="1:16">
      <c r="A66">
        <f t="shared" si="1"/>
        <v>62</v>
      </c>
      <c r="B66">
        <v>1</v>
      </c>
      <c r="E66" s="23">
        <f t="shared" si="6"/>
        <v>468.09694793536806</v>
      </c>
      <c r="P66" s="24">
        <f t="shared" si="5"/>
        <v>0</v>
      </c>
    </row>
    <row r="67" spans="1:16">
      <c r="A67">
        <f t="shared" si="1"/>
        <v>63</v>
      </c>
      <c r="B67">
        <v>1</v>
      </c>
      <c r="E67" s="23">
        <f t="shared" si="6"/>
        <v>468.09694793536806</v>
      </c>
      <c r="P67" s="24">
        <f t="shared" si="5"/>
        <v>0</v>
      </c>
    </row>
    <row r="68" spans="1:16">
      <c r="A68">
        <f t="shared" si="1"/>
        <v>64</v>
      </c>
      <c r="B68">
        <v>1</v>
      </c>
      <c r="E68" s="23">
        <f t="shared" si="6"/>
        <v>468.09694793536806</v>
      </c>
      <c r="P68" s="24">
        <f t="shared" si="5"/>
        <v>0</v>
      </c>
    </row>
    <row r="69" spans="1:16">
      <c r="A69">
        <f t="shared" si="1"/>
        <v>65</v>
      </c>
      <c r="B69">
        <v>1</v>
      </c>
      <c r="E69" s="23">
        <f t="shared" si="6"/>
        <v>468.09694793536806</v>
      </c>
      <c r="P69" s="24">
        <f t="shared" si="5"/>
        <v>0</v>
      </c>
    </row>
    <row r="70" spans="1:16">
      <c r="A70">
        <f t="shared" ref="A70:A77" si="9">ROW()-4</f>
        <v>66</v>
      </c>
      <c r="B70">
        <v>1</v>
      </c>
      <c r="E70" s="23">
        <f t="shared" si="6"/>
        <v>468.09694793536806</v>
      </c>
      <c r="P70" s="24">
        <f t="shared" si="5"/>
        <v>0</v>
      </c>
    </row>
    <row r="71" spans="1:16">
      <c r="A71">
        <f t="shared" si="9"/>
        <v>67</v>
      </c>
      <c r="B71">
        <v>1</v>
      </c>
      <c r="E71" s="23">
        <f t="shared" si="6"/>
        <v>468.09694793536806</v>
      </c>
      <c r="P71" s="24">
        <f t="shared" si="5"/>
        <v>0</v>
      </c>
    </row>
    <row r="72" spans="1:16">
      <c r="A72">
        <f t="shared" si="9"/>
        <v>68</v>
      </c>
      <c r="B72">
        <v>1</v>
      </c>
      <c r="E72" s="23">
        <f t="shared" si="6"/>
        <v>468.09694793536806</v>
      </c>
      <c r="P72" s="24">
        <f t="shared" si="5"/>
        <v>0</v>
      </c>
    </row>
    <row r="73" spans="1:16">
      <c r="A73">
        <f t="shared" si="9"/>
        <v>69</v>
      </c>
      <c r="B73">
        <v>0.7</v>
      </c>
      <c r="E73" s="23">
        <f t="shared" si="6"/>
        <v>468.09694793536806</v>
      </c>
      <c r="P73" s="24">
        <f t="shared" si="5"/>
        <v>0</v>
      </c>
    </row>
    <row r="74" spans="1:16">
      <c r="A74">
        <f t="shared" si="9"/>
        <v>70</v>
      </c>
      <c r="P74" s="24">
        <f t="shared" si="5"/>
        <v>0</v>
      </c>
    </row>
    <row r="75" spans="1:16">
      <c r="A75">
        <f t="shared" si="9"/>
        <v>71</v>
      </c>
      <c r="P75" s="24">
        <f t="shared" si="5"/>
        <v>0</v>
      </c>
    </row>
    <row r="76" spans="1:16">
      <c r="A76">
        <f t="shared" si="9"/>
        <v>72</v>
      </c>
      <c r="P76" s="24">
        <f t="shared" si="5"/>
        <v>0</v>
      </c>
    </row>
    <row r="77" spans="1:16">
      <c r="A77">
        <f t="shared" si="9"/>
        <v>73</v>
      </c>
      <c r="P77" s="24">
        <f t="shared" si="5"/>
        <v>0</v>
      </c>
    </row>
    <row r="78" spans="1:16">
      <c r="P78" s="24">
        <f t="shared" si="5"/>
        <v>0</v>
      </c>
    </row>
    <row r="79" spans="1:16">
      <c r="P79" s="24">
        <f t="shared" si="5"/>
        <v>0</v>
      </c>
    </row>
    <row r="80" spans="1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10">(F85*K85+G85*L85+H85*M85+I85*N85+J85*O85)*$S$1</f>
        <v>0</v>
      </c>
    </row>
    <row r="86" spans="1:16">
      <c r="P86" s="24">
        <f t="shared" si="10"/>
        <v>0</v>
      </c>
    </row>
    <row r="87" spans="1:16">
      <c r="P87" s="24">
        <f t="shared" si="10"/>
        <v>0</v>
      </c>
    </row>
    <row r="88" spans="1:16">
      <c r="A88" s="28">
        <f>COUNT(A5:A87)</f>
        <v>73</v>
      </c>
      <c r="B88" s="28">
        <f>SUM(B13:B87)</f>
        <v>55.7</v>
      </c>
      <c r="C88" s="28">
        <f>SUM(C5:C87)</f>
        <v>27</v>
      </c>
      <c r="E88" s="29"/>
      <c r="F88" s="29">
        <f>SUM(F5:F87)</f>
        <v>4212.872531418313</v>
      </c>
      <c r="G88" s="29">
        <f t="shared" ref="G88:I88" si="11">SUM(G5:G87)</f>
        <v>0</v>
      </c>
      <c r="H88" s="29">
        <f>SUM(H5:H87)</f>
        <v>0</v>
      </c>
      <c r="I88" s="29">
        <f t="shared" si="11"/>
        <v>20000</v>
      </c>
      <c r="J88" s="29"/>
      <c r="K88" s="29"/>
      <c r="L88" s="29"/>
      <c r="M88" s="29"/>
      <c r="N88" s="29"/>
      <c r="O88" s="29"/>
      <c r="P88" s="29">
        <f>SUM(P5:P87)</f>
        <v>2174.6102558348293</v>
      </c>
    </row>
    <row r="89" spans="1:16">
      <c r="F89" s="25">
        <v>4000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VIPcric_3!D126</f>
        <v>5911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27">
        <f>VIPcric_3!E126</f>
        <v>12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/>
      <c r="V11" t="s">
        <v>755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/>
    </row>
    <row r="13" spans="1:22">
      <c r="A13">
        <f t="shared" si="1"/>
        <v>9</v>
      </c>
      <c r="C13">
        <v>1</v>
      </c>
      <c r="P13" s="24">
        <f t="shared" si="0"/>
        <v>0</v>
      </c>
      <c r="T13" s="39"/>
    </row>
    <row r="14" spans="1:22">
      <c r="A14">
        <f t="shared" si="1"/>
        <v>10</v>
      </c>
      <c r="C14">
        <v>1</v>
      </c>
      <c r="P14" s="24">
        <f t="shared" si="0"/>
        <v>0</v>
      </c>
      <c r="T14" s="39"/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492.58333333333331</v>
      </c>
      <c r="F18" s="24">
        <f>E18*10%</f>
        <v>49.258333333333333</v>
      </c>
      <c r="G18" s="24">
        <f>E18*5%</f>
        <v>24.629166666666666</v>
      </c>
      <c r="H18" s="24">
        <f>E18*1%</f>
        <v>4.9258333333333333</v>
      </c>
      <c r="K18" s="24">
        <v>5</v>
      </c>
      <c r="L18" s="24">
        <v>8</v>
      </c>
      <c r="M18" s="24">
        <v>29</v>
      </c>
      <c r="P18" s="24">
        <f t="shared" si="0"/>
        <v>5.0557521875000004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492.58333333333331</v>
      </c>
      <c r="F19" s="24">
        <f t="shared" ref="F19:F22" si="3">E19*10%</f>
        <v>49.258333333333333</v>
      </c>
      <c r="G19" s="24">
        <f t="shared" ref="G19:G25" si="4">E19*5%</f>
        <v>24.629166666666666</v>
      </c>
      <c r="H19" s="24">
        <f t="shared" ref="H19:H29" si="5">E19*1%</f>
        <v>4.9258333333333333</v>
      </c>
      <c r="K19" s="24">
        <f>K18-1</f>
        <v>4</v>
      </c>
      <c r="L19" s="24">
        <f>L18-1</f>
        <v>7</v>
      </c>
      <c r="M19" s="24">
        <f>M18-1</f>
        <v>28</v>
      </c>
      <c r="P19" s="24">
        <f>(F19*K19+G19*L19+H19*M19+I19*N19+J19*O19)*$S$1</f>
        <v>4.3759871875000007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492.58333333333331</v>
      </c>
      <c r="F20" s="24">
        <f t="shared" si="3"/>
        <v>49.258333333333333</v>
      </c>
      <c r="G20" s="24">
        <f t="shared" si="4"/>
        <v>24.629166666666666</v>
      </c>
      <c r="H20" s="24">
        <f t="shared" si="5"/>
        <v>4.9258333333333333</v>
      </c>
      <c r="K20" s="24">
        <f t="shared" ref="K20:K22" si="6">K19-1</f>
        <v>3</v>
      </c>
      <c r="L20" s="24">
        <f t="shared" ref="L20:L25" si="7">L19-1</f>
        <v>6</v>
      </c>
      <c r="M20" s="24">
        <f t="shared" ref="M20:M29" si="8">M19-1</f>
        <v>27</v>
      </c>
      <c r="P20" s="24">
        <f>(F20*K20+G20*L20+H20*M20+I20*N20+J20*O20)*$S$1</f>
        <v>3.6962221875000005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492.58333333333331</v>
      </c>
      <c r="F21" s="24">
        <f t="shared" si="3"/>
        <v>49.258333333333333</v>
      </c>
      <c r="G21" s="24">
        <f t="shared" si="4"/>
        <v>24.629166666666666</v>
      </c>
      <c r="H21" s="24">
        <f t="shared" si="5"/>
        <v>4.9258333333333333</v>
      </c>
      <c r="K21" s="24">
        <f t="shared" si="6"/>
        <v>2</v>
      </c>
      <c r="L21" s="24">
        <f t="shared" si="7"/>
        <v>5</v>
      </c>
      <c r="M21" s="24">
        <f t="shared" si="8"/>
        <v>26</v>
      </c>
      <c r="P21" s="24">
        <f t="shared" ref="P21:P84" si="9">(F21*K21+G21*L21+H21*M21+I21*N21+J21*O21)*$S$1</f>
        <v>3.0164571874999999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492.58333333333331</v>
      </c>
      <c r="F22" s="24">
        <f t="shared" si="3"/>
        <v>49.258333333333333</v>
      </c>
      <c r="G22" s="24">
        <f t="shared" si="4"/>
        <v>24.629166666666666</v>
      </c>
      <c r="H22" s="24">
        <f t="shared" si="5"/>
        <v>4.9258333333333333</v>
      </c>
      <c r="K22" s="24">
        <f t="shared" si="6"/>
        <v>1</v>
      </c>
      <c r="L22" s="24">
        <f t="shared" si="7"/>
        <v>4</v>
      </c>
      <c r="M22" s="24">
        <f t="shared" si="8"/>
        <v>25</v>
      </c>
      <c r="P22" s="24">
        <f t="shared" si="9"/>
        <v>2.3366921875000002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492.58333333333331</v>
      </c>
      <c r="G23" s="24">
        <f t="shared" si="4"/>
        <v>24.629166666666666</v>
      </c>
      <c r="H23" s="24">
        <f t="shared" si="5"/>
        <v>4.9258333333333333</v>
      </c>
      <c r="L23" s="24">
        <f t="shared" si="7"/>
        <v>3</v>
      </c>
      <c r="M23" s="24">
        <f t="shared" si="8"/>
        <v>24</v>
      </c>
      <c r="P23" s="24">
        <f t="shared" si="9"/>
        <v>1.6569271875000002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492.58333333333331</v>
      </c>
      <c r="G24" s="24">
        <f t="shared" si="4"/>
        <v>24.629166666666666</v>
      </c>
      <c r="H24" s="24">
        <f t="shared" si="5"/>
        <v>4.9258333333333333</v>
      </c>
      <c r="L24" s="24">
        <f t="shared" si="7"/>
        <v>2</v>
      </c>
      <c r="M24" s="24">
        <f t="shared" si="8"/>
        <v>23</v>
      </c>
      <c r="P24" s="24">
        <f t="shared" si="9"/>
        <v>1.4020153125000001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29" si="10">1/$S$3*$S$2</f>
        <v>492.58333333333331</v>
      </c>
      <c r="G25" s="24">
        <f t="shared" si="4"/>
        <v>24.629166666666666</v>
      </c>
      <c r="H25" s="24">
        <f t="shared" si="5"/>
        <v>4.9258333333333333</v>
      </c>
      <c r="L25" s="24">
        <f t="shared" si="7"/>
        <v>1</v>
      </c>
      <c r="M25" s="24">
        <f t="shared" si="8"/>
        <v>22</v>
      </c>
      <c r="P25" s="24">
        <f t="shared" si="9"/>
        <v>1.1471034375000002</v>
      </c>
    </row>
    <row r="26" spans="1:20">
      <c r="A26">
        <f t="shared" si="1"/>
        <v>22</v>
      </c>
      <c r="B26">
        <v>1</v>
      </c>
      <c r="C26">
        <v>1</v>
      </c>
      <c r="E26" s="23">
        <f t="shared" si="10"/>
        <v>492.58333333333331</v>
      </c>
      <c r="H26" s="24">
        <f t="shared" si="5"/>
        <v>4.9258333333333333</v>
      </c>
      <c r="M26" s="24">
        <f t="shared" si="8"/>
        <v>21</v>
      </c>
      <c r="P26" s="24">
        <f t="shared" si="9"/>
        <v>0.89219156250000009</v>
      </c>
    </row>
    <row r="27" spans="1:20">
      <c r="A27">
        <f t="shared" si="1"/>
        <v>23</v>
      </c>
      <c r="B27">
        <v>1</v>
      </c>
      <c r="C27">
        <v>1</v>
      </c>
      <c r="E27" s="23">
        <f t="shared" si="10"/>
        <v>492.58333333333331</v>
      </c>
      <c r="H27" s="24">
        <f t="shared" si="5"/>
        <v>4.9258333333333333</v>
      </c>
      <c r="M27" s="24">
        <f t="shared" si="8"/>
        <v>20</v>
      </c>
      <c r="P27" s="24">
        <f t="shared" si="9"/>
        <v>0.84970625000000011</v>
      </c>
    </row>
    <row r="28" spans="1:20">
      <c r="A28">
        <f t="shared" si="1"/>
        <v>24</v>
      </c>
      <c r="B28">
        <v>1</v>
      </c>
      <c r="C28">
        <v>1</v>
      </c>
      <c r="E28" s="23">
        <f t="shared" si="10"/>
        <v>492.58333333333331</v>
      </c>
      <c r="H28" s="24">
        <f t="shared" si="5"/>
        <v>4.9258333333333333</v>
      </c>
      <c r="M28" s="24">
        <f t="shared" si="8"/>
        <v>19</v>
      </c>
      <c r="P28" s="24">
        <f t="shared" si="9"/>
        <v>0.80722093750000012</v>
      </c>
    </row>
    <row r="29" spans="1:20">
      <c r="A29">
        <f t="shared" si="1"/>
        <v>25</v>
      </c>
      <c r="B29">
        <v>1</v>
      </c>
      <c r="C29">
        <v>1</v>
      </c>
      <c r="E29" s="23">
        <f t="shared" si="10"/>
        <v>492.58333333333331</v>
      </c>
      <c r="H29" s="24">
        <f t="shared" si="5"/>
        <v>4.9258333333333333</v>
      </c>
      <c r="M29" s="24">
        <f t="shared" si="8"/>
        <v>18</v>
      </c>
      <c r="P29" s="24">
        <f t="shared" si="9"/>
        <v>0.76473562500000003</v>
      </c>
    </row>
    <row r="30" spans="1:20">
      <c r="A30">
        <f t="shared" si="1"/>
        <v>26</v>
      </c>
      <c r="C30">
        <v>1</v>
      </c>
      <c r="P30" s="24">
        <f t="shared" si="9"/>
        <v>0</v>
      </c>
    </row>
    <row r="31" spans="1:20">
      <c r="A31">
        <f t="shared" si="1"/>
        <v>27</v>
      </c>
      <c r="C31">
        <v>1</v>
      </c>
      <c r="P31" s="24">
        <f t="shared" si="9"/>
        <v>0</v>
      </c>
    </row>
    <row r="32" spans="1:20">
      <c r="A32">
        <f t="shared" si="1"/>
        <v>28</v>
      </c>
      <c r="D32">
        <v>1</v>
      </c>
      <c r="P32" s="24">
        <f t="shared" si="9"/>
        <v>0</v>
      </c>
    </row>
    <row r="33" spans="1:16">
      <c r="A33">
        <f t="shared" si="1"/>
        <v>29</v>
      </c>
      <c r="D33">
        <v>1</v>
      </c>
      <c r="P33" s="24">
        <f t="shared" si="9"/>
        <v>0</v>
      </c>
    </row>
    <row r="34" spans="1:16">
      <c r="A34">
        <f t="shared" si="1"/>
        <v>30</v>
      </c>
      <c r="D34">
        <v>1</v>
      </c>
      <c r="P34" s="24">
        <f t="shared" si="9"/>
        <v>0</v>
      </c>
    </row>
    <row r="35" spans="1:16">
      <c r="A35">
        <f t="shared" si="1"/>
        <v>31</v>
      </c>
      <c r="D35">
        <v>1</v>
      </c>
      <c r="P35" s="24">
        <f t="shared" si="9"/>
        <v>0</v>
      </c>
    </row>
    <row r="36" spans="1:16">
      <c r="A36">
        <f t="shared" si="1"/>
        <v>32</v>
      </c>
      <c r="D36">
        <v>1</v>
      </c>
      <c r="P36" s="24">
        <f t="shared" si="9"/>
        <v>0</v>
      </c>
    </row>
    <row r="37" spans="1:16">
      <c r="A37">
        <f t="shared" si="1"/>
        <v>33</v>
      </c>
      <c r="D37">
        <v>1</v>
      </c>
      <c r="P37" s="24">
        <f t="shared" si="9"/>
        <v>0</v>
      </c>
    </row>
    <row r="38" spans="1:16">
      <c r="A38">
        <f t="shared" si="1"/>
        <v>34</v>
      </c>
      <c r="D38">
        <v>1</v>
      </c>
      <c r="P38" s="24">
        <f t="shared" si="9"/>
        <v>0</v>
      </c>
    </row>
    <row r="39" spans="1:16">
      <c r="A39">
        <f t="shared" si="1"/>
        <v>35</v>
      </c>
      <c r="D39">
        <v>1</v>
      </c>
      <c r="P39" s="24">
        <f t="shared" si="9"/>
        <v>0</v>
      </c>
    </row>
    <row r="40" spans="1:16">
      <c r="A40">
        <f t="shared" si="1"/>
        <v>36</v>
      </c>
      <c r="D40">
        <v>1</v>
      </c>
      <c r="P40" s="24">
        <f t="shared" si="9"/>
        <v>0</v>
      </c>
    </row>
    <row r="41" spans="1:16">
      <c r="A41">
        <f t="shared" si="1"/>
        <v>37</v>
      </c>
      <c r="D41">
        <v>1</v>
      </c>
      <c r="P41" s="24">
        <f t="shared" si="9"/>
        <v>0</v>
      </c>
    </row>
    <row r="42" spans="1:16">
      <c r="A42">
        <f t="shared" si="1"/>
        <v>38</v>
      </c>
      <c r="D42">
        <v>1</v>
      </c>
      <c r="P42" s="24">
        <f t="shared" si="9"/>
        <v>0</v>
      </c>
    </row>
    <row r="43" spans="1:16">
      <c r="A43">
        <f t="shared" si="1"/>
        <v>39</v>
      </c>
      <c r="D43">
        <v>1</v>
      </c>
      <c r="P43" s="24">
        <f t="shared" si="9"/>
        <v>0</v>
      </c>
    </row>
    <row r="44" spans="1:16">
      <c r="A44">
        <f t="shared" si="1"/>
        <v>40</v>
      </c>
      <c r="D44">
        <v>1</v>
      </c>
      <c r="P44" s="24">
        <f t="shared" si="9"/>
        <v>0</v>
      </c>
    </row>
    <row r="45" spans="1:16">
      <c r="A45">
        <f t="shared" si="1"/>
        <v>41</v>
      </c>
      <c r="D45">
        <v>1</v>
      </c>
      <c r="P45" s="24">
        <f t="shared" si="9"/>
        <v>0</v>
      </c>
    </row>
    <row r="46" spans="1:16">
      <c r="A46">
        <f t="shared" si="1"/>
        <v>42</v>
      </c>
      <c r="D46">
        <v>1</v>
      </c>
      <c r="P46" s="24">
        <f t="shared" si="9"/>
        <v>0</v>
      </c>
    </row>
    <row r="47" spans="1:16">
      <c r="A47">
        <f t="shared" si="1"/>
        <v>43</v>
      </c>
      <c r="P47" s="24">
        <f t="shared" si="9"/>
        <v>0</v>
      </c>
    </row>
    <row r="48" spans="1:16">
      <c r="A48">
        <f t="shared" si="1"/>
        <v>44</v>
      </c>
      <c r="P48" s="24">
        <f t="shared" si="9"/>
        <v>0</v>
      </c>
    </row>
    <row r="49" spans="1:16">
      <c r="A49">
        <f t="shared" si="1"/>
        <v>45</v>
      </c>
      <c r="P49" s="24">
        <f t="shared" si="9"/>
        <v>0</v>
      </c>
    </row>
    <row r="50" spans="1:16">
      <c r="A50">
        <f t="shared" si="1"/>
        <v>46</v>
      </c>
      <c r="P50" s="24">
        <f t="shared" si="9"/>
        <v>0</v>
      </c>
    </row>
    <row r="51" spans="1:16">
      <c r="A51">
        <f t="shared" si="1"/>
        <v>47</v>
      </c>
      <c r="P51" s="24">
        <f t="shared" si="9"/>
        <v>0</v>
      </c>
    </row>
    <row r="52" spans="1:16">
      <c r="A52">
        <f t="shared" si="1"/>
        <v>48</v>
      </c>
      <c r="P52" s="24">
        <f t="shared" si="9"/>
        <v>0</v>
      </c>
    </row>
    <row r="53" spans="1:16">
      <c r="A53">
        <f t="shared" si="1"/>
        <v>49</v>
      </c>
      <c r="P53" s="24">
        <f t="shared" si="9"/>
        <v>0</v>
      </c>
    </row>
    <row r="54" spans="1:16">
      <c r="A54">
        <f t="shared" si="1"/>
        <v>50</v>
      </c>
      <c r="P54" s="24">
        <f t="shared" si="9"/>
        <v>0</v>
      </c>
    </row>
    <row r="55" spans="1:16">
      <c r="A55">
        <f t="shared" si="1"/>
        <v>51</v>
      </c>
      <c r="P55" s="24">
        <f t="shared" si="9"/>
        <v>0</v>
      </c>
    </row>
    <row r="56" spans="1:16">
      <c r="A56">
        <f t="shared" si="1"/>
        <v>52</v>
      </c>
      <c r="P56" s="24">
        <f t="shared" si="9"/>
        <v>0</v>
      </c>
    </row>
    <row r="57" spans="1:16">
      <c r="A57">
        <f t="shared" si="1"/>
        <v>53</v>
      </c>
      <c r="P57" s="24">
        <f t="shared" si="9"/>
        <v>0</v>
      </c>
    </row>
    <row r="58" spans="1:16">
      <c r="A58">
        <f t="shared" si="1"/>
        <v>54</v>
      </c>
      <c r="P58" s="24">
        <f t="shared" si="9"/>
        <v>0</v>
      </c>
    </row>
    <row r="59" spans="1:16">
      <c r="A59">
        <f t="shared" si="1"/>
        <v>55</v>
      </c>
      <c r="P59" s="24">
        <f t="shared" si="9"/>
        <v>0</v>
      </c>
    </row>
    <row r="60" spans="1:16">
      <c r="A60">
        <f t="shared" si="1"/>
        <v>56</v>
      </c>
      <c r="P60" s="24">
        <f t="shared" si="9"/>
        <v>0</v>
      </c>
    </row>
    <row r="61" spans="1:16">
      <c r="A61">
        <f t="shared" si="1"/>
        <v>57</v>
      </c>
      <c r="P61" s="24">
        <f t="shared" si="9"/>
        <v>0</v>
      </c>
    </row>
    <row r="62" spans="1:16">
      <c r="A62">
        <f t="shared" si="1"/>
        <v>58</v>
      </c>
      <c r="P62" s="24">
        <f t="shared" si="9"/>
        <v>0</v>
      </c>
    </row>
    <row r="63" spans="1:16">
      <c r="A63">
        <f t="shared" si="1"/>
        <v>59</v>
      </c>
      <c r="P63" s="24">
        <f t="shared" si="9"/>
        <v>0</v>
      </c>
    </row>
    <row r="64" spans="1:16">
      <c r="A64">
        <f t="shared" si="1"/>
        <v>60</v>
      </c>
      <c r="P64" s="24">
        <f t="shared" si="9"/>
        <v>0</v>
      </c>
    </row>
    <row r="65" spans="1:16">
      <c r="A65">
        <f t="shared" si="1"/>
        <v>61</v>
      </c>
      <c r="P65" s="24">
        <f t="shared" si="9"/>
        <v>0</v>
      </c>
    </row>
    <row r="66" spans="1:16">
      <c r="A66">
        <f t="shared" si="1"/>
        <v>62</v>
      </c>
      <c r="P66" s="24">
        <f t="shared" si="9"/>
        <v>0</v>
      </c>
    </row>
    <row r="67" spans="1:16">
      <c r="A67">
        <f t="shared" si="1"/>
        <v>63</v>
      </c>
      <c r="P67" s="24">
        <f t="shared" si="9"/>
        <v>0</v>
      </c>
    </row>
    <row r="68" spans="1:16">
      <c r="A68">
        <f t="shared" si="1"/>
        <v>64</v>
      </c>
      <c r="P68" s="24">
        <f t="shared" si="9"/>
        <v>0</v>
      </c>
    </row>
    <row r="69" spans="1:16">
      <c r="A69">
        <f t="shared" si="1"/>
        <v>65</v>
      </c>
      <c r="P69" s="24">
        <f t="shared" si="9"/>
        <v>0</v>
      </c>
    </row>
    <row r="70" spans="1:16">
      <c r="A70">
        <f t="shared" ref="A70:A77" si="11">ROW()-4</f>
        <v>66</v>
      </c>
      <c r="P70" s="24">
        <f t="shared" si="9"/>
        <v>0</v>
      </c>
    </row>
    <row r="71" spans="1:16">
      <c r="A71">
        <f t="shared" si="11"/>
        <v>67</v>
      </c>
      <c r="P71" s="24">
        <f t="shared" si="9"/>
        <v>0</v>
      </c>
    </row>
    <row r="72" spans="1:16">
      <c r="A72">
        <f t="shared" si="11"/>
        <v>68</v>
      </c>
      <c r="P72" s="24">
        <f t="shared" si="9"/>
        <v>0</v>
      </c>
    </row>
    <row r="73" spans="1:16">
      <c r="A73">
        <f t="shared" si="11"/>
        <v>69</v>
      </c>
      <c r="P73" s="24">
        <f t="shared" si="9"/>
        <v>0</v>
      </c>
    </row>
    <row r="74" spans="1:16">
      <c r="A74">
        <f t="shared" si="11"/>
        <v>70</v>
      </c>
      <c r="P74" s="24">
        <f t="shared" si="9"/>
        <v>0</v>
      </c>
    </row>
    <row r="75" spans="1:16">
      <c r="A75">
        <f t="shared" si="11"/>
        <v>71</v>
      </c>
      <c r="P75" s="24">
        <f t="shared" si="9"/>
        <v>0</v>
      </c>
    </row>
    <row r="76" spans="1:16">
      <c r="A76">
        <f t="shared" si="11"/>
        <v>72</v>
      </c>
      <c r="P76" s="24">
        <f t="shared" si="9"/>
        <v>0</v>
      </c>
    </row>
    <row r="77" spans="1:16">
      <c r="A77">
        <f t="shared" si="11"/>
        <v>73</v>
      </c>
      <c r="P77" s="24">
        <f t="shared" si="9"/>
        <v>0</v>
      </c>
    </row>
    <row r="78" spans="1:16">
      <c r="P78" s="24">
        <f t="shared" si="9"/>
        <v>0</v>
      </c>
    </row>
    <row r="79" spans="1:16">
      <c r="P79" s="24">
        <f t="shared" si="9"/>
        <v>0</v>
      </c>
    </row>
    <row r="80" spans="1:16">
      <c r="P80" s="24">
        <f t="shared" si="9"/>
        <v>0</v>
      </c>
    </row>
    <row r="81" spans="1:16">
      <c r="P81" s="24">
        <f t="shared" si="9"/>
        <v>0</v>
      </c>
    </row>
    <row r="82" spans="1:16">
      <c r="P82" s="24">
        <f t="shared" si="9"/>
        <v>0</v>
      </c>
    </row>
    <row r="83" spans="1:16">
      <c r="P83" s="24">
        <f t="shared" si="9"/>
        <v>0</v>
      </c>
    </row>
    <row r="84" spans="1:16">
      <c r="P84" s="24">
        <f t="shared" si="9"/>
        <v>0</v>
      </c>
    </row>
    <row r="85" spans="1:16">
      <c r="P85" s="24">
        <f t="shared" ref="P85:P87" si="12">(F85*K85+G85*L85+H85*M85+I85*N85+J85*O85)*$S$1</f>
        <v>0</v>
      </c>
    </row>
    <row r="86" spans="1:16">
      <c r="P86" s="24">
        <f t="shared" si="12"/>
        <v>0</v>
      </c>
    </row>
    <row r="87" spans="1:16">
      <c r="P87" s="24">
        <f t="shared" si="12"/>
        <v>0</v>
      </c>
    </row>
    <row r="88" spans="1:16">
      <c r="A88" s="28">
        <f>COUNT(A5:A87)</f>
        <v>73</v>
      </c>
      <c r="B88" s="28">
        <f>SUM(B13:B87)</f>
        <v>12</v>
      </c>
      <c r="C88" s="28">
        <f>SUM(C5:C87)</f>
        <v>27</v>
      </c>
      <c r="E88" s="29"/>
      <c r="F88" s="29">
        <f>SUM(F5:F87)</f>
        <v>246.29166666666666</v>
      </c>
      <c r="G88" s="29">
        <f t="shared" ref="G88:I88" si="13">SUM(G5:G87)</f>
        <v>197.03333333333333</v>
      </c>
      <c r="H88" s="29">
        <f>SUM(H5:H87)</f>
        <v>59.109999999999985</v>
      </c>
      <c r="I88" s="29">
        <f t="shared" si="13"/>
        <v>0</v>
      </c>
      <c r="J88" s="29"/>
      <c r="K88" s="29"/>
      <c r="L88" s="29"/>
      <c r="M88" s="29"/>
      <c r="N88" s="29"/>
      <c r="O88" s="29"/>
      <c r="P88" s="29">
        <f>SUM(P5:P87)</f>
        <v>26.001011249999998</v>
      </c>
    </row>
    <row r="89" spans="1:16">
      <c r="F89" s="25">
        <f>SUM(F88:I88)</f>
        <v>502.43499999999995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819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820</v>
      </c>
      <c r="L2" s="24" t="s">
        <v>763</v>
      </c>
      <c r="R2" s="26" t="s">
        <v>754</v>
      </c>
      <c r="S2" s="27">
        <f>VIPcric_3!D155</f>
        <v>6205</v>
      </c>
      <c r="T2" s="27" t="s">
        <v>755</v>
      </c>
    </row>
    <row r="3" spans="1:22">
      <c r="H3" s="24" t="s">
        <v>821</v>
      </c>
      <c r="M3" s="24" t="s">
        <v>786</v>
      </c>
      <c r="R3" s="26" t="s">
        <v>738</v>
      </c>
      <c r="S3" s="30">
        <f>VIPcric_3!E155</f>
        <v>19.789568751411153</v>
      </c>
      <c r="T3" s="27" t="s">
        <v>756</v>
      </c>
    </row>
    <row r="4" spans="1:22">
      <c r="I4" s="24" t="s">
        <v>822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6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2"/>
      <c r="T10" s="27"/>
      <c r="U10">
        <v>2000</v>
      </c>
      <c r="V10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  <c r="T11" s="39"/>
      <c r="U11">
        <f>U10*0.7</f>
        <v>1400</v>
      </c>
      <c r="V11" t="s">
        <v>755</v>
      </c>
    </row>
    <row r="12" spans="1:22">
      <c r="A12">
        <f t="shared" si="1"/>
        <v>8</v>
      </c>
      <c r="C12">
        <v>1</v>
      </c>
      <c r="P12" s="24">
        <f t="shared" si="0"/>
        <v>0</v>
      </c>
      <c r="T12" s="39"/>
      <c r="U12">
        <f>U10*3%</f>
        <v>60</v>
      </c>
    </row>
    <row r="13" spans="1:22">
      <c r="A13">
        <f t="shared" si="1"/>
        <v>9</v>
      </c>
      <c r="C13">
        <v>1</v>
      </c>
      <c r="P13" s="24">
        <f t="shared" si="0"/>
        <v>0</v>
      </c>
      <c r="T13" s="39"/>
    </row>
    <row r="14" spans="1:22">
      <c r="A14">
        <f t="shared" si="1"/>
        <v>10</v>
      </c>
      <c r="C14">
        <v>1</v>
      </c>
      <c r="P14" s="24">
        <f t="shared" si="0"/>
        <v>0</v>
      </c>
      <c r="T14" s="39"/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20">
      <c r="A17">
        <f t="shared" si="1"/>
        <v>13</v>
      </c>
      <c r="C17">
        <v>1</v>
      </c>
      <c r="K17" s="24">
        <v>7</v>
      </c>
      <c r="P17" s="24">
        <f t="shared" si="0"/>
        <v>0</v>
      </c>
    </row>
    <row r="18" spans="1:20">
      <c r="A18">
        <f t="shared" si="1"/>
        <v>14</v>
      </c>
      <c r="B18">
        <v>1</v>
      </c>
      <c r="C18">
        <v>1</v>
      </c>
      <c r="E18" s="23">
        <f t="shared" ref="E18:E23" si="2">1/$S$3*$S$2</f>
        <v>313.54902564804672</v>
      </c>
      <c r="F18" s="24">
        <f>E18</f>
        <v>313.54902564804672</v>
      </c>
      <c r="K18" s="24">
        <f>K17-1</f>
        <v>6</v>
      </c>
      <c r="P18" s="24">
        <f t="shared" si="0"/>
        <v>16.226162077286418</v>
      </c>
    </row>
    <row r="19" spans="1:20">
      <c r="A19">
        <f t="shared" si="1"/>
        <v>15</v>
      </c>
      <c r="B19">
        <v>1</v>
      </c>
      <c r="C19">
        <v>1</v>
      </c>
      <c r="E19" s="23">
        <f t="shared" si="2"/>
        <v>313.54902564804672</v>
      </c>
      <c r="F19" s="24">
        <f t="shared" ref="F19:F23" si="3">E19</f>
        <v>313.54902564804672</v>
      </c>
      <c r="K19" s="24">
        <f t="shared" ref="K19:K23" si="4">K18-1</f>
        <v>5</v>
      </c>
      <c r="P19" s="24">
        <f>(F19*K19+G19*L19+H19*M19+I19*N19+J19*O19)*$S$1</f>
        <v>13.521801731072015</v>
      </c>
    </row>
    <row r="20" spans="1:20">
      <c r="A20">
        <f t="shared" si="1"/>
        <v>16</v>
      </c>
      <c r="B20">
        <v>1</v>
      </c>
      <c r="C20">
        <v>1</v>
      </c>
      <c r="E20" s="23">
        <f t="shared" si="2"/>
        <v>313.54902564804672</v>
      </c>
      <c r="F20" s="24">
        <f t="shared" si="3"/>
        <v>313.54902564804672</v>
      </c>
      <c r="K20" s="24">
        <f t="shared" si="4"/>
        <v>4</v>
      </c>
      <c r="P20" s="24">
        <f>(F20*K20+G20*L20+H20*M20+I20*N20+J20*O20)*$S$1</f>
        <v>10.817441384857613</v>
      </c>
      <c r="T20" t="s">
        <v>870</v>
      </c>
    </row>
    <row r="21" spans="1:20">
      <c r="A21">
        <f t="shared" si="1"/>
        <v>17</v>
      </c>
      <c r="B21">
        <v>1</v>
      </c>
      <c r="C21">
        <v>1</v>
      </c>
      <c r="E21" s="23">
        <f t="shared" si="2"/>
        <v>313.54902564804672</v>
      </c>
      <c r="F21" s="24">
        <f t="shared" si="3"/>
        <v>313.54902564804672</v>
      </c>
      <c r="K21" s="24">
        <f t="shared" si="4"/>
        <v>3</v>
      </c>
      <c r="P21" s="24">
        <f t="shared" ref="P21:P84" si="5">(F21*K21+G21*L21+H21*M21+I21*N21+J21*O21)*$S$1</f>
        <v>8.1130810386432088</v>
      </c>
    </row>
    <row r="22" spans="1:20">
      <c r="A22">
        <f t="shared" si="1"/>
        <v>18</v>
      </c>
      <c r="B22">
        <v>1</v>
      </c>
      <c r="C22">
        <v>1</v>
      </c>
      <c r="E22" s="23">
        <f t="shared" si="2"/>
        <v>313.54902564804672</v>
      </c>
      <c r="F22" s="24">
        <f t="shared" si="3"/>
        <v>313.54902564804672</v>
      </c>
      <c r="K22" s="24">
        <f t="shared" si="4"/>
        <v>2</v>
      </c>
      <c r="P22" s="24">
        <f t="shared" si="5"/>
        <v>5.4087206924288065</v>
      </c>
    </row>
    <row r="23" spans="1:20">
      <c r="A23">
        <f t="shared" si="1"/>
        <v>19</v>
      </c>
      <c r="B23">
        <v>1</v>
      </c>
      <c r="C23">
        <v>1</v>
      </c>
      <c r="E23" s="23">
        <f t="shared" si="2"/>
        <v>313.54902564804672</v>
      </c>
      <c r="F23" s="24">
        <f t="shared" si="3"/>
        <v>313.54902564804672</v>
      </c>
      <c r="K23" s="24">
        <f t="shared" si="4"/>
        <v>1</v>
      </c>
      <c r="P23" s="24">
        <f t="shared" si="5"/>
        <v>2.7043603462144032</v>
      </c>
    </row>
    <row r="24" spans="1:20">
      <c r="A24">
        <f t="shared" si="1"/>
        <v>20</v>
      </c>
      <c r="B24">
        <v>1</v>
      </c>
      <c r="C24">
        <v>1</v>
      </c>
      <c r="E24" s="23">
        <f>1/$S$3*$S$2</f>
        <v>313.54902564804672</v>
      </c>
      <c r="H24" s="24">
        <v>1400</v>
      </c>
      <c r="M24" s="24">
        <v>8</v>
      </c>
      <c r="P24" s="24">
        <f t="shared" si="5"/>
        <v>96.600000000000009</v>
      </c>
    </row>
    <row r="25" spans="1:20">
      <c r="A25">
        <f t="shared" si="1"/>
        <v>21</v>
      </c>
      <c r="B25">
        <v>1</v>
      </c>
      <c r="C25">
        <v>1</v>
      </c>
      <c r="E25" s="23">
        <f t="shared" ref="E25:E37" si="6">1/$S$3*$S$2</f>
        <v>313.54902564804672</v>
      </c>
      <c r="H25" s="24">
        <f>H24</f>
        <v>1400</v>
      </c>
      <c r="M25" s="24">
        <f>M24-1</f>
        <v>7</v>
      </c>
      <c r="P25" s="24">
        <f t="shared" si="5"/>
        <v>84.525000000000006</v>
      </c>
    </row>
    <row r="26" spans="1:20">
      <c r="A26">
        <f t="shared" si="1"/>
        <v>22</v>
      </c>
      <c r="B26">
        <v>1</v>
      </c>
      <c r="C26">
        <v>1</v>
      </c>
      <c r="E26" s="23">
        <f t="shared" si="6"/>
        <v>313.54902564804672</v>
      </c>
      <c r="H26" s="24">
        <f t="shared" ref="H26:H31" si="7">H25</f>
        <v>1400</v>
      </c>
      <c r="M26" s="24">
        <f t="shared" ref="M26:M31" si="8">M25-1</f>
        <v>6</v>
      </c>
      <c r="P26" s="24">
        <f t="shared" si="5"/>
        <v>72.45</v>
      </c>
    </row>
    <row r="27" spans="1:20">
      <c r="A27">
        <f t="shared" si="1"/>
        <v>23</v>
      </c>
      <c r="B27">
        <v>1</v>
      </c>
      <c r="C27">
        <v>1</v>
      </c>
      <c r="E27" s="23">
        <f t="shared" si="6"/>
        <v>313.54902564804672</v>
      </c>
      <c r="H27" s="24">
        <f t="shared" si="7"/>
        <v>1400</v>
      </c>
      <c r="M27" s="24">
        <f t="shared" si="8"/>
        <v>5</v>
      </c>
      <c r="P27" s="24">
        <f t="shared" si="5"/>
        <v>60.375000000000007</v>
      </c>
    </row>
    <row r="28" spans="1:20">
      <c r="A28">
        <f t="shared" si="1"/>
        <v>24</v>
      </c>
      <c r="B28">
        <v>1</v>
      </c>
      <c r="C28">
        <v>1</v>
      </c>
      <c r="E28" s="23">
        <f t="shared" si="6"/>
        <v>313.54902564804672</v>
      </c>
      <c r="H28" s="24">
        <f t="shared" si="7"/>
        <v>1400</v>
      </c>
      <c r="M28" s="24">
        <f t="shared" si="8"/>
        <v>4</v>
      </c>
      <c r="P28" s="24">
        <f t="shared" si="5"/>
        <v>48.300000000000004</v>
      </c>
    </row>
    <row r="29" spans="1:20">
      <c r="A29">
        <f t="shared" si="1"/>
        <v>25</v>
      </c>
      <c r="B29">
        <v>1</v>
      </c>
      <c r="C29">
        <v>1</v>
      </c>
      <c r="E29" s="23">
        <f t="shared" si="6"/>
        <v>313.54902564804672</v>
      </c>
      <c r="H29" s="24">
        <f t="shared" si="7"/>
        <v>1400</v>
      </c>
      <c r="M29" s="24">
        <f t="shared" si="8"/>
        <v>3</v>
      </c>
      <c r="P29" s="24">
        <f t="shared" si="5"/>
        <v>36.225000000000001</v>
      </c>
    </row>
    <row r="30" spans="1:20">
      <c r="A30">
        <f t="shared" si="1"/>
        <v>26</v>
      </c>
      <c r="B30">
        <v>1</v>
      </c>
      <c r="C30">
        <v>1</v>
      </c>
      <c r="E30" s="23">
        <f t="shared" si="6"/>
        <v>313.54902564804672</v>
      </c>
      <c r="H30" s="24">
        <f t="shared" si="7"/>
        <v>1400</v>
      </c>
      <c r="M30" s="24">
        <f t="shared" si="8"/>
        <v>2</v>
      </c>
      <c r="P30" s="24">
        <f t="shared" si="5"/>
        <v>24.150000000000002</v>
      </c>
    </row>
    <row r="31" spans="1:20">
      <c r="A31">
        <f t="shared" si="1"/>
        <v>27</v>
      </c>
      <c r="B31">
        <v>1</v>
      </c>
      <c r="C31">
        <v>1</v>
      </c>
      <c r="E31" s="23">
        <f t="shared" si="6"/>
        <v>313.54902564804672</v>
      </c>
      <c r="H31" s="24">
        <f t="shared" si="7"/>
        <v>1400</v>
      </c>
      <c r="M31" s="24">
        <f t="shared" si="8"/>
        <v>1</v>
      </c>
      <c r="P31" s="24">
        <f t="shared" si="5"/>
        <v>12.075000000000001</v>
      </c>
    </row>
    <row r="32" spans="1:20">
      <c r="A32">
        <f t="shared" si="1"/>
        <v>28</v>
      </c>
      <c r="B32">
        <v>1</v>
      </c>
      <c r="D32">
        <v>1</v>
      </c>
      <c r="E32" s="23">
        <f t="shared" si="6"/>
        <v>313.54902564804672</v>
      </c>
      <c r="I32" s="24">
        <f>$U$12</f>
        <v>60</v>
      </c>
      <c r="N32" s="24">
        <v>15</v>
      </c>
      <c r="P32" s="24">
        <f t="shared" si="5"/>
        <v>7.7625000000000011</v>
      </c>
    </row>
    <row r="33" spans="1:16">
      <c r="A33">
        <f t="shared" si="1"/>
        <v>29</v>
      </c>
      <c r="B33">
        <v>1</v>
      </c>
      <c r="D33">
        <v>1</v>
      </c>
      <c r="E33" s="23">
        <f t="shared" si="6"/>
        <v>313.54902564804672</v>
      </c>
      <c r="I33" s="24">
        <f t="shared" ref="I33:I46" si="9">$U$12</f>
        <v>60</v>
      </c>
      <c r="N33" s="24">
        <f>N32-1</f>
        <v>14</v>
      </c>
      <c r="P33" s="24">
        <f t="shared" si="5"/>
        <v>7.245000000000001</v>
      </c>
    </row>
    <row r="34" spans="1:16">
      <c r="A34">
        <f t="shared" si="1"/>
        <v>30</v>
      </c>
      <c r="B34">
        <v>1</v>
      </c>
      <c r="D34">
        <v>1</v>
      </c>
      <c r="E34" s="23">
        <f t="shared" si="6"/>
        <v>313.54902564804672</v>
      </c>
      <c r="I34" s="24">
        <f t="shared" si="9"/>
        <v>60</v>
      </c>
      <c r="N34" s="24">
        <f t="shared" ref="N34:N46" si="10">N33-1</f>
        <v>13</v>
      </c>
      <c r="P34" s="24">
        <f t="shared" si="5"/>
        <v>6.7275000000000009</v>
      </c>
    </row>
    <row r="35" spans="1:16">
      <c r="A35">
        <f t="shared" si="1"/>
        <v>31</v>
      </c>
      <c r="B35">
        <v>1</v>
      </c>
      <c r="D35">
        <v>1</v>
      </c>
      <c r="E35" s="23">
        <f t="shared" si="6"/>
        <v>313.54902564804672</v>
      </c>
      <c r="I35" s="24">
        <f t="shared" si="9"/>
        <v>60</v>
      </c>
      <c r="N35" s="24">
        <f t="shared" si="10"/>
        <v>12</v>
      </c>
      <c r="P35" s="24">
        <f t="shared" si="5"/>
        <v>6.2100000000000009</v>
      </c>
    </row>
    <row r="36" spans="1:16">
      <c r="A36">
        <f t="shared" si="1"/>
        <v>32</v>
      </c>
      <c r="B36">
        <v>1</v>
      </c>
      <c r="D36">
        <v>1</v>
      </c>
      <c r="E36" s="23">
        <f t="shared" si="6"/>
        <v>313.54902564804672</v>
      </c>
      <c r="I36" s="24">
        <f t="shared" si="9"/>
        <v>60</v>
      </c>
      <c r="N36" s="24">
        <f t="shared" si="10"/>
        <v>11</v>
      </c>
      <c r="P36" s="24">
        <f t="shared" si="5"/>
        <v>5.6925000000000008</v>
      </c>
    </row>
    <row r="37" spans="1:16">
      <c r="A37">
        <f t="shared" si="1"/>
        <v>33</v>
      </c>
      <c r="B37">
        <v>0.8</v>
      </c>
      <c r="D37">
        <v>1</v>
      </c>
      <c r="E37" s="23">
        <f t="shared" si="6"/>
        <v>313.54902564804672</v>
      </c>
      <c r="I37" s="24">
        <f t="shared" si="9"/>
        <v>60</v>
      </c>
      <c r="N37" s="24">
        <f t="shared" si="10"/>
        <v>10</v>
      </c>
      <c r="P37" s="24">
        <f t="shared" si="5"/>
        <v>5.1750000000000007</v>
      </c>
    </row>
    <row r="38" spans="1:16">
      <c r="A38">
        <f t="shared" si="1"/>
        <v>34</v>
      </c>
      <c r="D38">
        <v>1</v>
      </c>
      <c r="I38" s="24">
        <f t="shared" si="9"/>
        <v>60</v>
      </c>
      <c r="N38" s="24">
        <f t="shared" si="10"/>
        <v>9</v>
      </c>
      <c r="P38" s="24">
        <f t="shared" si="5"/>
        <v>4.6575000000000006</v>
      </c>
    </row>
    <row r="39" spans="1:16">
      <c r="A39">
        <f t="shared" si="1"/>
        <v>35</v>
      </c>
      <c r="D39">
        <v>1</v>
      </c>
      <c r="I39" s="24">
        <f t="shared" si="9"/>
        <v>60</v>
      </c>
      <c r="N39" s="24">
        <f t="shared" si="10"/>
        <v>8</v>
      </c>
      <c r="P39" s="24">
        <f t="shared" si="5"/>
        <v>4.1400000000000006</v>
      </c>
    </row>
    <row r="40" spans="1:16">
      <c r="A40">
        <f t="shared" si="1"/>
        <v>36</v>
      </c>
      <c r="D40">
        <v>1</v>
      </c>
      <c r="I40" s="24">
        <f t="shared" si="9"/>
        <v>60</v>
      </c>
      <c r="N40" s="24">
        <f t="shared" si="10"/>
        <v>7</v>
      </c>
      <c r="P40" s="24">
        <f t="shared" si="5"/>
        <v>3.6225000000000005</v>
      </c>
    </row>
    <row r="41" spans="1:16">
      <c r="A41">
        <f t="shared" si="1"/>
        <v>37</v>
      </c>
      <c r="D41">
        <v>1</v>
      </c>
      <c r="I41" s="24">
        <f t="shared" si="9"/>
        <v>60</v>
      </c>
      <c r="N41" s="24">
        <f t="shared" si="10"/>
        <v>6</v>
      </c>
      <c r="P41" s="24">
        <f t="shared" si="5"/>
        <v>3.1050000000000004</v>
      </c>
    </row>
    <row r="42" spans="1:16">
      <c r="A42">
        <f t="shared" si="1"/>
        <v>38</v>
      </c>
      <c r="D42">
        <v>1</v>
      </c>
      <c r="I42" s="24">
        <f t="shared" si="9"/>
        <v>60</v>
      </c>
      <c r="N42" s="24">
        <f t="shared" si="10"/>
        <v>5</v>
      </c>
      <c r="P42" s="24">
        <f t="shared" si="5"/>
        <v>2.5875000000000004</v>
      </c>
    </row>
    <row r="43" spans="1:16">
      <c r="A43">
        <f t="shared" si="1"/>
        <v>39</v>
      </c>
      <c r="D43">
        <v>1</v>
      </c>
      <c r="I43" s="24">
        <f t="shared" si="9"/>
        <v>60</v>
      </c>
      <c r="N43" s="24">
        <f t="shared" si="10"/>
        <v>4</v>
      </c>
      <c r="P43" s="24">
        <f t="shared" si="5"/>
        <v>2.0700000000000003</v>
      </c>
    </row>
    <row r="44" spans="1:16">
      <c r="A44">
        <f t="shared" si="1"/>
        <v>40</v>
      </c>
      <c r="D44">
        <v>1</v>
      </c>
      <c r="I44" s="24">
        <f t="shared" si="9"/>
        <v>60</v>
      </c>
      <c r="N44" s="24">
        <f t="shared" si="10"/>
        <v>3</v>
      </c>
      <c r="P44" s="24">
        <f t="shared" si="5"/>
        <v>1.5525000000000002</v>
      </c>
    </row>
    <row r="45" spans="1:16">
      <c r="A45">
        <f t="shared" si="1"/>
        <v>41</v>
      </c>
      <c r="D45">
        <v>1</v>
      </c>
      <c r="I45" s="24">
        <f t="shared" si="9"/>
        <v>60</v>
      </c>
      <c r="N45" s="24">
        <f t="shared" si="10"/>
        <v>2</v>
      </c>
      <c r="P45" s="24">
        <f t="shared" si="5"/>
        <v>1.0350000000000001</v>
      </c>
    </row>
    <row r="46" spans="1:16">
      <c r="A46">
        <f t="shared" si="1"/>
        <v>42</v>
      </c>
      <c r="D46">
        <v>1</v>
      </c>
      <c r="I46" s="24">
        <f t="shared" si="9"/>
        <v>60</v>
      </c>
      <c r="N46" s="24">
        <f t="shared" si="10"/>
        <v>1</v>
      </c>
      <c r="P46" s="24">
        <f t="shared" si="5"/>
        <v>0.51750000000000007</v>
      </c>
    </row>
    <row r="47" spans="1:16">
      <c r="A47">
        <f t="shared" si="1"/>
        <v>43</v>
      </c>
      <c r="P47" s="24">
        <f t="shared" si="5"/>
        <v>0</v>
      </c>
    </row>
    <row r="48" spans="1:16">
      <c r="A48">
        <f t="shared" si="1"/>
        <v>44</v>
      </c>
      <c r="P48" s="24">
        <f t="shared" si="5"/>
        <v>0</v>
      </c>
    </row>
    <row r="49" spans="1:16">
      <c r="A49">
        <f t="shared" si="1"/>
        <v>45</v>
      </c>
      <c r="P49" s="24">
        <f t="shared" si="5"/>
        <v>0</v>
      </c>
    </row>
    <row r="50" spans="1:16">
      <c r="A50">
        <f t="shared" si="1"/>
        <v>46</v>
      </c>
      <c r="P50" s="24">
        <f t="shared" si="5"/>
        <v>0</v>
      </c>
    </row>
    <row r="51" spans="1:16">
      <c r="A51">
        <f t="shared" si="1"/>
        <v>47</v>
      </c>
      <c r="P51" s="24">
        <f t="shared" si="5"/>
        <v>0</v>
      </c>
    </row>
    <row r="52" spans="1:16">
      <c r="A52">
        <f t="shared" si="1"/>
        <v>48</v>
      </c>
      <c r="P52" s="24">
        <f t="shared" si="5"/>
        <v>0</v>
      </c>
    </row>
    <row r="53" spans="1:16">
      <c r="A53">
        <f t="shared" si="1"/>
        <v>49</v>
      </c>
      <c r="P53" s="24">
        <f t="shared" si="5"/>
        <v>0</v>
      </c>
    </row>
    <row r="54" spans="1:16">
      <c r="A54">
        <f t="shared" si="1"/>
        <v>50</v>
      </c>
      <c r="P54" s="24">
        <f t="shared" si="5"/>
        <v>0</v>
      </c>
    </row>
    <row r="55" spans="1:16">
      <c r="A55">
        <f t="shared" si="1"/>
        <v>51</v>
      </c>
      <c r="P55" s="24">
        <f t="shared" si="5"/>
        <v>0</v>
      </c>
    </row>
    <row r="56" spans="1:16">
      <c r="A56">
        <f t="shared" si="1"/>
        <v>52</v>
      </c>
      <c r="P56" s="24">
        <f t="shared" si="5"/>
        <v>0</v>
      </c>
    </row>
    <row r="57" spans="1:16">
      <c r="A57">
        <f t="shared" si="1"/>
        <v>53</v>
      </c>
      <c r="P57" s="24">
        <f t="shared" si="5"/>
        <v>0</v>
      </c>
    </row>
    <row r="58" spans="1:16">
      <c r="A58">
        <f t="shared" si="1"/>
        <v>54</v>
      </c>
      <c r="P58" s="24">
        <f t="shared" si="5"/>
        <v>0</v>
      </c>
    </row>
    <row r="59" spans="1:16">
      <c r="A59">
        <f t="shared" si="1"/>
        <v>55</v>
      </c>
      <c r="P59" s="24">
        <f t="shared" si="5"/>
        <v>0</v>
      </c>
    </row>
    <row r="60" spans="1:16">
      <c r="A60">
        <f t="shared" si="1"/>
        <v>56</v>
      </c>
      <c r="P60" s="24">
        <f t="shared" si="5"/>
        <v>0</v>
      </c>
    </row>
    <row r="61" spans="1:16">
      <c r="A61">
        <f t="shared" si="1"/>
        <v>57</v>
      </c>
      <c r="P61" s="24">
        <f t="shared" si="5"/>
        <v>0</v>
      </c>
    </row>
    <row r="62" spans="1:16">
      <c r="A62">
        <f t="shared" si="1"/>
        <v>58</v>
      </c>
      <c r="P62" s="24">
        <f t="shared" si="5"/>
        <v>0</v>
      </c>
    </row>
    <row r="63" spans="1:16">
      <c r="A63">
        <f t="shared" si="1"/>
        <v>59</v>
      </c>
      <c r="P63" s="24">
        <f t="shared" si="5"/>
        <v>0</v>
      </c>
    </row>
    <row r="64" spans="1:16">
      <c r="A64">
        <f t="shared" si="1"/>
        <v>60</v>
      </c>
      <c r="P64" s="24">
        <f t="shared" si="5"/>
        <v>0</v>
      </c>
    </row>
    <row r="65" spans="1:16">
      <c r="A65">
        <f t="shared" si="1"/>
        <v>61</v>
      </c>
      <c r="P65" s="24">
        <f t="shared" si="5"/>
        <v>0</v>
      </c>
    </row>
    <row r="66" spans="1:16">
      <c r="A66">
        <f t="shared" si="1"/>
        <v>62</v>
      </c>
      <c r="P66" s="24">
        <f t="shared" si="5"/>
        <v>0</v>
      </c>
    </row>
    <row r="67" spans="1:16">
      <c r="A67">
        <f t="shared" si="1"/>
        <v>63</v>
      </c>
      <c r="P67" s="24">
        <f t="shared" si="5"/>
        <v>0</v>
      </c>
    </row>
    <row r="68" spans="1:16">
      <c r="A68">
        <f t="shared" si="1"/>
        <v>64</v>
      </c>
      <c r="P68" s="24">
        <f t="shared" si="5"/>
        <v>0</v>
      </c>
    </row>
    <row r="69" spans="1:16">
      <c r="A69">
        <f t="shared" si="1"/>
        <v>65</v>
      </c>
      <c r="P69" s="24">
        <f t="shared" si="5"/>
        <v>0</v>
      </c>
    </row>
    <row r="70" spans="1:16">
      <c r="A70">
        <f t="shared" ref="A70:A77" si="11">ROW()-4</f>
        <v>66</v>
      </c>
      <c r="P70" s="24">
        <f t="shared" si="5"/>
        <v>0</v>
      </c>
    </row>
    <row r="71" spans="1:16">
      <c r="A71">
        <f t="shared" si="11"/>
        <v>67</v>
      </c>
      <c r="P71" s="24">
        <f t="shared" si="5"/>
        <v>0</v>
      </c>
    </row>
    <row r="72" spans="1:16">
      <c r="A72">
        <f t="shared" si="11"/>
        <v>68</v>
      </c>
      <c r="P72" s="24">
        <f t="shared" si="5"/>
        <v>0</v>
      </c>
    </row>
    <row r="73" spans="1:16">
      <c r="A73">
        <f t="shared" si="11"/>
        <v>69</v>
      </c>
      <c r="P73" s="24">
        <f t="shared" si="5"/>
        <v>0</v>
      </c>
    </row>
    <row r="74" spans="1:16">
      <c r="A74">
        <f t="shared" si="11"/>
        <v>70</v>
      </c>
      <c r="P74" s="24">
        <f t="shared" si="5"/>
        <v>0</v>
      </c>
    </row>
    <row r="75" spans="1:16">
      <c r="A75">
        <f t="shared" si="11"/>
        <v>71</v>
      </c>
      <c r="P75" s="24">
        <f t="shared" si="5"/>
        <v>0</v>
      </c>
    </row>
    <row r="76" spans="1:16">
      <c r="A76">
        <f t="shared" si="11"/>
        <v>72</v>
      </c>
      <c r="P76" s="24">
        <f t="shared" si="5"/>
        <v>0</v>
      </c>
    </row>
    <row r="77" spans="1:16">
      <c r="A77">
        <f t="shared" si="11"/>
        <v>73</v>
      </c>
      <c r="P77" s="24">
        <f t="shared" si="5"/>
        <v>0</v>
      </c>
    </row>
    <row r="78" spans="1:16">
      <c r="P78" s="24">
        <f t="shared" si="5"/>
        <v>0</v>
      </c>
    </row>
    <row r="79" spans="1:16">
      <c r="P79" s="24">
        <f t="shared" si="5"/>
        <v>0</v>
      </c>
    </row>
    <row r="80" spans="1:16">
      <c r="P80" s="24">
        <f t="shared" si="5"/>
        <v>0</v>
      </c>
    </row>
    <row r="81" spans="1:16">
      <c r="P81" s="24">
        <f t="shared" si="5"/>
        <v>0</v>
      </c>
    </row>
    <row r="82" spans="1:16">
      <c r="P82" s="24">
        <f t="shared" si="5"/>
        <v>0</v>
      </c>
    </row>
    <row r="83" spans="1:16">
      <c r="P83" s="24">
        <f t="shared" si="5"/>
        <v>0</v>
      </c>
    </row>
    <row r="84" spans="1:16">
      <c r="P84" s="24">
        <f t="shared" si="5"/>
        <v>0</v>
      </c>
    </row>
    <row r="85" spans="1:16">
      <c r="P85" s="24">
        <f t="shared" ref="P85:P87" si="12">(F85*K85+G85*L85+H85*M85+I85*N85+J85*O85)*$S$1</f>
        <v>0</v>
      </c>
    </row>
    <row r="86" spans="1:16">
      <c r="P86" s="24">
        <f t="shared" si="12"/>
        <v>0</v>
      </c>
    </row>
    <row r="87" spans="1:16">
      <c r="P87" s="24">
        <f t="shared" si="12"/>
        <v>0</v>
      </c>
    </row>
    <row r="88" spans="1:16">
      <c r="A88" s="28">
        <f>COUNT(A5:A87)</f>
        <v>73</v>
      </c>
      <c r="B88" s="28">
        <f>SUM(B13:B87)</f>
        <v>19.8</v>
      </c>
      <c r="C88" s="28">
        <f>SUM(C5:C87)</f>
        <v>27</v>
      </c>
      <c r="E88" s="29"/>
      <c r="F88" s="29">
        <f>SUM(F5:F87)</f>
        <v>1881.2941538882801</v>
      </c>
      <c r="G88" s="29">
        <f t="shared" ref="G88:I88" si="13">SUM(G5:G87)</f>
        <v>0</v>
      </c>
      <c r="H88" s="29">
        <f>SUM(H5:H87)</f>
        <v>11200</v>
      </c>
      <c r="I88" s="29">
        <f t="shared" si="13"/>
        <v>900</v>
      </c>
      <c r="J88" s="29"/>
      <c r="K88" s="29"/>
      <c r="L88" s="29"/>
      <c r="M88" s="29"/>
      <c r="N88" s="29"/>
      <c r="O88" s="29"/>
      <c r="P88" s="29">
        <f>SUM(P5:P87)</f>
        <v>553.59156727050254</v>
      </c>
    </row>
    <row r="89" spans="1:16">
      <c r="F89" s="25">
        <f>SUM(F88:I88)</f>
        <v>13981.294153888281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VIPcric_3!D47</f>
        <v>8030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VIPcric_3!E47</f>
        <v>41.5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193.49397590361446</v>
      </c>
      <c r="F23" s="24">
        <f>$E23*30%</f>
        <v>58.048192771084331</v>
      </c>
      <c r="G23" s="24">
        <f t="shared" ref="G23:H30" si="2">$E23*30%</f>
        <v>58.048192771084331</v>
      </c>
      <c r="H23" s="24">
        <f t="shared" si="2"/>
        <v>58.048192771084331</v>
      </c>
      <c r="I23" s="24">
        <f>$E23*10%</f>
        <v>19.349397590361448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11.348421686746988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193.49397590361446</v>
      </c>
      <c r="G24" s="24">
        <f t="shared" si="2"/>
        <v>58.048192771084331</v>
      </c>
      <c r="H24" s="24">
        <f t="shared" si="2"/>
        <v>58.048192771084331</v>
      </c>
      <c r="I24" s="24">
        <f t="shared" ref="I24:I42" si="4">$E24*10%</f>
        <v>19.349397590361448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9.6795361445783126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193.49397590361446</v>
      </c>
      <c r="G25" s="24">
        <f t="shared" si="2"/>
        <v>58.048192771084331</v>
      </c>
      <c r="H25" s="24">
        <f t="shared" si="2"/>
        <v>58.048192771084331</v>
      </c>
      <c r="I25" s="24">
        <f t="shared" si="4"/>
        <v>19.349397590361448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8.5113162650602412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193.49397590361446</v>
      </c>
      <c r="G26" s="24">
        <f t="shared" si="2"/>
        <v>58.048192771084331</v>
      </c>
      <c r="H26" s="24">
        <f t="shared" si="2"/>
        <v>58.048192771084331</v>
      </c>
      <c r="I26" s="24">
        <f t="shared" si="4"/>
        <v>19.349397590361448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7.3430963855421689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193.49397590361446</v>
      </c>
      <c r="G27" s="24">
        <f t="shared" si="2"/>
        <v>58.048192771084331</v>
      </c>
      <c r="H27" s="24">
        <f t="shared" si="2"/>
        <v>58.048192771084331</v>
      </c>
      <c r="I27" s="24">
        <f t="shared" si="4"/>
        <v>19.349397590361448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6.1748765060240967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193.49397590361446</v>
      </c>
      <c r="G28" s="24">
        <f t="shared" si="2"/>
        <v>58.048192771084331</v>
      </c>
      <c r="H28" s="24">
        <f t="shared" si="2"/>
        <v>58.048192771084331</v>
      </c>
      <c r="I28" s="24">
        <f t="shared" si="4"/>
        <v>19.349397590361448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5.0066566265060244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193.49397590361446</v>
      </c>
      <c r="G29" s="24">
        <f t="shared" si="2"/>
        <v>58.048192771084331</v>
      </c>
      <c r="H29" s="24">
        <f t="shared" si="2"/>
        <v>58.048192771084331</v>
      </c>
      <c r="I29" s="24">
        <f t="shared" si="4"/>
        <v>19.349397590361448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3.8384367469879521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193.49397590361446</v>
      </c>
      <c r="H30" s="24">
        <f t="shared" si="2"/>
        <v>58.048192771084331</v>
      </c>
      <c r="I30" s="24">
        <f t="shared" si="4"/>
        <v>19.349397590361448</v>
      </c>
      <c r="L30" s="24">
        <f t="shared" si="5"/>
        <v>1</v>
      </c>
      <c r="M30" s="24">
        <f t="shared" si="5"/>
        <v>13</v>
      </c>
      <c r="N30" s="24">
        <f t="shared" si="3"/>
        <v>2.6702168674698803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193.49397590361446</v>
      </c>
      <c r="I31" s="24">
        <f t="shared" si="4"/>
        <v>19.349397590361448</v>
      </c>
      <c r="M31" s="24">
        <f t="shared" si="5"/>
        <v>12</v>
      </c>
      <c r="N31" s="24">
        <f t="shared" si="3"/>
        <v>2.0026626506024101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193.49397590361446</v>
      </c>
      <c r="I32" s="24">
        <f t="shared" si="4"/>
        <v>19.349397590361448</v>
      </c>
      <c r="M32" s="24">
        <f t="shared" si="5"/>
        <v>11</v>
      </c>
      <c r="N32" s="24">
        <f t="shared" si="3"/>
        <v>1.8357740963855427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193.49397590361446</v>
      </c>
      <c r="I33" s="24">
        <f t="shared" si="4"/>
        <v>19.349397590361448</v>
      </c>
      <c r="M33" s="24">
        <f t="shared" si="5"/>
        <v>10</v>
      </c>
      <c r="N33" s="24">
        <f t="shared" si="3"/>
        <v>1.668885542168675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193.49397590361446</v>
      </c>
      <c r="I34" s="24">
        <f t="shared" si="4"/>
        <v>19.349397590361448</v>
      </c>
      <c r="M34" s="24">
        <f t="shared" si="5"/>
        <v>9</v>
      </c>
      <c r="N34" s="24">
        <f t="shared" si="3"/>
        <v>1.5019969879518074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193.49397590361446</v>
      </c>
      <c r="I35" s="24">
        <f t="shared" si="4"/>
        <v>19.349397590361448</v>
      </c>
      <c r="M35" s="24">
        <f t="shared" si="5"/>
        <v>8</v>
      </c>
      <c r="N35" s="24">
        <f t="shared" si="3"/>
        <v>1.3351084337349401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193.49397590361446</v>
      </c>
      <c r="I36" s="24">
        <f t="shared" si="4"/>
        <v>19.349397590361448</v>
      </c>
      <c r="M36" s="24">
        <f t="shared" si="5"/>
        <v>7</v>
      </c>
      <c r="N36" s="24">
        <f t="shared" si="3"/>
        <v>1.1682198795180727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193.49397590361446</v>
      </c>
      <c r="I37" s="24">
        <f t="shared" si="4"/>
        <v>19.349397590361448</v>
      </c>
      <c r="M37" s="24">
        <f t="shared" si="5"/>
        <v>6</v>
      </c>
      <c r="N37" s="24">
        <f t="shared" si="3"/>
        <v>1.0013313253012051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193.49397590361446</v>
      </c>
      <c r="I38" s="24">
        <f t="shared" si="4"/>
        <v>19.349397590361448</v>
      </c>
      <c r="M38" s="24">
        <f t="shared" si="5"/>
        <v>5</v>
      </c>
      <c r="N38" s="24">
        <f t="shared" si="3"/>
        <v>0.83444277108433751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193.49397590361446</v>
      </c>
      <c r="I39" s="24">
        <f t="shared" si="4"/>
        <v>19.349397590361448</v>
      </c>
      <c r="M39" s="24">
        <f t="shared" si="5"/>
        <v>4</v>
      </c>
      <c r="N39" s="24">
        <f t="shared" si="3"/>
        <v>0.66755421686747007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193.49397590361446</v>
      </c>
      <c r="I40" s="24">
        <f t="shared" si="4"/>
        <v>19.349397590361448</v>
      </c>
      <c r="M40" s="24">
        <f t="shared" si="5"/>
        <v>3</v>
      </c>
      <c r="N40" s="24">
        <f t="shared" si="3"/>
        <v>0.50066566265060253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193.49397590361446</v>
      </c>
      <c r="I41" s="24">
        <f t="shared" si="4"/>
        <v>19.349397590361448</v>
      </c>
      <c r="M41" s="24">
        <f t="shared" ref="M41:M42" si="6">M40-1</f>
        <v>2</v>
      </c>
      <c r="N41" s="24">
        <f t="shared" si="3"/>
        <v>0.33377710843373504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193.49397590361446</v>
      </c>
      <c r="I42" s="24">
        <f t="shared" si="4"/>
        <v>19.349397590361448</v>
      </c>
      <c r="M42" s="24">
        <f t="shared" si="6"/>
        <v>1</v>
      </c>
      <c r="N42" s="24">
        <f t="shared" si="3"/>
        <v>0.16688855421686752</v>
      </c>
    </row>
    <row r="43" spans="1:14">
      <c r="A43">
        <f t="shared" si="0"/>
        <v>39</v>
      </c>
      <c r="B43">
        <v>1</v>
      </c>
      <c r="E43" s="23">
        <f t="shared" si="1"/>
        <v>193.49397590361446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193.49397590361446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193.49397590361446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193.49397590361446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193.49397590361446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193.49397590361446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193.49397590361446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193.49397590361446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193.49397590361446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193.49397590361446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193.49397590361446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193.49397590361446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193.49397590361446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193.49397590361446</v>
      </c>
    </row>
    <row r="57" spans="1:14">
      <c r="A57">
        <f t="shared" si="0"/>
        <v>53</v>
      </c>
      <c r="B57">
        <v>1</v>
      </c>
      <c r="E57" s="23">
        <f t="shared" si="1"/>
        <v>193.49397590361446</v>
      </c>
    </row>
    <row r="58" spans="1:14">
      <c r="A58">
        <f t="shared" si="0"/>
        <v>54</v>
      </c>
      <c r="B58">
        <v>1</v>
      </c>
      <c r="E58" s="23">
        <f t="shared" si="1"/>
        <v>193.49397590361446</v>
      </c>
    </row>
    <row r="59" spans="1:14">
      <c r="A59">
        <f t="shared" si="0"/>
        <v>55</v>
      </c>
      <c r="B59">
        <v>1</v>
      </c>
      <c r="E59" s="23">
        <f t="shared" si="1"/>
        <v>193.49397590361446</v>
      </c>
    </row>
    <row r="60" spans="1:14">
      <c r="A60">
        <f t="shared" si="0"/>
        <v>56</v>
      </c>
      <c r="B60">
        <v>1</v>
      </c>
      <c r="E60" s="23">
        <f t="shared" si="1"/>
        <v>193.49397590361446</v>
      </c>
    </row>
    <row r="61" spans="1:14">
      <c r="A61">
        <f t="shared" si="0"/>
        <v>57</v>
      </c>
      <c r="B61">
        <v>1</v>
      </c>
      <c r="E61" s="23">
        <f t="shared" si="1"/>
        <v>193.49397590361446</v>
      </c>
    </row>
    <row r="62" spans="1:14">
      <c r="A62">
        <f t="shared" si="0"/>
        <v>58</v>
      </c>
      <c r="B62">
        <v>1</v>
      </c>
      <c r="E62" s="23">
        <f t="shared" si="1"/>
        <v>193.49397590361446</v>
      </c>
    </row>
    <row r="63" spans="1:14">
      <c r="A63">
        <f t="shared" si="0"/>
        <v>59</v>
      </c>
      <c r="B63">
        <v>1</v>
      </c>
      <c r="E63" s="23">
        <f t="shared" si="1"/>
        <v>193.49397590361446</v>
      </c>
    </row>
    <row r="64" spans="1:14">
      <c r="A64">
        <f t="shared" si="0"/>
        <v>60</v>
      </c>
      <c r="B64">
        <v>1</v>
      </c>
      <c r="E64" s="23">
        <f t="shared" si="1"/>
        <v>193.49397590361446</v>
      </c>
    </row>
    <row r="65" spans="1:5">
      <c r="A65">
        <f t="shared" si="0"/>
        <v>61</v>
      </c>
      <c r="B65">
        <v>1</v>
      </c>
      <c r="E65" s="23">
        <f t="shared" si="1"/>
        <v>193.49397590361446</v>
      </c>
    </row>
    <row r="66" spans="1:5">
      <c r="A66">
        <f t="shared" si="0"/>
        <v>62</v>
      </c>
      <c r="B66">
        <v>1</v>
      </c>
      <c r="E66" s="23">
        <f t="shared" si="1"/>
        <v>193.49397590361446</v>
      </c>
    </row>
    <row r="67" spans="1:5">
      <c r="A67">
        <f t="shared" si="0"/>
        <v>63</v>
      </c>
      <c r="B67">
        <v>1</v>
      </c>
      <c r="E67" s="23">
        <f t="shared" si="1"/>
        <v>193.49397590361446</v>
      </c>
    </row>
    <row r="68" spans="1:5">
      <c r="A68">
        <f t="shared" si="0"/>
        <v>64</v>
      </c>
      <c r="B68">
        <v>1</v>
      </c>
      <c r="E68" s="23">
        <f t="shared" si="1"/>
        <v>193.49397590361446</v>
      </c>
    </row>
    <row r="69" spans="1:5">
      <c r="A69">
        <f t="shared" si="0"/>
        <v>65</v>
      </c>
      <c r="B69">
        <v>1</v>
      </c>
      <c r="E69" s="23">
        <f t="shared" si="1"/>
        <v>193.49397590361446</v>
      </c>
    </row>
    <row r="70" spans="1:5">
      <c r="A70">
        <f t="shared" ref="A70:A81" si="7">ROW()-4</f>
        <v>66</v>
      </c>
      <c r="B70">
        <v>1</v>
      </c>
      <c r="E70" s="23">
        <f t="shared" si="1"/>
        <v>193.49397590361446</v>
      </c>
    </row>
    <row r="71" spans="1:5">
      <c r="A71">
        <f t="shared" si="7"/>
        <v>67</v>
      </c>
      <c r="B71">
        <v>1</v>
      </c>
      <c r="E71" s="23">
        <f t="shared" si="1"/>
        <v>193.49397590361446</v>
      </c>
    </row>
    <row r="72" spans="1:5">
      <c r="A72">
        <f t="shared" si="7"/>
        <v>68</v>
      </c>
      <c r="B72">
        <v>1</v>
      </c>
      <c r="E72" s="23">
        <f t="shared" si="1"/>
        <v>193.49397590361446</v>
      </c>
    </row>
    <row r="73" spans="1:5">
      <c r="A73">
        <f t="shared" si="7"/>
        <v>69</v>
      </c>
      <c r="B73">
        <v>1</v>
      </c>
      <c r="E73" s="23">
        <f t="shared" si="1"/>
        <v>193.49397590361446</v>
      </c>
    </row>
    <row r="74" spans="1:5">
      <c r="A74">
        <f t="shared" si="7"/>
        <v>70</v>
      </c>
      <c r="B74">
        <v>1</v>
      </c>
      <c r="E74" s="23">
        <f t="shared" si="1"/>
        <v>193.49397590361446</v>
      </c>
    </row>
    <row r="75" spans="1:5">
      <c r="A75">
        <f t="shared" si="7"/>
        <v>71</v>
      </c>
      <c r="B75">
        <v>1</v>
      </c>
      <c r="E75" s="23">
        <f t="shared" si="1"/>
        <v>193.49397590361446</v>
      </c>
    </row>
    <row r="76" spans="1:5">
      <c r="A76">
        <f t="shared" si="7"/>
        <v>72</v>
      </c>
      <c r="B76">
        <v>1</v>
      </c>
      <c r="E76" s="23">
        <f t="shared" si="1"/>
        <v>193.49397590361446</v>
      </c>
    </row>
    <row r="77" spans="1:5">
      <c r="A77">
        <f t="shared" si="7"/>
        <v>73</v>
      </c>
      <c r="B77">
        <v>1</v>
      </c>
      <c r="E77" s="23">
        <f t="shared" si="1"/>
        <v>193.49397590361446</v>
      </c>
    </row>
    <row r="78" spans="1:5">
      <c r="A78">
        <f t="shared" si="7"/>
        <v>74</v>
      </c>
      <c r="B78">
        <v>1</v>
      </c>
      <c r="E78" s="23">
        <f t="shared" si="1"/>
        <v>193.49397590361446</v>
      </c>
    </row>
    <row r="79" spans="1:5">
      <c r="A79">
        <f t="shared" si="7"/>
        <v>75</v>
      </c>
      <c r="B79">
        <v>1</v>
      </c>
      <c r="E79" s="23">
        <f t="shared" si="1"/>
        <v>193.49397590361446</v>
      </c>
    </row>
    <row r="80" spans="1:5">
      <c r="A80">
        <f t="shared" si="7"/>
        <v>76</v>
      </c>
      <c r="B80">
        <v>1</v>
      </c>
      <c r="E80" s="23">
        <f t="shared" si="1"/>
        <v>193.49397590361446</v>
      </c>
    </row>
    <row r="81" spans="1:14">
      <c r="A81">
        <f t="shared" si="7"/>
        <v>77</v>
      </c>
      <c r="B81">
        <v>1</v>
      </c>
      <c r="E81" s="23">
        <f t="shared" si="1"/>
        <v>193.49397590361446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58.048192771084331</v>
      </c>
      <c r="G88" s="29">
        <f t="shared" ref="G88:I88" si="8">SUM(G5:G87)</f>
        <v>406.3373493975904</v>
      </c>
      <c r="H88" s="29">
        <f t="shared" si="8"/>
        <v>464.38554216867476</v>
      </c>
      <c r="I88" s="29">
        <f t="shared" si="8"/>
        <v>386.9879518072288</v>
      </c>
      <c r="J88" s="29"/>
      <c r="K88" s="29"/>
      <c r="L88" s="29"/>
      <c r="M88" s="29"/>
      <c r="N88" s="29">
        <f>SUM(N5:N87)</f>
        <v>67.589864457831339</v>
      </c>
    </row>
    <row r="89" spans="1:14">
      <c r="F89" s="25">
        <f>SUM(F88:I88)</f>
        <v>1315.7590361445782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868</v>
      </c>
      <c r="K2" s="24" t="s">
        <v>751</v>
      </c>
      <c r="P2" s="26" t="s">
        <v>754</v>
      </c>
      <c r="Q2" s="27">
        <f>VIPcric_3!D47</f>
        <v>8030</v>
      </c>
      <c r="R2" s="27" t="s">
        <v>755</v>
      </c>
    </row>
    <row r="3" spans="1:20">
      <c r="H3" s="24" t="s">
        <v>869</v>
      </c>
      <c r="L3" s="24" t="s">
        <v>752</v>
      </c>
      <c r="P3" s="26" t="s">
        <v>738</v>
      </c>
      <c r="Q3" s="27">
        <f>VIPcric_3!E47</f>
        <v>41.5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Q10" s="27">
        <v>3500</v>
      </c>
      <c r="R10" s="27" t="s">
        <v>755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B17">
        <v>1</v>
      </c>
      <c r="C17">
        <v>1</v>
      </c>
      <c r="E17" s="23">
        <f t="shared" ref="E17:E22" si="1">1/$Q$3*$Q$2</f>
        <v>193.49397590361446</v>
      </c>
    </row>
    <row r="18" spans="1:14">
      <c r="A18">
        <f t="shared" si="0"/>
        <v>14</v>
      </c>
      <c r="B18">
        <v>1</v>
      </c>
      <c r="C18">
        <v>1</v>
      </c>
      <c r="E18" s="23">
        <f t="shared" si="1"/>
        <v>193.49397590361446</v>
      </c>
    </row>
    <row r="19" spans="1:14">
      <c r="A19">
        <f t="shared" si="0"/>
        <v>15</v>
      </c>
      <c r="B19">
        <v>1</v>
      </c>
      <c r="C19">
        <v>1</v>
      </c>
      <c r="E19" s="23">
        <f t="shared" si="1"/>
        <v>193.49397590361446</v>
      </c>
    </row>
    <row r="20" spans="1:14">
      <c r="A20">
        <f t="shared" si="0"/>
        <v>16</v>
      </c>
      <c r="B20">
        <v>1</v>
      </c>
      <c r="C20">
        <v>1</v>
      </c>
      <c r="E20" s="23">
        <f t="shared" si="1"/>
        <v>193.49397590361446</v>
      </c>
    </row>
    <row r="21" spans="1:14">
      <c r="A21">
        <f t="shared" si="0"/>
        <v>17</v>
      </c>
      <c r="B21">
        <v>1</v>
      </c>
      <c r="C21">
        <v>1</v>
      </c>
      <c r="E21" s="23">
        <f t="shared" si="1"/>
        <v>193.49397590361446</v>
      </c>
    </row>
    <row r="22" spans="1:14">
      <c r="A22">
        <f t="shared" si="0"/>
        <v>18</v>
      </c>
      <c r="B22">
        <v>1</v>
      </c>
      <c r="C22">
        <v>1</v>
      </c>
      <c r="E22" s="23">
        <f t="shared" si="1"/>
        <v>193.49397590361446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43" si="2">1/$Q$3*$Q$2</f>
        <v>193.49397590361446</v>
      </c>
      <c r="N23" s="24">
        <f t="shared" ref="N23:N55" si="3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193.49397590361446</v>
      </c>
      <c r="N24" s="24">
        <f t="shared" si="3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193.49397590361446</v>
      </c>
      <c r="N25" s="24">
        <f t="shared" si="3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193.49397590361446</v>
      </c>
      <c r="N26" s="24">
        <f t="shared" si="3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193.49397590361446</v>
      </c>
      <c r="N27" s="24">
        <f t="shared" si="3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193.49397590361446</v>
      </c>
      <c r="N28" s="24">
        <f t="shared" si="3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193.49397590361446</v>
      </c>
      <c r="N29" s="24">
        <f t="shared" si="3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193.49397590361446</v>
      </c>
      <c r="N30" s="24">
        <f t="shared" si="3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2"/>
        <v>193.49397590361446</v>
      </c>
      <c r="N31" s="24">
        <f t="shared" si="3"/>
        <v>0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193.49397590361446</v>
      </c>
      <c r="N32" s="24">
        <f t="shared" si="3"/>
        <v>0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193.49397590361446</v>
      </c>
      <c r="N33" s="24">
        <f t="shared" si="3"/>
        <v>0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193.49397590361446</v>
      </c>
      <c r="N34" s="24">
        <f t="shared" si="3"/>
        <v>0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193.49397590361446</v>
      </c>
      <c r="F35" s="24">
        <f>$E35*30%</f>
        <v>58.048192771084331</v>
      </c>
      <c r="G35" s="24">
        <f t="shared" ref="G35:G41" si="4">$E35*30%</f>
        <v>58.048192771084331</v>
      </c>
      <c r="H35" s="24">
        <f>$E35*25%</f>
        <v>48.373493975903614</v>
      </c>
      <c r="I35" s="24">
        <f t="shared" ref="I35:I42" si="5">$E35*10%</f>
        <v>19.349397590361448</v>
      </c>
      <c r="J35" s="24">
        <v>19</v>
      </c>
      <c r="K35" s="24">
        <v>7</v>
      </c>
      <c r="L35" s="24">
        <v>8</v>
      </c>
      <c r="M35" s="24">
        <v>8</v>
      </c>
      <c r="N35" s="24">
        <f t="shared" si="3"/>
        <v>17.690186746987955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193.49397590361446</v>
      </c>
      <c r="G36" s="24">
        <f t="shared" si="4"/>
        <v>58.048192771084331</v>
      </c>
      <c r="H36" s="24">
        <f t="shared" ref="H36:H42" si="6">$E36*25%</f>
        <v>48.373493975903614</v>
      </c>
      <c r="I36" s="24">
        <f t="shared" si="5"/>
        <v>19.349397590361448</v>
      </c>
      <c r="K36" s="24">
        <f>K35-1</f>
        <v>6</v>
      </c>
      <c r="L36" s="24">
        <f>L35-1</f>
        <v>7</v>
      </c>
      <c r="M36" s="24">
        <f>M35-1</f>
        <v>7</v>
      </c>
      <c r="N36" s="24">
        <f t="shared" si="3"/>
        <v>7.0927635542168677</v>
      </c>
    </row>
    <row r="37" spans="1:14">
      <c r="A37">
        <f t="shared" si="0"/>
        <v>33</v>
      </c>
      <c r="B37">
        <v>1</v>
      </c>
      <c r="D37">
        <v>1</v>
      </c>
      <c r="E37" s="23">
        <f t="shared" si="2"/>
        <v>193.49397590361446</v>
      </c>
      <c r="G37" s="24">
        <f t="shared" si="4"/>
        <v>58.048192771084331</v>
      </c>
      <c r="H37" s="24">
        <f t="shared" si="6"/>
        <v>48.373493975903614</v>
      </c>
      <c r="I37" s="24">
        <f t="shared" si="5"/>
        <v>19.349397590361448</v>
      </c>
      <c r="K37" s="24">
        <f t="shared" ref="K37:K41" si="7">K36-1</f>
        <v>5</v>
      </c>
      <c r="L37" s="24">
        <f t="shared" ref="L37:M42" si="8">L36-1</f>
        <v>6</v>
      </c>
      <c r="M37" s="24">
        <f t="shared" si="8"/>
        <v>6</v>
      </c>
      <c r="N37" s="24">
        <f t="shared" si="3"/>
        <v>6.0079879518072294</v>
      </c>
    </row>
    <row r="38" spans="1:14">
      <c r="A38">
        <f t="shared" si="0"/>
        <v>34</v>
      </c>
      <c r="B38">
        <v>1</v>
      </c>
      <c r="D38">
        <v>1</v>
      </c>
      <c r="E38" s="23">
        <f t="shared" si="2"/>
        <v>193.49397590361446</v>
      </c>
      <c r="G38" s="24">
        <f t="shared" si="4"/>
        <v>58.048192771084331</v>
      </c>
      <c r="H38" s="24">
        <f t="shared" si="6"/>
        <v>48.373493975903614</v>
      </c>
      <c r="I38" s="24">
        <f t="shared" si="5"/>
        <v>19.349397590361448</v>
      </c>
      <c r="K38" s="24">
        <f t="shared" si="7"/>
        <v>4</v>
      </c>
      <c r="L38" s="24">
        <f t="shared" si="8"/>
        <v>5</v>
      </c>
      <c r="M38" s="24">
        <f t="shared" si="8"/>
        <v>5</v>
      </c>
      <c r="N38" s="24">
        <f t="shared" si="3"/>
        <v>4.9232123493975912</v>
      </c>
    </row>
    <row r="39" spans="1:14">
      <c r="A39">
        <f t="shared" si="0"/>
        <v>35</v>
      </c>
      <c r="B39">
        <v>1</v>
      </c>
      <c r="D39">
        <v>1</v>
      </c>
      <c r="E39" s="23">
        <f t="shared" si="2"/>
        <v>193.49397590361446</v>
      </c>
      <c r="G39" s="24">
        <f t="shared" si="4"/>
        <v>58.048192771084331</v>
      </c>
      <c r="H39" s="24">
        <f t="shared" si="6"/>
        <v>48.373493975903614</v>
      </c>
      <c r="I39" s="24">
        <f t="shared" si="5"/>
        <v>19.349397590361448</v>
      </c>
      <c r="K39" s="24">
        <f t="shared" si="7"/>
        <v>3</v>
      </c>
      <c r="L39" s="24">
        <f t="shared" si="8"/>
        <v>4</v>
      </c>
      <c r="M39" s="24">
        <f t="shared" si="8"/>
        <v>4</v>
      </c>
      <c r="N39" s="24">
        <f t="shared" si="3"/>
        <v>3.8384367469879517</v>
      </c>
    </row>
    <row r="40" spans="1:14">
      <c r="A40">
        <f t="shared" si="0"/>
        <v>36</v>
      </c>
      <c r="B40">
        <v>1</v>
      </c>
      <c r="D40">
        <v>1</v>
      </c>
      <c r="E40" s="23">
        <f t="shared" si="2"/>
        <v>193.49397590361446</v>
      </c>
      <c r="G40" s="24">
        <f t="shared" si="4"/>
        <v>58.048192771084331</v>
      </c>
      <c r="H40" s="24">
        <f t="shared" si="6"/>
        <v>48.373493975903614</v>
      </c>
      <c r="I40" s="24">
        <f t="shared" si="5"/>
        <v>19.349397590361448</v>
      </c>
      <c r="K40" s="24">
        <f t="shared" si="7"/>
        <v>2</v>
      </c>
      <c r="L40" s="24">
        <f t="shared" si="8"/>
        <v>3</v>
      </c>
      <c r="M40" s="24">
        <f t="shared" si="8"/>
        <v>3</v>
      </c>
      <c r="N40" s="24">
        <f t="shared" si="3"/>
        <v>2.7536611445783135</v>
      </c>
    </row>
    <row r="41" spans="1:14">
      <c r="A41">
        <f t="shared" si="0"/>
        <v>37</v>
      </c>
      <c r="B41">
        <v>1</v>
      </c>
      <c r="D41">
        <v>1</v>
      </c>
      <c r="E41" s="23">
        <f t="shared" si="2"/>
        <v>193.49397590361446</v>
      </c>
      <c r="G41" s="24">
        <f t="shared" si="4"/>
        <v>58.048192771084331</v>
      </c>
      <c r="H41" s="24">
        <f t="shared" si="6"/>
        <v>48.373493975903614</v>
      </c>
      <c r="I41" s="24">
        <f t="shared" si="5"/>
        <v>19.349397590361448</v>
      </c>
      <c r="K41" s="24">
        <f t="shared" si="7"/>
        <v>1</v>
      </c>
      <c r="L41" s="24">
        <f t="shared" si="8"/>
        <v>2</v>
      </c>
      <c r="M41" s="24">
        <f t="shared" si="8"/>
        <v>2</v>
      </c>
      <c r="N41" s="24">
        <f t="shared" si="3"/>
        <v>1.6688855421686748</v>
      </c>
    </row>
    <row r="42" spans="1:14">
      <c r="A42">
        <f t="shared" si="0"/>
        <v>38</v>
      </c>
      <c r="B42">
        <v>1</v>
      </c>
      <c r="D42">
        <v>1</v>
      </c>
      <c r="E42" s="23">
        <f t="shared" si="2"/>
        <v>193.49397590361446</v>
      </c>
      <c r="H42" s="24">
        <f t="shared" si="6"/>
        <v>48.373493975903614</v>
      </c>
      <c r="I42" s="24">
        <f t="shared" si="5"/>
        <v>19.349397590361448</v>
      </c>
      <c r="L42" s="24">
        <f t="shared" si="8"/>
        <v>1</v>
      </c>
      <c r="M42" s="24">
        <f t="shared" si="8"/>
        <v>1</v>
      </c>
      <c r="N42" s="24">
        <f t="shared" si="3"/>
        <v>0.58410993975903625</v>
      </c>
    </row>
    <row r="43" spans="1:14">
      <c r="A43">
        <f t="shared" si="0"/>
        <v>39</v>
      </c>
      <c r="E43" s="23">
        <f t="shared" si="2"/>
        <v>193.49397590361446</v>
      </c>
      <c r="N43" s="24">
        <f t="shared" si="3"/>
        <v>0</v>
      </c>
    </row>
    <row r="44" spans="1:14">
      <c r="A44">
        <f t="shared" si="0"/>
        <v>40</v>
      </c>
      <c r="N44" s="24">
        <f t="shared" si="3"/>
        <v>0</v>
      </c>
    </row>
    <row r="45" spans="1:14">
      <c r="A45">
        <f t="shared" si="0"/>
        <v>41</v>
      </c>
      <c r="N45" s="24">
        <f t="shared" si="3"/>
        <v>0</v>
      </c>
    </row>
    <row r="46" spans="1:14">
      <c r="A46">
        <f t="shared" si="0"/>
        <v>42</v>
      </c>
      <c r="N46" s="24">
        <f t="shared" si="3"/>
        <v>0</v>
      </c>
    </row>
    <row r="47" spans="1:14">
      <c r="A47">
        <f t="shared" si="0"/>
        <v>43</v>
      </c>
      <c r="N47" s="24">
        <f t="shared" si="3"/>
        <v>0</v>
      </c>
    </row>
    <row r="48" spans="1:14">
      <c r="A48">
        <f t="shared" si="0"/>
        <v>44</v>
      </c>
      <c r="N48" s="24">
        <f t="shared" si="3"/>
        <v>0</v>
      </c>
    </row>
    <row r="49" spans="1:14">
      <c r="A49">
        <f t="shared" si="0"/>
        <v>45</v>
      </c>
      <c r="N49" s="24">
        <f t="shared" si="3"/>
        <v>0</v>
      </c>
    </row>
    <row r="50" spans="1:14">
      <c r="A50">
        <f t="shared" si="0"/>
        <v>46</v>
      </c>
      <c r="N50" s="24">
        <f t="shared" si="3"/>
        <v>0</v>
      </c>
    </row>
    <row r="51" spans="1:14">
      <c r="A51">
        <f t="shared" si="0"/>
        <v>47</v>
      </c>
      <c r="N51" s="24">
        <f t="shared" si="3"/>
        <v>0</v>
      </c>
    </row>
    <row r="52" spans="1:14">
      <c r="A52">
        <f t="shared" si="0"/>
        <v>48</v>
      </c>
      <c r="N52" s="24">
        <f t="shared" si="3"/>
        <v>0</v>
      </c>
    </row>
    <row r="53" spans="1:14">
      <c r="A53">
        <f t="shared" si="0"/>
        <v>49</v>
      </c>
      <c r="N53" s="24">
        <f t="shared" si="3"/>
        <v>0</v>
      </c>
    </row>
    <row r="54" spans="1:14">
      <c r="A54">
        <f t="shared" si="0"/>
        <v>50</v>
      </c>
      <c r="N54" s="24">
        <f t="shared" si="3"/>
        <v>0</v>
      </c>
    </row>
    <row r="55" spans="1:14">
      <c r="A55">
        <f t="shared" si="0"/>
        <v>51</v>
      </c>
      <c r="N55" s="24">
        <f t="shared" si="3"/>
        <v>0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9">ROW()-4</f>
        <v>66</v>
      </c>
    </row>
    <row r="71" spans="1:1">
      <c r="A71">
        <f t="shared" si="9"/>
        <v>67</v>
      </c>
    </row>
    <row r="72" spans="1:1">
      <c r="A72">
        <f t="shared" si="9"/>
        <v>68</v>
      </c>
    </row>
    <row r="73" spans="1:1">
      <c r="A73">
        <f t="shared" si="9"/>
        <v>69</v>
      </c>
    </row>
    <row r="74" spans="1:1">
      <c r="A74">
        <f t="shared" si="9"/>
        <v>70</v>
      </c>
    </row>
    <row r="75" spans="1:1">
      <c r="A75">
        <f t="shared" si="9"/>
        <v>71</v>
      </c>
    </row>
    <row r="76" spans="1:1">
      <c r="A76">
        <f t="shared" si="9"/>
        <v>72</v>
      </c>
    </row>
    <row r="77" spans="1:1">
      <c r="A77">
        <f t="shared" si="9"/>
        <v>73</v>
      </c>
    </row>
    <row r="78" spans="1:1">
      <c r="A78">
        <f t="shared" si="9"/>
        <v>74</v>
      </c>
    </row>
    <row r="79" spans="1:1">
      <c r="A79">
        <f t="shared" si="9"/>
        <v>75</v>
      </c>
    </row>
    <row r="80" spans="1:1">
      <c r="A80">
        <f t="shared" si="9"/>
        <v>76</v>
      </c>
    </row>
    <row r="81" spans="1:14">
      <c r="A81">
        <f t="shared" si="9"/>
        <v>77</v>
      </c>
    </row>
    <row r="88" spans="1:14">
      <c r="A88" s="28">
        <f>COUNT(A5:A87)</f>
        <v>77</v>
      </c>
      <c r="B88" s="28">
        <f>SUM(B13:B87)</f>
        <v>26</v>
      </c>
      <c r="C88" s="28">
        <f>SUM(C5:C87)</f>
        <v>26</v>
      </c>
      <c r="E88" s="29"/>
      <c r="F88" s="29">
        <f>SUM(F5:F87)</f>
        <v>58.048192771084331</v>
      </c>
      <c r="G88" s="29">
        <f t="shared" ref="G88:I88" si="10">SUM(G5:G87)</f>
        <v>406.3373493975904</v>
      </c>
      <c r="H88" s="29">
        <f t="shared" si="10"/>
        <v>386.98795180722891</v>
      </c>
      <c r="I88" s="29">
        <f t="shared" si="10"/>
        <v>154.79518072289159</v>
      </c>
      <c r="J88" s="29"/>
      <c r="K88" s="29"/>
      <c r="L88" s="29"/>
      <c r="M88" s="29"/>
      <c r="N88" s="29">
        <f>SUM(N5:N87)</f>
        <v>44.559243975903627</v>
      </c>
    </row>
    <row r="89" spans="1:14">
      <c r="F89" s="25">
        <f>SUM(F88:I88)</f>
        <v>1006.1686746987953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868</v>
      </c>
      <c r="K2" s="24" t="s">
        <v>751</v>
      </c>
      <c r="P2" s="26" t="s">
        <v>754</v>
      </c>
      <c r="Q2" s="27">
        <f>VIPcric_3!D153</f>
        <v>19437</v>
      </c>
      <c r="R2" s="27" t="s">
        <v>755</v>
      </c>
    </row>
    <row r="3" spans="1:20">
      <c r="H3" s="24" t="s">
        <v>869</v>
      </c>
      <c r="L3" s="24" t="s">
        <v>752</v>
      </c>
      <c r="P3" s="26" t="s">
        <v>738</v>
      </c>
      <c r="Q3" s="27">
        <f>VIPcric_3!E153</f>
        <v>25.4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ref="N8:N22" si="1">(F8*J8+G8*K8+H8*L8+I8*M8)*$Q$1</f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Q10" s="27">
        <v>3500</v>
      </c>
      <c r="R10" s="27" t="s">
        <v>755</v>
      </c>
    </row>
    <row r="11" spans="1:20">
      <c r="A11">
        <f t="shared" si="0"/>
        <v>7</v>
      </c>
      <c r="C11">
        <v>1</v>
      </c>
      <c r="N11" s="24">
        <f t="shared" si="1"/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C15">
        <v>1</v>
      </c>
      <c r="N15" s="24">
        <f t="shared" si="1"/>
        <v>0</v>
      </c>
    </row>
    <row r="16" spans="1:20">
      <c r="A16">
        <f t="shared" si="0"/>
        <v>12</v>
      </c>
      <c r="C16">
        <v>1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ref="E17:E43" si="2">1/$Q$3*$Q$2</f>
        <v>765.23622047244089</v>
      </c>
      <c r="F17" s="24">
        <f>$E17*30%</f>
        <v>229.57086614173227</v>
      </c>
      <c r="G17" s="24">
        <f t="shared" ref="G17:H24" si="3">$E17*30%</f>
        <v>229.57086614173227</v>
      </c>
      <c r="H17" s="24">
        <f t="shared" si="3"/>
        <v>229.57086614173227</v>
      </c>
      <c r="I17" s="24">
        <f>$E17*10%</f>
        <v>76.523622047244089</v>
      </c>
      <c r="J17" s="24">
        <v>1</v>
      </c>
      <c r="K17" s="24">
        <v>7</v>
      </c>
      <c r="L17" s="24">
        <v>8</v>
      </c>
      <c r="M17" s="24">
        <v>26</v>
      </c>
      <c r="N17" s="24">
        <f t="shared" si="1"/>
        <v>48.841201771653544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765.23622047244089</v>
      </c>
      <c r="G18" s="24">
        <f t="shared" si="3"/>
        <v>229.57086614173227</v>
      </c>
      <c r="H18" s="24">
        <f t="shared" si="3"/>
        <v>229.57086614173227</v>
      </c>
      <c r="I18" s="24">
        <f t="shared" ref="I18:I42" si="4">$E18*10%</f>
        <v>76.523622047244089</v>
      </c>
      <c r="K18" s="24">
        <f>K17-1</f>
        <v>6</v>
      </c>
      <c r="L18" s="24">
        <f>L17-1</f>
        <v>7</v>
      </c>
      <c r="M18" s="24">
        <f>M17-1</f>
        <v>25</v>
      </c>
      <c r="N18" s="24">
        <f t="shared" si="1"/>
        <v>42.241039370078738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765.23622047244089</v>
      </c>
      <c r="G19" s="24">
        <f t="shared" si="3"/>
        <v>229.57086614173227</v>
      </c>
      <c r="H19" s="24">
        <f t="shared" si="3"/>
        <v>229.57086614173227</v>
      </c>
      <c r="I19" s="24">
        <f t="shared" si="4"/>
        <v>76.523622047244089</v>
      </c>
      <c r="K19" s="24">
        <f t="shared" ref="K19:M30" si="5">K18-1</f>
        <v>5</v>
      </c>
      <c r="L19" s="24">
        <f t="shared" si="5"/>
        <v>6</v>
      </c>
      <c r="M19" s="24">
        <f t="shared" si="5"/>
        <v>24</v>
      </c>
      <c r="N19" s="24">
        <f t="shared" si="1"/>
        <v>37.620925688976378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765.23622047244089</v>
      </c>
      <c r="G20" s="24">
        <f t="shared" si="3"/>
        <v>229.57086614173227</v>
      </c>
      <c r="H20" s="24">
        <f t="shared" si="3"/>
        <v>229.57086614173227</v>
      </c>
      <c r="I20" s="24">
        <f t="shared" si="4"/>
        <v>76.523622047244089</v>
      </c>
      <c r="K20" s="24">
        <f t="shared" si="5"/>
        <v>4</v>
      </c>
      <c r="L20" s="24">
        <f t="shared" si="5"/>
        <v>5</v>
      </c>
      <c r="M20" s="24">
        <f t="shared" si="5"/>
        <v>23</v>
      </c>
      <c r="N20" s="24">
        <f t="shared" si="1"/>
        <v>33.000812007874011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765.23622047244089</v>
      </c>
      <c r="G21" s="24">
        <f t="shared" si="3"/>
        <v>229.57086614173227</v>
      </c>
      <c r="H21" s="24">
        <f t="shared" si="3"/>
        <v>229.57086614173227</v>
      </c>
      <c r="I21" s="24">
        <f t="shared" si="4"/>
        <v>76.523622047244089</v>
      </c>
      <c r="K21" s="24">
        <f t="shared" si="5"/>
        <v>3</v>
      </c>
      <c r="L21" s="24">
        <f t="shared" si="5"/>
        <v>4</v>
      </c>
      <c r="M21" s="24">
        <f t="shared" si="5"/>
        <v>22</v>
      </c>
      <c r="N21" s="24">
        <f t="shared" si="1"/>
        <v>28.38069832677165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765.23622047244089</v>
      </c>
      <c r="G22" s="24">
        <f t="shared" si="3"/>
        <v>229.57086614173227</v>
      </c>
      <c r="H22" s="24">
        <f t="shared" si="3"/>
        <v>229.57086614173227</v>
      </c>
      <c r="I22" s="24">
        <f t="shared" si="4"/>
        <v>76.523622047244089</v>
      </c>
      <c r="K22" s="24">
        <f t="shared" si="5"/>
        <v>2</v>
      </c>
      <c r="L22" s="24">
        <f t="shared" si="5"/>
        <v>3</v>
      </c>
      <c r="M22" s="24">
        <f t="shared" si="5"/>
        <v>21</v>
      </c>
      <c r="N22" s="24">
        <f t="shared" si="1"/>
        <v>23.76058464566929</v>
      </c>
    </row>
    <row r="23" spans="1:14">
      <c r="A23">
        <f t="shared" si="0"/>
        <v>19</v>
      </c>
      <c r="B23">
        <v>1</v>
      </c>
      <c r="C23">
        <v>1</v>
      </c>
      <c r="E23" s="23">
        <f t="shared" si="2"/>
        <v>765.23622047244089</v>
      </c>
      <c r="G23" s="24">
        <f t="shared" si="3"/>
        <v>229.57086614173227</v>
      </c>
      <c r="H23" s="24">
        <f t="shared" si="3"/>
        <v>229.57086614173227</v>
      </c>
      <c r="I23" s="24">
        <f t="shared" si="4"/>
        <v>76.523622047244089</v>
      </c>
      <c r="K23" s="24">
        <f t="shared" si="5"/>
        <v>1</v>
      </c>
      <c r="L23" s="24">
        <f t="shared" si="5"/>
        <v>2</v>
      </c>
      <c r="M23" s="24">
        <f t="shared" si="5"/>
        <v>20</v>
      </c>
      <c r="N23" s="24">
        <f t="shared" ref="N23:N55" si="6">(F23*J23+G23*K23+H23*L23+I23*M23)*$Q$1</f>
        <v>19.14047096456693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765.23622047244089</v>
      </c>
      <c r="H24" s="24">
        <f t="shared" si="3"/>
        <v>229.57086614173227</v>
      </c>
      <c r="I24" s="24">
        <f t="shared" si="4"/>
        <v>76.523622047244089</v>
      </c>
      <c r="L24" s="24">
        <f t="shared" si="5"/>
        <v>1</v>
      </c>
      <c r="M24" s="24">
        <f t="shared" si="5"/>
        <v>19</v>
      </c>
      <c r="N24" s="24">
        <f t="shared" si="6"/>
        <v>14.520357283464568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765.23622047244089</v>
      </c>
      <c r="I25" s="24">
        <f t="shared" si="4"/>
        <v>76.523622047244089</v>
      </c>
      <c r="M25" s="24">
        <f t="shared" si="5"/>
        <v>18</v>
      </c>
      <c r="N25" s="24">
        <f t="shared" si="6"/>
        <v>11.880292322834645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765.23622047244089</v>
      </c>
      <c r="I26" s="24">
        <f t="shared" si="4"/>
        <v>76.523622047244089</v>
      </c>
      <c r="M26" s="24">
        <f t="shared" si="5"/>
        <v>17</v>
      </c>
      <c r="N26" s="24">
        <f t="shared" si="6"/>
        <v>11.220276082677165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765.23622047244089</v>
      </c>
      <c r="I27" s="24">
        <f t="shared" si="4"/>
        <v>76.523622047244089</v>
      </c>
      <c r="M27" s="24">
        <f t="shared" si="5"/>
        <v>16</v>
      </c>
      <c r="N27" s="24">
        <f t="shared" si="6"/>
        <v>10.560259842519685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765.23622047244089</v>
      </c>
      <c r="I28" s="24">
        <f t="shared" si="4"/>
        <v>76.523622047244089</v>
      </c>
      <c r="M28" s="24">
        <f t="shared" si="5"/>
        <v>15</v>
      </c>
      <c r="N28" s="24">
        <f t="shared" si="6"/>
        <v>9.9002436023622042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765.23622047244089</v>
      </c>
      <c r="I29" s="24">
        <f t="shared" si="4"/>
        <v>76.523622047244089</v>
      </c>
      <c r="M29" s="24">
        <f t="shared" si="5"/>
        <v>14</v>
      </c>
      <c r="N29" s="24">
        <f t="shared" si="6"/>
        <v>9.240227362204724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765.23622047244089</v>
      </c>
      <c r="I30" s="24">
        <f t="shared" si="4"/>
        <v>76.523622047244089</v>
      </c>
      <c r="M30" s="24">
        <f t="shared" si="5"/>
        <v>13</v>
      </c>
      <c r="N30" s="24">
        <f t="shared" si="6"/>
        <v>8.5802111220472437</v>
      </c>
    </row>
    <row r="31" spans="1:14">
      <c r="A31">
        <f t="shared" si="0"/>
        <v>27</v>
      </c>
      <c r="B31">
        <v>1</v>
      </c>
      <c r="D31">
        <v>1</v>
      </c>
      <c r="E31" s="23">
        <f t="shared" si="2"/>
        <v>765.23622047244089</v>
      </c>
      <c r="I31" s="24">
        <f t="shared" si="4"/>
        <v>76.523622047244089</v>
      </c>
      <c r="M31" s="24">
        <f t="shared" ref="M31" si="7">M30-1</f>
        <v>12</v>
      </c>
      <c r="N31" s="24">
        <f t="shared" si="6"/>
        <v>7.9201948818897643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765.23622047244089</v>
      </c>
      <c r="I32" s="24">
        <f t="shared" si="4"/>
        <v>76.523622047244089</v>
      </c>
      <c r="M32" s="24">
        <f t="shared" ref="M32" si="8">M31-1</f>
        <v>11</v>
      </c>
      <c r="N32" s="24">
        <f t="shared" si="6"/>
        <v>7.260178641732284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765.23622047244089</v>
      </c>
      <c r="I33" s="24">
        <f t="shared" si="4"/>
        <v>76.523622047244089</v>
      </c>
      <c r="M33" s="24">
        <f t="shared" ref="M33" si="9">M32-1</f>
        <v>10</v>
      </c>
      <c r="N33" s="24">
        <f t="shared" si="6"/>
        <v>6.6001624015748028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765.23622047244089</v>
      </c>
      <c r="I34" s="24">
        <f t="shared" si="4"/>
        <v>76.523622047244089</v>
      </c>
      <c r="M34" s="24">
        <f t="shared" ref="M34" si="10">M33-1</f>
        <v>9</v>
      </c>
      <c r="N34" s="24">
        <f t="shared" si="6"/>
        <v>5.9401461614173225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765.23622047244089</v>
      </c>
      <c r="I35" s="24">
        <f t="shared" si="4"/>
        <v>76.523622047244089</v>
      </c>
      <c r="M35" s="24">
        <f t="shared" ref="M35" si="11">M34-1</f>
        <v>8</v>
      </c>
      <c r="N35" s="24">
        <f t="shared" si="6"/>
        <v>5.2801299212598423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765.23622047244089</v>
      </c>
      <c r="I36" s="24">
        <f t="shared" si="4"/>
        <v>76.523622047244089</v>
      </c>
      <c r="M36" s="24">
        <f t="shared" ref="M36" si="12">M35-1</f>
        <v>7</v>
      </c>
      <c r="N36" s="24">
        <f t="shared" si="6"/>
        <v>4.620113681102362</v>
      </c>
    </row>
    <row r="37" spans="1:14">
      <c r="A37">
        <f t="shared" si="0"/>
        <v>33</v>
      </c>
      <c r="B37">
        <v>1</v>
      </c>
      <c r="D37">
        <v>1</v>
      </c>
      <c r="E37" s="23">
        <f t="shared" si="2"/>
        <v>765.23622047244089</v>
      </c>
      <c r="I37" s="24">
        <f t="shared" si="4"/>
        <v>76.523622047244089</v>
      </c>
      <c r="M37" s="24">
        <f t="shared" ref="M37" si="13">M36-1</f>
        <v>6</v>
      </c>
      <c r="N37" s="24">
        <f t="shared" si="6"/>
        <v>3.9600974409448821</v>
      </c>
    </row>
    <row r="38" spans="1:14">
      <c r="A38">
        <f t="shared" si="0"/>
        <v>34</v>
      </c>
      <c r="B38">
        <v>1</v>
      </c>
      <c r="D38">
        <v>1</v>
      </c>
      <c r="E38" s="23">
        <f t="shared" si="2"/>
        <v>765.23622047244089</v>
      </c>
      <c r="I38" s="24">
        <f t="shared" si="4"/>
        <v>76.523622047244089</v>
      </c>
      <c r="M38" s="24">
        <f t="shared" ref="M38" si="14">M37-1</f>
        <v>5</v>
      </c>
      <c r="N38" s="24">
        <f t="shared" si="6"/>
        <v>3.3000812007874014</v>
      </c>
    </row>
    <row r="39" spans="1:14">
      <c r="A39">
        <f t="shared" si="0"/>
        <v>35</v>
      </c>
      <c r="B39">
        <v>1</v>
      </c>
      <c r="D39">
        <v>1</v>
      </c>
      <c r="E39" s="23">
        <f t="shared" si="2"/>
        <v>765.23622047244089</v>
      </c>
      <c r="I39" s="24">
        <f t="shared" si="4"/>
        <v>76.523622047244089</v>
      </c>
      <c r="M39" s="24">
        <f t="shared" ref="M39" si="15">M38-1</f>
        <v>4</v>
      </c>
      <c r="N39" s="24">
        <f t="shared" si="6"/>
        <v>2.6400649606299211</v>
      </c>
    </row>
    <row r="40" spans="1:14">
      <c r="A40">
        <f t="shared" si="0"/>
        <v>36</v>
      </c>
      <c r="B40">
        <v>1</v>
      </c>
      <c r="D40">
        <v>1</v>
      </c>
      <c r="E40" s="23">
        <f t="shared" si="2"/>
        <v>765.23622047244089</v>
      </c>
      <c r="I40" s="24">
        <f t="shared" si="4"/>
        <v>76.523622047244089</v>
      </c>
      <c r="M40" s="24">
        <f t="shared" ref="M40" si="16">M39-1</f>
        <v>3</v>
      </c>
      <c r="N40" s="24">
        <f t="shared" si="6"/>
        <v>1.9800487204724411</v>
      </c>
    </row>
    <row r="41" spans="1:14">
      <c r="A41">
        <f t="shared" si="0"/>
        <v>37</v>
      </c>
      <c r="B41">
        <v>1</v>
      </c>
      <c r="D41">
        <v>1</v>
      </c>
      <c r="E41" s="23">
        <f t="shared" si="2"/>
        <v>765.23622047244089</v>
      </c>
      <c r="I41" s="24">
        <f t="shared" si="4"/>
        <v>76.523622047244089</v>
      </c>
      <c r="M41" s="24">
        <f t="shared" ref="M41" si="17">M40-1</f>
        <v>2</v>
      </c>
      <c r="N41" s="24">
        <f t="shared" si="6"/>
        <v>1.3200324803149606</v>
      </c>
    </row>
    <row r="42" spans="1:14">
      <c r="A42">
        <f t="shared" si="0"/>
        <v>38</v>
      </c>
      <c r="B42">
        <v>1</v>
      </c>
      <c r="D42">
        <v>1</v>
      </c>
      <c r="E42" s="23">
        <f t="shared" si="2"/>
        <v>765.23622047244089</v>
      </c>
      <c r="I42" s="24">
        <f t="shared" si="4"/>
        <v>76.523622047244089</v>
      </c>
      <c r="M42" s="24">
        <f t="shared" ref="M42" si="18">M41-1</f>
        <v>1</v>
      </c>
      <c r="N42" s="24">
        <f t="shared" si="6"/>
        <v>0.66001624015748028</v>
      </c>
    </row>
    <row r="43" spans="1:14">
      <c r="A43">
        <f t="shared" si="0"/>
        <v>39</v>
      </c>
      <c r="E43" s="23">
        <f t="shared" si="2"/>
        <v>765.23622047244089</v>
      </c>
      <c r="N43" s="24">
        <f t="shared" si="6"/>
        <v>0</v>
      </c>
    </row>
    <row r="44" spans="1:14">
      <c r="A44">
        <f t="shared" si="0"/>
        <v>40</v>
      </c>
      <c r="N44" s="24">
        <f t="shared" si="6"/>
        <v>0</v>
      </c>
    </row>
    <row r="45" spans="1:14">
      <c r="A45">
        <f t="shared" si="0"/>
        <v>41</v>
      </c>
      <c r="N45" s="24">
        <f t="shared" si="6"/>
        <v>0</v>
      </c>
    </row>
    <row r="46" spans="1:14">
      <c r="A46">
        <f t="shared" si="0"/>
        <v>42</v>
      </c>
      <c r="N46" s="24">
        <f t="shared" si="6"/>
        <v>0</v>
      </c>
    </row>
    <row r="47" spans="1:14">
      <c r="A47">
        <f t="shared" si="0"/>
        <v>43</v>
      </c>
      <c r="N47" s="24">
        <f t="shared" si="6"/>
        <v>0</v>
      </c>
    </row>
    <row r="48" spans="1:14">
      <c r="A48">
        <f t="shared" si="0"/>
        <v>44</v>
      </c>
      <c r="N48" s="24">
        <f t="shared" si="6"/>
        <v>0</v>
      </c>
    </row>
    <row r="49" spans="1:14">
      <c r="A49">
        <f t="shared" si="0"/>
        <v>45</v>
      </c>
      <c r="N49" s="24">
        <f t="shared" si="6"/>
        <v>0</v>
      </c>
    </row>
    <row r="50" spans="1:14">
      <c r="A50">
        <f t="shared" si="0"/>
        <v>46</v>
      </c>
      <c r="N50" s="24">
        <f t="shared" si="6"/>
        <v>0</v>
      </c>
    </row>
    <row r="51" spans="1:14">
      <c r="A51">
        <f t="shared" si="0"/>
        <v>47</v>
      </c>
      <c r="N51" s="24">
        <f t="shared" si="6"/>
        <v>0</v>
      </c>
    </row>
    <row r="52" spans="1:14">
      <c r="A52">
        <f t="shared" si="0"/>
        <v>48</v>
      </c>
      <c r="N52" s="24">
        <f t="shared" si="6"/>
        <v>0</v>
      </c>
    </row>
    <row r="53" spans="1:14">
      <c r="A53">
        <f t="shared" si="0"/>
        <v>49</v>
      </c>
      <c r="N53" s="24">
        <f t="shared" si="6"/>
        <v>0</v>
      </c>
    </row>
    <row r="54" spans="1:14">
      <c r="A54">
        <f t="shared" si="0"/>
        <v>50</v>
      </c>
      <c r="N54" s="24">
        <f t="shared" si="6"/>
        <v>0</v>
      </c>
    </row>
    <row r="55" spans="1:14">
      <c r="A55">
        <f t="shared" si="0"/>
        <v>51</v>
      </c>
      <c r="N55" s="24">
        <f t="shared" si="6"/>
        <v>0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19">ROW()-4</f>
        <v>66</v>
      </c>
    </row>
    <row r="71" spans="1:1">
      <c r="A71">
        <f t="shared" si="19"/>
        <v>67</v>
      </c>
    </row>
    <row r="72" spans="1:1">
      <c r="A72">
        <f t="shared" si="19"/>
        <v>68</v>
      </c>
    </row>
    <row r="73" spans="1:1">
      <c r="A73">
        <f t="shared" si="19"/>
        <v>69</v>
      </c>
    </row>
    <row r="74" spans="1:1">
      <c r="A74">
        <f t="shared" si="19"/>
        <v>70</v>
      </c>
    </row>
    <row r="75" spans="1:1">
      <c r="A75">
        <f t="shared" si="19"/>
        <v>71</v>
      </c>
    </row>
    <row r="76" spans="1:1">
      <c r="A76">
        <f t="shared" si="19"/>
        <v>72</v>
      </c>
    </row>
    <row r="77" spans="1:1">
      <c r="A77">
        <f t="shared" si="19"/>
        <v>73</v>
      </c>
    </row>
    <row r="78" spans="1:1">
      <c r="A78">
        <f t="shared" si="19"/>
        <v>74</v>
      </c>
    </row>
    <row r="79" spans="1:1">
      <c r="A79">
        <f t="shared" si="19"/>
        <v>75</v>
      </c>
    </row>
    <row r="80" spans="1:1">
      <c r="A80">
        <f t="shared" si="19"/>
        <v>76</v>
      </c>
    </row>
    <row r="81" spans="1:14">
      <c r="A81">
        <f t="shared" si="19"/>
        <v>77</v>
      </c>
    </row>
    <row r="88" spans="1:14">
      <c r="A88" s="28">
        <f>COUNT(A5:A87)</f>
        <v>77</v>
      </c>
      <c r="B88" s="28">
        <f>SUM(B13:B87)</f>
        <v>26</v>
      </c>
      <c r="C88" s="28">
        <f>SUM(C5:C87)</f>
        <v>26</v>
      </c>
      <c r="E88" s="29"/>
      <c r="F88" s="29">
        <f>SUM(F5:F87)</f>
        <v>229.57086614173227</v>
      </c>
      <c r="G88" s="29">
        <f t="shared" ref="G88:I88" si="20">SUM(G5:G87)</f>
        <v>1606.9960629921259</v>
      </c>
      <c r="H88" s="29">
        <f t="shared" si="20"/>
        <v>1836.5669291338581</v>
      </c>
      <c r="I88" s="29">
        <f t="shared" si="20"/>
        <v>1989.6141732283463</v>
      </c>
      <c r="J88" s="29"/>
      <c r="K88" s="29"/>
      <c r="L88" s="29"/>
      <c r="M88" s="29"/>
      <c r="N88" s="29">
        <f>SUM(N5:N87)</f>
        <v>360.36886712598414</v>
      </c>
    </row>
    <row r="89" spans="1:14">
      <c r="F89" s="25">
        <f>SUM(F88:I88)</f>
        <v>5662.748031496063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VIPcric_3!D112</f>
        <v>11522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VIPcric_3!E112</f>
        <v>54.5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P10" s="26" t="s">
        <v>789</v>
      </c>
      <c r="Q10" s="27">
        <v>3500</v>
      </c>
      <c r="R10" s="27" t="s">
        <v>755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211.41284403669727</v>
      </c>
      <c r="N23" s="24">
        <f t="shared" ref="N23:N55" si="2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211.41284403669727</v>
      </c>
      <c r="N24" s="24">
        <f t="shared" si="2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211.41284403669727</v>
      </c>
      <c r="N25" s="24">
        <f t="shared" si="2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211.41284403669727</v>
      </c>
      <c r="N26" s="24">
        <f t="shared" si="2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211.41284403669727</v>
      </c>
      <c r="N27" s="24">
        <f t="shared" si="2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211.41284403669727</v>
      </c>
      <c r="N28" s="24">
        <f t="shared" si="2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211.41284403669727</v>
      </c>
      <c r="N29" s="24">
        <f t="shared" si="2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211.41284403669727</v>
      </c>
      <c r="N30" s="24">
        <f t="shared" si="2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211.41284403669727</v>
      </c>
      <c r="N31" s="24">
        <f t="shared" si="2"/>
        <v>0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211.41284403669727</v>
      </c>
      <c r="N32" s="24">
        <f t="shared" si="2"/>
        <v>0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211.41284403669727</v>
      </c>
      <c r="N33" s="24">
        <f t="shared" si="2"/>
        <v>0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211.41284403669727</v>
      </c>
      <c r="N34" s="24">
        <f t="shared" si="2"/>
        <v>0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211.41284403669727</v>
      </c>
      <c r="N35" s="24">
        <f t="shared" si="2"/>
        <v>0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211.41284403669727</v>
      </c>
      <c r="N36" s="24">
        <f t="shared" si="2"/>
        <v>0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211.41284403669727</v>
      </c>
      <c r="N37" s="24">
        <f t="shared" si="2"/>
        <v>0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211.41284403669727</v>
      </c>
      <c r="N38" s="24">
        <f t="shared" si="2"/>
        <v>0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211.41284403669727</v>
      </c>
      <c r="N39" s="24">
        <f t="shared" si="2"/>
        <v>0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211.41284403669727</v>
      </c>
      <c r="F40" s="24">
        <f>$Q$10*45%</f>
        <v>1575</v>
      </c>
      <c r="G40" s="24">
        <f>$Q$10*(80%-45%)</f>
        <v>1225.0000000000002</v>
      </c>
      <c r="H40" s="24">
        <f>$Q$10*(90%-80%)</f>
        <v>349.99999999999994</v>
      </c>
      <c r="I40" s="24">
        <f>$Q$10*(95%-90%)</f>
        <v>174.99999999999977</v>
      </c>
      <c r="J40" s="24">
        <v>18</v>
      </c>
      <c r="K40" s="24">
        <v>18</v>
      </c>
      <c r="L40" s="24">
        <v>18</v>
      </c>
      <c r="M40" s="24">
        <v>3</v>
      </c>
      <c r="N40" s="24">
        <f t="shared" si="2"/>
        <v>493.56562500000007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211.41284403669727</v>
      </c>
      <c r="I41" s="24">
        <f>$Q$10*(95%-90%)</f>
        <v>174.99999999999977</v>
      </c>
      <c r="M41" s="24">
        <v>2</v>
      </c>
      <c r="N41" s="24">
        <f t="shared" si="2"/>
        <v>3.0187499999999963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211.41284403669727</v>
      </c>
      <c r="I42" s="24">
        <f>$Q$10*(95%-90%)</f>
        <v>174.99999999999977</v>
      </c>
      <c r="M42" s="24">
        <v>1</v>
      </c>
      <c r="N42" s="24">
        <f t="shared" si="2"/>
        <v>1.5093749999999981</v>
      </c>
    </row>
    <row r="43" spans="1:14">
      <c r="A43">
        <f t="shared" si="0"/>
        <v>39</v>
      </c>
      <c r="B43">
        <v>1</v>
      </c>
      <c r="E43" s="23">
        <f t="shared" si="1"/>
        <v>211.41284403669727</v>
      </c>
      <c r="N43" s="24">
        <f t="shared" si="2"/>
        <v>0</v>
      </c>
    </row>
    <row r="44" spans="1:14">
      <c r="A44">
        <f t="shared" si="0"/>
        <v>40</v>
      </c>
      <c r="B44">
        <v>1</v>
      </c>
      <c r="E44" s="23">
        <f t="shared" si="1"/>
        <v>211.41284403669727</v>
      </c>
      <c r="N44" s="24">
        <f t="shared" si="2"/>
        <v>0</v>
      </c>
    </row>
    <row r="45" spans="1:14">
      <c r="A45">
        <f t="shared" si="0"/>
        <v>41</v>
      </c>
      <c r="B45">
        <v>1</v>
      </c>
      <c r="E45" s="23">
        <f t="shared" si="1"/>
        <v>211.41284403669727</v>
      </c>
      <c r="N45" s="24">
        <f t="shared" si="2"/>
        <v>0</v>
      </c>
    </row>
    <row r="46" spans="1:14">
      <c r="A46">
        <f t="shared" si="0"/>
        <v>42</v>
      </c>
      <c r="B46">
        <v>1</v>
      </c>
      <c r="E46" s="23">
        <f t="shared" si="1"/>
        <v>211.41284403669727</v>
      </c>
      <c r="N46" s="24">
        <f t="shared" si="2"/>
        <v>0</v>
      </c>
    </row>
    <row r="47" spans="1:14">
      <c r="A47">
        <f t="shared" si="0"/>
        <v>43</v>
      </c>
      <c r="B47">
        <v>1</v>
      </c>
      <c r="E47" s="23">
        <f t="shared" si="1"/>
        <v>211.41284403669727</v>
      </c>
      <c r="N47" s="24">
        <f t="shared" si="2"/>
        <v>0</v>
      </c>
    </row>
    <row r="48" spans="1:14">
      <c r="A48">
        <f t="shared" si="0"/>
        <v>44</v>
      </c>
      <c r="B48">
        <v>1</v>
      </c>
      <c r="E48" s="23">
        <f t="shared" si="1"/>
        <v>211.41284403669727</v>
      </c>
      <c r="N48" s="24">
        <f t="shared" si="2"/>
        <v>0</v>
      </c>
    </row>
    <row r="49" spans="1:14">
      <c r="A49">
        <f t="shared" si="0"/>
        <v>45</v>
      </c>
      <c r="B49">
        <v>1</v>
      </c>
      <c r="E49" s="23">
        <f t="shared" si="1"/>
        <v>211.41284403669727</v>
      </c>
      <c r="N49" s="24">
        <f t="shared" si="2"/>
        <v>0</v>
      </c>
    </row>
    <row r="50" spans="1:14">
      <c r="A50">
        <f t="shared" si="0"/>
        <v>46</v>
      </c>
      <c r="B50">
        <v>1</v>
      </c>
      <c r="E50" s="23">
        <f t="shared" si="1"/>
        <v>211.41284403669727</v>
      </c>
      <c r="N50" s="24">
        <f t="shared" si="2"/>
        <v>0</v>
      </c>
    </row>
    <row r="51" spans="1:14">
      <c r="A51">
        <f t="shared" si="0"/>
        <v>47</v>
      </c>
      <c r="B51">
        <v>1</v>
      </c>
      <c r="E51" s="23">
        <f t="shared" si="1"/>
        <v>211.41284403669727</v>
      </c>
      <c r="N51" s="24">
        <f t="shared" si="2"/>
        <v>0</v>
      </c>
    </row>
    <row r="52" spans="1:14">
      <c r="A52">
        <f t="shared" si="0"/>
        <v>48</v>
      </c>
      <c r="B52">
        <v>1</v>
      </c>
      <c r="E52" s="23">
        <f t="shared" si="1"/>
        <v>211.41284403669727</v>
      </c>
      <c r="N52" s="24">
        <f t="shared" si="2"/>
        <v>0</v>
      </c>
    </row>
    <row r="53" spans="1:14">
      <c r="A53">
        <f t="shared" si="0"/>
        <v>49</v>
      </c>
      <c r="B53">
        <v>1</v>
      </c>
      <c r="E53" s="23">
        <f t="shared" si="1"/>
        <v>211.41284403669727</v>
      </c>
      <c r="N53" s="24">
        <f t="shared" si="2"/>
        <v>0</v>
      </c>
    </row>
    <row r="54" spans="1:14">
      <c r="A54">
        <f t="shared" si="0"/>
        <v>50</v>
      </c>
      <c r="B54">
        <v>1</v>
      </c>
      <c r="E54" s="23">
        <f t="shared" si="1"/>
        <v>211.41284403669727</v>
      </c>
      <c r="N54" s="24">
        <f t="shared" si="2"/>
        <v>0</v>
      </c>
    </row>
    <row r="55" spans="1:14">
      <c r="A55">
        <f t="shared" si="0"/>
        <v>51</v>
      </c>
      <c r="B55">
        <v>1</v>
      </c>
      <c r="E55" s="23">
        <f t="shared" si="1"/>
        <v>211.41284403669727</v>
      </c>
      <c r="N55" s="24">
        <f t="shared" si="2"/>
        <v>0</v>
      </c>
    </row>
    <row r="56" spans="1:14">
      <c r="A56">
        <f t="shared" si="0"/>
        <v>52</v>
      </c>
      <c r="B56">
        <v>1</v>
      </c>
      <c r="E56" s="23">
        <f t="shared" si="1"/>
        <v>211.41284403669727</v>
      </c>
    </row>
    <row r="57" spans="1:14">
      <c r="A57">
        <f t="shared" si="0"/>
        <v>53</v>
      </c>
      <c r="B57">
        <v>1</v>
      </c>
      <c r="E57" s="23">
        <f t="shared" si="1"/>
        <v>211.41284403669727</v>
      </c>
    </row>
    <row r="58" spans="1:14">
      <c r="A58">
        <f t="shared" si="0"/>
        <v>54</v>
      </c>
      <c r="B58">
        <v>1</v>
      </c>
      <c r="E58" s="23">
        <f t="shared" si="1"/>
        <v>211.41284403669727</v>
      </c>
    </row>
    <row r="59" spans="1:14">
      <c r="A59">
        <f t="shared" si="0"/>
        <v>55</v>
      </c>
      <c r="B59">
        <v>1</v>
      </c>
      <c r="E59" s="23">
        <f t="shared" si="1"/>
        <v>211.41284403669727</v>
      </c>
    </row>
    <row r="60" spans="1:14">
      <c r="A60">
        <f t="shared" si="0"/>
        <v>56</v>
      </c>
      <c r="B60">
        <v>1</v>
      </c>
      <c r="E60" s="23">
        <f t="shared" si="1"/>
        <v>211.41284403669727</v>
      </c>
    </row>
    <row r="61" spans="1:14">
      <c r="A61">
        <f t="shared" si="0"/>
        <v>57</v>
      </c>
      <c r="B61">
        <v>1</v>
      </c>
      <c r="E61" s="23">
        <f t="shared" si="1"/>
        <v>211.41284403669727</v>
      </c>
    </row>
    <row r="62" spans="1:14">
      <c r="A62">
        <f t="shared" si="0"/>
        <v>58</v>
      </c>
      <c r="B62">
        <v>1</v>
      </c>
      <c r="E62" s="23">
        <f t="shared" si="1"/>
        <v>211.41284403669727</v>
      </c>
    </row>
    <row r="63" spans="1:14">
      <c r="A63">
        <f t="shared" si="0"/>
        <v>59</v>
      </c>
      <c r="B63">
        <v>1</v>
      </c>
      <c r="E63" s="23">
        <f t="shared" si="1"/>
        <v>211.41284403669727</v>
      </c>
    </row>
    <row r="64" spans="1:14">
      <c r="A64">
        <f t="shared" si="0"/>
        <v>60</v>
      </c>
      <c r="B64">
        <v>1</v>
      </c>
      <c r="E64" s="23">
        <f t="shared" si="1"/>
        <v>211.41284403669727</v>
      </c>
    </row>
    <row r="65" spans="1:5">
      <c r="A65">
        <f t="shared" si="0"/>
        <v>61</v>
      </c>
      <c r="B65">
        <v>1</v>
      </c>
      <c r="E65" s="23">
        <f t="shared" si="1"/>
        <v>211.41284403669727</v>
      </c>
    </row>
    <row r="66" spans="1:5">
      <c r="A66">
        <f t="shared" si="0"/>
        <v>62</v>
      </c>
      <c r="B66">
        <v>1</v>
      </c>
      <c r="E66" s="23">
        <f t="shared" si="1"/>
        <v>211.41284403669727</v>
      </c>
    </row>
    <row r="67" spans="1:5">
      <c r="A67">
        <f t="shared" si="0"/>
        <v>63</v>
      </c>
      <c r="B67">
        <v>1</v>
      </c>
      <c r="E67" s="23">
        <f t="shared" si="1"/>
        <v>211.41284403669727</v>
      </c>
    </row>
    <row r="68" spans="1:5">
      <c r="A68">
        <f t="shared" si="0"/>
        <v>64</v>
      </c>
      <c r="B68">
        <v>1</v>
      </c>
      <c r="E68" s="23">
        <f t="shared" si="1"/>
        <v>211.41284403669727</v>
      </c>
    </row>
    <row r="69" spans="1:5">
      <c r="A69">
        <f t="shared" si="0"/>
        <v>65</v>
      </c>
      <c r="B69">
        <v>1</v>
      </c>
      <c r="E69" s="23">
        <f t="shared" si="1"/>
        <v>211.41284403669727</v>
      </c>
    </row>
    <row r="70" spans="1:5">
      <c r="A70">
        <f t="shared" ref="A70:A81" si="3">ROW()-4</f>
        <v>66</v>
      </c>
      <c r="B70">
        <v>1</v>
      </c>
      <c r="E70" s="23">
        <f t="shared" si="1"/>
        <v>211.41284403669727</v>
      </c>
    </row>
    <row r="71" spans="1:5">
      <c r="A71">
        <f t="shared" si="3"/>
        <v>67</v>
      </c>
      <c r="B71">
        <v>1</v>
      </c>
      <c r="E71" s="23">
        <f t="shared" si="1"/>
        <v>211.41284403669727</v>
      </c>
    </row>
    <row r="72" spans="1:5">
      <c r="A72">
        <f t="shared" si="3"/>
        <v>68</v>
      </c>
      <c r="B72">
        <v>1</v>
      </c>
      <c r="E72" s="23">
        <f t="shared" si="1"/>
        <v>211.41284403669727</v>
      </c>
    </row>
    <row r="73" spans="1:5">
      <c r="A73">
        <f t="shared" si="3"/>
        <v>69</v>
      </c>
      <c r="B73">
        <v>1</v>
      </c>
      <c r="E73" s="23">
        <f t="shared" si="1"/>
        <v>211.41284403669727</v>
      </c>
    </row>
    <row r="74" spans="1:5">
      <c r="A74">
        <f t="shared" si="3"/>
        <v>70</v>
      </c>
      <c r="B74">
        <v>1</v>
      </c>
      <c r="E74" s="23">
        <f t="shared" si="1"/>
        <v>211.41284403669727</v>
      </c>
    </row>
    <row r="75" spans="1:5">
      <c r="A75">
        <f t="shared" si="3"/>
        <v>71</v>
      </c>
      <c r="B75">
        <v>1</v>
      </c>
      <c r="E75" s="23">
        <f t="shared" si="1"/>
        <v>211.41284403669727</v>
      </c>
    </row>
    <row r="76" spans="1:5">
      <c r="A76">
        <f t="shared" si="3"/>
        <v>72</v>
      </c>
      <c r="B76">
        <v>1</v>
      </c>
      <c r="E76" s="23">
        <f t="shared" si="1"/>
        <v>211.41284403669727</v>
      </c>
    </row>
    <row r="77" spans="1:5">
      <c r="A77">
        <f t="shared" si="3"/>
        <v>73</v>
      </c>
      <c r="B77">
        <v>1</v>
      </c>
      <c r="E77" s="23">
        <f t="shared" si="1"/>
        <v>211.41284403669727</v>
      </c>
    </row>
    <row r="78" spans="1:5">
      <c r="A78">
        <f t="shared" si="3"/>
        <v>74</v>
      </c>
      <c r="B78">
        <v>1</v>
      </c>
      <c r="E78" s="23">
        <f t="shared" si="1"/>
        <v>211.41284403669727</v>
      </c>
    </row>
    <row r="79" spans="1:5">
      <c r="A79">
        <f t="shared" si="3"/>
        <v>75</v>
      </c>
      <c r="B79">
        <v>1</v>
      </c>
      <c r="E79" s="23">
        <f t="shared" si="1"/>
        <v>211.41284403669727</v>
      </c>
    </row>
    <row r="80" spans="1:5">
      <c r="A80">
        <f t="shared" si="3"/>
        <v>76</v>
      </c>
      <c r="B80">
        <v>1</v>
      </c>
      <c r="E80" s="23">
        <f t="shared" si="1"/>
        <v>211.41284403669727</v>
      </c>
    </row>
    <row r="81" spans="1:14">
      <c r="A81">
        <f t="shared" si="3"/>
        <v>77</v>
      </c>
      <c r="B81">
        <v>1</v>
      </c>
      <c r="E81" s="23">
        <f t="shared" si="1"/>
        <v>211.41284403669727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1575</v>
      </c>
      <c r="G88" s="29">
        <f t="shared" ref="G88:I88" si="4">SUM(G5:G87)</f>
        <v>1225.0000000000002</v>
      </c>
      <c r="H88" s="29">
        <f t="shared" si="4"/>
        <v>349.99999999999994</v>
      </c>
      <c r="I88" s="29">
        <f t="shared" si="4"/>
        <v>524.99999999999932</v>
      </c>
      <c r="J88" s="29"/>
      <c r="K88" s="29"/>
      <c r="L88" s="29"/>
      <c r="M88" s="29"/>
      <c r="N88" s="29">
        <f>SUM(N5:N87)</f>
        <v>498.09375000000006</v>
      </c>
    </row>
    <row r="89" spans="1:14">
      <c r="F89" s="25">
        <f>SUM(F88:I88)</f>
        <v>3674.9999999999991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VIPcric_3!D118</f>
        <v>8655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VIPcric_3!E118</f>
        <v>152.5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N7" s="24">
        <f t="shared" ref="N7:N22" si="1">(F7*J7+G7*K7+H7*L7+I7*M7)*$Q$1</f>
        <v>0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si="1"/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6" t="s">
        <v>789</v>
      </c>
      <c r="Q10" s="27">
        <f>3000*1.05</f>
        <v>3150</v>
      </c>
      <c r="R10" s="27" t="s">
        <v>755</v>
      </c>
    </row>
    <row r="11" spans="1:20">
      <c r="A11">
        <f t="shared" si="0"/>
        <v>7</v>
      </c>
      <c r="B11">
        <v>1</v>
      </c>
      <c r="C11">
        <v>1</v>
      </c>
      <c r="E11" s="23">
        <f t="shared" ref="E11:E22" si="2">1/$Q$3*$Q$2</f>
        <v>56.754098360655739</v>
      </c>
      <c r="N11" s="24">
        <f t="shared" si="1"/>
        <v>0</v>
      </c>
    </row>
    <row r="12" spans="1:20">
      <c r="A12">
        <f t="shared" si="0"/>
        <v>8</v>
      </c>
      <c r="B12">
        <v>1</v>
      </c>
      <c r="C12">
        <v>1</v>
      </c>
      <c r="E12" s="23">
        <f t="shared" si="2"/>
        <v>56.754098360655739</v>
      </c>
      <c r="N12" s="24">
        <f t="shared" si="1"/>
        <v>0</v>
      </c>
    </row>
    <row r="13" spans="1:20">
      <c r="A13">
        <f t="shared" si="0"/>
        <v>9</v>
      </c>
      <c r="B13">
        <v>1</v>
      </c>
      <c r="C13">
        <v>1</v>
      </c>
      <c r="E13" s="23">
        <f t="shared" si="2"/>
        <v>56.754098360655739</v>
      </c>
      <c r="N13" s="24">
        <f t="shared" si="1"/>
        <v>0</v>
      </c>
    </row>
    <row r="14" spans="1:20">
      <c r="A14">
        <f t="shared" si="0"/>
        <v>10</v>
      </c>
      <c r="B14">
        <v>1</v>
      </c>
      <c r="C14">
        <v>1</v>
      </c>
      <c r="E14" s="23">
        <f t="shared" si="2"/>
        <v>56.754098360655739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si="2"/>
        <v>56.754098360655739</v>
      </c>
      <c r="N15" s="24">
        <f t="shared" si="1"/>
        <v>0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56.754098360655739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56.754098360655739</v>
      </c>
      <c r="N17" s="24">
        <f t="shared" si="1"/>
        <v>0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56.754098360655739</v>
      </c>
      <c r="N18" s="24">
        <f t="shared" si="1"/>
        <v>0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56.754098360655739</v>
      </c>
      <c r="N19" s="24">
        <f t="shared" si="1"/>
        <v>0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56.754098360655739</v>
      </c>
      <c r="N20" s="24">
        <f t="shared" si="1"/>
        <v>0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56.754098360655739</v>
      </c>
      <c r="N21" s="24">
        <f t="shared" si="1"/>
        <v>0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56.754098360655739</v>
      </c>
      <c r="N22" s="24">
        <f t="shared" si="1"/>
        <v>0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3">1/$Q$3*$Q$2</f>
        <v>56.754098360655739</v>
      </c>
      <c r="N23" s="24">
        <f t="shared" ref="N23:N76" si="4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3"/>
        <v>56.754098360655739</v>
      </c>
      <c r="N24" s="24">
        <f t="shared" si="4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3"/>
        <v>56.754098360655739</v>
      </c>
      <c r="N25" s="24">
        <f t="shared" si="4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3"/>
        <v>56.754098360655739</v>
      </c>
      <c r="N26" s="24">
        <f t="shared" si="4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3"/>
        <v>56.754098360655739</v>
      </c>
      <c r="N27" s="24">
        <f t="shared" si="4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3"/>
        <v>56.754098360655739</v>
      </c>
      <c r="N28" s="24">
        <f t="shared" si="4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3"/>
        <v>56.754098360655739</v>
      </c>
      <c r="N29" s="24">
        <f t="shared" si="4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3"/>
        <v>56.754098360655739</v>
      </c>
      <c r="N30" s="24">
        <f t="shared" si="4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3"/>
        <v>56.754098360655739</v>
      </c>
      <c r="N31" s="24">
        <f t="shared" si="4"/>
        <v>0</v>
      </c>
    </row>
    <row r="32" spans="1:14">
      <c r="A32">
        <f t="shared" si="0"/>
        <v>28</v>
      </c>
      <c r="B32">
        <v>1</v>
      </c>
      <c r="D32">
        <v>1</v>
      </c>
      <c r="E32" s="23">
        <f t="shared" si="3"/>
        <v>56.754098360655739</v>
      </c>
      <c r="N32" s="24">
        <f t="shared" si="4"/>
        <v>0</v>
      </c>
    </row>
    <row r="33" spans="1:14">
      <c r="A33">
        <f t="shared" si="0"/>
        <v>29</v>
      </c>
      <c r="B33">
        <v>1</v>
      </c>
      <c r="D33">
        <v>1</v>
      </c>
      <c r="E33" s="23">
        <f t="shared" si="3"/>
        <v>56.754098360655739</v>
      </c>
      <c r="N33" s="24">
        <f t="shared" si="4"/>
        <v>0</v>
      </c>
    </row>
    <row r="34" spans="1:14">
      <c r="A34">
        <f t="shared" si="0"/>
        <v>30</v>
      </c>
      <c r="B34">
        <v>1</v>
      </c>
      <c r="D34">
        <v>1</v>
      </c>
      <c r="E34" s="23">
        <f t="shared" si="3"/>
        <v>56.754098360655739</v>
      </c>
      <c r="N34" s="24">
        <f t="shared" si="4"/>
        <v>0</v>
      </c>
    </row>
    <row r="35" spans="1:14">
      <c r="A35">
        <f t="shared" si="0"/>
        <v>31</v>
      </c>
      <c r="B35">
        <v>1</v>
      </c>
      <c r="D35">
        <v>1</v>
      </c>
      <c r="E35" s="23">
        <f t="shared" si="3"/>
        <v>56.754098360655739</v>
      </c>
      <c r="N35" s="24">
        <f t="shared" si="4"/>
        <v>0</v>
      </c>
    </row>
    <row r="36" spans="1:14">
      <c r="A36">
        <f t="shared" si="0"/>
        <v>32</v>
      </c>
      <c r="B36">
        <v>1</v>
      </c>
      <c r="D36">
        <v>1</v>
      </c>
      <c r="E36" s="23">
        <f t="shared" si="3"/>
        <v>56.754098360655739</v>
      </c>
      <c r="N36" s="24">
        <f t="shared" si="4"/>
        <v>0</v>
      </c>
    </row>
    <row r="37" spans="1:14">
      <c r="A37">
        <f t="shared" si="0"/>
        <v>33</v>
      </c>
      <c r="B37">
        <v>1</v>
      </c>
      <c r="D37">
        <v>1</v>
      </c>
      <c r="E37" s="23">
        <f t="shared" si="3"/>
        <v>56.754098360655739</v>
      </c>
      <c r="N37" s="24">
        <f t="shared" si="4"/>
        <v>0</v>
      </c>
    </row>
    <row r="38" spans="1:14">
      <c r="A38">
        <f t="shared" si="0"/>
        <v>34</v>
      </c>
      <c r="B38">
        <v>1</v>
      </c>
      <c r="D38">
        <v>1</v>
      </c>
      <c r="E38" s="23">
        <f t="shared" si="3"/>
        <v>56.754098360655739</v>
      </c>
      <c r="N38" s="24">
        <f t="shared" si="4"/>
        <v>0</v>
      </c>
    </row>
    <row r="39" spans="1:14">
      <c r="A39">
        <f t="shared" si="0"/>
        <v>35</v>
      </c>
      <c r="B39">
        <v>1</v>
      </c>
      <c r="D39">
        <v>1</v>
      </c>
      <c r="E39" s="23">
        <f t="shared" si="3"/>
        <v>56.754098360655739</v>
      </c>
      <c r="N39" s="24">
        <f t="shared" si="4"/>
        <v>0</v>
      </c>
    </row>
    <row r="40" spans="1:14">
      <c r="A40">
        <f t="shared" si="0"/>
        <v>36</v>
      </c>
      <c r="B40">
        <v>1</v>
      </c>
      <c r="D40">
        <v>1</v>
      </c>
      <c r="E40" s="23">
        <f t="shared" si="3"/>
        <v>56.754098360655739</v>
      </c>
      <c r="N40" s="24">
        <f t="shared" si="4"/>
        <v>0</v>
      </c>
    </row>
    <row r="41" spans="1:14">
      <c r="A41">
        <f t="shared" si="0"/>
        <v>37</v>
      </c>
      <c r="B41">
        <v>1</v>
      </c>
      <c r="D41">
        <v>1</v>
      </c>
      <c r="E41" s="23">
        <f t="shared" si="3"/>
        <v>56.754098360655739</v>
      </c>
      <c r="N41" s="24">
        <f t="shared" si="4"/>
        <v>0</v>
      </c>
    </row>
    <row r="42" spans="1:14">
      <c r="A42">
        <f t="shared" si="0"/>
        <v>38</v>
      </c>
      <c r="B42">
        <v>1</v>
      </c>
      <c r="D42">
        <v>1</v>
      </c>
      <c r="E42" s="23">
        <f t="shared" si="3"/>
        <v>56.754098360655739</v>
      </c>
      <c r="N42" s="24">
        <f t="shared" si="4"/>
        <v>0</v>
      </c>
    </row>
    <row r="43" spans="1:14">
      <c r="A43">
        <f t="shared" si="0"/>
        <v>39</v>
      </c>
      <c r="B43">
        <v>1</v>
      </c>
      <c r="E43" s="23">
        <f t="shared" si="3"/>
        <v>56.754098360655739</v>
      </c>
      <c r="N43" s="24">
        <f t="shared" si="4"/>
        <v>0</v>
      </c>
    </row>
    <row r="44" spans="1:14">
      <c r="A44">
        <f t="shared" si="0"/>
        <v>40</v>
      </c>
      <c r="B44">
        <v>1</v>
      </c>
      <c r="E44" s="23">
        <f t="shared" si="3"/>
        <v>56.754098360655739</v>
      </c>
      <c r="N44" s="24">
        <f t="shared" si="4"/>
        <v>0</v>
      </c>
    </row>
    <row r="45" spans="1:14">
      <c r="A45">
        <f t="shared" si="0"/>
        <v>41</v>
      </c>
      <c r="B45">
        <v>1</v>
      </c>
      <c r="E45" s="23">
        <f t="shared" si="3"/>
        <v>56.754098360655739</v>
      </c>
      <c r="N45" s="24">
        <f t="shared" si="4"/>
        <v>0</v>
      </c>
    </row>
    <row r="46" spans="1:14">
      <c r="A46">
        <f t="shared" si="0"/>
        <v>42</v>
      </c>
      <c r="B46">
        <v>1</v>
      </c>
      <c r="E46" s="23">
        <f t="shared" si="3"/>
        <v>56.754098360655739</v>
      </c>
      <c r="N46" s="24">
        <f t="shared" si="4"/>
        <v>0</v>
      </c>
    </row>
    <row r="47" spans="1:14">
      <c r="A47">
        <f t="shared" si="0"/>
        <v>43</v>
      </c>
      <c r="B47">
        <v>1</v>
      </c>
      <c r="E47" s="23">
        <f t="shared" si="3"/>
        <v>56.754098360655739</v>
      </c>
      <c r="N47" s="24">
        <f t="shared" si="4"/>
        <v>0</v>
      </c>
    </row>
    <row r="48" spans="1:14">
      <c r="A48">
        <f t="shared" si="0"/>
        <v>44</v>
      </c>
      <c r="B48">
        <v>1</v>
      </c>
      <c r="E48" s="23">
        <f t="shared" si="3"/>
        <v>56.754098360655739</v>
      </c>
      <c r="N48" s="24">
        <f t="shared" si="4"/>
        <v>0</v>
      </c>
    </row>
    <row r="49" spans="1:14">
      <c r="A49">
        <f t="shared" si="0"/>
        <v>45</v>
      </c>
      <c r="B49">
        <v>1</v>
      </c>
      <c r="E49" s="23">
        <f t="shared" si="3"/>
        <v>56.754098360655739</v>
      </c>
      <c r="N49" s="24">
        <f t="shared" si="4"/>
        <v>0</v>
      </c>
    </row>
    <row r="50" spans="1:14">
      <c r="A50">
        <f t="shared" si="0"/>
        <v>46</v>
      </c>
      <c r="B50">
        <v>1</v>
      </c>
      <c r="E50" s="23">
        <f t="shared" si="3"/>
        <v>56.754098360655739</v>
      </c>
      <c r="N50" s="24">
        <f t="shared" si="4"/>
        <v>0</v>
      </c>
    </row>
    <row r="51" spans="1:14">
      <c r="A51">
        <f t="shared" si="0"/>
        <v>47</v>
      </c>
      <c r="B51">
        <v>1</v>
      </c>
      <c r="E51" s="23">
        <f t="shared" si="3"/>
        <v>56.754098360655739</v>
      </c>
      <c r="N51" s="24">
        <f t="shared" si="4"/>
        <v>0</v>
      </c>
    </row>
    <row r="52" spans="1:14">
      <c r="A52">
        <f t="shared" si="0"/>
        <v>48</v>
      </c>
      <c r="B52">
        <v>1</v>
      </c>
      <c r="E52" s="23">
        <f t="shared" si="3"/>
        <v>56.754098360655739</v>
      </c>
      <c r="N52" s="24">
        <f t="shared" si="4"/>
        <v>0</v>
      </c>
    </row>
    <row r="53" spans="1:14">
      <c r="A53">
        <f t="shared" si="0"/>
        <v>49</v>
      </c>
      <c r="B53">
        <v>1</v>
      </c>
      <c r="E53" s="23">
        <f t="shared" si="3"/>
        <v>56.754098360655739</v>
      </c>
      <c r="N53" s="24">
        <f t="shared" si="4"/>
        <v>0</v>
      </c>
    </row>
    <row r="54" spans="1:14">
      <c r="A54">
        <f t="shared" si="0"/>
        <v>50</v>
      </c>
      <c r="B54">
        <v>1</v>
      </c>
      <c r="E54" s="23">
        <f t="shared" si="3"/>
        <v>56.754098360655739</v>
      </c>
      <c r="N54" s="24">
        <f t="shared" si="4"/>
        <v>0</v>
      </c>
    </row>
    <row r="55" spans="1:14">
      <c r="A55">
        <f t="shared" si="0"/>
        <v>51</v>
      </c>
      <c r="B55">
        <v>1</v>
      </c>
      <c r="E55" s="23">
        <f t="shared" si="3"/>
        <v>56.754098360655739</v>
      </c>
      <c r="N55" s="24">
        <f t="shared" si="4"/>
        <v>0</v>
      </c>
    </row>
    <row r="56" spans="1:14">
      <c r="A56">
        <f t="shared" si="0"/>
        <v>52</v>
      </c>
      <c r="B56">
        <v>1</v>
      </c>
      <c r="E56" s="23">
        <f t="shared" si="3"/>
        <v>56.754098360655739</v>
      </c>
      <c r="N56" s="24">
        <f t="shared" si="4"/>
        <v>0</v>
      </c>
    </row>
    <row r="57" spans="1:14">
      <c r="A57">
        <f t="shared" si="0"/>
        <v>53</v>
      </c>
      <c r="B57">
        <v>1</v>
      </c>
      <c r="E57" s="23">
        <f t="shared" si="3"/>
        <v>56.754098360655739</v>
      </c>
      <c r="N57" s="24">
        <f t="shared" si="4"/>
        <v>0</v>
      </c>
    </row>
    <row r="58" spans="1:14">
      <c r="A58">
        <f t="shared" si="0"/>
        <v>54</v>
      </c>
      <c r="B58">
        <v>1</v>
      </c>
      <c r="E58" s="23">
        <f t="shared" si="3"/>
        <v>56.754098360655739</v>
      </c>
      <c r="N58" s="24">
        <f t="shared" si="4"/>
        <v>0</v>
      </c>
    </row>
    <row r="59" spans="1:14">
      <c r="A59">
        <f t="shared" si="0"/>
        <v>55</v>
      </c>
      <c r="B59">
        <v>1</v>
      </c>
      <c r="E59" s="23">
        <f t="shared" si="3"/>
        <v>56.754098360655739</v>
      </c>
      <c r="N59" s="24">
        <f t="shared" si="4"/>
        <v>0</v>
      </c>
    </row>
    <row r="60" spans="1:14">
      <c r="A60">
        <f t="shared" si="0"/>
        <v>56</v>
      </c>
      <c r="B60">
        <v>1</v>
      </c>
      <c r="E60" s="23">
        <f t="shared" si="3"/>
        <v>56.754098360655739</v>
      </c>
      <c r="N60" s="24">
        <f t="shared" si="4"/>
        <v>0</v>
      </c>
    </row>
    <row r="61" spans="1:14">
      <c r="A61">
        <f t="shared" si="0"/>
        <v>57</v>
      </c>
      <c r="B61">
        <v>1</v>
      </c>
      <c r="E61" s="23">
        <f t="shared" si="3"/>
        <v>56.754098360655739</v>
      </c>
      <c r="N61" s="24">
        <f t="shared" si="4"/>
        <v>0</v>
      </c>
    </row>
    <row r="62" spans="1:14">
      <c r="A62">
        <f t="shared" si="0"/>
        <v>58</v>
      </c>
      <c r="B62">
        <v>1</v>
      </c>
      <c r="E62" s="23">
        <f t="shared" si="3"/>
        <v>56.754098360655739</v>
      </c>
      <c r="N62" s="24">
        <f t="shared" si="4"/>
        <v>0</v>
      </c>
    </row>
    <row r="63" spans="1:14">
      <c r="A63">
        <f t="shared" si="0"/>
        <v>59</v>
      </c>
      <c r="B63">
        <v>1</v>
      </c>
      <c r="E63" s="23">
        <f t="shared" si="3"/>
        <v>56.754098360655739</v>
      </c>
      <c r="N63" s="24">
        <f t="shared" si="4"/>
        <v>0</v>
      </c>
    </row>
    <row r="64" spans="1:14">
      <c r="A64">
        <f t="shared" si="0"/>
        <v>60</v>
      </c>
      <c r="B64">
        <v>1</v>
      </c>
      <c r="E64" s="23">
        <f t="shared" si="3"/>
        <v>56.754098360655739</v>
      </c>
      <c r="I64" s="24">
        <f>$Q$10</f>
        <v>3150</v>
      </c>
      <c r="M64" s="24">
        <v>36</v>
      </c>
      <c r="N64" s="24">
        <f t="shared" si="4"/>
        <v>978.07500000000005</v>
      </c>
    </row>
    <row r="65" spans="1:14">
      <c r="A65">
        <f t="shared" si="0"/>
        <v>61</v>
      </c>
      <c r="B65">
        <v>1</v>
      </c>
      <c r="E65" s="23">
        <f t="shared" si="3"/>
        <v>56.754098360655739</v>
      </c>
      <c r="N65" s="24">
        <f t="shared" si="4"/>
        <v>0</v>
      </c>
    </row>
    <row r="66" spans="1:14">
      <c r="A66">
        <f t="shared" si="0"/>
        <v>62</v>
      </c>
      <c r="B66">
        <v>1</v>
      </c>
      <c r="E66" s="23">
        <f t="shared" si="3"/>
        <v>56.754098360655739</v>
      </c>
      <c r="N66" s="24">
        <f t="shared" si="4"/>
        <v>0</v>
      </c>
    </row>
    <row r="67" spans="1:14">
      <c r="A67">
        <f t="shared" si="0"/>
        <v>63</v>
      </c>
      <c r="B67">
        <v>1</v>
      </c>
      <c r="E67" s="23">
        <f t="shared" si="3"/>
        <v>56.754098360655739</v>
      </c>
      <c r="N67" s="24">
        <f t="shared" si="4"/>
        <v>0</v>
      </c>
    </row>
    <row r="68" spans="1:14">
      <c r="A68">
        <f t="shared" si="0"/>
        <v>64</v>
      </c>
      <c r="B68">
        <v>1</v>
      </c>
      <c r="E68" s="23">
        <f t="shared" si="3"/>
        <v>56.754098360655739</v>
      </c>
      <c r="N68" s="24">
        <f t="shared" si="4"/>
        <v>0</v>
      </c>
    </row>
    <row r="69" spans="1:14">
      <c r="A69">
        <f t="shared" si="0"/>
        <v>65</v>
      </c>
      <c r="B69">
        <v>1</v>
      </c>
      <c r="E69" s="23">
        <f t="shared" si="3"/>
        <v>56.754098360655739</v>
      </c>
      <c r="N69" s="24">
        <f t="shared" si="4"/>
        <v>0</v>
      </c>
    </row>
    <row r="70" spans="1:14">
      <c r="A70">
        <f t="shared" ref="A70:A81" si="5">ROW()-4</f>
        <v>66</v>
      </c>
      <c r="B70">
        <v>1</v>
      </c>
      <c r="E70" s="23">
        <f t="shared" si="3"/>
        <v>56.754098360655739</v>
      </c>
      <c r="N70" s="24">
        <f t="shared" si="4"/>
        <v>0</v>
      </c>
    </row>
    <row r="71" spans="1:14">
      <c r="A71">
        <f t="shared" si="5"/>
        <v>67</v>
      </c>
      <c r="B71">
        <v>1</v>
      </c>
      <c r="E71" s="23">
        <f t="shared" si="3"/>
        <v>56.754098360655739</v>
      </c>
      <c r="N71" s="24">
        <f t="shared" si="4"/>
        <v>0</v>
      </c>
    </row>
    <row r="72" spans="1:14">
      <c r="A72">
        <f t="shared" si="5"/>
        <v>68</v>
      </c>
      <c r="B72">
        <v>1</v>
      </c>
      <c r="E72" s="23">
        <f t="shared" si="3"/>
        <v>56.754098360655739</v>
      </c>
      <c r="N72" s="24">
        <f t="shared" si="4"/>
        <v>0</v>
      </c>
    </row>
    <row r="73" spans="1:14">
      <c r="A73">
        <f t="shared" si="5"/>
        <v>69</v>
      </c>
      <c r="B73">
        <v>1</v>
      </c>
      <c r="E73" s="23">
        <f t="shared" si="3"/>
        <v>56.754098360655739</v>
      </c>
      <c r="N73" s="24">
        <f t="shared" si="4"/>
        <v>0</v>
      </c>
    </row>
    <row r="74" spans="1:14">
      <c r="A74">
        <f t="shared" si="5"/>
        <v>70</v>
      </c>
      <c r="B74">
        <v>1</v>
      </c>
      <c r="E74" s="23">
        <f t="shared" si="3"/>
        <v>56.754098360655739</v>
      </c>
      <c r="N74" s="24">
        <f t="shared" si="4"/>
        <v>0</v>
      </c>
    </row>
    <row r="75" spans="1:14">
      <c r="A75">
        <f t="shared" si="5"/>
        <v>71</v>
      </c>
      <c r="B75">
        <v>1</v>
      </c>
      <c r="E75" s="23">
        <f t="shared" si="3"/>
        <v>56.754098360655739</v>
      </c>
      <c r="N75" s="24">
        <f t="shared" si="4"/>
        <v>0</v>
      </c>
    </row>
    <row r="76" spans="1:14">
      <c r="A76">
        <f t="shared" si="5"/>
        <v>72</v>
      </c>
      <c r="B76">
        <v>1</v>
      </c>
      <c r="E76" s="23">
        <f t="shared" si="3"/>
        <v>56.754098360655739</v>
      </c>
      <c r="N76" s="24">
        <f t="shared" si="4"/>
        <v>0</v>
      </c>
    </row>
    <row r="77" spans="1:14">
      <c r="A77">
        <f t="shared" si="5"/>
        <v>73</v>
      </c>
      <c r="B77">
        <v>1</v>
      </c>
      <c r="E77" s="23">
        <f t="shared" si="3"/>
        <v>56.754098360655739</v>
      </c>
    </row>
    <row r="78" spans="1:14">
      <c r="A78">
        <f t="shared" si="5"/>
        <v>74</v>
      </c>
      <c r="B78">
        <v>1</v>
      </c>
      <c r="E78" s="23">
        <f t="shared" si="3"/>
        <v>56.754098360655739</v>
      </c>
    </row>
    <row r="79" spans="1:14">
      <c r="A79">
        <f t="shared" si="5"/>
        <v>75</v>
      </c>
      <c r="B79">
        <v>1</v>
      </c>
      <c r="E79" s="23">
        <f t="shared" si="3"/>
        <v>56.754098360655739</v>
      </c>
    </row>
    <row r="80" spans="1:14">
      <c r="A80">
        <f t="shared" si="5"/>
        <v>76</v>
      </c>
      <c r="B80">
        <v>1</v>
      </c>
      <c r="E80" s="23">
        <f t="shared" si="3"/>
        <v>56.754098360655739</v>
      </c>
    </row>
    <row r="81" spans="1:14">
      <c r="A81">
        <f t="shared" si="5"/>
        <v>77</v>
      </c>
      <c r="B81">
        <v>1</v>
      </c>
      <c r="E81" s="23">
        <f t="shared" si="3"/>
        <v>56.754098360655739</v>
      </c>
    </row>
    <row r="88" spans="1:14">
      <c r="A88" s="28">
        <f>COUNT(A5:A87)</f>
        <v>77</v>
      </c>
      <c r="B88" s="28">
        <f>SUM(B13:B87)</f>
        <v>69</v>
      </c>
      <c r="C88" s="28">
        <f>SUM(C5:C87)</f>
        <v>26</v>
      </c>
      <c r="E88" s="29"/>
      <c r="F88" s="29">
        <f>SUM(F5:F87)</f>
        <v>0</v>
      </c>
      <c r="G88" s="29">
        <f t="shared" ref="G88:I88" si="6">SUM(G5:G87)</f>
        <v>0</v>
      </c>
      <c r="H88" s="29">
        <f t="shared" si="6"/>
        <v>0</v>
      </c>
      <c r="I88" s="29">
        <f t="shared" si="6"/>
        <v>3150</v>
      </c>
      <c r="J88" s="29"/>
      <c r="K88" s="29"/>
      <c r="L88" s="29"/>
      <c r="M88" s="29"/>
      <c r="N88" s="29">
        <f>SUM(N5:N87)</f>
        <v>978.07500000000005</v>
      </c>
    </row>
    <row r="89" spans="1:14">
      <c r="F89" s="25">
        <f>SUM(F88:I88)</f>
        <v>3150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VIPcric_3!D119</f>
        <v>14729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v>49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N7" s="24">
        <f t="shared" ref="N7:N70" si="1">(F7*J7+G7*K7+H7*L7+I7*M7)*$Q$1</f>
        <v>0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si="1"/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6" t="s">
        <v>789</v>
      </c>
      <c r="Q10" s="27">
        <v>6384.85</v>
      </c>
      <c r="R10" s="27" t="s">
        <v>755</v>
      </c>
    </row>
    <row r="11" spans="1:20">
      <c r="A11">
        <f t="shared" si="0"/>
        <v>7</v>
      </c>
      <c r="B11">
        <v>1</v>
      </c>
      <c r="C11">
        <v>1</v>
      </c>
      <c r="E11" s="23">
        <f t="shared" ref="E11:E60" si="2">1/$Q$3*$Q$2</f>
        <v>300.59183673469386</v>
      </c>
      <c r="N11" s="24">
        <f t="shared" si="1"/>
        <v>0</v>
      </c>
    </row>
    <row r="12" spans="1:20">
      <c r="A12">
        <f t="shared" si="0"/>
        <v>8</v>
      </c>
      <c r="B12">
        <v>1</v>
      </c>
      <c r="C12">
        <v>1</v>
      </c>
      <c r="E12" s="23">
        <f t="shared" si="2"/>
        <v>300.59183673469386</v>
      </c>
      <c r="N12" s="24">
        <f t="shared" si="1"/>
        <v>0</v>
      </c>
    </row>
    <row r="13" spans="1:20">
      <c r="A13">
        <f t="shared" si="0"/>
        <v>9</v>
      </c>
      <c r="B13">
        <v>1</v>
      </c>
      <c r="C13">
        <v>1</v>
      </c>
      <c r="E13" s="23">
        <f t="shared" si="2"/>
        <v>300.59183673469386</v>
      </c>
      <c r="N13" s="24">
        <f t="shared" si="1"/>
        <v>0</v>
      </c>
    </row>
    <row r="14" spans="1:20">
      <c r="A14">
        <f t="shared" si="0"/>
        <v>10</v>
      </c>
      <c r="B14">
        <v>1</v>
      </c>
      <c r="C14">
        <v>1</v>
      </c>
      <c r="E14" s="23">
        <f t="shared" si="2"/>
        <v>300.59183673469386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si="2"/>
        <v>300.59183673469386</v>
      </c>
      <c r="N15" s="24">
        <f t="shared" si="1"/>
        <v>0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300.59183673469386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300.59183673469386</v>
      </c>
      <c r="N17" s="24">
        <f t="shared" si="1"/>
        <v>0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300.59183673469386</v>
      </c>
      <c r="N18" s="24">
        <f t="shared" si="1"/>
        <v>0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300.59183673469386</v>
      </c>
      <c r="N19" s="24">
        <f t="shared" si="1"/>
        <v>0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300.59183673469386</v>
      </c>
      <c r="N20" s="24">
        <f t="shared" si="1"/>
        <v>0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300.59183673469386</v>
      </c>
      <c r="N21" s="24">
        <f t="shared" si="1"/>
        <v>0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300.59183673469386</v>
      </c>
      <c r="N22" s="24">
        <f t="shared" si="1"/>
        <v>0</v>
      </c>
    </row>
    <row r="23" spans="1:14">
      <c r="A23">
        <f t="shared" si="0"/>
        <v>19</v>
      </c>
      <c r="B23">
        <v>1</v>
      </c>
      <c r="C23">
        <v>1</v>
      </c>
      <c r="E23" s="23">
        <f t="shared" si="2"/>
        <v>300.59183673469386</v>
      </c>
      <c r="N23" s="24">
        <f t="shared" si="1"/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300.59183673469386</v>
      </c>
      <c r="N24" s="24">
        <f t="shared" si="1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300.59183673469386</v>
      </c>
      <c r="N25" s="24">
        <f t="shared" si="1"/>
        <v>0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300.59183673469386</v>
      </c>
      <c r="N26" s="24">
        <f t="shared" si="1"/>
        <v>0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300.59183673469386</v>
      </c>
      <c r="N27" s="24">
        <f t="shared" si="1"/>
        <v>0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300.59183673469386</v>
      </c>
      <c r="N28" s="24">
        <f t="shared" si="1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300.59183673469386</v>
      </c>
      <c r="N29" s="24">
        <f t="shared" si="1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300.59183673469386</v>
      </c>
      <c r="N30" s="24">
        <f t="shared" si="1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2"/>
        <v>300.59183673469386</v>
      </c>
      <c r="H31" s="24">
        <f>$Q$10*95%</f>
        <v>6065.6075000000001</v>
      </c>
      <c r="I31" s="24">
        <f>$Q$10*5%</f>
        <v>319.24250000000006</v>
      </c>
      <c r="L31" s="24">
        <v>21</v>
      </c>
      <c r="M31" s="24">
        <v>12</v>
      </c>
      <c r="N31" s="24">
        <f t="shared" si="1"/>
        <v>1131.6747571875003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300.59183673469386</v>
      </c>
      <c r="I32" s="24">
        <f t="shared" ref="I32:I42" si="3">$Q$10*5%</f>
        <v>319.24250000000006</v>
      </c>
      <c r="M32" s="24">
        <f>M31-1</f>
        <v>11</v>
      </c>
      <c r="N32" s="24">
        <f t="shared" si="1"/>
        <v>30.288132187500008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300.59183673469386</v>
      </c>
      <c r="I33" s="24">
        <f t="shared" si="3"/>
        <v>319.24250000000006</v>
      </c>
      <c r="M33" s="24">
        <f t="shared" ref="M33:M42" si="4">M32-1</f>
        <v>10</v>
      </c>
      <c r="N33" s="24">
        <f t="shared" si="1"/>
        <v>27.534665625000009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300.59183673469386</v>
      </c>
      <c r="I34" s="24">
        <f t="shared" si="3"/>
        <v>319.24250000000006</v>
      </c>
      <c r="M34" s="24">
        <f t="shared" si="4"/>
        <v>9</v>
      </c>
      <c r="N34" s="24">
        <f t="shared" si="1"/>
        <v>24.781199062500008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300.59183673469386</v>
      </c>
      <c r="I35" s="24">
        <f t="shared" si="3"/>
        <v>319.24250000000006</v>
      </c>
      <c r="M35" s="24">
        <f t="shared" si="4"/>
        <v>8</v>
      </c>
      <c r="N35" s="24">
        <f t="shared" si="1"/>
        <v>22.027732500000006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300.59183673469386</v>
      </c>
      <c r="I36" s="24">
        <f t="shared" si="3"/>
        <v>319.24250000000006</v>
      </c>
      <c r="M36" s="24">
        <f t="shared" si="4"/>
        <v>7</v>
      </c>
      <c r="N36" s="24">
        <f t="shared" si="1"/>
        <v>19.274265937500004</v>
      </c>
    </row>
    <row r="37" spans="1:14">
      <c r="A37">
        <f t="shared" si="0"/>
        <v>33</v>
      </c>
      <c r="B37">
        <v>1</v>
      </c>
      <c r="D37">
        <v>1</v>
      </c>
      <c r="E37" s="23">
        <f t="shared" si="2"/>
        <v>300.59183673469386</v>
      </c>
      <c r="I37" s="24">
        <f t="shared" si="3"/>
        <v>319.24250000000006</v>
      </c>
      <c r="M37" s="24">
        <f t="shared" si="4"/>
        <v>6</v>
      </c>
      <c r="N37" s="24">
        <f t="shared" si="1"/>
        <v>16.520799375000006</v>
      </c>
    </row>
    <row r="38" spans="1:14">
      <c r="A38">
        <f t="shared" si="0"/>
        <v>34</v>
      </c>
      <c r="B38">
        <v>1</v>
      </c>
      <c r="D38">
        <v>1</v>
      </c>
      <c r="E38" s="23">
        <f t="shared" si="2"/>
        <v>300.59183673469386</v>
      </c>
      <c r="I38" s="24">
        <f t="shared" si="3"/>
        <v>319.24250000000006</v>
      </c>
      <c r="M38" s="24">
        <f t="shared" si="4"/>
        <v>5</v>
      </c>
      <c r="N38" s="24">
        <f t="shared" si="1"/>
        <v>13.767332812500005</v>
      </c>
    </row>
    <row r="39" spans="1:14">
      <c r="A39">
        <f t="shared" si="0"/>
        <v>35</v>
      </c>
      <c r="B39">
        <v>1</v>
      </c>
      <c r="D39">
        <v>1</v>
      </c>
      <c r="E39" s="23">
        <f t="shared" si="2"/>
        <v>300.59183673469386</v>
      </c>
      <c r="I39" s="24">
        <f t="shared" si="3"/>
        <v>319.24250000000006</v>
      </c>
      <c r="M39" s="24">
        <f t="shared" si="4"/>
        <v>4</v>
      </c>
      <c r="N39" s="24">
        <f t="shared" si="1"/>
        <v>11.013866250000003</v>
      </c>
    </row>
    <row r="40" spans="1:14">
      <c r="A40">
        <f t="shared" si="0"/>
        <v>36</v>
      </c>
      <c r="B40">
        <v>1</v>
      </c>
      <c r="D40">
        <v>1</v>
      </c>
      <c r="E40" s="23">
        <f t="shared" si="2"/>
        <v>300.59183673469386</v>
      </c>
      <c r="I40" s="24">
        <f t="shared" si="3"/>
        <v>319.24250000000006</v>
      </c>
      <c r="M40" s="24">
        <f t="shared" si="4"/>
        <v>3</v>
      </c>
      <c r="N40" s="24">
        <f t="shared" si="1"/>
        <v>8.2603996875000032</v>
      </c>
    </row>
    <row r="41" spans="1:14">
      <c r="A41">
        <f t="shared" si="0"/>
        <v>37</v>
      </c>
      <c r="B41">
        <v>1</v>
      </c>
      <c r="D41">
        <v>1</v>
      </c>
      <c r="E41" s="23">
        <f t="shared" si="2"/>
        <v>300.59183673469386</v>
      </c>
      <c r="I41" s="24">
        <f t="shared" si="3"/>
        <v>319.24250000000006</v>
      </c>
      <c r="M41" s="24">
        <f t="shared" si="4"/>
        <v>2</v>
      </c>
      <c r="N41" s="24">
        <f t="shared" si="1"/>
        <v>5.5069331250000015</v>
      </c>
    </row>
    <row r="42" spans="1:14">
      <c r="A42">
        <f t="shared" si="0"/>
        <v>38</v>
      </c>
      <c r="B42">
        <v>1</v>
      </c>
      <c r="D42">
        <v>1</v>
      </c>
      <c r="E42" s="23">
        <f t="shared" si="2"/>
        <v>300.59183673469386</v>
      </c>
      <c r="I42" s="24">
        <f t="shared" si="3"/>
        <v>319.24250000000006</v>
      </c>
      <c r="M42" s="24">
        <f t="shared" si="4"/>
        <v>1</v>
      </c>
      <c r="N42" s="24">
        <f t="shared" si="1"/>
        <v>2.7534665625000008</v>
      </c>
    </row>
    <row r="43" spans="1:14">
      <c r="A43">
        <f t="shared" si="0"/>
        <v>39</v>
      </c>
      <c r="B43">
        <v>1</v>
      </c>
      <c r="E43" s="23">
        <f t="shared" si="2"/>
        <v>300.59183673469386</v>
      </c>
      <c r="N43" s="24">
        <f t="shared" si="1"/>
        <v>0</v>
      </c>
    </row>
    <row r="44" spans="1:14">
      <c r="A44">
        <f t="shared" si="0"/>
        <v>40</v>
      </c>
      <c r="B44">
        <v>1</v>
      </c>
      <c r="E44" s="23">
        <f t="shared" si="2"/>
        <v>300.59183673469386</v>
      </c>
      <c r="N44" s="24">
        <f t="shared" si="1"/>
        <v>0</v>
      </c>
    </row>
    <row r="45" spans="1:14">
      <c r="A45">
        <f t="shared" si="0"/>
        <v>41</v>
      </c>
      <c r="B45">
        <v>1</v>
      </c>
      <c r="E45" s="23">
        <f t="shared" si="2"/>
        <v>300.59183673469386</v>
      </c>
      <c r="N45" s="24">
        <f t="shared" si="1"/>
        <v>0</v>
      </c>
    </row>
    <row r="46" spans="1:14">
      <c r="A46">
        <f t="shared" si="0"/>
        <v>42</v>
      </c>
      <c r="B46">
        <v>1</v>
      </c>
      <c r="E46" s="23">
        <f t="shared" si="2"/>
        <v>300.59183673469386</v>
      </c>
      <c r="N46" s="24">
        <f t="shared" si="1"/>
        <v>0</v>
      </c>
    </row>
    <row r="47" spans="1:14">
      <c r="A47">
        <f t="shared" si="0"/>
        <v>43</v>
      </c>
      <c r="B47">
        <v>1</v>
      </c>
      <c r="E47" s="23">
        <f t="shared" si="2"/>
        <v>300.59183673469386</v>
      </c>
      <c r="N47" s="24">
        <f t="shared" si="1"/>
        <v>0</v>
      </c>
    </row>
    <row r="48" spans="1:14">
      <c r="A48">
        <f t="shared" si="0"/>
        <v>44</v>
      </c>
      <c r="B48">
        <v>1</v>
      </c>
      <c r="E48" s="23">
        <f t="shared" si="2"/>
        <v>300.59183673469386</v>
      </c>
      <c r="N48" s="24">
        <f t="shared" si="1"/>
        <v>0</v>
      </c>
    </row>
    <row r="49" spans="1:14">
      <c r="A49">
        <f t="shared" si="0"/>
        <v>45</v>
      </c>
      <c r="B49">
        <v>1</v>
      </c>
      <c r="E49" s="23">
        <f t="shared" si="2"/>
        <v>300.59183673469386</v>
      </c>
      <c r="N49" s="24">
        <f t="shared" si="1"/>
        <v>0</v>
      </c>
    </row>
    <row r="50" spans="1:14">
      <c r="A50">
        <f t="shared" si="0"/>
        <v>46</v>
      </c>
      <c r="B50">
        <v>1</v>
      </c>
      <c r="E50" s="23">
        <f t="shared" si="2"/>
        <v>300.59183673469386</v>
      </c>
      <c r="N50" s="24">
        <f t="shared" si="1"/>
        <v>0</v>
      </c>
    </row>
    <row r="51" spans="1:14">
      <c r="A51">
        <f t="shared" si="0"/>
        <v>47</v>
      </c>
      <c r="B51">
        <v>1</v>
      </c>
      <c r="E51" s="23">
        <f t="shared" si="2"/>
        <v>300.59183673469386</v>
      </c>
      <c r="N51" s="24">
        <f t="shared" si="1"/>
        <v>0</v>
      </c>
    </row>
    <row r="52" spans="1:14">
      <c r="A52">
        <f t="shared" si="0"/>
        <v>48</v>
      </c>
      <c r="B52">
        <v>1</v>
      </c>
      <c r="E52" s="23">
        <f t="shared" si="2"/>
        <v>300.59183673469386</v>
      </c>
      <c r="N52" s="24">
        <f t="shared" si="1"/>
        <v>0</v>
      </c>
    </row>
    <row r="53" spans="1:14">
      <c r="A53">
        <f t="shared" si="0"/>
        <v>49</v>
      </c>
      <c r="B53">
        <v>1</v>
      </c>
      <c r="E53" s="23">
        <f t="shared" si="2"/>
        <v>300.59183673469386</v>
      </c>
      <c r="N53" s="24">
        <f t="shared" si="1"/>
        <v>0</v>
      </c>
    </row>
    <row r="54" spans="1:14">
      <c r="A54">
        <f t="shared" si="0"/>
        <v>50</v>
      </c>
      <c r="B54">
        <v>1</v>
      </c>
      <c r="E54" s="23">
        <f t="shared" si="2"/>
        <v>300.59183673469386</v>
      </c>
      <c r="N54" s="24">
        <f t="shared" si="1"/>
        <v>0</v>
      </c>
    </row>
    <row r="55" spans="1:14">
      <c r="A55">
        <f t="shared" si="0"/>
        <v>51</v>
      </c>
      <c r="B55">
        <v>1</v>
      </c>
      <c r="E55" s="23">
        <f t="shared" si="2"/>
        <v>300.59183673469386</v>
      </c>
      <c r="N55" s="24">
        <f t="shared" si="1"/>
        <v>0</v>
      </c>
    </row>
    <row r="56" spans="1:14">
      <c r="A56">
        <f t="shared" si="0"/>
        <v>52</v>
      </c>
      <c r="B56">
        <v>1</v>
      </c>
      <c r="E56" s="23">
        <f t="shared" si="2"/>
        <v>300.59183673469386</v>
      </c>
      <c r="N56" s="24">
        <f t="shared" si="1"/>
        <v>0</v>
      </c>
    </row>
    <row r="57" spans="1:14">
      <c r="A57">
        <f t="shared" si="0"/>
        <v>53</v>
      </c>
      <c r="B57">
        <v>1</v>
      </c>
      <c r="E57" s="23">
        <f t="shared" si="2"/>
        <v>300.59183673469386</v>
      </c>
      <c r="N57" s="24">
        <f t="shared" si="1"/>
        <v>0</v>
      </c>
    </row>
    <row r="58" spans="1:14">
      <c r="A58">
        <f t="shared" si="0"/>
        <v>54</v>
      </c>
      <c r="B58">
        <v>1</v>
      </c>
      <c r="E58" s="23">
        <f t="shared" si="2"/>
        <v>300.59183673469386</v>
      </c>
      <c r="N58" s="24">
        <f t="shared" si="1"/>
        <v>0</v>
      </c>
    </row>
    <row r="59" spans="1:14">
      <c r="A59">
        <f t="shared" si="0"/>
        <v>55</v>
      </c>
      <c r="B59">
        <v>1</v>
      </c>
      <c r="E59" s="23">
        <f t="shared" si="2"/>
        <v>300.59183673469386</v>
      </c>
      <c r="N59" s="24">
        <f t="shared" si="1"/>
        <v>0</v>
      </c>
    </row>
    <row r="60" spans="1:14">
      <c r="A60">
        <f t="shared" si="0"/>
        <v>56</v>
      </c>
      <c r="B60">
        <v>1</v>
      </c>
      <c r="E60" s="23">
        <f t="shared" si="2"/>
        <v>300.59183673469386</v>
      </c>
      <c r="N60" s="24">
        <f t="shared" si="1"/>
        <v>0</v>
      </c>
    </row>
    <row r="61" spans="1:14">
      <c r="A61">
        <f t="shared" si="0"/>
        <v>57</v>
      </c>
      <c r="N61" s="24">
        <f t="shared" si="1"/>
        <v>0</v>
      </c>
    </row>
    <row r="62" spans="1:14">
      <c r="A62">
        <f t="shared" si="0"/>
        <v>58</v>
      </c>
      <c r="N62" s="24">
        <f t="shared" si="1"/>
        <v>0</v>
      </c>
    </row>
    <row r="63" spans="1:14">
      <c r="A63">
        <f t="shared" si="0"/>
        <v>59</v>
      </c>
      <c r="N63" s="24">
        <f t="shared" si="1"/>
        <v>0</v>
      </c>
    </row>
    <row r="64" spans="1:14">
      <c r="A64">
        <f t="shared" si="0"/>
        <v>60</v>
      </c>
      <c r="N64" s="24">
        <f t="shared" si="1"/>
        <v>0</v>
      </c>
    </row>
    <row r="65" spans="1:14">
      <c r="A65">
        <f t="shared" si="0"/>
        <v>61</v>
      </c>
      <c r="N65" s="24">
        <f t="shared" si="1"/>
        <v>0</v>
      </c>
    </row>
    <row r="66" spans="1:14">
      <c r="A66">
        <f t="shared" si="0"/>
        <v>62</v>
      </c>
      <c r="N66" s="24">
        <f t="shared" si="1"/>
        <v>0</v>
      </c>
    </row>
    <row r="67" spans="1:14">
      <c r="A67">
        <f t="shared" si="0"/>
        <v>63</v>
      </c>
      <c r="N67" s="24">
        <f t="shared" si="1"/>
        <v>0</v>
      </c>
    </row>
    <row r="68" spans="1:14">
      <c r="A68">
        <f t="shared" si="0"/>
        <v>64</v>
      </c>
      <c r="N68" s="24">
        <f t="shared" si="1"/>
        <v>0</v>
      </c>
    </row>
    <row r="69" spans="1:14">
      <c r="A69">
        <f t="shared" si="0"/>
        <v>65</v>
      </c>
      <c r="N69" s="24">
        <f t="shared" si="1"/>
        <v>0</v>
      </c>
    </row>
    <row r="70" spans="1:14">
      <c r="A70">
        <f t="shared" ref="A70:A81" si="5">ROW()-4</f>
        <v>66</v>
      </c>
      <c r="N70" s="24">
        <f t="shared" si="1"/>
        <v>0</v>
      </c>
    </row>
    <row r="71" spans="1:14">
      <c r="A71">
        <f t="shared" si="5"/>
        <v>67</v>
      </c>
      <c r="N71" s="24">
        <f t="shared" ref="N71:N76" si="6">(F71*J71+G71*K71+H71*L71+I71*M71)*$Q$1</f>
        <v>0</v>
      </c>
    </row>
    <row r="72" spans="1:14">
      <c r="A72">
        <f t="shared" si="5"/>
        <v>68</v>
      </c>
      <c r="N72" s="24">
        <f t="shared" si="6"/>
        <v>0</v>
      </c>
    </row>
    <row r="73" spans="1:14">
      <c r="A73">
        <f t="shared" si="5"/>
        <v>69</v>
      </c>
      <c r="N73" s="24">
        <f t="shared" si="6"/>
        <v>0</v>
      </c>
    </row>
    <row r="74" spans="1:14">
      <c r="A74">
        <f t="shared" si="5"/>
        <v>70</v>
      </c>
      <c r="N74" s="24">
        <f t="shared" si="6"/>
        <v>0</v>
      </c>
    </row>
    <row r="75" spans="1:14">
      <c r="A75">
        <f t="shared" si="5"/>
        <v>71</v>
      </c>
      <c r="N75" s="24">
        <f t="shared" si="6"/>
        <v>0</v>
      </c>
    </row>
    <row r="76" spans="1:14">
      <c r="A76">
        <f t="shared" si="5"/>
        <v>72</v>
      </c>
      <c r="N76" s="24">
        <f t="shared" si="6"/>
        <v>0</v>
      </c>
    </row>
    <row r="77" spans="1:14">
      <c r="A77">
        <f t="shared" si="5"/>
        <v>73</v>
      </c>
    </row>
    <row r="78" spans="1:14">
      <c r="A78">
        <f t="shared" si="5"/>
        <v>74</v>
      </c>
    </row>
    <row r="79" spans="1:14">
      <c r="A79">
        <f t="shared" si="5"/>
        <v>75</v>
      </c>
    </row>
    <row r="80" spans="1:14">
      <c r="A80">
        <f t="shared" si="5"/>
        <v>76</v>
      </c>
    </row>
    <row r="81" spans="1:14">
      <c r="A81">
        <f t="shared" si="5"/>
        <v>77</v>
      </c>
    </row>
    <row r="88" spans="1:14">
      <c r="A88" s="28">
        <f>COUNT(A5:A87)</f>
        <v>77</v>
      </c>
      <c r="B88" s="28">
        <f>SUM(B13:B87)</f>
        <v>48</v>
      </c>
      <c r="C88" s="28">
        <f>SUM(C5:C87)</f>
        <v>26</v>
      </c>
      <c r="E88" s="29"/>
      <c r="F88" s="29">
        <f>SUM(F5:F87)</f>
        <v>0</v>
      </c>
      <c r="G88" s="29">
        <f t="shared" ref="G88:I88" si="7">SUM(G5:G87)</f>
        <v>0</v>
      </c>
      <c r="H88" s="29">
        <f t="shared" si="7"/>
        <v>6065.6075000000001</v>
      </c>
      <c r="I88" s="29">
        <f t="shared" si="7"/>
        <v>3830.9100000000017</v>
      </c>
      <c r="J88" s="29"/>
      <c r="K88" s="29"/>
      <c r="L88" s="29"/>
      <c r="M88" s="29"/>
      <c r="N88" s="29">
        <f>SUM(N5:N87)</f>
        <v>1313.4035503125006</v>
      </c>
    </row>
    <row r="89" spans="1:14">
      <c r="F89" s="25">
        <f>SUM(F88:I88)</f>
        <v>9896.5175000000017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VIPcric_3!D52</f>
        <v>8395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VIPcric_3!E52</f>
        <v>75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111.93333333333334</v>
      </c>
      <c r="F23" s="24">
        <f>$E23*30%</f>
        <v>33.58</v>
      </c>
      <c r="G23" s="24">
        <f t="shared" ref="G23:H30" si="2">$E23*30%</f>
        <v>33.58</v>
      </c>
      <c r="H23" s="24">
        <f t="shared" si="2"/>
        <v>33.58</v>
      </c>
      <c r="I23" s="24">
        <f>$E23*10%</f>
        <v>11.193333333333335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6.5648900000000001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111.93333333333334</v>
      </c>
      <c r="G24" s="24">
        <f t="shared" si="2"/>
        <v>33.58</v>
      </c>
      <c r="H24" s="24">
        <f t="shared" si="2"/>
        <v>33.58</v>
      </c>
      <c r="I24" s="24">
        <f t="shared" ref="I24:I42" si="4">$E24*10%</f>
        <v>11.193333333333335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5.5994650000000004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111.93333333333334</v>
      </c>
      <c r="G25" s="24">
        <f t="shared" si="2"/>
        <v>33.58</v>
      </c>
      <c r="H25" s="24">
        <f t="shared" si="2"/>
        <v>33.58</v>
      </c>
      <c r="I25" s="24">
        <f t="shared" si="4"/>
        <v>11.193333333333335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4.9236675000000005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111.93333333333334</v>
      </c>
      <c r="G26" s="24">
        <f t="shared" si="2"/>
        <v>33.58</v>
      </c>
      <c r="H26" s="24">
        <f t="shared" si="2"/>
        <v>33.58</v>
      </c>
      <c r="I26" s="24">
        <f t="shared" si="4"/>
        <v>11.193333333333335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4.2478700000000007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111.93333333333334</v>
      </c>
      <c r="G27" s="24">
        <f t="shared" si="2"/>
        <v>33.58</v>
      </c>
      <c r="H27" s="24">
        <f t="shared" si="2"/>
        <v>33.58</v>
      </c>
      <c r="I27" s="24">
        <f t="shared" si="4"/>
        <v>11.193333333333335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3.5720725000000004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111.93333333333334</v>
      </c>
      <c r="G28" s="24">
        <f t="shared" si="2"/>
        <v>33.58</v>
      </c>
      <c r="H28" s="24">
        <f t="shared" si="2"/>
        <v>33.58</v>
      </c>
      <c r="I28" s="24">
        <f t="shared" si="4"/>
        <v>11.193333333333335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2.8962750000000002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111.93333333333334</v>
      </c>
      <c r="G29" s="24">
        <f t="shared" si="2"/>
        <v>33.58</v>
      </c>
      <c r="H29" s="24">
        <f t="shared" si="2"/>
        <v>33.58</v>
      </c>
      <c r="I29" s="24">
        <f t="shared" si="4"/>
        <v>11.193333333333335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2.2204775000000008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111.93333333333334</v>
      </c>
      <c r="H30" s="24">
        <f t="shared" si="2"/>
        <v>33.58</v>
      </c>
      <c r="I30" s="24">
        <f t="shared" si="4"/>
        <v>11.193333333333335</v>
      </c>
      <c r="L30" s="24">
        <f t="shared" si="5"/>
        <v>1</v>
      </c>
      <c r="M30" s="24">
        <f t="shared" si="5"/>
        <v>13</v>
      </c>
      <c r="N30" s="24">
        <f t="shared" si="3"/>
        <v>1.5446800000000003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111.93333333333334</v>
      </c>
      <c r="I31" s="24">
        <f t="shared" si="4"/>
        <v>11.193333333333335</v>
      </c>
      <c r="M31" s="24">
        <f t="shared" si="5"/>
        <v>12</v>
      </c>
      <c r="N31" s="24">
        <f t="shared" si="3"/>
        <v>1.1585100000000004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111.93333333333334</v>
      </c>
      <c r="I32" s="24">
        <f t="shared" si="4"/>
        <v>11.193333333333335</v>
      </c>
      <c r="M32" s="24">
        <f t="shared" si="5"/>
        <v>11</v>
      </c>
      <c r="N32" s="24">
        <f t="shared" si="3"/>
        <v>1.0619675000000004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111.93333333333334</v>
      </c>
      <c r="I33" s="24">
        <f t="shared" si="4"/>
        <v>11.193333333333335</v>
      </c>
      <c r="M33" s="24">
        <f t="shared" si="5"/>
        <v>10</v>
      </c>
      <c r="N33" s="24">
        <f t="shared" si="3"/>
        <v>0.9654250000000002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111.93333333333334</v>
      </c>
      <c r="I34" s="24">
        <f t="shared" si="4"/>
        <v>11.193333333333335</v>
      </c>
      <c r="M34" s="24">
        <f t="shared" si="5"/>
        <v>9</v>
      </c>
      <c r="N34" s="24">
        <f t="shared" si="3"/>
        <v>0.86888250000000011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111.93333333333334</v>
      </c>
      <c r="I35" s="24">
        <f t="shared" si="4"/>
        <v>11.193333333333335</v>
      </c>
      <c r="M35" s="24">
        <f t="shared" si="5"/>
        <v>8</v>
      </c>
      <c r="N35" s="24">
        <f t="shared" si="3"/>
        <v>0.77234000000000014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111.93333333333334</v>
      </c>
      <c r="I36" s="24">
        <f t="shared" si="4"/>
        <v>11.193333333333335</v>
      </c>
      <c r="M36" s="24">
        <f t="shared" si="5"/>
        <v>7</v>
      </c>
      <c r="N36" s="24">
        <f t="shared" si="3"/>
        <v>0.67579750000000027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111.93333333333334</v>
      </c>
      <c r="I37" s="24">
        <f t="shared" si="4"/>
        <v>11.193333333333335</v>
      </c>
      <c r="M37" s="24">
        <f t="shared" si="5"/>
        <v>6</v>
      </c>
      <c r="N37" s="24">
        <f t="shared" si="3"/>
        <v>0.57925500000000019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111.93333333333334</v>
      </c>
      <c r="I38" s="24">
        <f t="shared" si="4"/>
        <v>11.193333333333335</v>
      </c>
      <c r="M38" s="24">
        <f t="shared" si="5"/>
        <v>5</v>
      </c>
      <c r="N38" s="24">
        <f t="shared" si="3"/>
        <v>0.4827125000000001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111.93333333333334</v>
      </c>
      <c r="I39" s="24">
        <f t="shared" si="4"/>
        <v>11.193333333333335</v>
      </c>
      <c r="M39" s="24">
        <f t="shared" si="5"/>
        <v>4</v>
      </c>
      <c r="N39" s="24">
        <f t="shared" si="3"/>
        <v>0.38617000000000007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111.93333333333334</v>
      </c>
      <c r="I40" s="24">
        <f t="shared" si="4"/>
        <v>11.193333333333335</v>
      </c>
      <c r="M40" s="24">
        <f t="shared" si="5"/>
        <v>3</v>
      </c>
      <c r="N40" s="24">
        <f t="shared" si="3"/>
        <v>0.28962750000000009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111.93333333333334</v>
      </c>
      <c r="I41" s="24">
        <f t="shared" si="4"/>
        <v>11.193333333333335</v>
      </c>
      <c r="M41" s="24">
        <f t="shared" ref="M41:M42" si="6">M40-1</f>
        <v>2</v>
      </c>
      <c r="N41" s="24">
        <f t="shared" si="3"/>
        <v>0.19308500000000003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111.93333333333334</v>
      </c>
      <c r="I42" s="24">
        <f t="shared" si="4"/>
        <v>11.193333333333335</v>
      </c>
      <c r="M42" s="24">
        <f t="shared" si="6"/>
        <v>1</v>
      </c>
      <c r="N42" s="24">
        <f t="shared" si="3"/>
        <v>9.6542500000000017E-2</v>
      </c>
    </row>
    <row r="43" spans="1:14">
      <c r="A43">
        <f t="shared" si="0"/>
        <v>39</v>
      </c>
      <c r="B43">
        <v>1</v>
      </c>
      <c r="E43" s="23">
        <f t="shared" si="1"/>
        <v>111.93333333333334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111.93333333333334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111.93333333333334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111.93333333333334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111.93333333333334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111.93333333333334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111.93333333333334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111.93333333333334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111.93333333333334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111.93333333333334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111.93333333333334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111.93333333333334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111.93333333333334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111.93333333333334</v>
      </c>
    </row>
    <row r="57" spans="1:14">
      <c r="A57">
        <f t="shared" si="0"/>
        <v>53</v>
      </c>
      <c r="B57">
        <v>1</v>
      </c>
      <c r="E57" s="23">
        <f t="shared" si="1"/>
        <v>111.93333333333334</v>
      </c>
    </row>
    <row r="58" spans="1:14">
      <c r="A58">
        <f t="shared" si="0"/>
        <v>54</v>
      </c>
      <c r="B58">
        <v>1</v>
      </c>
      <c r="E58" s="23">
        <f t="shared" si="1"/>
        <v>111.93333333333334</v>
      </c>
    </row>
    <row r="59" spans="1:14">
      <c r="A59">
        <f t="shared" si="0"/>
        <v>55</v>
      </c>
      <c r="B59">
        <v>1</v>
      </c>
      <c r="E59" s="23">
        <f t="shared" si="1"/>
        <v>111.93333333333334</v>
      </c>
    </row>
    <row r="60" spans="1:14">
      <c r="A60">
        <f t="shared" si="0"/>
        <v>56</v>
      </c>
      <c r="B60">
        <v>1</v>
      </c>
      <c r="E60" s="23">
        <f t="shared" si="1"/>
        <v>111.93333333333334</v>
      </c>
    </row>
    <row r="61" spans="1:14">
      <c r="A61">
        <f t="shared" si="0"/>
        <v>57</v>
      </c>
      <c r="B61">
        <v>1</v>
      </c>
      <c r="E61" s="23">
        <f t="shared" si="1"/>
        <v>111.93333333333334</v>
      </c>
    </row>
    <row r="62" spans="1:14">
      <c r="A62">
        <f t="shared" si="0"/>
        <v>58</v>
      </c>
      <c r="B62">
        <v>1</v>
      </c>
      <c r="E62" s="23">
        <f t="shared" si="1"/>
        <v>111.93333333333334</v>
      </c>
    </row>
    <row r="63" spans="1:14">
      <c r="A63">
        <f t="shared" si="0"/>
        <v>59</v>
      </c>
      <c r="B63">
        <v>1</v>
      </c>
      <c r="E63" s="23">
        <f t="shared" si="1"/>
        <v>111.93333333333334</v>
      </c>
    </row>
    <row r="64" spans="1:14">
      <c r="A64">
        <f t="shared" si="0"/>
        <v>60</v>
      </c>
      <c r="B64">
        <v>1</v>
      </c>
      <c r="E64" s="23">
        <f t="shared" si="1"/>
        <v>111.93333333333334</v>
      </c>
    </row>
    <row r="65" spans="1:5">
      <c r="A65">
        <f t="shared" si="0"/>
        <v>61</v>
      </c>
      <c r="B65">
        <v>1</v>
      </c>
      <c r="E65" s="23">
        <f t="shared" si="1"/>
        <v>111.93333333333334</v>
      </c>
    </row>
    <row r="66" spans="1:5">
      <c r="A66">
        <f t="shared" si="0"/>
        <v>62</v>
      </c>
      <c r="B66">
        <v>1</v>
      </c>
      <c r="E66" s="23">
        <f t="shared" si="1"/>
        <v>111.93333333333334</v>
      </c>
    </row>
    <row r="67" spans="1:5">
      <c r="A67">
        <f t="shared" si="0"/>
        <v>63</v>
      </c>
      <c r="B67">
        <v>1</v>
      </c>
      <c r="E67" s="23">
        <f t="shared" si="1"/>
        <v>111.93333333333334</v>
      </c>
    </row>
    <row r="68" spans="1:5">
      <c r="A68">
        <f t="shared" si="0"/>
        <v>64</v>
      </c>
      <c r="B68">
        <v>1</v>
      </c>
      <c r="E68" s="23">
        <f t="shared" si="1"/>
        <v>111.93333333333334</v>
      </c>
    </row>
    <row r="69" spans="1:5">
      <c r="A69">
        <f t="shared" si="0"/>
        <v>65</v>
      </c>
      <c r="B69">
        <v>1</v>
      </c>
      <c r="E69" s="23">
        <f t="shared" si="1"/>
        <v>111.93333333333334</v>
      </c>
    </row>
    <row r="70" spans="1:5">
      <c r="A70">
        <f t="shared" ref="A70:A81" si="7">ROW()-4</f>
        <v>66</v>
      </c>
      <c r="B70">
        <v>1</v>
      </c>
      <c r="E70" s="23">
        <f t="shared" si="1"/>
        <v>111.93333333333334</v>
      </c>
    </row>
    <row r="71" spans="1:5">
      <c r="A71">
        <f t="shared" si="7"/>
        <v>67</v>
      </c>
      <c r="B71">
        <v>1</v>
      </c>
      <c r="E71" s="23">
        <f t="shared" si="1"/>
        <v>111.93333333333334</v>
      </c>
    </row>
    <row r="72" spans="1:5">
      <c r="A72">
        <f t="shared" si="7"/>
        <v>68</v>
      </c>
      <c r="B72">
        <v>1</v>
      </c>
      <c r="E72" s="23">
        <f t="shared" si="1"/>
        <v>111.93333333333334</v>
      </c>
    </row>
    <row r="73" spans="1:5">
      <c r="A73">
        <f t="shared" si="7"/>
        <v>69</v>
      </c>
      <c r="B73">
        <v>1</v>
      </c>
      <c r="E73" s="23">
        <f t="shared" si="1"/>
        <v>111.93333333333334</v>
      </c>
    </row>
    <row r="74" spans="1:5">
      <c r="A74">
        <f t="shared" si="7"/>
        <v>70</v>
      </c>
      <c r="B74">
        <v>1</v>
      </c>
      <c r="E74" s="23">
        <f t="shared" si="1"/>
        <v>111.93333333333334</v>
      </c>
    </row>
    <row r="75" spans="1:5">
      <c r="A75">
        <f t="shared" si="7"/>
        <v>71</v>
      </c>
      <c r="B75">
        <v>1</v>
      </c>
      <c r="E75" s="23">
        <f t="shared" si="1"/>
        <v>111.93333333333334</v>
      </c>
    </row>
    <row r="76" spans="1:5">
      <c r="A76">
        <f t="shared" si="7"/>
        <v>72</v>
      </c>
      <c r="B76">
        <v>1</v>
      </c>
      <c r="E76" s="23">
        <f t="shared" si="1"/>
        <v>111.93333333333334</v>
      </c>
    </row>
    <row r="77" spans="1:5">
      <c r="A77">
        <f t="shared" si="7"/>
        <v>73</v>
      </c>
      <c r="B77">
        <v>1</v>
      </c>
      <c r="E77" s="23">
        <f t="shared" si="1"/>
        <v>111.93333333333334</v>
      </c>
    </row>
    <row r="78" spans="1:5">
      <c r="A78">
        <f t="shared" si="7"/>
        <v>74</v>
      </c>
      <c r="B78">
        <v>1</v>
      </c>
      <c r="E78" s="23">
        <f t="shared" si="1"/>
        <v>111.93333333333334</v>
      </c>
    </row>
    <row r="79" spans="1:5">
      <c r="A79">
        <f t="shared" si="7"/>
        <v>75</v>
      </c>
      <c r="B79">
        <v>1</v>
      </c>
      <c r="E79" s="23">
        <f t="shared" si="1"/>
        <v>111.93333333333334</v>
      </c>
    </row>
    <row r="80" spans="1:5">
      <c r="A80">
        <f t="shared" si="7"/>
        <v>76</v>
      </c>
      <c r="B80">
        <v>1</v>
      </c>
      <c r="E80" s="23">
        <f t="shared" si="1"/>
        <v>111.93333333333334</v>
      </c>
    </row>
    <row r="81" spans="1:14">
      <c r="A81">
        <f t="shared" si="7"/>
        <v>77</v>
      </c>
      <c r="B81">
        <v>1</v>
      </c>
      <c r="E81" s="23">
        <f t="shared" si="1"/>
        <v>111.93333333333334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33.58</v>
      </c>
      <c r="G88" s="29">
        <f t="shared" ref="G88:I88" si="8">SUM(G5:G87)</f>
        <v>235.05999999999995</v>
      </c>
      <c r="H88" s="29">
        <f t="shared" si="8"/>
        <v>268.63999999999993</v>
      </c>
      <c r="I88" s="29">
        <f t="shared" si="8"/>
        <v>223.86666666666662</v>
      </c>
      <c r="J88" s="29"/>
      <c r="K88" s="29"/>
      <c r="L88" s="29"/>
      <c r="M88" s="29"/>
      <c r="N88" s="29">
        <f>SUM(N5:N87)</f>
        <v>39.09971250000001</v>
      </c>
    </row>
    <row r="89" spans="1:14">
      <c r="F89" s="25">
        <f>SUM(F88:I88)</f>
        <v>761.14666666666653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VIPcric_3!D70</f>
        <v>12355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VIPcric_3!E70</f>
        <v>111.2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111.10611510791367</v>
      </c>
      <c r="F23" s="24">
        <f>$E23*30%</f>
        <v>33.331834532374096</v>
      </c>
      <c r="G23" s="24">
        <f t="shared" ref="G23:H30" si="2">$E23*30%</f>
        <v>33.331834532374096</v>
      </c>
      <c r="H23" s="24">
        <f t="shared" si="2"/>
        <v>33.331834532374096</v>
      </c>
      <c r="I23" s="24">
        <f>$E23*10%</f>
        <v>11.110611510791367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6.516373651079137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111.10611510791367</v>
      </c>
      <c r="G24" s="24">
        <f t="shared" si="2"/>
        <v>33.331834532374096</v>
      </c>
      <c r="H24" s="24">
        <f t="shared" si="2"/>
        <v>33.331834532374096</v>
      </c>
      <c r="I24" s="24">
        <f t="shared" ref="I24:I42" si="4">$E24*10%</f>
        <v>11.110611510791367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5.5580834082733812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111.10611510791367</v>
      </c>
      <c r="G25" s="24">
        <f t="shared" si="2"/>
        <v>33.331834532374096</v>
      </c>
      <c r="H25" s="24">
        <f t="shared" si="2"/>
        <v>33.331834532374096</v>
      </c>
      <c r="I25" s="24">
        <f t="shared" si="4"/>
        <v>11.110611510791367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4.8872802383093523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111.10611510791367</v>
      </c>
      <c r="G26" s="24">
        <f t="shared" si="2"/>
        <v>33.331834532374096</v>
      </c>
      <c r="H26" s="24">
        <f t="shared" si="2"/>
        <v>33.331834532374096</v>
      </c>
      <c r="I26" s="24">
        <f t="shared" si="4"/>
        <v>11.110611510791367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4.2164770683453234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111.10611510791367</v>
      </c>
      <c r="G27" s="24">
        <f t="shared" si="2"/>
        <v>33.331834532374096</v>
      </c>
      <c r="H27" s="24">
        <f t="shared" si="2"/>
        <v>33.331834532374096</v>
      </c>
      <c r="I27" s="24">
        <f t="shared" si="4"/>
        <v>11.110611510791367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3.5456738983812945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111.10611510791367</v>
      </c>
      <c r="G28" s="24">
        <f t="shared" si="2"/>
        <v>33.331834532374096</v>
      </c>
      <c r="H28" s="24">
        <f t="shared" si="2"/>
        <v>33.331834532374096</v>
      </c>
      <c r="I28" s="24">
        <f t="shared" si="4"/>
        <v>11.110611510791367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2.8748707284172661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111.10611510791367</v>
      </c>
      <c r="G29" s="24">
        <f t="shared" si="2"/>
        <v>33.331834532374096</v>
      </c>
      <c r="H29" s="24">
        <f t="shared" si="2"/>
        <v>33.331834532374096</v>
      </c>
      <c r="I29" s="24">
        <f t="shared" si="4"/>
        <v>11.110611510791367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2.2040675584532372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111.10611510791367</v>
      </c>
      <c r="H30" s="24">
        <f t="shared" si="2"/>
        <v>33.331834532374096</v>
      </c>
      <c r="I30" s="24">
        <f t="shared" si="4"/>
        <v>11.110611510791367</v>
      </c>
      <c r="L30" s="24">
        <f t="shared" si="5"/>
        <v>1</v>
      </c>
      <c r="M30" s="24">
        <f t="shared" si="5"/>
        <v>13</v>
      </c>
      <c r="N30" s="24">
        <f t="shared" si="3"/>
        <v>1.5332643884892088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111.10611510791367</v>
      </c>
      <c r="I31" s="24">
        <f t="shared" si="4"/>
        <v>11.110611510791367</v>
      </c>
      <c r="M31" s="24">
        <f t="shared" si="5"/>
        <v>12</v>
      </c>
      <c r="N31" s="24">
        <f t="shared" si="3"/>
        <v>1.1499482913669066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111.10611510791367</v>
      </c>
      <c r="I32" s="24">
        <f t="shared" si="4"/>
        <v>11.110611510791367</v>
      </c>
      <c r="M32" s="24">
        <f t="shared" si="5"/>
        <v>11</v>
      </c>
      <c r="N32" s="24">
        <f t="shared" si="3"/>
        <v>1.0541192670863311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111.10611510791367</v>
      </c>
      <c r="I33" s="24">
        <f t="shared" si="4"/>
        <v>11.110611510791367</v>
      </c>
      <c r="M33" s="24">
        <f t="shared" si="5"/>
        <v>10</v>
      </c>
      <c r="N33" s="24">
        <f t="shared" si="3"/>
        <v>0.95829024280575548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111.10611510791367</v>
      </c>
      <c r="I34" s="24">
        <f t="shared" si="4"/>
        <v>11.110611510791367</v>
      </c>
      <c r="M34" s="24">
        <f t="shared" si="5"/>
        <v>9</v>
      </c>
      <c r="N34" s="24">
        <f t="shared" si="3"/>
        <v>0.86246121852517998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111.10611510791367</v>
      </c>
      <c r="I35" s="24">
        <f t="shared" si="4"/>
        <v>11.110611510791367</v>
      </c>
      <c r="M35" s="24">
        <f t="shared" si="5"/>
        <v>8</v>
      </c>
      <c r="N35" s="24">
        <f t="shared" si="3"/>
        <v>0.76663219424460438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111.10611510791367</v>
      </c>
      <c r="I36" s="24">
        <f t="shared" si="4"/>
        <v>11.110611510791367</v>
      </c>
      <c r="M36" s="24">
        <f t="shared" si="5"/>
        <v>7</v>
      </c>
      <c r="N36" s="24">
        <f t="shared" si="3"/>
        <v>0.67080316996402878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111.10611510791367</v>
      </c>
      <c r="I37" s="24">
        <f t="shared" si="4"/>
        <v>11.110611510791367</v>
      </c>
      <c r="M37" s="24">
        <f t="shared" si="5"/>
        <v>6</v>
      </c>
      <c r="N37" s="24">
        <f t="shared" si="3"/>
        <v>0.57497414568345329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111.10611510791367</v>
      </c>
      <c r="I38" s="24">
        <f t="shared" si="4"/>
        <v>11.110611510791367</v>
      </c>
      <c r="M38" s="24">
        <f t="shared" si="5"/>
        <v>5</v>
      </c>
      <c r="N38" s="24">
        <f t="shared" si="3"/>
        <v>0.47914512140287774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111.10611510791367</v>
      </c>
      <c r="I39" s="24">
        <f t="shared" si="4"/>
        <v>11.110611510791367</v>
      </c>
      <c r="M39" s="24">
        <f t="shared" si="5"/>
        <v>4</v>
      </c>
      <c r="N39" s="24">
        <f t="shared" si="3"/>
        <v>0.38331609712230219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111.10611510791367</v>
      </c>
      <c r="I40" s="24">
        <f t="shared" si="4"/>
        <v>11.110611510791367</v>
      </c>
      <c r="M40" s="24">
        <f t="shared" si="5"/>
        <v>3</v>
      </c>
      <c r="N40" s="24">
        <f t="shared" si="3"/>
        <v>0.28748707284172664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111.10611510791367</v>
      </c>
      <c r="I41" s="24">
        <f t="shared" si="4"/>
        <v>11.110611510791367</v>
      </c>
      <c r="M41" s="24">
        <f t="shared" ref="M41:M42" si="6">M40-1</f>
        <v>2</v>
      </c>
      <c r="N41" s="24">
        <f t="shared" si="3"/>
        <v>0.1916580485611511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111.10611510791367</v>
      </c>
      <c r="I42" s="24">
        <f t="shared" si="4"/>
        <v>11.110611510791367</v>
      </c>
      <c r="M42" s="24">
        <f t="shared" si="6"/>
        <v>1</v>
      </c>
      <c r="N42" s="24">
        <f t="shared" si="3"/>
        <v>9.5829024280575548E-2</v>
      </c>
    </row>
    <row r="43" spans="1:14">
      <c r="A43">
        <f t="shared" si="0"/>
        <v>39</v>
      </c>
      <c r="B43">
        <v>1</v>
      </c>
      <c r="E43" s="23">
        <f t="shared" si="1"/>
        <v>111.10611510791367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111.10611510791367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111.10611510791367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111.10611510791367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111.10611510791367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111.10611510791367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111.10611510791367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111.10611510791367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111.10611510791367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111.10611510791367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111.10611510791367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111.10611510791367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111.10611510791367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111.10611510791367</v>
      </c>
    </row>
    <row r="57" spans="1:14">
      <c r="A57">
        <f t="shared" si="0"/>
        <v>53</v>
      </c>
      <c r="B57">
        <v>1</v>
      </c>
      <c r="E57" s="23">
        <f t="shared" si="1"/>
        <v>111.10611510791367</v>
      </c>
    </row>
    <row r="58" spans="1:14">
      <c r="A58">
        <f t="shared" si="0"/>
        <v>54</v>
      </c>
      <c r="B58">
        <v>1</v>
      </c>
      <c r="E58" s="23">
        <f t="shared" si="1"/>
        <v>111.10611510791367</v>
      </c>
    </row>
    <row r="59" spans="1:14">
      <c r="A59">
        <f t="shared" si="0"/>
        <v>55</v>
      </c>
      <c r="B59">
        <v>1</v>
      </c>
      <c r="E59" s="23">
        <f t="shared" si="1"/>
        <v>111.10611510791367</v>
      </c>
    </row>
    <row r="60" spans="1:14">
      <c r="A60">
        <f t="shared" si="0"/>
        <v>56</v>
      </c>
      <c r="B60">
        <v>1</v>
      </c>
      <c r="E60" s="23">
        <f t="shared" si="1"/>
        <v>111.10611510791367</v>
      </c>
    </row>
    <row r="61" spans="1:14">
      <c r="A61">
        <f t="shared" si="0"/>
        <v>57</v>
      </c>
      <c r="B61">
        <v>1</v>
      </c>
      <c r="E61" s="23">
        <f t="shared" si="1"/>
        <v>111.10611510791367</v>
      </c>
    </row>
    <row r="62" spans="1:14">
      <c r="A62">
        <f t="shared" si="0"/>
        <v>58</v>
      </c>
      <c r="B62">
        <v>1</v>
      </c>
      <c r="E62" s="23">
        <f t="shared" si="1"/>
        <v>111.10611510791367</v>
      </c>
    </row>
    <row r="63" spans="1:14">
      <c r="A63">
        <f t="shared" si="0"/>
        <v>59</v>
      </c>
      <c r="B63">
        <v>1</v>
      </c>
      <c r="E63" s="23">
        <f t="shared" si="1"/>
        <v>111.10611510791367</v>
      </c>
    </row>
    <row r="64" spans="1:14">
      <c r="A64">
        <f t="shared" si="0"/>
        <v>60</v>
      </c>
      <c r="B64">
        <v>1</v>
      </c>
      <c r="E64" s="23">
        <f t="shared" si="1"/>
        <v>111.10611510791367</v>
      </c>
    </row>
    <row r="65" spans="1:5">
      <c r="A65">
        <f t="shared" si="0"/>
        <v>61</v>
      </c>
      <c r="B65">
        <v>1</v>
      </c>
      <c r="E65" s="23">
        <f t="shared" si="1"/>
        <v>111.10611510791367</v>
      </c>
    </row>
    <row r="66" spans="1:5">
      <c r="A66">
        <f t="shared" si="0"/>
        <v>62</v>
      </c>
      <c r="B66">
        <v>1</v>
      </c>
      <c r="E66" s="23">
        <f t="shared" si="1"/>
        <v>111.10611510791367</v>
      </c>
    </row>
    <row r="67" spans="1:5">
      <c r="A67">
        <f t="shared" si="0"/>
        <v>63</v>
      </c>
      <c r="B67">
        <v>1</v>
      </c>
      <c r="E67" s="23">
        <f t="shared" si="1"/>
        <v>111.10611510791367</v>
      </c>
    </row>
    <row r="68" spans="1:5">
      <c r="A68">
        <f t="shared" si="0"/>
        <v>64</v>
      </c>
      <c r="B68">
        <v>1</v>
      </c>
      <c r="E68" s="23">
        <f t="shared" si="1"/>
        <v>111.10611510791367</v>
      </c>
    </row>
    <row r="69" spans="1:5">
      <c r="A69">
        <f t="shared" si="0"/>
        <v>65</v>
      </c>
      <c r="B69">
        <v>1</v>
      </c>
      <c r="E69" s="23">
        <f t="shared" si="1"/>
        <v>111.10611510791367</v>
      </c>
    </row>
    <row r="70" spans="1:5">
      <c r="A70">
        <f t="shared" ref="A70:A81" si="7">ROW()-4</f>
        <v>66</v>
      </c>
      <c r="B70">
        <v>1</v>
      </c>
      <c r="E70" s="23">
        <f t="shared" si="1"/>
        <v>111.10611510791367</v>
      </c>
    </row>
    <row r="71" spans="1:5">
      <c r="A71">
        <f t="shared" si="7"/>
        <v>67</v>
      </c>
      <c r="B71">
        <v>1</v>
      </c>
      <c r="E71" s="23">
        <f t="shared" si="1"/>
        <v>111.10611510791367</v>
      </c>
    </row>
    <row r="72" spans="1:5">
      <c r="A72">
        <f t="shared" si="7"/>
        <v>68</v>
      </c>
      <c r="B72">
        <v>1</v>
      </c>
      <c r="E72" s="23">
        <f t="shared" si="1"/>
        <v>111.10611510791367</v>
      </c>
    </row>
    <row r="73" spans="1:5">
      <c r="A73">
        <f t="shared" si="7"/>
        <v>69</v>
      </c>
      <c r="B73">
        <v>1</v>
      </c>
      <c r="E73" s="23">
        <f t="shared" si="1"/>
        <v>111.10611510791367</v>
      </c>
    </row>
    <row r="74" spans="1:5">
      <c r="A74">
        <f t="shared" si="7"/>
        <v>70</v>
      </c>
      <c r="B74">
        <v>1</v>
      </c>
      <c r="E74" s="23">
        <f t="shared" si="1"/>
        <v>111.10611510791367</v>
      </c>
    </row>
    <row r="75" spans="1:5">
      <c r="A75">
        <f t="shared" si="7"/>
        <v>71</v>
      </c>
      <c r="B75">
        <v>1</v>
      </c>
      <c r="E75" s="23">
        <f t="shared" si="1"/>
        <v>111.10611510791367</v>
      </c>
    </row>
    <row r="76" spans="1:5">
      <c r="A76">
        <f t="shared" si="7"/>
        <v>72</v>
      </c>
      <c r="B76">
        <v>1</v>
      </c>
      <c r="E76" s="23">
        <f t="shared" si="1"/>
        <v>111.10611510791367</v>
      </c>
    </row>
    <row r="77" spans="1:5">
      <c r="A77">
        <f t="shared" si="7"/>
        <v>73</v>
      </c>
      <c r="B77">
        <v>1</v>
      </c>
      <c r="E77" s="23">
        <f t="shared" si="1"/>
        <v>111.10611510791367</v>
      </c>
    </row>
    <row r="78" spans="1:5">
      <c r="A78">
        <f t="shared" si="7"/>
        <v>74</v>
      </c>
      <c r="B78">
        <v>1</v>
      </c>
      <c r="E78" s="23">
        <f t="shared" si="1"/>
        <v>111.10611510791367</v>
      </c>
    </row>
    <row r="79" spans="1:5">
      <c r="A79">
        <f t="shared" si="7"/>
        <v>75</v>
      </c>
      <c r="B79">
        <v>1</v>
      </c>
      <c r="E79" s="23">
        <f t="shared" si="1"/>
        <v>111.10611510791367</v>
      </c>
    </row>
    <row r="80" spans="1:5">
      <c r="A80">
        <f t="shared" si="7"/>
        <v>76</v>
      </c>
      <c r="B80">
        <v>1</v>
      </c>
      <c r="E80" s="23">
        <f t="shared" si="1"/>
        <v>111.10611510791367</v>
      </c>
    </row>
    <row r="81" spans="1:14">
      <c r="A81">
        <f t="shared" si="7"/>
        <v>77</v>
      </c>
      <c r="B81">
        <v>1</v>
      </c>
      <c r="E81" s="23">
        <f t="shared" si="1"/>
        <v>111.10611510791367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33.331834532374096</v>
      </c>
      <c r="G88" s="29">
        <f t="shared" ref="G88:I88" si="8">SUM(G5:G87)</f>
        <v>233.32284172661869</v>
      </c>
      <c r="H88" s="29">
        <f t="shared" si="8"/>
        <v>266.65467625899277</v>
      </c>
      <c r="I88" s="29">
        <f t="shared" si="8"/>
        <v>222.2122302158273</v>
      </c>
      <c r="J88" s="29"/>
      <c r="K88" s="29"/>
      <c r="L88" s="29"/>
      <c r="M88" s="29"/>
      <c r="N88" s="29">
        <f>SUM(N5:N87)</f>
        <v>38.810754833633105</v>
      </c>
    </row>
    <row r="89" spans="1:14">
      <c r="F89" s="25">
        <f>SUM(F88:I88)</f>
        <v>755.52158273381281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89"/>
  <sheetViews>
    <sheetView workbookViewId="0"/>
  </sheetViews>
  <sheetFormatPr defaultRowHeight="13.8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745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746</v>
      </c>
      <c r="J2" s="24" t="s">
        <v>751</v>
      </c>
      <c r="O2" s="26" t="s">
        <v>754</v>
      </c>
      <c r="P2" s="27">
        <v>16309</v>
      </c>
      <c r="Q2" s="27" t="s">
        <v>755</v>
      </c>
    </row>
    <row r="3" spans="1:19">
      <c r="G3" s="24" t="s">
        <v>747</v>
      </c>
      <c r="K3" s="24" t="s">
        <v>752</v>
      </c>
      <c r="O3" s="26" t="s">
        <v>738</v>
      </c>
      <c r="P3" s="27">
        <v>59.8</v>
      </c>
      <c r="Q3" s="27" t="s">
        <v>756</v>
      </c>
    </row>
    <row r="4" spans="1:19">
      <c r="H4" s="24" t="s">
        <v>748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O5" s="26" t="s">
        <v>768</v>
      </c>
      <c r="P5" s="30">
        <f>P6</f>
        <v>20.141666666666666</v>
      </c>
      <c r="Q5" s="27" t="s">
        <v>758</v>
      </c>
    </row>
    <row r="6" spans="1:19">
      <c r="A6">
        <f t="shared" ref="A6:A69" si="0">ROW()-4</f>
        <v>2</v>
      </c>
      <c r="C6">
        <v>1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9">
      <c r="A8">
        <f t="shared" si="0"/>
        <v>4</v>
      </c>
      <c r="C8">
        <v>1</v>
      </c>
      <c r="O8" s="27" t="s">
        <v>760</v>
      </c>
      <c r="P8" s="27">
        <v>2</v>
      </c>
      <c r="Q8" s="27" t="s">
        <v>758</v>
      </c>
    </row>
    <row r="9" spans="1:19">
      <c r="A9">
        <f t="shared" si="0"/>
        <v>5</v>
      </c>
      <c r="C9">
        <v>1</v>
      </c>
      <c r="O9" s="26" t="s">
        <v>761</v>
      </c>
      <c r="P9" s="27">
        <v>8</v>
      </c>
      <c r="Q9" s="27" t="s">
        <v>758</v>
      </c>
    </row>
    <row r="10" spans="1:19">
      <c r="A10">
        <f t="shared" si="0"/>
        <v>6</v>
      </c>
      <c r="C10">
        <v>1</v>
      </c>
    </row>
    <row r="11" spans="1:19">
      <c r="A11">
        <f t="shared" si="0"/>
        <v>7</v>
      </c>
      <c r="C11">
        <v>1</v>
      </c>
    </row>
    <row r="12" spans="1:19">
      <c r="A12">
        <f t="shared" si="0"/>
        <v>8</v>
      </c>
      <c r="C12">
        <v>1</v>
      </c>
    </row>
    <row r="13" spans="1:19">
      <c r="A13">
        <f t="shared" si="0"/>
        <v>9</v>
      </c>
      <c r="C13">
        <v>1</v>
      </c>
    </row>
    <row r="14" spans="1:19">
      <c r="A14">
        <f t="shared" si="0"/>
        <v>10</v>
      </c>
      <c r="C14">
        <v>1</v>
      </c>
    </row>
    <row r="15" spans="1:19">
      <c r="A15">
        <f t="shared" si="0"/>
        <v>11</v>
      </c>
      <c r="C15">
        <v>1</v>
      </c>
    </row>
    <row r="16" spans="1:19">
      <c r="A16">
        <f t="shared" si="0"/>
        <v>12</v>
      </c>
      <c r="C16">
        <v>1</v>
      </c>
    </row>
    <row r="17" spans="1:13">
      <c r="A17">
        <f t="shared" si="0"/>
        <v>13</v>
      </c>
      <c r="C17">
        <v>1</v>
      </c>
    </row>
    <row r="18" spans="1:13">
      <c r="A18">
        <f t="shared" si="0"/>
        <v>14</v>
      </c>
      <c r="C18">
        <v>1</v>
      </c>
    </row>
    <row r="19" spans="1:13">
      <c r="A19">
        <f t="shared" si="0"/>
        <v>15</v>
      </c>
      <c r="C19">
        <v>1</v>
      </c>
    </row>
    <row r="20" spans="1:13">
      <c r="A20">
        <f t="shared" si="0"/>
        <v>16</v>
      </c>
      <c r="C20">
        <v>1</v>
      </c>
    </row>
    <row r="21" spans="1:13">
      <c r="A21">
        <f t="shared" si="0"/>
        <v>17</v>
      </c>
      <c r="C21">
        <v>1</v>
      </c>
    </row>
    <row r="22" spans="1:13">
      <c r="A22">
        <f t="shared" si="0"/>
        <v>18</v>
      </c>
      <c r="C22">
        <v>1</v>
      </c>
    </row>
    <row r="23" spans="1:13">
      <c r="A23">
        <f t="shared" si="0"/>
        <v>19</v>
      </c>
      <c r="B23">
        <v>1</v>
      </c>
      <c r="C23">
        <v>1</v>
      </c>
      <c r="D23" s="23">
        <f t="shared" ref="D23:D28" si="1">1/$P$3*$P$2</f>
        <v>272.72575250836121</v>
      </c>
      <c r="E23" s="24">
        <f>$D23*30%</f>
        <v>81.817725752508366</v>
      </c>
      <c r="F23" s="24">
        <f t="shared" ref="F23:G30" si="2">$D23*30%</f>
        <v>81.817725752508366</v>
      </c>
      <c r="G23" s="24">
        <f t="shared" si="2"/>
        <v>81.817725752508366</v>
      </c>
      <c r="H23" s="24">
        <f>$D23*10%</f>
        <v>27.272575250836123</v>
      </c>
      <c r="I23" s="24">
        <v>1</v>
      </c>
      <c r="J23" s="24">
        <f>P7</f>
        <v>7</v>
      </c>
      <c r="K23" s="24">
        <v>8</v>
      </c>
      <c r="L23" s="24">
        <f>16</f>
        <v>16</v>
      </c>
      <c r="M23" s="24">
        <f t="shared" ref="M23:M38" si="3">(E23*I23+F23*J23+G23*K23+H23*L23)*$P$1</f>
        <v>15.054461538461542</v>
      </c>
    </row>
    <row r="24" spans="1:13">
      <c r="A24">
        <f t="shared" si="0"/>
        <v>20</v>
      </c>
      <c r="B24">
        <v>1</v>
      </c>
      <c r="C24">
        <v>1</v>
      </c>
      <c r="D24" s="23">
        <f t="shared" si="1"/>
        <v>272.72575250836121</v>
      </c>
      <c r="F24" s="24">
        <f t="shared" si="2"/>
        <v>81.817725752508366</v>
      </c>
      <c r="G24" s="24">
        <f t="shared" ref="G24:G29" si="4">$D24*30%</f>
        <v>81.817725752508366</v>
      </c>
      <c r="H24" s="24">
        <f t="shared" ref="H24:H38" si="5">$D24*10%</f>
        <v>27.272575250836123</v>
      </c>
      <c r="J24" s="24">
        <f>J23-1</f>
        <v>6</v>
      </c>
      <c r="K24" s="24">
        <f>K23-1</f>
        <v>7</v>
      </c>
      <c r="L24" s="24">
        <f>L23-1</f>
        <v>15</v>
      </c>
      <c r="M24" s="24">
        <f t="shared" si="3"/>
        <v>12.702201923076926</v>
      </c>
    </row>
    <row r="25" spans="1:13">
      <c r="A25">
        <f t="shared" si="0"/>
        <v>21</v>
      </c>
      <c r="B25">
        <v>1</v>
      </c>
      <c r="C25">
        <v>1</v>
      </c>
      <c r="D25" s="23">
        <f t="shared" si="1"/>
        <v>272.72575250836121</v>
      </c>
      <c r="F25" s="24">
        <f t="shared" si="2"/>
        <v>81.817725752508366</v>
      </c>
      <c r="G25" s="24">
        <f t="shared" si="4"/>
        <v>81.817725752508366</v>
      </c>
      <c r="H25" s="24">
        <f t="shared" si="5"/>
        <v>27.272575250836123</v>
      </c>
      <c r="J25" s="24">
        <f t="shared" ref="J25:J29" si="6">J24-1</f>
        <v>5</v>
      </c>
      <c r="K25" s="24">
        <f t="shared" ref="K25:K30" si="7">K24-1</f>
        <v>6</v>
      </c>
      <c r="L25" s="24">
        <f t="shared" ref="L25:L38" si="8">L24-1</f>
        <v>14</v>
      </c>
      <c r="M25" s="24">
        <f t="shared" si="3"/>
        <v>11.055620192307694</v>
      </c>
    </row>
    <row r="26" spans="1:13">
      <c r="A26">
        <f t="shared" si="0"/>
        <v>22</v>
      </c>
      <c r="B26">
        <v>1</v>
      </c>
      <c r="C26">
        <v>1</v>
      </c>
      <c r="D26" s="23">
        <f t="shared" si="1"/>
        <v>272.72575250836121</v>
      </c>
      <c r="F26" s="24">
        <f t="shared" si="2"/>
        <v>81.817725752508366</v>
      </c>
      <c r="G26" s="24">
        <f t="shared" si="4"/>
        <v>81.817725752508366</v>
      </c>
      <c r="H26" s="24">
        <f t="shared" si="5"/>
        <v>27.272575250836123</v>
      </c>
      <c r="J26" s="24">
        <f t="shared" si="6"/>
        <v>4</v>
      </c>
      <c r="K26" s="24">
        <f t="shared" si="7"/>
        <v>5</v>
      </c>
      <c r="L26" s="24">
        <f t="shared" si="8"/>
        <v>13</v>
      </c>
      <c r="M26" s="24">
        <f t="shared" si="3"/>
        <v>9.4090384615384632</v>
      </c>
    </row>
    <row r="27" spans="1:13">
      <c r="A27">
        <f t="shared" si="0"/>
        <v>23</v>
      </c>
      <c r="B27">
        <v>1</v>
      </c>
      <c r="C27">
        <v>1</v>
      </c>
      <c r="D27" s="23">
        <f t="shared" si="1"/>
        <v>272.72575250836121</v>
      </c>
      <c r="F27" s="24">
        <f t="shared" si="2"/>
        <v>81.817725752508366</v>
      </c>
      <c r="G27" s="24">
        <f t="shared" si="4"/>
        <v>81.817725752508366</v>
      </c>
      <c r="H27" s="24">
        <f t="shared" si="5"/>
        <v>27.272575250836123</v>
      </c>
      <c r="J27" s="24">
        <f t="shared" si="6"/>
        <v>3</v>
      </c>
      <c r="K27" s="24">
        <f t="shared" si="7"/>
        <v>4</v>
      </c>
      <c r="L27" s="24">
        <f t="shared" si="8"/>
        <v>12</v>
      </c>
      <c r="M27" s="24">
        <f t="shared" si="3"/>
        <v>7.7624567307692312</v>
      </c>
    </row>
    <row r="28" spans="1:13">
      <c r="A28">
        <f t="shared" si="0"/>
        <v>24</v>
      </c>
      <c r="B28">
        <v>1</v>
      </c>
      <c r="C28">
        <v>1</v>
      </c>
      <c r="D28" s="23">
        <f t="shared" si="1"/>
        <v>272.72575250836121</v>
      </c>
      <c r="F28" s="24">
        <f t="shared" si="2"/>
        <v>81.817725752508366</v>
      </c>
      <c r="G28" s="24">
        <f t="shared" si="4"/>
        <v>81.817725752508366</v>
      </c>
      <c r="H28" s="24">
        <f t="shared" si="5"/>
        <v>27.272575250836123</v>
      </c>
      <c r="J28" s="24">
        <f t="shared" si="6"/>
        <v>2</v>
      </c>
      <c r="K28" s="24">
        <f t="shared" si="7"/>
        <v>3</v>
      </c>
      <c r="L28" s="24">
        <f t="shared" si="8"/>
        <v>11</v>
      </c>
      <c r="M28" s="24">
        <f t="shared" si="3"/>
        <v>6.1158750000000017</v>
      </c>
    </row>
    <row r="29" spans="1:13">
      <c r="A29">
        <f t="shared" si="0"/>
        <v>25</v>
      </c>
      <c r="B29">
        <v>1</v>
      </c>
      <c r="C29">
        <v>1</v>
      </c>
      <c r="D29" s="23">
        <f t="shared" ref="D29:D72" si="9">1/$P$3*$P$2</f>
        <v>272.72575250836121</v>
      </c>
      <c r="F29" s="24">
        <f t="shared" si="2"/>
        <v>81.817725752508366</v>
      </c>
      <c r="G29" s="24">
        <f t="shared" si="4"/>
        <v>81.817725752508366</v>
      </c>
      <c r="H29" s="24">
        <f t="shared" si="5"/>
        <v>27.272575250836123</v>
      </c>
      <c r="J29" s="24">
        <f t="shared" si="6"/>
        <v>1</v>
      </c>
      <c r="K29" s="24">
        <f t="shared" si="7"/>
        <v>2</v>
      </c>
      <c r="L29" s="24">
        <f t="shared" si="8"/>
        <v>10</v>
      </c>
      <c r="M29" s="24">
        <f t="shared" si="3"/>
        <v>4.4692932692307696</v>
      </c>
    </row>
    <row r="30" spans="1:13">
      <c r="A30">
        <f t="shared" si="0"/>
        <v>26</v>
      </c>
      <c r="B30">
        <v>1</v>
      </c>
      <c r="C30">
        <v>1</v>
      </c>
      <c r="D30" s="23">
        <f t="shared" si="9"/>
        <v>272.72575250836121</v>
      </c>
      <c r="G30" s="24">
        <f t="shared" si="2"/>
        <v>81.817725752508366</v>
      </c>
      <c r="H30" s="24">
        <f t="shared" si="5"/>
        <v>27.272575250836123</v>
      </c>
      <c r="K30" s="24">
        <f t="shared" si="7"/>
        <v>1</v>
      </c>
      <c r="L30" s="24">
        <f t="shared" si="8"/>
        <v>9</v>
      </c>
      <c r="M30" s="24">
        <f t="shared" si="3"/>
        <v>2.8227115384615389</v>
      </c>
    </row>
    <row r="31" spans="1:13">
      <c r="A31">
        <f t="shared" si="0"/>
        <v>27</v>
      </c>
      <c r="B31">
        <v>1</v>
      </c>
      <c r="D31" s="23">
        <f t="shared" si="9"/>
        <v>272.72575250836121</v>
      </c>
      <c r="H31" s="24">
        <f t="shared" si="5"/>
        <v>27.272575250836123</v>
      </c>
      <c r="L31" s="24">
        <f t="shared" si="8"/>
        <v>8</v>
      </c>
      <c r="M31" s="24">
        <f t="shared" si="3"/>
        <v>1.8818076923076927</v>
      </c>
    </row>
    <row r="32" spans="1:13">
      <c r="A32">
        <f t="shared" si="0"/>
        <v>28</v>
      </c>
      <c r="B32">
        <v>1</v>
      </c>
      <c r="D32" s="23">
        <f t="shared" si="9"/>
        <v>272.72575250836121</v>
      </c>
      <c r="H32" s="24">
        <f t="shared" si="5"/>
        <v>27.272575250836123</v>
      </c>
      <c r="L32" s="24">
        <f t="shared" si="8"/>
        <v>7</v>
      </c>
      <c r="M32" s="24">
        <f t="shared" si="3"/>
        <v>1.646581730769231</v>
      </c>
    </row>
    <row r="33" spans="1:13">
      <c r="A33">
        <f t="shared" si="0"/>
        <v>29</v>
      </c>
      <c r="B33">
        <v>1</v>
      </c>
      <c r="D33" s="23">
        <f t="shared" si="9"/>
        <v>272.72575250836121</v>
      </c>
      <c r="H33" s="24">
        <f t="shared" si="5"/>
        <v>27.272575250836123</v>
      </c>
      <c r="L33" s="24">
        <f t="shared" si="8"/>
        <v>6</v>
      </c>
      <c r="M33" s="24">
        <f t="shared" si="3"/>
        <v>1.4113557692307694</v>
      </c>
    </row>
    <row r="34" spans="1:13">
      <c r="A34">
        <f t="shared" si="0"/>
        <v>30</v>
      </c>
      <c r="B34">
        <v>1</v>
      </c>
      <c r="D34" s="23">
        <f t="shared" si="9"/>
        <v>272.72575250836121</v>
      </c>
      <c r="H34" s="24">
        <f t="shared" si="5"/>
        <v>27.272575250836123</v>
      </c>
      <c r="L34" s="24">
        <f t="shared" si="8"/>
        <v>5</v>
      </c>
      <c r="M34" s="24">
        <f t="shared" si="3"/>
        <v>1.1761298076923079</v>
      </c>
    </row>
    <row r="35" spans="1:13">
      <c r="A35">
        <f t="shared" si="0"/>
        <v>31</v>
      </c>
      <c r="B35">
        <v>1</v>
      </c>
      <c r="D35" s="23">
        <f t="shared" si="9"/>
        <v>272.72575250836121</v>
      </c>
      <c r="H35" s="24">
        <f t="shared" si="5"/>
        <v>27.272575250836123</v>
      </c>
      <c r="L35" s="24">
        <f t="shared" si="8"/>
        <v>4</v>
      </c>
      <c r="M35" s="24">
        <f t="shared" si="3"/>
        <v>0.94090384615384637</v>
      </c>
    </row>
    <row r="36" spans="1:13">
      <c r="A36">
        <f t="shared" si="0"/>
        <v>32</v>
      </c>
      <c r="B36">
        <v>1</v>
      </c>
      <c r="D36" s="23">
        <f t="shared" si="9"/>
        <v>272.72575250836121</v>
      </c>
      <c r="H36" s="24">
        <f t="shared" si="5"/>
        <v>27.272575250836123</v>
      </c>
      <c r="L36" s="24">
        <f t="shared" si="8"/>
        <v>3</v>
      </c>
      <c r="M36" s="24">
        <f t="shared" si="3"/>
        <v>0.70567788461538472</v>
      </c>
    </row>
    <row r="37" spans="1:13">
      <c r="A37">
        <f t="shared" si="0"/>
        <v>33</v>
      </c>
      <c r="B37">
        <v>1</v>
      </c>
      <c r="D37" s="23">
        <f t="shared" si="9"/>
        <v>272.72575250836121</v>
      </c>
      <c r="H37" s="24">
        <f t="shared" si="5"/>
        <v>27.272575250836123</v>
      </c>
      <c r="L37" s="24">
        <f t="shared" si="8"/>
        <v>2</v>
      </c>
      <c r="M37" s="24">
        <f t="shared" si="3"/>
        <v>0.47045192307692318</v>
      </c>
    </row>
    <row r="38" spans="1:13">
      <c r="A38">
        <f t="shared" si="0"/>
        <v>34</v>
      </c>
      <c r="B38">
        <v>1</v>
      </c>
      <c r="D38" s="23">
        <f t="shared" si="9"/>
        <v>272.72575250836121</v>
      </c>
      <c r="H38" s="24">
        <f t="shared" si="5"/>
        <v>27.272575250836123</v>
      </c>
      <c r="L38" s="24">
        <f t="shared" si="8"/>
        <v>1</v>
      </c>
      <c r="M38" s="24">
        <f t="shared" si="3"/>
        <v>0.23522596153846159</v>
      </c>
    </row>
    <row r="39" spans="1:13">
      <c r="A39">
        <f t="shared" si="0"/>
        <v>35</v>
      </c>
      <c r="B39">
        <v>1</v>
      </c>
      <c r="D39" s="23">
        <f t="shared" si="9"/>
        <v>272.72575250836121</v>
      </c>
    </row>
    <row r="40" spans="1:13">
      <c r="A40">
        <f t="shared" si="0"/>
        <v>36</v>
      </c>
      <c r="B40">
        <v>1</v>
      </c>
      <c r="D40" s="23">
        <f t="shared" si="9"/>
        <v>272.72575250836121</v>
      </c>
    </row>
    <row r="41" spans="1:13">
      <c r="A41">
        <f t="shared" si="0"/>
        <v>37</v>
      </c>
      <c r="B41">
        <v>1</v>
      </c>
      <c r="D41" s="23">
        <f t="shared" si="9"/>
        <v>272.72575250836121</v>
      </c>
    </row>
    <row r="42" spans="1:13">
      <c r="A42">
        <f t="shared" si="0"/>
        <v>38</v>
      </c>
      <c r="B42">
        <v>1</v>
      </c>
      <c r="D42" s="23">
        <f t="shared" si="9"/>
        <v>272.72575250836121</v>
      </c>
    </row>
    <row r="43" spans="1:13">
      <c r="A43">
        <f t="shared" si="0"/>
        <v>39</v>
      </c>
      <c r="B43">
        <v>1</v>
      </c>
      <c r="D43" s="23">
        <f t="shared" si="9"/>
        <v>272.72575250836121</v>
      </c>
    </row>
    <row r="44" spans="1:13">
      <c r="A44">
        <f t="shared" si="0"/>
        <v>40</v>
      </c>
      <c r="B44">
        <v>1</v>
      </c>
      <c r="D44" s="23">
        <f t="shared" si="9"/>
        <v>272.72575250836121</v>
      </c>
    </row>
    <row r="45" spans="1:13">
      <c r="A45">
        <f t="shared" si="0"/>
        <v>41</v>
      </c>
      <c r="B45">
        <v>1</v>
      </c>
      <c r="D45" s="23">
        <f t="shared" si="9"/>
        <v>272.72575250836121</v>
      </c>
    </row>
    <row r="46" spans="1:13">
      <c r="A46">
        <f t="shared" si="0"/>
        <v>42</v>
      </c>
      <c r="B46">
        <v>1</v>
      </c>
      <c r="D46" s="23">
        <f t="shared" si="9"/>
        <v>272.72575250836121</v>
      </c>
    </row>
    <row r="47" spans="1:13">
      <c r="A47">
        <f t="shared" si="0"/>
        <v>43</v>
      </c>
      <c r="B47">
        <v>1</v>
      </c>
      <c r="D47" s="23">
        <f t="shared" si="9"/>
        <v>272.72575250836121</v>
      </c>
    </row>
    <row r="48" spans="1:13">
      <c r="A48">
        <f t="shared" si="0"/>
        <v>44</v>
      </c>
      <c r="B48">
        <v>1</v>
      </c>
      <c r="D48" s="23">
        <f t="shared" si="9"/>
        <v>272.72575250836121</v>
      </c>
    </row>
    <row r="49" spans="1:4">
      <c r="A49">
        <f t="shared" si="0"/>
        <v>45</v>
      </c>
      <c r="B49">
        <v>1</v>
      </c>
      <c r="D49" s="23">
        <f t="shared" si="9"/>
        <v>272.72575250836121</v>
      </c>
    </row>
    <row r="50" spans="1:4">
      <c r="A50">
        <f t="shared" si="0"/>
        <v>46</v>
      </c>
      <c r="B50">
        <v>1</v>
      </c>
      <c r="D50" s="23">
        <f t="shared" si="9"/>
        <v>272.72575250836121</v>
      </c>
    </row>
    <row r="51" spans="1:4">
      <c r="A51">
        <f t="shared" si="0"/>
        <v>47</v>
      </c>
      <c r="B51">
        <v>1</v>
      </c>
      <c r="D51" s="23">
        <f t="shared" si="9"/>
        <v>272.72575250836121</v>
      </c>
    </row>
    <row r="52" spans="1:4">
      <c r="A52">
        <f t="shared" si="0"/>
        <v>48</v>
      </c>
      <c r="B52">
        <v>1</v>
      </c>
      <c r="D52" s="23">
        <f t="shared" si="9"/>
        <v>272.72575250836121</v>
      </c>
    </row>
    <row r="53" spans="1:4">
      <c r="A53">
        <f t="shared" si="0"/>
        <v>49</v>
      </c>
      <c r="B53">
        <v>1</v>
      </c>
      <c r="D53" s="23">
        <f t="shared" si="9"/>
        <v>272.72575250836121</v>
      </c>
    </row>
    <row r="54" spans="1:4">
      <c r="A54">
        <f t="shared" si="0"/>
        <v>50</v>
      </c>
      <c r="B54">
        <v>1</v>
      </c>
      <c r="D54" s="23">
        <f t="shared" si="9"/>
        <v>272.72575250836121</v>
      </c>
    </row>
    <row r="55" spans="1:4">
      <c r="A55">
        <f t="shared" si="0"/>
        <v>51</v>
      </c>
      <c r="B55">
        <v>1</v>
      </c>
      <c r="D55" s="23">
        <f t="shared" si="9"/>
        <v>272.72575250836121</v>
      </c>
    </row>
    <row r="56" spans="1:4">
      <c r="A56">
        <f t="shared" si="0"/>
        <v>52</v>
      </c>
      <c r="B56">
        <v>1</v>
      </c>
      <c r="D56" s="23">
        <f t="shared" si="9"/>
        <v>272.72575250836121</v>
      </c>
    </row>
    <row r="57" spans="1:4">
      <c r="A57">
        <f t="shared" si="0"/>
        <v>53</v>
      </c>
      <c r="B57">
        <v>1</v>
      </c>
      <c r="D57" s="23">
        <f t="shared" si="9"/>
        <v>272.72575250836121</v>
      </c>
    </row>
    <row r="58" spans="1:4">
      <c r="A58">
        <f t="shared" si="0"/>
        <v>54</v>
      </c>
      <c r="B58">
        <v>1</v>
      </c>
      <c r="D58" s="23">
        <f t="shared" si="9"/>
        <v>272.72575250836121</v>
      </c>
    </row>
    <row r="59" spans="1:4">
      <c r="A59">
        <f t="shared" si="0"/>
        <v>55</v>
      </c>
      <c r="B59">
        <v>1</v>
      </c>
      <c r="D59" s="23">
        <f t="shared" si="9"/>
        <v>272.72575250836121</v>
      </c>
    </row>
    <row r="60" spans="1:4">
      <c r="A60">
        <f t="shared" si="0"/>
        <v>56</v>
      </c>
      <c r="B60">
        <v>1</v>
      </c>
      <c r="D60" s="23">
        <f t="shared" si="9"/>
        <v>272.72575250836121</v>
      </c>
    </row>
    <row r="61" spans="1:4">
      <c r="A61">
        <f t="shared" si="0"/>
        <v>57</v>
      </c>
      <c r="B61">
        <v>1</v>
      </c>
      <c r="D61" s="23">
        <f t="shared" si="9"/>
        <v>272.72575250836121</v>
      </c>
    </row>
    <row r="62" spans="1:4">
      <c r="A62">
        <f t="shared" si="0"/>
        <v>58</v>
      </c>
      <c r="B62">
        <v>1</v>
      </c>
      <c r="D62" s="23">
        <f t="shared" si="9"/>
        <v>272.72575250836121</v>
      </c>
    </row>
    <row r="63" spans="1:4">
      <c r="A63">
        <f t="shared" si="0"/>
        <v>59</v>
      </c>
      <c r="B63">
        <v>1</v>
      </c>
      <c r="D63" s="23">
        <f t="shared" si="9"/>
        <v>272.72575250836121</v>
      </c>
    </row>
    <row r="64" spans="1:4">
      <c r="A64">
        <f t="shared" si="0"/>
        <v>60</v>
      </c>
      <c r="B64">
        <v>1</v>
      </c>
      <c r="D64" s="23">
        <f t="shared" si="9"/>
        <v>272.72575250836121</v>
      </c>
    </row>
    <row r="65" spans="1:4">
      <c r="A65">
        <f t="shared" si="0"/>
        <v>61</v>
      </c>
      <c r="B65">
        <v>1</v>
      </c>
      <c r="D65" s="23">
        <f t="shared" si="9"/>
        <v>272.72575250836121</v>
      </c>
    </row>
    <row r="66" spans="1:4">
      <c r="A66">
        <f t="shared" si="0"/>
        <v>62</v>
      </c>
      <c r="B66">
        <v>1</v>
      </c>
      <c r="D66" s="23">
        <f t="shared" si="9"/>
        <v>272.72575250836121</v>
      </c>
    </row>
    <row r="67" spans="1:4">
      <c r="A67">
        <f t="shared" si="0"/>
        <v>63</v>
      </c>
      <c r="B67">
        <v>1</v>
      </c>
      <c r="D67" s="23">
        <f t="shared" si="9"/>
        <v>272.72575250836121</v>
      </c>
    </row>
    <row r="68" spans="1:4">
      <c r="A68">
        <f t="shared" si="0"/>
        <v>64</v>
      </c>
      <c r="B68">
        <v>1</v>
      </c>
      <c r="D68" s="23">
        <f t="shared" si="9"/>
        <v>272.72575250836121</v>
      </c>
    </row>
    <row r="69" spans="1:4">
      <c r="A69">
        <f t="shared" si="0"/>
        <v>65</v>
      </c>
      <c r="B69">
        <v>1</v>
      </c>
      <c r="D69" s="23">
        <f t="shared" si="9"/>
        <v>272.72575250836121</v>
      </c>
    </row>
    <row r="70" spans="1:4">
      <c r="A70">
        <f t="shared" ref="A70:A81" si="10">ROW()-4</f>
        <v>66</v>
      </c>
      <c r="B70">
        <v>1</v>
      </c>
      <c r="D70" s="23">
        <f t="shared" si="9"/>
        <v>272.72575250836121</v>
      </c>
    </row>
    <row r="71" spans="1:4">
      <c r="A71">
        <f t="shared" si="10"/>
        <v>67</v>
      </c>
      <c r="B71">
        <v>1</v>
      </c>
      <c r="D71" s="23">
        <f t="shared" si="9"/>
        <v>272.72575250836121</v>
      </c>
    </row>
    <row r="72" spans="1:4">
      <c r="A72">
        <f t="shared" si="10"/>
        <v>68</v>
      </c>
      <c r="B72">
        <v>1</v>
      </c>
      <c r="D72" s="23">
        <f t="shared" si="9"/>
        <v>272.72575250836121</v>
      </c>
    </row>
    <row r="73" spans="1:4">
      <c r="A73">
        <f t="shared" si="10"/>
        <v>69</v>
      </c>
      <c r="B73">
        <v>1</v>
      </c>
      <c r="D73" s="23">
        <f t="shared" ref="D73:D81" si="11">1/$P$3*$P$2</f>
        <v>272.72575250836121</v>
      </c>
    </row>
    <row r="74" spans="1:4">
      <c r="A74">
        <f t="shared" si="10"/>
        <v>70</v>
      </c>
      <c r="B74">
        <v>1</v>
      </c>
      <c r="D74" s="23">
        <f t="shared" si="11"/>
        <v>272.72575250836121</v>
      </c>
    </row>
    <row r="75" spans="1:4">
      <c r="A75">
        <f t="shared" si="10"/>
        <v>71</v>
      </c>
      <c r="B75">
        <v>1</v>
      </c>
      <c r="D75" s="23">
        <f t="shared" si="11"/>
        <v>272.72575250836121</v>
      </c>
    </row>
    <row r="76" spans="1:4">
      <c r="A76">
        <f t="shared" si="10"/>
        <v>72</v>
      </c>
      <c r="B76">
        <v>1</v>
      </c>
      <c r="D76" s="23">
        <f t="shared" si="11"/>
        <v>272.72575250836121</v>
      </c>
    </row>
    <row r="77" spans="1:4">
      <c r="A77">
        <f t="shared" si="10"/>
        <v>73</v>
      </c>
      <c r="B77">
        <v>1</v>
      </c>
      <c r="D77" s="23">
        <f t="shared" si="11"/>
        <v>272.72575250836121</v>
      </c>
    </row>
    <row r="78" spans="1:4">
      <c r="A78">
        <f t="shared" si="10"/>
        <v>74</v>
      </c>
      <c r="B78">
        <v>1</v>
      </c>
      <c r="D78" s="23">
        <f t="shared" si="11"/>
        <v>272.72575250836121</v>
      </c>
    </row>
    <row r="79" spans="1:4">
      <c r="A79">
        <f t="shared" si="10"/>
        <v>75</v>
      </c>
      <c r="B79">
        <v>1</v>
      </c>
      <c r="D79" s="23">
        <f t="shared" si="11"/>
        <v>272.72575250836121</v>
      </c>
    </row>
    <row r="80" spans="1:4">
      <c r="A80">
        <f t="shared" si="10"/>
        <v>76</v>
      </c>
      <c r="B80">
        <v>1</v>
      </c>
      <c r="D80" s="23">
        <f t="shared" si="11"/>
        <v>272.72575250836121</v>
      </c>
    </row>
    <row r="81" spans="1:13">
      <c r="A81">
        <f t="shared" si="10"/>
        <v>77</v>
      </c>
      <c r="B81">
        <v>1</v>
      </c>
      <c r="D81" s="23">
        <f t="shared" si="11"/>
        <v>272.72575250836121</v>
      </c>
    </row>
    <row r="88" spans="1:13">
      <c r="A88" s="28">
        <f>COUNT(A5:A87)</f>
        <v>77</v>
      </c>
      <c r="B88" s="28">
        <f>SUM(B13:B87)</f>
        <v>59</v>
      </c>
      <c r="C88" s="28">
        <f>SUM(C5:C87)</f>
        <v>26</v>
      </c>
      <c r="D88" s="29"/>
      <c r="E88" s="29">
        <f>SUM(E5:E87)</f>
        <v>81.817725752508366</v>
      </c>
      <c r="F88" s="29">
        <f t="shared" ref="F88:H88" si="12">SUM(F5:F87)</f>
        <v>572.72408026755852</v>
      </c>
      <c r="G88" s="29">
        <f t="shared" si="12"/>
        <v>654.54180602006693</v>
      </c>
      <c r="H88" s="29">
        <f t="shared" si="12"/>
        <v>436.3612040133778</v>
      </c>
      <c r="I88" s="29"/>
      <c r="J88" s="29"/>
      <c r="K88" s="29"/>
      <c r="L88" s="29"/>
      <c r="M88" s="29">
        <f>SUM(M5:M87)</f>
        <v>77.859793269230764</v>
      </c>
    </row>
    <row r="89" spans="1:13">
      <c r="E89" s="25">
        <f>SUM(E88:H88)</f>
        <v>1745.4448160535117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VIPcric_3!D96</f>
        <v>18307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VIPcric_3!E96</f>
        <v>19.399999999999999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P10" s="26" t="s">
        <v>789</v>
      </c>
      <c r="Q10" s="27">
        <v>5000</v>
      </c>
      <c r="R10" s="27" t="s">
        <v>755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  <c r="Q12">
        <f>$Q$10*30%</f>
        <v>1500</v>
      </c>
    </row>
    <row r="13" spans="1:20">
      <c r="A13">
        <f t="shared" si="0"/>
        <v>9</v>
      </c>
      <c r="C13">
        <v>1</v>
      </c>
      <c r="Q13">
        <f>$Q$10*45%</f>
        <v>2250</v>
      </c>
    </row>
    <row r="14" spans="1:20">
      <c r="A14">
        <f t="shared" si="0"/>
        <v>10</v>
      </c>
      <c r="C14">
        <v>1</v>
      </c>
      <c r="Q14">
        <f>$Q$10*55%</f>
        <v>2750</v>
      </c>
    </row>
    <row r="15" spans="1:20">
      <c r="A15">
        <f t="shared" si="0"/>
        <v>11</v>
      </c>
      <c r="C15">
        <v>1</v>
      </c>
      <c r="Q15">
        <f>$Q$10*85%</f>
        <v>4250</v>
      </c>
    </row>
    <row r="16" spans="1:20">
      <c r="A16">
        <f t="shared" si="0"/>
        <v>12</v>
      </c>
      <c r="C16">
        <v>1</v>
      </c>
      <c r="Q16">
        <f>$Q$10*95%</f>
        <v>4750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41" si="1">1/$Q$3*$Q$2</f>
        <v>943.6597938144331</v>
      </c>
      <c r="F23" s="24">
        <f>E23*70%</f>
        <v>660.56185567010311</v>
      </c>
      <c r="G23" s="24">
        <f t="shared" ref="G23:H30" si="2">$E23*30%</f>
        <v>283.09793814432993</v>
      </c>
      <c r="H23" s="24">
        <f t="shared" si="2"/>
        <v>283.09793814432993</v>
      </c>
      <c r="I23" s="24">
        <f>$E23*10%</f>
        <v>94.36597938144331</v>
      </c>
      <c r="J23" s="24">
        <v>8</v>
      </c>
      <c r="K23" s="24">
        <f>Q7</f>
        <v>7</v>
      </c>
      <c r="L23" s="24">
        <v>8</v>
      </c>
      <c r="M23" s="24">
        <v>22</v>
      </c>
      <c r="N23" s="24">
        <f t="shared" ref="N23:N54" si="3">(F23*J23+G23*K23+H23*L23+I23*M23)*$Q$1</f>
        <v>100.11050837628868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943.6597938144331</v>
      </c>
      <c r="F24" s="24">
        <f>E24*70%</f>
        <v>660.56185567010311</v>
      </c>
      <c r="G24" s="24">
        <f t="shared" si="2"/>
        <v>283.09793814432993</v>
      </c>
      <c r="H24" s="24">
        <f t="shared" si="2"/>
        <v>283.09793814432993</v>
      </c>
      <c r="I24" s="24">
        <f t="shared" ref="I24:I41" si="4">$E24*10%</f>
        <v>94.36597938144331</v>
      </c>
      <c r="J24" s="24">
        <f>J23-1</f>
        <v>7</v>
      </c>
      <c r="K24" s="24">
        <f>K23-1</f>
        <v>6</v>
      </c>
      <c r="L24" s="24">
        <f>L23-1</f>
        <v>7</v>
      </c>
      <c r="M24" s="24">
        <f>M23-1</f>
        <v>21</v>
      </c>
      <c r="N24" s="24">
        <f t="shared" si="3"/>
        <v>88.715816365979407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943.6597938144331</v>
      </c>
      <c r="F25" s="24">
        <f>(E25-680)*70%</f>
        <v>184.56185567010317</v>
      </c>
      <c r="G25" s="24">
        <f t="shared" si="2"/>
        <v>283.09793814432993</v>
      </c>
      <c r="H25" s="24">
        <f t="shared" si="2"/>
        <v>283.09793814432993</v>
      </c>
      <c r="I25" s="24">
        <f t="shared" si="4"/>
        <v>94.36597938144331</v>
      </c>
      <c r="J25" s="24">
        <f t="shared" ref="J25" si="5">J24-1</f>
        <v>6</v>
      </c>
      <c r="K25" s="24">
        <f t="shared" ref="K25:M30" si="6">K24-1</f>
        <v>5</v>
      </c>
      <c r="L25" s="24">
        <f t="shared" si="6"/>
        <v>6</v>
      </c>
      <c r="M25" s="24">
        <f t="shared" si="6"/>
        <v>20</v>
      </c>
      <c r="N25" s="24">
        <f t="shared" si="3"/>
        <v>52.688124355670126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943.6597938144331</v>
      </c>
      <c r="H26" s="24">
        <f t="shared" si="2"/>
        <v>283.09793814432993</v>
      </c>
      <c r="I26" s="24">
        <f t="shared" si="4"/>
        <v>94.36597938144331</v>
      </c>
      <c r="L26" s="24">
        <f t="shared" si="6"/>
        <v>5</v>
      </c>
      <c r="M26" s="24">
        <f t="shared" si="6"/>
        <v>19</v>
      </c>
      <c r="N26" s="24">
        <f t="shared" si="3"/>
        <v>27.672823453608249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943.6597938144331</v>
      </c>
      <c r="H27" s="24">
        <f t="shared" si="2"/>
        <v>283.09793814432993</v>
      </c>
      <c r="I27" s="24">
        <f t="shared" si="4"/>
        <v>94.36597938144331</v>
      </c>
      <c r="L27" s="24">
        <f t="shared" si="6"/>
        <v>4</v>
      </c>
      <c r="M27" s="24">
        <f t="shared" si="6"/>
        <v>18</v>
      </c>
      <c r="N27" s="24">
        <f t="shared" si="3"/>
        <v>24.417197164948462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943.6597938144331</v>
      </c>
      <c r="H28" s="24">
        <f t="shared" si="2"/>
        <v>283.09793814432993</v>
      </c>
      <c r="I28" s="24">
        <f t="shared" si="4"/>
        <v>94.36597938144331</v>
      </c>
      <c r="L28" s="24">
        <f t="shared" si="6"/>
        <v>3</v>
      </c>
      <c r="M28" s="24">
        <f t="shared" si="6"/>
        <v>17</v>
      </c>
      <c r="N28" s="24">
        <f t="shared" si="3"/>
        <v>21.161570876288664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943.6597938144331</v>
      </c>
      <c r="H29" s="24">
        <f t="shared" si="2"/>
        <v>283.09793814432993</v>
      </c>
      <c r="I29" s="24">
        <f t="shared" si="4"/>
        <v>94.36597938144331</v>
      </c>
      <c r="L29" s="24">
        <f t="shared" si="6"/>
        <v>2</v>
      </c>
      <c r="M29" s="24">
        <f t="shared" si="6"/>
        <v>16</v>
      </c>
      <c r="N29" s="24">
        <f t="shared" si="3"/>
        <v>17.90594458762887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943.6597938144331</v>
      </c>
      <c r="H30" s="24">
        <f t="shared" si="2"/>
        <v>283.09793814432993</v>
      </c>
      <c r="I30" s="24">
        <f t="shared" si="4"/>
        <v>94.36597938144331</v>
      </c>
      <c r="L30" s="24">
        <f t="shared" si="6"/>
        <v>1</v>
      </c>
      <c r="M30" s="24">
        <f t="shared" si="6"/>
        <v>15</v>
      </c>
      <c r="N30" s="24">
        <f t="shared" si="3"/>
        <v>14.650318298969074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943.6597938144331</v>
      </c>
      <c r="I31" s="24">
        <f t="shared" si="4"/>
        <v>94.36597938144331</v>
      </c>
      <c r="M31" s="24">
        <f t="shared" ref="M31:M41" si="7">M30-1</f>
        <v>14</v>
      </c>
      <c r="N31" s="24">
        <f t="shared" si="3"/>
        <v>11.39469201030928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943.6597938144331</v>
      </c>
      <c r="I32" s="24">
        <f t="shared" si="4"/>
        <v>94.36597938144331</v>
      </c>
      <c r="M32" s="24">
        <f t="shared" si="7"/>
        <v>13</v>
      </c>
      <c r="N32" s="24">
        <f t="shared" si="3"/>
        <v>10.580785438144332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943.6597938144331</v>
      </c>
      <c r="I33" s="24">
        <f t="shared" si="4"/>
        <v>94.36597938144331</v>
      </c>
      <c r="M33" s="24">
        <f t="shared" si="7"/>
        <v>12</v>
      </c>
      <c r="N33" s="24">
        <f t="shared" si="3"/>
        <v>9.7668788659793826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943.6597938144331</v>
      </c>
      <c r="I34" s="24">
        <f t="shared" si="4"/>
        <v>94.36597938144331</v>
      </c>
      <c r="M34" s="24">
        <f t="shared" si="7"/>
        <v>11</v>
      </c>
      <c r="N34" s="24">
        <f t="shared" si="3"/>
        <v>8.9529722938144349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943.6597938144331</v>
      </c>
      <c r="I35" s="24">
        <f t="shared" si="4"/>
        <v>94.36597938144331</v>
      </c>
      <c r="M35" s="24">
        <f t="shared" si="7"/>
        <v>10</v>
      </c>
      <c r="N35" s="24">
        <f t="shared" si="3"/>
        <v>8.1390657216494855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943.6597938144331</v>
      </c>
      <c r="I36" s="24">
        <f t="shared" si="4"/>
        <v>94.36597938144331</v>
      </c>
      <c r="M36" s="24">
        <f t="shared" si="7"/>
        <v>9</v>
      </c>
      <c r="N36" s="24">
        <f t="shared" si="3"/>
        <v>7.3251591494845378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943.6597938144331</v>
      </c>
      <c r="I37" s="24">
        <f t="shared" si="4"/>
        <v>94.36597938144331</v>
      </c>
      <c r="M37" s="24">
        <f t="shared" si="7"/>
        <v>8</v>
      </c>
      <c r="N37" s="24">
        <f t="shared" si="3"/>
        <v>6.5112525773195893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943.6597938144331</v>
      </c>
      <c r="I38" s="24">
        <f t="shared" si="4"/>
        <v>94.36597938144331</v>
      </c>
      <c r="M38" s="24">
        <f t="shared" si="7"/>
        <v>7</v>
      </c>
      <c r="N38" s="24">
        <f t="shared" si="3"/>
        <v>5.6973460051546398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943.6597938144331</v>
      </c>
      <c r="I39" s="24">
        <f t="shared" si="4"/>
        <v>94.36597938144331</v>
      </c>
      <c r="M39" s="24">
        <f t="shared" si="7"/>
        <v>6</v>
      </c>
      <c r="N39" s="24">
        <f t="shared" si="3"/>
        <v>4.8834394329896913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943.6597938144331</v>
      </c>
      <c r="I40" s="24">
        <f t="shared" si="4"/>
        <v>94.36597938144331</v>
      </c>
      <c r="M40" s="24">
        <f t="shared" si="7"/>
        <v>5</v>
      </c>
      <c r="N40" s="24">
        <f t="shared" si="3"/>
        <v>4.0695328608247427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943.6597938144331</v>
      </c>
      <c r="I41" s="24">
        <f t="shared" si="4"/>
        <v>94.36597938144331</v>
      </c>
      <c r="M41" s="24">
        <f t="shared" si="7"/>
        <v>4</v>
      </c>
      <c r="N41" s="24">
        <f t="shared" si="3"/>
        <v>3.2556262886597946</v>
      </c>
    </row>
    <row r="42" spans="1:14">
      <c r="A42">
        <f t="shared" si="0"/>
        <v>38</v>
      </c>
      <c r="D42">
        <v>1</v>
      </c>
      <c r="N42" s="24">
        <f t="shared" si="3"/>
        <v>0</v>
      </c>
    </row>
    <row r="43" spans="1:14">
      <c r="A43">
        <f t="shared" si="0"/>
        <v>39</v>
      </c>
      <c r="D43">
        <v>1</v>
      </c>
      <c r="N43" s="24">
        <f t="shared" si="3"/>
        <v>0</v>
      </c>
    </row>
    <row r="44" spans="1:14">
      <c r="A44">
        <f t="shared" si="0"/>
        <v>40</v>
      </c>
      <c r="D44">
        <v>1</v>
      </c>
      <c r="N44" s="24">
        <f t="shared" si="3"/>
        <v>0</v>
      </c>
    </row>
    <row r="45" spans="1:14">
      <c r="A45">
        <f t="shared" si="0"/>
        <v>41</v>
      </c>
      <c r="N45" s="24">
        <f t="shared" si="3"/>
        <v>0</v>
      </c>
    </row>
    <row r="46" spans="1:14">
      <c r="A46">
        <f t="shared" si="0"/>
        <v>42</v>
      </c>
      <c r="N46" s="24">
        <f t="shared" si="3"/>
        <v>0</v>
      </c>
    </row>
    <row r="47" spans="1:14">
      <c r="A47">
        <f t="shared" si="0"/>
        <v>43</v>
      </c>
      <c r="N47" s="24">
        <f t="shared" si="3"/>
        <v>0</v>
      </c>
    </row>
    <row r="48" spans="1:14">
      <c r="A48">
        <f t="shared" si="0"/>
        <v>44</v>
      </c>
      <c r="N48" s="24">
        <f t="shared" si="3"/>
        <v>0</v>
      </c>
    </row>
    <row r="49" spans="1:14">
      <c r="A49">
        <f t="shared" si="0"/>
        <v>45</v>
      </c>
      <c r="N49" s="24">
        <f t="shared" si="3"/>
        <v>0</v>
      </c>
    </row>
    <row r="50" spans="1:14">
      <c r="A50">
        <f t="shared" si="0"/>
        <v>46</v>
      </c>
      <c r="N50" s="24">
        <f t="shared" si="3"/>
        <v>0</v>
      </c>
    </row>
    <row r="51" spans="1:14">
      <c r="A51">
        <f t="shared" si="0"/>
        <v>47</v>
      </c>
      <c r="N51" s="24">
        <f t="shared" si="3"/>
        <v>0</v>
      </c>
    </row>
    <row r="52" spans="1:14">
      <c r="A52">
        <f t="shared" si="0"/>
        <v>48</v>
      </c>
      <c r="N52" s="24">
        <f t="shared" si="3"/>
        <v>0</v>
      </c>
    </row>
    <row r="53" spans="1:14">
      <c r="A53">
        <f t="shared" si="0"/>
        <v>49</v>
      </c>
      <c r="N53" s="24">
        <f t="shared" si="3"/>
        <v>0</v>
      </c>
    </row>
    <row r="54" spans="1:14">
      <c r="A54">
        <f t="shared" si="0"/>
        <v>50</v>
      </c>
      <c r="N54" s="24">
        <f t="shared" si="3"/>
        <v>0</v>
      </c>
    </row>
    <row r="55" spans="1:14">
      <c r="A55">
        <f t="shared" si="0"/>
        <v>51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8">ROW()-4</f>
        <v>66</v>
      </c>
    </row>
    <row r="71" spans="1:1">
      <c r="A71">
        <f t="shared" si="8"/>
        <v>67</v>
      </c>
    </row>
    <row r="72" spans="1:1">
      <c r="A72">
        <f t="shared" si="8"/>
        <v>68</v>
      </c>
    </row>
    <row r="73" spans="1:1">
      <c r="A73">
        <f t="shared" si="8"/>
        <v>69</v>
      </c>
    </row>
    <row r="74" spans="1:1">
      <c r="A74">
        <f t="shared" si="8"/>
        <v>70</v>
      </c>
    </row>
    <row r="75" spans="1:1">
      <c r="A75">
        <f t="shared" si="8"/>
        <v>71</v>
      </c>
    </row>
    <row r="76" spans="1:1">
      <c r="A76">
        <f t="shared" si="8"/>
        <v>72</v>
      </c>
    </row>
    <row r="77" spans="1:1">
      <c r="A77">
        <f t="shared" si="8"/>
        <v>73</v>
      </c>
    </row>
    <row r="78" spans="1:1">
      <c r="A78">
        <f t="shared" si="8"/>
        <v>74</v>
      </c>
    </row>
    <row r="79" spans="1:1">
      <c r="A79">
        <f t="shared" si="8"/>
        <v>75</v>
      </c>
    </row>
    <row r="80" spans="1:1">
      <c r="A80">
        <f t="shared" si="8"/>
        <v>76</v>
      </c>
    </row>
    <row r="81" spans="1:14">
      <c r="A81">
        <f t="shared" si="8"/>
        <v>77</v>
      </c>
    </row>
    <row r="88" spans="1:14">
      <c r="A88" s="28">
        <f>COUNT(A5:A87)</f>
        <v>77</v>
      </c>
      <c r="B88" s="28">
        <f>SUM(B13:B87)</f>
        <v>19</v>
      </c>
      <c r="C88" s="28">
        <f>SUM(C5:C87)</f>
        <v>26</v>
      </c>
      <c r="E88" s="29"/>
      <c r="F88" s="29">
        <f>SUM(F5:F87)</f>
        <v>1505.6855670103093</v>
      </c>
      <c r="G88" s="29">
        <f t="shared" ref="G88:I88" si="9">SUM(G5:G87)</f>
        <v>849.29381443298985</v>
      </c>
      <c r="H88" s="29">
        <f t="shared" si="9"/>
        <v>2264.7835051546394</v>
      </c>
      <c r="I88" s="29">
        <f t="shared" si="9"/>
        <v>1792.9536082474235</v>
      </c>
      <c r="J88" s="29"/>
      <c r="K88" s="29"/>
      <c r="L88" s="29"/>
      <c r="M88" s="29"/>
      <c r="N88" s="29">
        <f>SUM(N5:N87)</f>
        <v>427.89905412371144</v>
      </c>
    </row>
    <row r="89" spans="1:14">
      <c r="F89" s="25">
        <f>SUM(F88:I88)</f>
        <v>6412.7164948453619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VIPcric_3!D75</f>
        <v>6880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VIPcric_3!E75</f>
        <v>18.100000000000001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40" si="1">1/$Q$3*$Q$2</f>
        <v>380.11049723756906</v>
      </c>
      <c r="F23" s="24">
        <f>$E23*30%</f>
        <v>114.03314917127072</v>
      </c>
      <c r="G23" s="24">
        <f t="shared" ref="G23:H30" si="2">$E23*30%</f>
        <v>114.03314917127072</v>
      </c>
      <c r="H23" s="24">
        <f t="shared" si="2"/>
        <v>114.03314917127072</v>
      </c>
      <c r="I23" s="24">
        <f>$E23*10%</f>
        <v>38.011049723756905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22.293480662983431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380.11049723756906</v>
      </c>
      <c r="G24" s="24">
        <f t="shared" si="2"/>
        <v>114.03314917127072</v>
      </c>
      <c r="H24" s="24">
        <f t="shared" si="2"/>
        <v>114.03314917127072</v>
      </c>
      <c r="I24" s="24">
        <f t="shared" ref="I24:I42" si="4">$E24*10%</f>
        <v>38.011049723756905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19.015027624309393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380.11049723756906</v>
      </c>
      <c r="G25" s="24">
        <f t="shared" si="2"/>
        <v>114.03314917127072</v>
      </c>
      <c r="H25" s="24">
        <f t="shared" si="2"/>
        <v>114.03314917127072</v>
      </c>
      <c r="I25" s="24">
        <f t="shared" si="4"/>
        <v>38.011049723756905</v>
      </c>
      <c r="K25" s="24">
        <f t="shared" ref="K25:M4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16.72011049723757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380.11049723756906</v>
      </c>
      <c r="G26" s="24">
        <f t="shared" si="2"/>
        <v>114.03314917127072</v>
      </c>
      <c r="H26" s="24">
        <f t="shared" si="2"/>
        <v>114.03314917127072</v>
      </c>
      <c r="I26" s="24">
        <f t="shared" si="4"/>
        <v>38.011049723756905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14.425193370165747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380.11049723756906</v>
      </c>
      <c r="G27" s="24">
        <f t="shared" si="2"/>
        <v>114.03314917127072</v>
      </c>
      <c r="H27" s="24">
        <f t="shared" si="2"/>
        <v>114.03314917127072</v>
      </c>
      <c r="I27" s="24">
        <f t="shared" si="4"/>
        <v>38.011049723756905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12.130276243093924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380.11049723756906</v>
      </c>
      <c r="G28" s="24">
        <f t="shared" si="2"/>
        <v>114.03314917127072</v>
      </c>
      <c r="H28" s="24">
        <f t="shared" si="2"/>
        <v>114.03314917127072</v>
      </c>
      <c r="I28" s="24">
        <f t="shared" si="4"/>
        <v>38.011049723756905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9.8353591160221008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380.11049723756906</v>
      </c>
      <c r="G29" s="24">
        <f t="shared" si="2"/>
        <v>114.03314917127072</v>
      </c>
      <c r="H29" s="24">
        <f t="shared" si="2"/>
        <v>114.03314917127072</v>
      </c>
      <c r="I29" s="24">
        <f t="shared" si="4"/>
        <v>38.011049723756905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7.5404419889502767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380.11049723756906</v>
      </c>
      <c r="H30" s="24">
        <f t="shared" si="2"/>
        <v>114.03314917127072</v>
      </c>
      <c r="I30" s="24">
        <f t="shared" si="4"/>
        <v>38.011049723756905</v>
      </c>
      <c r="L30" s="24">
        <f t="shared" si="5"/>
        <v>1</v>
      </c>
      <c r="M30" s="24">
        <f t="shared" si="5"/>
        <v>13</v>
      </c>
      <c r="N30" s="24">
        <f t="shared" si="3"/>
        <v>5.2455248618784536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380.11049723756906</v>
      </c>
      <c r="I31" s="24">
        <f t="shared" si="4"/>
        <v>38.011049723756905</v>
      </c>
      <c r="M31" s="24">
        <f t="shared" si="5"/>
        <v>12</v>
      </c>
      <c r="N31" s="24">
        <f t="shared" si="3"/>
        <v>3.93414364640884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380.11049723756906</v>
      </c>
      <c r="I32" s="24">
        <f t="shared" si="4"/>
        <v>38.011049723756905</v>
      </c>
      <c r="M32" s="24">
        <f t="shared" si="5"/>
        <v>11</v>
      </c>
      <c r="N32" s="24">
        <f t="shared" si="3"/>
        <v>3.6062983425414368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380.11049723756906</v>
      </c>
      <c r="I33" s="24">
        <f t="shared" si="4"/>
        <v>38.011049723756905</v>
      </c>
      <c r="M33" s="24">
        <f t="shared" si="5"/>
        <v>10</v>
      </c>
      <c r="N33" s="24">
        <f t="shared" si="3"/>
        <v>3.2784530386740336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380.11049723756906</v>
      </c>
      <c r="I34" s="24">
        <f t="shared" si="4"/>
        <v>38.011049723756905</v>
      </c>
      <c r="M34" s="24">
        <f t="shared" si="5"/>
        <v>9</v>
      </c>
      <c r="N34" s="24">
        <f t="shared" si="3"/>
        <v>2.95060773480663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380.11049723756906</v>
      </c>
      <c r="I35" s="24">
        <f t="shared" si="4"/>
        <v>38.011049723756905</v>
      </c>
      <c r="M35" s="24">
        <f t="shared" si="5"/>
        <v>8</v>
      </c>
      <c r="N35" s="24">
        <f t="shared" si="3"/>
        <v>2.6227624309392268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380.11049723756906</v>
      </c>
      <c r="I36" s="24">
        <f t="shared" si="4"/>
        <v>38.011049723756905</v>
      </c>
      <c r="M36" s="24">
        <f t="shared" si="5"/>
        <v>7</v>
      </c>
      <c r="N36" s="24">
        <f t="shared" si="3"/>
        <v>2.2949171270718232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380.11049723756906</v>
      </c>
      <c r="I37" s="24">
        <f t="shared" si="4"/>
        <v>38.011049723756905</v>
      </c>
      <c r="M37" s="24">
        <f t="shared" si="5"/>
        <v>6</v>
      </c>
      <c r="N37" s="24">
        <f t="shared" si="3"/>
        <v>1.96707182320442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380.11049723756906</v>
      </c>
      <c r="I38" s="24">
        <f t="shared" si="4"/>
        <v>38.011049723756905</v>
      </c>
      <c r="M38" s="24">
        <f t="shared" si="5"/>
        <v>5</v>
      </c>
      <c r="N38" s="24">
        <f t="shared" si="3"/>
        <v>1.6392265193370168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380.11049723756906</v>
      </c>
      <c r="I39" s="24">
        <f t="shared" si="4"/>
        <v>38.011049723756905</v>
      </c>
      <c r="M39" s="24">
        <f t="shared" si="5"/>
        <v>4</v>
      </c>
      <c r="N39" s="24">
        <f t="shared" si="3"/>
        <v>1.3113812154696134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380.11049723756906</v>
      </c>
      <c r="I40" s="24">
        <f t="shared" si="4"/>
        <v>38.011049723756905</v>
      </c>
      <c r="M40" s="24">
        <f t="shared" si="5"/>
        <v>3</v>
      </c>
      <c r="N40" s="24">
        <f t="shared" si="3"/>
        <v>0.98353591160220999</v>
      </c>
    </row>
    <row r="41" spans="1:14">
      <c r="A41">
        <f t="shared" si="0"/>
        <v>37</v>
      </c>
      <c r="D41">
        <v>1</v>
      </c>
      <c r="I41" s="24">
        <f t="shared" si="4"/>
        <v>0</v>
      </c>
      <c r="M41" s="24">
        <f t="shared" ref="M41:M42" si="6">M40-1</f>
        <v>2</v>
      </c>
      <c r="N41" s="24">
        <f t="shared" si="3"/>
        <v>0</v>
      </c>
    </row>
    <row r="42" spans="1:14">
      <c r="A42">
        <f t="shared" si="0"/>
        <v>38</v>
      </c>
      <c r="D42">
        <v>1</v>
      </c>
      <c r="I42" s="24">
        <f t="shared" si="4"/>
        <v>0</v>
      </c>
      <c r="M42" s="24">
        <f t="shared" si="6"/>
        <v>1</v>
      </c>
      <c r="N42" s="24">
        <f t="shared" si="3"/>
        <v>0</v>
      </c>
    </row>
    <row r="43" spans="1:14">
      <c r="A43">
        <f t="shared" si="0"/>
        <v>39</v>
      </c>
      <c r="N43" s="24">
        <f t="shared" si="3"/>
        <v>0</v>
      </c>
    </row>
    <row r="44" spans="1:14">
      <c r="A44">
        <f t="shared" si="0"/>
        <v>40</v>
      </c>
      <c r="N44" s="24">
        <f t="shared" si="3"/>
        <v>0</v>
      </c>
    </row>
    <row r="45" spans="1:14">
      <c r="A45">
        <f t="shared" si="0"/>
        <v>41</v>
      </c>
      <c r="N45" s="24">
        <f t="shared" si="3"/>
        <v>0</v>
      </c>
    </row>
    <row r="46" spans="1:14">
      <c r="A46">
        <f t="shared" si="0"/>
        <v>42</v>
      </c>
      <c r="N46" s="24">
        <f t="shared" si="3"/>
        <v>0</v>
      </c>
    </row>
    <row r="47" spans="1:14">
      <c r="A47">
        <f t="shared" si="0"/>
        <v>43</v>
      </c>
      <c r="N47" s="24">
        <f t="shared" si="3"/>
        <v>0</v>
      </c>
    </row>
    <row r="48" spans="1:14">
      <c r="A48">
        <f t="shared" si="0"/>
        <v>44</v>
      </c>
      <c r="N48" s="24">
        <f t="shared" si="3"/>
        <v>0</v>
      </c>
    </row>
    <row r="49" spans="1:14">
      <c r="A49">
        <f t="shared" si="0"/>
        <v>45</v>
      </c>
      <c r="N49" s="24">
        <f t="shared" si="3"/>
        <v>0</v>
      </c>
    </row>
    <row r="50" spans="1:14">
      <c r="A50">
        <f t="shared" si="0"/>
        <v>46</v>
      </c>
      <c r="N50" s="24">
        <f t="shared" si="3"/>
        <v>0</v>
      </c>
    </row>
    <row r="51" spans="1:14">
      <c r="A51">
        <f t="shared" si="0"/>
        <v>47</v>
      </c>
      <c r="N51" s="24">
        <f t="shared" si="3"/>
        <v>0</v>
      </c>
    </row>
    <row r="52" spans="1:14">
      <c r="A52">
        <f t="shared" si="0"/>
        <v>48</v>
      </c>
      <c r="N52" s="24">
        <f t="shared" si="3"/>
        <v>0</v>
      </c>
    </row>
    <row r="53" spans="1:14">
      <c r="A53">
        <f t="shared" si="0"/>
        <v>49</v>
      </c>
      <c r="N53" s="24">
        <f t="shared" si="3"/>
        <v>0</v>
      </c>
    </row>
    <row r="54" spans="1:14">
      <c r="A54">
        <f t="shared" si="0"/>
        <v>50</v>
      </c>
      <c r="N54" s="24">
        <f t="shared" si="3"/>
        <v>0</v>
      </c>
    </row>
    <row r="55" spans="1:14">
      <c r="A55">
        <f t="shared" si="0"/>
        <v>51</v>
      </c>
      <c r="N55" s="24">
        <f t="shared" si="3"/>
        <v>0</v>
      </c>
    </row>
    <row r="56" spans="1:14">
      <c r="A56">
        <f t="shared" si="0"/>
        <v>52</v>
      </c>
    </row>
    <row r="57" spans="1:14">
      <c r="A57">
        <f t="shared" si="0"/>
        <v>53</v>
      </c>
    </row>
    <row r="58" spans="1:14">
      <c r="A58">
        <f t="shared" si="0"/>
        <v>54</v>
      </c>
    </row>
    <row r="59" spans="1:14">
      <c r="A59">
        <f t="shared" si="0"/>
        <v>55</v>
      </c>
    </row>
    <row r="60" spans="1:14">
      <c r="A60">
        <f t="shared" si="0"/>
        <v>56</v>
      </c>
    </row>
    <row r="61" spans="1:14">
      <c r="A61">
        <f t="shared" si="0"/>
        <v>57</v>
      </c>
    </row>
    <row r="62" spans="1:14">
      <c r="A62">
        <f t="shared" si="0"/>
        <v>58</v>
      </c>
    </row>
    <row r="63" spans="1:14">
      <c r="A63">
        <f t="shared" si="0"/>
        <v>59</v>
      </c>
    </row>
    <row r="64" spans="1:14">
      <c r="A64">
        <f t="shared" si="0"/>
        <v>60</v>
      </c>
    </row>
    <row r="65" spans="1:1">
      <c r="A65">
        <f t="shared" si="0"/>
        <v>61</v>
      </c>
    </row>
    <row r="66" spans="1:1">
      <c r="A66">
        <f t="shared" si="0"/>
        <v>62</v>
      </c>
    </row>
    <row r="67" spans="1:1">
      <c r="A67">
        <f t="shared" si="0"/>
        <v>63</v>
      </c>
    </row>
    <row r="68" spans="1:1">
      <c r="A68">
        <f t="shared" si="0"/>
        <v>64</v>
      </c>
    </row>
    <row r="69" spans="1:1">
      <c r="A69">
        <f t="shared" si="0"/>
        <v>65</v>
      </c>
    </row>
    <row r="70" spans="1:1">
      <c r="A70">
        <f t="shared" ref="A70:A81" si="7">ROW()-4</f>
        <v>66</v>
      </c>
    </row>
    <row r="71" spans="1:1">
      <c r="A71">
        <f t="shared" si="7"/>
        <v>67</v>
      </c>
    </row>
    <row r="72" spans="1:1">
      <c r="A72">
        <f t="shared" si="7"/>
        <v>68</v>
      </c>
    </row>
    <row r="73" spans="1:1">
      <c r="A73">
        <f t="shared" si="7"/>
        <v>69</v>
      </c>
    </row>
    <row r="74" spans="1:1">
      <c r="A74">
        <f t="shared" si="7"/>
        <v>70</v>
      </c>
    </row>
    <row r="75" spans="1:1">
      <c r="A75">
        <f t="shared" si="7"/>
        <v>71</v>
      </c>
    </row>
    <row r="76" spans="1:1">
      <c r="A76">
        <f t="shared" si="7"/>
        <v>72</v>
      </c>
    </row>
    <row r="77" spans="1:1">
      <c r="A77">
        <f t="shared" si="7"/>
        <v>73</v>
      </c>
    </row>
    <row r="78" spans="1:1">
      <c r="A78">
        <f t="shared" si="7"/>
        <v>74</v>
      </c>
    </row>
    <row r="79" spans="1:1">
      <c r="A79">
        <f t="shared" si="7"/>
        <v>75</v>
      </c>
    </row>
    <row r="80" spans="1:1">
      <c r="A80">
        <f t="shared" si="7"/>
        <v>76</v>
      </c>
    </row>
    <row r="81" spans="1:14">
      <c r="A81">
        <f t="shared" si="7"/>
        <v>77</v>
      </c>
    </row>
    <row r="88" spans="1:14">
      <c r="A88" s="28">
        <f>COUNT(A5:A87)</f>
        <v>77</v>
      </c>
      <c r="B88" s="28">
        <f>SUM(B13:B87)</f>
        <v>18</v>
      </c>
      <c r="C88" s="28">
        <f>SUM(C5:C87)</f>
        <v>26</v>
      </c>
      <c r="E88" s="29"/>
      <c r="F88" s="29">
        <f>SUM(F5:F87)</f>
        <v>114.03314917127072</v>
      </c>
      <c r="G88" s="29">
        <f t="shared" ref="G88:I88" si="8">SUM(G5:G87)</f>
        <v>798.23204419889498</v>
      </c>
      <c r="H88" s="29">
        <f t="shared" si="8"/>
        <v>912.26519337016566</v>
      </c>
      <c r="I88" s="29">
        <f t="shared" si="8"/>
        <v>684.19889502762408</v>
      </c>
      <c r="J88" s="29"/>
      <c r="K88" s="29"/>
      <c r="L88" s="29"/>
      <c r="M88" s="29"/>
      <c r="N88" s="29">
        <f>SUM(N5:N87)</f>
        <v>131.79381215469616</v>
      </c>
    </row>
    <row r="89" spans="1:14">
      <c r="F89" s="25">
        <f>SUM(F88:I88)</f>
        <v>2508.7292817679554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867</v>
      </c>
      <c r="E1" s="23" t="s">
        <v>743</v>
      </c>
      <c r="F1" s="24" t="s">
        <v>745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746</v>
      </c>
      <c r="K2" s="24" t="s">
        <v>751</v>
      </c>
      <c r="P2" s="26" t="s">
        <v>754</v>
      </c>
      <c r="Q2" s="27">
        <f>VIPcric_3!D16</f>
        <v>13585</v>
      </c>
      <c r="R2" s="27" t="s">
        <v>755</v>
      </c>
    </row>
    <row r="3" spans="1:20">
      <c r="H3" s="24" t="s">
        <v>747</v>
      </c>
      <c r="L3" s="24" t="s">
        <v>752</v>
      </c>
      <c r="P3" s="26" t="s">
        <v>738</v>
      </c>
      <c r="Q3" s="27">
        <f>VIPcric_3!E16</f>
        <v>318.7</v>
      </c>
      <c r="R3" s="27" t="s">
        <v>756</v>
      </c>
    </row>
    <row r="4" spans="1:20">
      <c r="I4" s="24" t="s">
        <v>748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</row>
    <row r="11" spans="1:20">
      <c r="A11">
        <f t="shared" si="0"/>
        <v>7</v>
      </c>
      <c r="C11">
        <v>1</v>
      </c>
    </row>
    <row r="12" spans="1:20">
      <c r="A12">
        <f t="shared" si="0"/>
        <v>8</v>
      </c>
      <c r="C12">
        <v>1</v>
      </c>
    </row>
    <row r="13" spans="1:20">
      <c r="A13">
        <f t="shared" si="0"/>
        <v>9</v>
      </c>
      <c r="C13">
        <v>1</v>
      </c>
    </row>
    <row r="14" spans="1:20">
      <c r="A14">
        <f t="shared" si="0"/>
        <v>10</v>
      </c>
      <c r="C14">
        <v>1</v>
      </c>
    </row>
    <row r="15" spans="1:20">
      <c r="A15">
        <f t="shared" si="0"/>
        <v>11</v>
      </c>
      <c r="C15">
        <v>1</v>
      </c>
    </row>
    <row r="16" spans="1:20">
      <c r="A16">
        <f t="shared" si="0"/>
        <v>12</v>
      </c>
      <c r="C16">
        <v>1</v>
      </c>
    </row>
    <row r="17" spans="1:14">
      <c r="A17">
        <f t="shared" si="0"/>
        <v>13</v>
      </c>
      <c r="C17">
        <v>1</v>
      </c>
    </row>
    <row r="18" spans="1:14">
      <c r="A18">
        <f t="shared" si="0"/>
        <v>14</v>
      </c>
      <c r="C18">
        <v>1</v>
      </c>
    </row>
    <row r="19" spans="1:14">
      <c r="A19">
        <f t="shared" si="0"/>
        <v>15</v>
      </c>
      <c r="C19">
        <v>1</v>
      </c>
    </row>
    <row r="20" spans="1:14">
      <c r="A20">
        <f t="shared" si="0"/>
        <v>16</v>
      </c>
      <c r="C20">
        <v>1</v>
      </c>
    </row>
    <row r="21" spans="1:14">
      <c r="A21">
        <f t="shared" si="0"/>
        <v>17</v>
      </c>
      <c r="C21">
        <v>1</v>
      </c>
    </row>
    <row r="22" spans="1:14">
      <c r="A22">
        <f t="shared" si="0"/>
        <v>18</v>
      </c>
      <c r="C22">
        <v>1</v>
      </c>
    </row>
    <row r="23" spans="1:14">
      <c r="A23">
        <f t="shared" si="0"/>
        <v>19</v>
      </c>
      <c r="B23">
        <v>1</v>
      </c>
      <c r="C23">
        <v>1</v>
      </c>
      <c r="E23" s="23">
        <f t="shared" ref="E23:E81" si="1">1/$Q$3*$Q$2</f>
        <v>42.626294320677758</v>
      </c>
      <c r="F23" s="24">
        <f>$E23*30%</f>
        <v>12.787888296203327</v>
      </c>
      <c r="G23" s="24">
        <f t="shared" ref="G23:H30" si="2">$E23*30%</f>
        <v>12.787888296203327</v>
      </c>
      <c r="H23" s="24">
        <f t="shared" si="2"/>
        <v>12.787888296203327</v>
      </c>
      <c r="I23" s="24">
        <f>$E23*10%</f>
        <v>4.2626294320677758</v>
      </c>
      <c r="J23" s="24">
        <v>1</v>
      </c>
      <c r="K23" s="24">
        <f>Q7</f>
        <v>7</v>
      </c>
      <c r="L23" s="24">
        <v>8</v>
      </c>
      <c r="M23" s="24">
        <v>20</v>
      </c>
      <c r="N23" s="24">
        <f t="shared" ref="N23:N55" si="3">(F23*J23+G23*K23+H23*L23+I23*M23)*$Q$1</f>
        <v>2.5000321619077503</v>
      </c>
    </row>
    <row r="24" spans="1:14">
      <c r="A24">
        <f t="shared" si="0"/>
        <v>20</v>
      </c>
      <c r="B24">
        <v>1</v>
      </c>
      <c r="C24">
        <v>1</v>
      </c>
      <c r="E24" s="23">
        <f t="shared" si="1"/>
        <v>42.626294320677758</v>
      </c>
      <c r="G24" s="24">
        <f t="shared" si="2"/>
        <v>12.787888296203327</v>
      </c>
      <c r="H24" s="24">
        <f t="shared" si="2"/>
        <v>12.787888296203327</v>
      </c>
      <c r="I24" s="24">
        <f t="shared" ref="I24:I42" si="4">$E24*10%</f>
        <v>4.2626294320677758</v>
      </c>
      <c r="K24" s="24">
        <f>K23-1</f>
        <v>6</v>
      </c>
      <c r="L24" s="24">
        <f>L23-1</f>
        <v>7</v>
      </c>
      <c r="M24" s="24">
        <f>M23-1</f>
        <v>19</v>
      </c>
      <c r="N24" s="24">
        <f t="shared" si="3"/>
        <v>2.1323803733919049</v>
      </c>
    </row>
    <row r="25" spans="1:14">
      <c r="A25">
        <f t="shared" si="0"/>
        <v>21</v>
      </c>
      <c r="B25">
        <v>1</v>
      </c>
      <c r="C25">
        <v>1</v>
      </c>
      <c r="E25" s="23">
        <f t="shared" si="1"/>
        <v>42.626294320677758</v>
      </c>
      <c r="G25" s="24">
        <f t="shared" si="2"/>
        <v>12.787888296203327</v>
      </c>
      <c r="H25" s="24">
        <f t="shared" si="2"/>
        <v>12.787888296203327</v>
      </c>
      <c r="I25" s="24">
        <f t="shared" si="4"/>
        <v>4.2626294320677758</v>
      </c>
      <c r="K25" s="24">
        <f t="shared" ref="K25:M30" si="5">K24-1</f>
        <v>5</v>
      </c>
      <c r="L25" s="24">
        <f t="shared" si="5"/>
        <v>6</v>
      </c>
      <c r="M25" s="24">
        <f t="shared" si="5"/>
        <v>18</v>
      </c>
      <c r="N25" s="24">
        <f t="shared" si="3"/>
        <v>1.875024121430813</v>
      </c>
    </row>
    <row r="26" spans="1:14">
      <c r="A26">
        <f t="shared" si="0"/>
        <v>22</v>
      </c>
      <c r="B26">
        <v>1</v>
      </c>
      <c r="C26">
        <v>1</v>
      </c>
      <c r="E26" s="23">
        <f t="shared" si="1"/>
        <v>42.626294320677758</v>
      </c>
      <c r="G26" s="24">
        <f t="shared" si="2"/>
        <v>12.787888296203327</v>
      </c>
      <c r="H26" s="24">
        <f t="shared" si="2"/>
        <v>12.787888296203327</v>
      </c>
      <c r="I26" s="24">
        <f t="shared" si="4"/>
        <v>4.2626294320677758</v>
      </c>
      <c r="K26" s="24">
        <f t="shared" si="5"/>
        <v>4</v>
      </c>
      <c r="L26" s="24">
        <f t="shared" si="5"/>
        <v>5</v>
      </c>
      <c r="M26" s="24">
        <f t="shared" si="5"/>
        <v>17</v>
      </c>
      <c r="N26" s="24">
        <f t="shared" si="3"/>
        <v>1.6176678694697211</v>
      </c>
    </row>
    <row r="27" spans="1:14">
      <c r="A27">
        <f t="shared" si="0"/>
        <v>23</v>
      </c>
      <c r="B27">
        <v>1</v>
      </c>
      <c r="C27">
        <v>1</v>
      </c>
      <c r="E27" s="23">
        <f t="shared" si="1"/>
        <v>42.626294320677758</v>
      </c>
      <c r="G27" s="24">
        <f t="shared" si="2"/>
        <v>12.787888296203327</v>
      </c>
      <c r="H27" s="24">
        <f t="shared" si="2"/>
        <v>12.787888296203327</v>
      </c>
      <c r="I27" s="24">
        <f t="shared" si="4"/>
        <v>4.2626294320677758</v>
      </c>
      <c r="K27" s="24">
        <f t="shared" si="5"/>
        <v>3</v>
      </c>
      <c r="L27" s="24">
        <f t="shared" si="5"/>
        <v>4</v>
      </c>
      <c r="M27" s="24">
        <f t="shared" si="5"/>
        <v>16</v>
      </c>
      <c r="N27" s="24">
        <f t="shared" si="3"/>
        <v>1.3603116175086289</v>
      </c>
    </row>
    <row r="28" spans="1:14">
      <c r="A28">
        <f t="shared" si="0"/>
        <v>24</v>
      </c>
      <c r="B28">
        <v>1</v>
      </c>
      <c r="C28">
        <v>1</v>
      </c>
      <c r="E28" s="23">
        <f t="shared" si="1"/>
        <v>42.626294320677758</v>
      </c>
      <c r="G28" s="24">
        <f t="shared" si="2"/>
        <v>12.787888296203327</v>
      </c>
      <c r="H28" s="24">
        <f t="shared" si="2"/>
        <v>12.787888296203327</v>
      </c>
      <c r="I28" s="24">
        <f t="shared" si="4"/>
        <v>4.2626294320677758</v>
      </c>
      <c r="K28" s="24">
        <f t="shared" si="5"/>
        <v>2</v>
      </c>
      <c r="L28" s="24">
        <f t="shared" si="5"/>
        <v>3</v>
      </c>
      <c r="M28" s="24">
        <f t="shared" si="5"/>
        <v>15</v>
      </c>
      <c r="N28" s="24">
        <f t="shared" si="3"/>
        <v>1.102955365547537</v>
      </c>
    </row>
    <row r="29" spans="1:14">
      <c r="A29">
        <f t="shared" si="0"/>
        <v>25</v>
      </c>
      <c r="B29">
        <v>1</v>
      </c>
      <c r="C29">
        <v>1</v>
      </c>
      <c r="E29" s="23">
        <f t="shared" si="1"/>
        <v>42.626294320677758</v>
      </c>
      <c r="G29" s="24">
        <f t="shared" si="2"/>
        <v>12.787888296203327</v>
      </c>
      <c r="H29" s="24">
        <f t="shared" si="2"/>
        <v>12.787888296203327</v>
      </c>
      <c r="I29" s="24">
        <f t="shared" si="4"/>
        <v>4.2626294320677758</v>
      </c>
      <c r="K29" s="24">
        <f t="shared" si="5"/>
        <v>1</v>
      </c>
      <c r="L29" s="24">
        <f t="shared" si="5"/>
        <v>2</v>
      </c>
      <c r="M29" s="24">
        <f t="shared" si="5"/>
        <v>14</v>
      </c>
      <c r="N29" s="24">
        <f t="shared" si="3"/>
        <v>0.84559911358644513</v>
      </c>
    </row>
    <row r="30" spans="1:14">
      <c r="A30">
        <f t="shared" si="0"/>
        <v>26</v>
      </c>
      <c r="B30">
        <v>1</v>
      </c>
      <c r="C30">
        <v>1</v>
      </c>
      <c r="E30" s="23">
        <f t="shared" si="1"/>
        <v>42.626294320677758</v>
      </c>
      <c r="H30" s="24">
        <f t="shared" si="2"/>
        <v>12.787888296203327</v>
      </c>
      <c r="I30" s="24">
        <f t="shared" si="4"/>
        <v>4.2626294320677758</v>
      </c>
      <c r="L30" s="24">
        <f t="shared" si="5"/>
        <v>1</v>
      </c>
      <c r="M30" s="24">
        <f t="shared" si="5"/>
        <v>13</v>
      </c>
      <c r="N30" s="24">
        <f t="shared" si="3"/>
        <v>0.58824286162535311</v>
      </c>
    </row>
    <row r="31" spans="1:14">
      <c r="A31">
        <f t="shared" si="0"/>
        <v>27</v>
      </c>
      <c r="B31">
        <v>1</v>
      </c>
      <c r="D31">
        <v>1</v>
      </c>
      <c r="E31" s="23">
        <f t="shared" si="1"/>
        <v>42.626294320677758</v>
      </c>
      <c r="I31" s="24">
        <f t="shared" si="4"/>
        <v>4.2626294320677758</v>
      </c>
      <c r="M31" s="24">
        <f t="shared" ref="M31:M42" si="6">M30-1</f>
        <v>12</v>
      </c>
      <c r="N31" s="24">
        <f t="shared" si="3"/>
        <v>0.4411821462190148</v>
      </c>
    </row>
    <row r="32" spans="1:14">
      <c r="A32">
        <f t="shared" si="0"/>
        <v>28</v>
      </c>
      <c r="B32">
        <v>1</v>
      </c>
      <c r="D32">
        <v>1</v>
      </c>
      <c r="E32" s="23">
        <f t="shared" si="1"/>
        <v>42.626294320677758</v>
      </c>
      <c r="I32" s="24">
        <f t="shared" si="4"/>
        <v>4.2626294320677758</v>
      </c>
      <c r="M32" s="24">
        <f t="shared" si="6"/>
        <v>11</v>
      </c>
      <c r="N32" s="24">
        <f t="shared" si="3"/>
        <v>0.40441696736743027</v>
      </c>
    </row>
    <row r="33" spans="1:14">
      <c r="A33">
        <f t="shared" si="0"/>
        <v>29</v>
      </c>
      <c r="B33">
        <v>1</v>
      </c>
      <c r="D33">
        <v>1</v>
      </c>
      <c r="E33" s="23">
        <f t="shared" si="1"/>
        <v>42.626294320677758</v>
      </c>
      <c r="I33" s="24">
        <f t="shared" si="4"/>
        <v>4.2626294320677758</v>
      </c>
      <c r="M33" s="24">
        <f t="shared" si="6"/>
        <v>10</v>
      </c>
      <c r="N33" s="24">
        <f t="shared" si="3"/>
        <v>0.36765178851584568</v>
      </c>
    </row>
    <row r="34" spans="1:14">
      <c r="A34">
        <f t="shared" si="0"/>
        <v>30</v>
      </c>
      <c r="B34">
        <v>1</v>
      </c>
      <c r="D34">
        <v>1</v>
      </c>
      <c r="E34" s="23">
        <f t="shared" si="1"/>
        <v>42.626294320677758</v>
      </c>
      <c r="I34" s="24">
        <f t="shared" si="4"/>
        <v>4.2626294320677758</v>
      </c>
      <c r="M34" s="24">
        <f t="shared" si="6"/>
        <v>9</v>
      </c>
      <c r="N34" s="24">
        <f t="shared" si="3"/>
        <v>0.33088660966426114</v>
      </c>
    </row>
    <row r="35" spans="1:14">
      <c r="A35">
        <f t="shared" si="0"/>
        <v>31</v>
      </c>
      <c r="B35">
        <v>1</v>
      </c>
      <c r="D35">
        <v>1</v>
      </c>
      <c r="E35" s="23">
        <f t="shared" si="1"/>
        <v>42.626294320677758</v>
      </c>
      <c r="I35" s="24">
        <f t="shared" si="4"/>
        <v>4.2626294320677758</v>
      </c>
      <c r="M35" s="24">
        <f t="shared" si="6"/>
        <v>8</v>
      </c>
      <c r="N35" s="24">
        <f t="shared" si="3"/>
        <v>0.29412143081267655</v>
      </c>
    </row>
    <row r="36" spans="1:14">
      <c r="A36">
        <f t="shared" si="0"/>
        <v>32</v>
      </c>
      <c r="B36">
        <v>1</v>
      </c>
      <c r="D36">
        <v>1</v>
      </c>
      <c r="E36" s="23">
        <f t="shared" si="1"/>
        <v>42.626294320677758</v>
      </c>
      <c r="I36" s="24">
        <f t="shared" si="4"/>
        <v>4.2626294320677758</v>
      </c>
      <c r="M36" s="24">
        <f t="shared" si="6"/>
        <v>7</v>
      </c>
      <c r="N36" s="24">
        <f t="shared" si="3"/>
        <v>0.25735625196109196</v>
      </c>
    </row>
    <row r="37" spans="1:14">
      <c r="A37">
        <f t="shared" si="0"/>
        <v>33</v>
      </c>
      <c r="B37">
        <v>1</v>
      </c>
      <c r="D37">
        <v>1</v>
      </c>
      <c r="E37" s="23">
        <f t="shared" si="1"/>
        <v>42.626294320677758</v>
      </c>
      <c r="I37" s="24">
        <f t="shared" si="4"/>
        <v>4.2626294320677758</v>
      </c>
      <c r="M37" s="24">
        <f t="shared" si="6"/>
        <v>6</v>
      </c>
      <c r="N37" s="24">
        <f t="shared" si="3"/>
        <v>0.2205910731095074</v>
      </c>
    </row>
    <row r="38" spans="1:14">
      <c r="A38">
        <f t="shared" si="0"/>
        <v>34</v>
      </c>
      <c r="B38">
        <v>1</v>
      </c>
      <c r="D38">
        <v>1</v>
      </c>
      <c r="E38" s="23">
        <f t="shared" si="1"/>
        <v>42.626294320677758</v>
      </c>
      <c r="I38" s="24">
        <f t="shared" si="4"/>
        <v>4.2626294320677758</v>
      </c>
      <c r="M38" s="24">
        <f t="shared" si="6"/>
        <v>5</v>
      </c>
      <c r="N38" s="24">
        <f t="shared" si="3"/>
        <v>0.18382589425792284</v>
      </c>
    </row>
    <row r="39" spans="1:14">
      <c r="A39">
        <f t="shared" si="0"/>
        <v>35</v>
      </c>
      <c r="B39">
        <v>1</v>
      </c>
      <c r="D39">
        <v>1</v>
      </c>
      <c r="E39" s="23">
        <f t="shared" si="1"/>
        <v>42.626294320677758</v>
      </c>
      <c r="I39" s="24">
        <f t="shared" si="4"/>
        <v>4.2626294320677758</v>
      </c>
      <c r="M39" s="24">
        <f t="shared" si="6"/>
        <v>4</v>
      </c>
      <c r="N39" s="24">
        <f t="shared" si="3"/>
        <v>0.14706071540633828</v>
      </c>
    </row>
    <row r="40" spans="1:14">
      <c r="A40">
        <f t="shared" si="0"/>
        <v>36</v>
      </c>
      <c r="B40">
        <v>1</v>
      </c>
      <c r="D40">
        <v>1</v>
      </c>
      <c r="E40" s="23">
        <f t="shared" si="1"/>
        <v>42.626294320677758</v>
      </c>
      <c r="I40" s="24">
        <f t="shared" si="4"/>
        <v>4.2626294320677758</v>
      </c>
      <c r="M40" s="24">
        <f t="shared" si="6"/>
        <v>3</v>
      </c>
      <c r="N40" s="24">
        <f t="shared" si="3"/>
        <v>0.1102955365547537</v>
      </c>
    </row>
    <row r="41" spans="1:14">
      <c r="A41">
        <f t="shared" si="0"/>
        <v>37</v>
      </c>
      <c r="B41">
        <v>1</v>
      </c>
      <c r="D41">
        <v>1</v>
      </c>
      <c r="E41" s="23">
        <f t="shared" si="1"/>
        <v>42.626294320677758</v>
      </c>
      <c r="I41" s="24">
        <f t="shared" si="4"/>
        <v>4.2626294320677758</v>
      </c>
      <c r="M41" s="24">
        <f t="shared" si="6"/>
        <v>2</v>
      </c>
      <c r="N41" s="24">
        <f t="shared" si="3"/>
        <v>7.3530357703169139E-2</v>
      </c>
    </row>
    <row r="42" spans="1:14">
      <c r="A42">
        <f t="shared" si="0"/>
        <v>38</v>
      </c>
      <c r="B42">
        <v>1</v>
      </c>
      <c r="D42">
        <v>1</v>
      </c>
      <c r="E42" s="23">
        <f t="shared" si="1"/>
        <v>42.626294320677758</v>
      </c>
      <c r="I42" s="24">
        <f t="shared" si="4"/>
        <v>4.2626294320677758</v>
      </c>
      <c r="M42" s="24">
        <f t="shared" si="6"/>
        <v>1</v>
      </c>
      <c r="N42" s="24">
        <f t="shared" si="3"/>
        <v>3.6765178851584569E-2</v>
      </c>
    </row>
    <row r="43" spans="1:14">
      <c r="A43">
        <f t="shared" si="0"/>
        <v>39</v>
      </c>
      <c r="B43">
        <v>1</v>
      </c>
      <c r="E43" s="23">
        <f t="shared" si="1"/>
        <v>42.626294320677758</v>
      </c>
      <c r="N43" s="24">
        <f t="shared" si="3"/>
        <v>0</v>
      </c>
    </row>
    <row r="44" spans="1:14">
      <c r="A44">
        <f t="shared" si="0"/>
        <v>40</v>
      </c>
      <c r="B44">
        <v>1</v>
      </c>
      <c r="E44" s="23">
        <f t="shared" si="1"/>
        <v>42.626294320677758</v>
      </c>
      <c r="N44" s="24">
        <f t="shared" si="3"/>
        <v>0</v>
      </c>
    </row>
    <row r="45" spans="1:14">
      <c r="A45">
        <f t="shared" si="0"/>
        <v>41</v>
      </c>
      <c r="B45">
        <v>1</v>
      </c>
      <c r="E45" s="23">
        <f t="shared" si="1"/>
        <v>42.626294320677758</v>
      </c>
      <c r="N45" s="24">
        <f t="shared" si="3"/>
        <v>0</v>
      </c>
    </row>
    <row r="46" spans="1:14">
      <c r="A46">
        <f t="shared" si="0"/>
        <v>42</v>
      </c>
      <c r="B46">
        <v>1</v>
      </c>
      <c r="E46" s="23">
        <f t="shared" si="1"/>
        <v>42.626294320677758</v>
      </c>
      <c r="N46" s="24">
        <f t="shared" si="3"/>
        <v>0</v>
      </c>
    </row>
    <row r="47" spans="1:14">
      <c r="A47">
        <f t="shared" si="0"/>
        <v>43</v>
      </c>
      <c r="B47">
        <v>1</v>
      </c>
      <c r="E47" s="23">
        <f t="shared" si="1"/>
        <v>42.626294320677758</v>
      </c>
      <c r="N47" s="24">
        <f t="shared" si="3"/>
        <v>0</v>
      </c>
    </row>
    <row r="48" spans="1:14">
      <c r="A48">
        <f t="shared" si="0"/>
        <v>44</v>
      </c>
      <c r="B48">
        <v>1</v>
      </c>
      <c r="E48" s="23">
        <f t="shared" si="1"/>
        <v>42.626294320677758</v>
      </c>
      <c r="N48" s="24">
        <f t="shared" si="3"/>
        <v>0</v>
      </c>
    </row>
    <row r="49" spans="1:14">
      <c r="A49">
        <f t="shared" si="0"/>
        <v>45</v>
      </c>
      <c r="B49">
        <v>1</v>
      </c>
      <c r="E49" s="23">
        <f t="shared" si="1"/>
        <v>42.626294320677758</v>
      </c>
      <c r="N49" s="24">
        <f t="shared" si="3"/>
        <v>0</v>
      </c>
    </row>
    <row r="50" spans="1:14">
      <c r="A50">
        <f t="shared" si="0"/>
        <v>46</v>
      </c>
      <c r="B50">
        <v>1</v>
      </c>
      <c r="E50" s="23">
        <f t="shared" si="1"/>
        <v>42.626294320677758</v>
      </c>
      <c r="N50" s="24">
        <f t="shared" si="3"/>
        <v>0</v>
      </c>
    </row>
    <row r="51" spans="1:14">
      <c r="A51">
        <f t="shared" si="0"/>
        <v>47</v>
      </c>
      <c r="B51">
        <v>1</v>
      </c>
      <c r="E51" s="23">
        <f t="shared" si="1"/>
        <v>42.626294320677758</v>
      </c>
      <c r="N51" s="24">
        <f t="shared" si="3"/>
        <v>0</v>
      </c>
    </row>
    <row r="52" spans="1:14">
      <c r="A52">
        <f t="shared" si="0"/>
        <v>48</v>
      </c>
      <c r="B52">
        <v>1</v>
      </c>
      <c r="E52" s="23">
        <f t="shared" si="1"/>
        <v>42.626294320677758</v>
      </c>
      <c r="N52" s="24">
        <f t="shared" si="3"/>
        <v>0</v>
      </c>
    </row>
    <row r="53" spans="1:14">
      <c r="A53">
        <f t="shared" si="0"/>
        <v>49</v>
      </c>
      <c r="B53">
        <v>1</v>
      </c>
      <c r="E53" s="23">
        <f t="shared" si="1"/>
        <v>42.626294320677758</v>
      </c>
      <c r="N53" s="24">
        <f t="shared" si="3"/>
        <v>0</v>
      </c>
    </row>
    <row r="54" spans="1:14">
      <c r="A54">
        <f t="shared" si="0"/>
        <v>50</v>
      </c>
      <c r="B54">
        <v>1</v>
      </c>
      <c r="E54" s="23">
        <f t="shared" si="1"/>
        <v>42.626294320677758</v>
      </c>
      <c r="N54" s="24">
        <f t="shared" si="3"/>
        <v>0</v>
      </c>
    </row>
    <row r="55" spans="1:14">
      <c r="A55">
        <f t="shared" si="0"/>
        <v>51</v>
      </c>
      <c r="B55">
        <v>1</v>
      </c>
      <c r="E55" s="23">
        <f t="shared" si="1"/>
        <v>42.626294320677758</v>
      </c>
      <c r="N55" s="24">
        <f t="shared" si="3"/>
        <v>0</v>
      </c>
    </row>
    <row r="56" spans="1:14">
      <c r="A56">
        <f t="shared" si="0"/>
        <v>52</v>
      </c>
      <c r="B56">
        <v>1</v>
      </c>
      <c r="E56" s="23">
        <f t="shared" si="1"/>
        <v>42.626294320677758</v>
      </c>
    </row>
    <row r="57" spans="1:14">
      <c r="A57">
        <f t="shared" si="0"/>
        <v>53</v>
      </c>
      <c r="B57">
        <v>1</v>
      </c>
      <c r="E57" s="23">
        <f t="shared" si="1"/>
        <v>42.626294320677758</v>
      </c>
    </row>
    <row r="58" spans="1:14">
      <c r="A58">
        <f t="shared" si="0"/>
        <v>54</v>
      </c>
      <c r="B58">
        <v>1</v>
      </c>
      <c r="E58" s="23">
        <f t="shared" si="1"/>
        <v>42.626294320677758</v>
      </c>
    </row>
    <row r="59" spans="1:14">
      <c r="A59">
        <f t="shared" si="0"/>
        <v>55</v>
      </c>
      <c r="B59">
        <v>1</v>
      </c>
      <c r="E59" s="23">
        <f t="shared" si="1"/>
        <v>42.626294320677758</v>
      </c>
    </row>
    <row r="60" spans="1:14">
      <c r="A60">
        <f t="shared" si="0"/>
        <v>56</v>
      </c>
      <c r="B60">
        <v>1</v>
      </c>
      <c r="E60" s="23">
        <f t="shared" si="1"/>
        <v>42.626294320677758</v>
      </c>
    </row>
    <row r="61" spans="1:14">
      <c r="A61">
        <f t="shared" si="0"/>
        <v>57</v>
      </c>
      <c r="B61">
        <v>1</v>
      </c>
      <c r="E61" s="23">
        <f t="shared" si="1"/>
        <v>42.626294320677758</v>
      </c>
    </row>
    <row r="62" spans="1:14">
      <c r="A62">
        <f t="shared" si="0"/>
        <v>58</v>
      </c>
      <c r="B62">
        <v>1</v>
      </c>
      <c r="E62" s="23">
        <f t="shared" si="1"/>
        <v>42.626294320677758</v>
      </c>
    </row>
    <row r="63" spans="1:14">
      <c r="A63">
        <f t="shared" si="0"/>
        <v>59</v>
      </c>
      <c r="B63">
        <v>1</v>
      </c>
      <c r="E63" s="23">
        <f t="shared" si="1"/>
        <v>42.626294320677758</v>
      </c>
    </row>
    <row r="64" spans="1:14">
      <c r="A64">
        <f t="shared" si="0"/>
        <v>60</v>
      </c>
      <c r="B64">
        <v>1</v>
      </c>
      <c r="E64" s="23">
        <f t="shared" si="1"/>
        <v>42.626294320677758</v>
      </c>
    </row>
    <row r="65" spans="1:5">
      <c r="A65">
        <f t="shared" si="0"/>
        <v>61</v>
      </c>
      <c r="B65">
        <v>1</v>
      </c>
      <c r="E65" s="23">
        <f t="shared" si="1"/>
        <v>42.626294320677758</v>
      </c>
    </row>
    <row r="66" spans="1:5">
      <c r="A66">
        <f t="shared" si="0"/>
        <v>62</v>
      </c>
      <c r="B66">
        <v>1</v>
      </c>
      <c r="E66" s="23">
        <f t="shared" si="1"/>
        <v>42.626294320677758</v>
      </c>
    </row>
    <row r="67" spans="1:5">
      <c r="A67">
        <f t="shared" si="0"/>
        <v>63</v>
      </c>
      <c r="B67">
        <v>1</v>
      </c>
      <c r="E67" s="23">
        <f t="shared" si="1"/>
        <v>42.626294320677758</v>
      </c>
    </row>
    <row r="68" spans="1:5">
      <c r="A68">
        <f t="shared" si="0"/>
        <v>64</v>
      </c>
      <c r="B68">
        <v>1</v>
      </c>
      <c r="E68" s="23">
        <f t="shared" si="1"/>
        <v>42.626294320677758</v>
      </c>
    </row>
    <row r="69" spans="1:5">
      <c r="A69">
        <f t="shared" si="0"/>
        <v>65</v>
      </c>
      <c r="B69">
        <v>1</v>
      </c>
      <c r="E69" s="23">
        <f t="shared" si="1"/>
        <v>42.626294320677758</v>
      </c>
    </row>
    <row r="70" spans="1:5">
      <c r="A70">
        <f t="shared" ref="A70:A81" si="7">ROW()-4</f>
        <v>66</v>
      </c>
      <c r="B70">
        <v>1</v>
      </c>
      <c r="E70" s="23">
        <f t="shared" si="1"/>
        <v>42.626294320677758</v>
      </c>
    </row>
    <row r="71" spans="1:5">
      <c r="A71">
        <f t="shared" si="7"/>
        <v>67</v>
      </c>
      <c r="B71">
        <v>1</v>
      </c>
      <c r="E71" s="23">
        <f t="shared" si="1"/>
        <v>42.626294320677758</v>
      </c>
    </row>
    <row r="72" spans="1:5">
      <c r="A72">
        <f t="shared" si="7"/>
        <v>68</v>
      </c>
      <c r="B72">
        <v>1</v>
      </c>
      <c r="E72" s="23">
        <f t="shared" si="1"/>
        <v>42.626294320677758</v>
      </c>
    </row>
    <row r="73" spans="1:5">
      <c r="A73">
        <f t="shared" si="7"/>
        <v>69</v>
      </c>
      <c r="B73">
        <v>1</v>
      </c>
      <c r="E73" s="23">
        <f t="shared" si="1"/>
        <v>42.626294320677758</v>
      </c>
    </row>
    <row r="74" spans="1:5">
      <c r="A74">
        <f t="shared" si="7"/>
        <v>70</v>
      </c>
      <c r="B74">
        <v>1</v>
      </c>
      <c r="E74" s="23">
        <f t="shared" si="1"/>
        <v>42.626294320677758</v>
      </c>
    </row>
    <row r="75" spans="1:5">
      <c r="A75">
        <f t="shared" si="7"/>
        <v>71</v>
      </c>
      <c r="B75">
        <v>1</v>
      </c>
      <c r="E75" s="23">
        <f t="shared" si="1"/>
        <v>42.626294320677758</v>
      </c>
    </row>
    <row r="76" spans="1:5">
      <c r="A76">
        <f t="shared" si="7"/>
        <v>72</v>
      </c>
      <c r="B76">
        <v>1</v>
      </c>
      <c r="E76" s="23">
        <f t="shared" si="1"/>
        <v>42.626294320677758</v>
      </c>
    </row>
    <row r="77" spans="1:5">
      <c r="A77">
        <f t="shared" si="7"/>
        <v>73</v>
      </c>
      <c r="B77">
        <v>1</v>
      </c>
      <c r="E77" s="23">
        <f t="shared" si="1"/>
        <v>42.626294320677758</v>
      </c>
    </row>
    <row r="78" spans="1:5">
      <c r="A78">
        <f t="shared" si="7"/>
        <v>74</v>
      </c>
      <c r="B78">
        <v>1</v>
      </c>
      <c r="E78" s="23">
        <f t="shared" si="1"/>
        <v>42.626294320677758</v>
      </c>
    </row>
    <row r="79" spans="1:5">
      <c r="A79">
        <f t="shared" si="7"/>
        <v>75</v>
      </c>
      <c r="B79">
        <v>1</v>
      </c>
      <c r="E79" s="23">
        <f t="shared" si="1"/>
        <v>42.626294320677758</v>
      </c>
    </row>
    <row r="80" spans="1:5">
      <c r="A80">
        <f t="shared" si="7"/>
        <v>76</v>
      </c>
      <c r="B80">
        <v>1</v>
      </c>
      <c r="E80" s="23">
        <f t="shared" si="1"/>
        <v>42.626294320677758</v>
      </c>
    </row>
    <row r="81" spans="1:14">
      <c r="A81">
        <f t="shared" si="7"/>
        <v>77</v>
      </c>
      <c r="B81">
        <v>1</v>
      </c>
      <c r="E81" s="23">
        <f t="shared" si="1"/>
        <v>42.626294320677758</v>
      </c>
    </row>
    <row r="88" spans="1:14">
      <c r="A88" s="28">
        <f>COUNT(A5:A87)</f>
        <v>77</v>
      </c>
      <c r="B88" s="28">
        <f>SUM(B13:B87)</f>
        <v>59</v>
      </c>
      <c r="C88" s="28">
        <f>SUM(C5:C87)</f>
        <v>26</v>
      </c>
      <c r="E88" s="29"/>
      <c r="F88" s="29">
        <f>SUM(F5:F87)</f>
        <v>12.787888296203327</v>
      </c>
      <c r="G88" s="29">
        <f t="shared" ref="G88:I88" si="8">SUM(G5:G87)</f>
        <v>89.515218073423284</v>
      </c>
      <c r="H88" s="29">
        <f t="shared" si="8"/>
        <v>102.30310636962662</v>
      </c>
      <c r="I88" s="29">
        <f t="shared" si="8"/>
        <v>85.252588641355487</v>
      </c>
      <c r="J88" s="29"/>
      <c r="K88" s="29"/>
      <c r="L88" s="29"/>
      <c r="M88" s="29"/>
      <c r="N88" s="29">
        <f>SUM(N5:N87)</f>
        <v>14.889897434891749</v>
      </c>
    </row>
    <row r="89" spans="1:14">
      <c r="F89" s="25">
        <f>SUM(F88:I88)</f>
        <v>289.85880138060872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VIPcric_3!D19</f>
        <v>10533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VIPcric_3!E19</f>
        <v>82.5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Q10" s="27">
        <v>2000</v>
      </c>
      <c r="R10" s="27" t="s">
        <v>755</v>
      </c>
    </row>
    <row r="11" spans="1:20">
      <c r="A11">
        <f t="shared" si="0"/>
        <v>7</v>
      </c>
      <c r="C11">
        <v>1</v>
      </c>
      <c r="N11" s="24">
        <f t="shared" ref="N11:N42" si="1">(F11*J11+G11*K11+H11*L11+I11*M11)*$Q$1</f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ref="E15:E22" si="2">$Q$2/$Q$3</f>
        <v>127.67272727272727</v>
      </c>
      <c r="F15" s="24">
        <f t="shared" ref="F15:F22" si="3">E15</f>
        <v>127.67272727272727</v>
      </c>
      <c r="J15" s="24">
        <v>8</v>
      </c>
      <c r="N15" s="24">
        <f t="shared" si="1"/>
        <v>8.8094181818181827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127.67272727272727</v>
      </c>
      <c r="F16" s="24">
        <f t="shared" si="3"/>
        <v>127.67272727272727</v>
      </c>
      <c r="J16" s="24">
        <f>J15-1</f>
        <v>7</v>
      </c>
      <c r="N16" s="24">
        <f t="shared" si="1"/>
        <v>7.7082409090909101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127.67272727272727</v>
      </c>
      <c r="F17" s="24">
        <f t="shared" si="3"/>
        <v>127.67272727272727</v>
      </c>
      <c r="J17" s="24">
        <f t="shared" ref="J17:J22" si="4">J16-1</f>
        <v>6</v>
      </c>
      <c r="N17" s="24">
        <f t="shared" si="1"/>
        <v>6.6070636363636366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127.67272727272727</v>
      </c>
      <c r="F18" s="24">
        <f t="shared" si="3"/>
        <v>127.67272727272727</v>
      </c>
      <c r="J18" s="24">
        <f t="shared" si="4"/>
        <v>5</v>
      </c>
      <c r="N18" s="24">
        <f t="shared" si="1"/>
        <v>5.505886363636364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127.67272727272727</v>
      </c>
      <c r="F19" s="24">
        <f t="shared" si="3"/>
        <v>127.67272727272727</v>
      </c>
      <c r="J19" s="24">
        <f t="shared" si="4"/>
        <v>4</v>
      </c>
      <c r="N19" s="24">
        <f t="shared" si="1"/>
        <v>4.4047090909090914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127.67272727272727</v>
      </c>
      <c r="F20" s="24">
        <f t="shared" si="3"/>
        <v>127.67272727272727</v>
      </c>
      <c r="J20" s="24">
        <f t="shared" si="4"/>
        <v>3</v>
      </c>
      <c r="N20" s="24">
        <f t="shared" si="1"/>
        <v>3.3035318181818183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127.67272727272727</v>
      </c>
      <c r="F21" s="24">
        <f t="shared" si="3"/>
        <v>127.67272727272727</v>
      </c>
      <c r="J21" s="24">
        <f t="shared" si="4"/>
        <v>2</v>
      </c>
      <c r="N21" s="24">
        <f t="shared" si="1"/>
        <v>2.2023545454545457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127.67272727272727</v>
      </c>
      <c r="F22" s="24">
        <f t="shared" si="3"/>
        <v>127.67272727272727</v>
      </c>
      <c r="J22" s="24">
        <f t="shared" si="4"/>
        <v>1</v>
      </c>
      <c r="N22" s="24">
        <f t="shared" si="1"/>
        <v>1.1011772727272728</v>
      </c>
    </row>
    <row r="23" spans="1:14">
      <c r="A23">
        <f t="shared" si="0"/>
        <v>19</v>
      </c>
      <c r="B23">
        <v>1</v>
      </c>
      <c r="C23">
        <v>1</v>
      </c>
      <c r="E23" s="23">
        <f>$Q$2/$Q$3</f>
        <v>127.67272727272727</v>
      </c>
      <c r="H23" s="24">
        <f>E23</f>
        <v>127.67272727272727</v>
      </c>
      <c r="L23" s="24">
        <v>8</v>
      </c>
      <c r="N23" s="24">
        <f t="shared" si="1"/>
        <v>8.8094181818181827</v>
      </c>
    </row>
    <row r="24" spans="1:14">
      <c r="A24">
        <f t="shared" si="0"/>
        <v>20</v>
      </c>
      <c r="B24">
        <v>1</v>
      </c>
      <c r="C24">
        <v>1</v>
      </c>
      <c r="E24" s="23">
        <f t="shared" ref="E24:E81" si="5">$Q$2/$Q$3</f>
        <v>127.67272727272727</v>
      </c>
      <c r="H24" s="24">
        <f t="shared" ref="H24:H27" si="6">E24</f>
        <v>127.67272727272727</v>
      </c>
      <c r="L24" s="24">
        <f t="shared" ref="L24:L27" si="7">L23-1</f>
        <v>7</v>
      </c>
      <c r="N24" s="24">
        <f t="shared" si="1"/>
        <v>7.7082409090909101</v>
      </c>
    </row>
    <row r="25" spans="1:14">
      <c r="A25">
        <f t="shared" si="0"/>
        <v>21</v>
      </c>
      <c r="B25">
        <v>1</v>
      </c>
      <c r="C25">
        <v>1</v>
      </c>
      <c r="E25" s="23">
        <f t="shared" si="5"/>
        <v>127.67272727272727</v>
      </c>
      <c r="H25" s="24">
        <f t="shared" si="6"/>
        <v>127.67272727272727</v>
      </c>
      <c r="L25" s="24">
        <f t="shared" si="7"/>
        <v>6</v>
      </c>
      <c r="N25" s="24">
        <f t="shared" si="1"/>
        <v>6.6070636363636366</v>
      </c>
    </row>
    <row r="26" spans="1:14">
      <c r="A26">
        <f t="shared" si="0"/>
        <v>22</v>
      </c>
      <c r="B26">
        <v>1</v>
      </c>
      <c r="C26">
        <v>1</v>
      </c>
      <c r="E26" s="23">
        <f t="shared" si="5"/>
        <v>127.67272727272727</v>
      </c>
      <c r="H26" s="24">
        <f t="shared" si="6"/>
        <v>127.67272727272727</v>
      </c>
      <c r="L26" s="24">
        <f t="shared" si="7"/>
        <v>5</v>
      </c>
      <c r="N26" s="24">
        <f t="shared" si="1"/>
        <v>5.505886363636364</v>
      </c>
    </row>
    <row r="27" spans="1:14">
      <c r="A27">
        <f t="shared" si="0"/>
        <v>23</v>
      </c>
      <c r="B27">
        <v>1</v>
      </c>
      <c r="C27">
        <v>1</v>
      </c>
      <c r="E27" s="23">
        <f t="shared" si="5"/>
        <v>127.67272727272727</v>
      </c>
      <c r="H27" s="24">
        <f t="shared" si="6"/>
        <v>127.67272727272727</v>
      </c>
      <c r="L27" s="24">
        <f t="shared" si="7"/>
        <v>4</v>
      </c>
      <c r="N27" s="24">
        <f t="shared" si="1"/>
        <v>4.4047090909090914</v>
      </c>
    </row>
    <row r="28" spans="1:14">
      <c r="A28">
        <f t="shared" si="0"/>
        <v>24</v>
      </c>
      <c r="B28">
        <v>1</v>
      </c>
      <c r="C28">
        <v>1</v>
      </c>
      <c r="E28" s="23">
        <f t="shared" si="5"/>
        <v>127.67272727272727</v>
      </c>
      <c r="N28" s="24">
        <f t="shared" si="1"/>
        <v>0</v>
      </c>
    </row>
    <row r="29" spans="1:14">
      <c r="A29">
        <f t="shared" si="0"/>
        <v>25</v>
      </c>
      <c r="B29">
        <v>1</v>
      </c>
      <c r="C29">
        <v>1</v>
      </c>
      <c r="E29" s="23">
        <f t="shared" si="5"/>
        <v>127.67272727272727</v>
      </c>
      <c r="N29" s="24">
        <f t="shared" si="1"/>
        <v>0</v>
      </c>
    </row>
    <row r="30" spans="1:14">
      <c r="A30">
        <f t="shared" si="0"/>
        <v>26</v>
      </c>
      <c r="B30">
        <v>1</v>
      </c>
      <c r="C30">
        <v>1</v>
      </c>
      <c r="E30" s="23">
        <f t="shared" si="5"/>
        <v>127.67272727272727</v>
      </c>
      <c r="N30" s="24">
        <f t="shared" si="1"/>
        <v>0</v>
      </c>
    </row>
    <row r="31" spans="1:14">
      <c r="A31">
        <f t="shared" si="0"/>
        <v>27</v>
      </c>
      <c r="B31">
        <v>1</v>
      </c>
      <c r="D31">
        <v>1</v>
      </c>
      <c r="E31" s="23">
        <f t="shared" si="5"/>
        <v>127.67272727272727</v>
      </c>
      <c r="I31" s="24">
        <f>E31-$Q$10*5%</f>
        <v>27.672727272727272</v>
      </c>
      <c r="M31" s="24">
        <v>12</v>
      </c>
      <c r="N31" s="24">
        <f t="shared" si="1"/>
        <v>2.8641272727272731</v>
      </c>
    </row>
    <row r="32" spans="1:14">
      <c r="A32">
        <f t="shared" si="0"/>
        <v>28</v>
      </c>
      <c r="B32">
        <v>1</v>
      </c>
      <c r="D32">
        <v>1</v>
      </c>
      <c r="E32" s="23">
        <f t="shared" si="5"/>
        <v>127.67272727272727</v>
      </c>
      <c r="I32" s="24">
        <f t="shared" ref="I32:I35" si="8">E32-$Q$10*5%</f>
        <v>27.672727272727272</v>
      </c>
      <c r="M32" s="24">
        <f>M31-1</f>
        <v>11</v>
      </c>
      <c r="N32" s="24">
        <f t="shared" si="1"/>
        <v>2.6254499999999998</v>
      </c>
    </row>
    <row r="33" spans="1:14">
      <c r="A33">
        <f t="shared" si="0"/>
        <v>29</v>
      </c>
      <c r="B33">
        <v>1</v>
      </c>
      <c r="D33">
        <v>1</v>
      </c>
      <c r="E33" s="23">
        <f t="shared" si="5"/>
        <v>127.67272727272727</v>
      </c>
      <c r="I33" s="24">
        <f t="shared" si="8"/>
        <v>27.672727272727272</v>
      </c>
      <c r="M33" s="24">
        <f t="shared" ref="M33:M35" si="9">M32-1</f>
        <v>10</v>
      </c>
      <c r="N33" s="24">
        <f t="shared" si="1"/>
        <v>2.3867727272727275</v>
      </c>
    </row>
    <row r="34" spans="1:14">
      <c r="A34">
        <f t="shared" si="0"/>
        <v>30</v>
      </c>
      <c r="B34">
        <v>1</v>
      </c>
      <c r="D34">
        <v>1</v>
      </c>
      <c r="E34" s="23">
        <f t="shared" si="5"/>
        <v>127.67272727272727</v>
      </c>
      <c r="I34" s="24">
        <f t="shared" si="8"/>
        <v>27.672727272727272</v>
      </c>
      <c r="M34" s="24">
        <f t="shared" si="9"/>
        <v>9</v>
      </c>
      <c r="N34" s="24">
        <f t="shared" si="1"/>
        <v>2.1480954545454547</v>
      </c>
    </row>
    <row r="35" spans="1:14">
      <c r="A35">
        <f t="shared" si="0"/>
        <v>31</v>
      </c>
      <c r="B35">
        <v>1</v>
      </c>
      <c r="D35">
        <v>1</v>
      </c>
      <c r="E35" s="23">
        <f t="shared" si="5"/>
        <v>127.67272727272727</v>
      </c>
      <c r="I35" s="24">
        <f t="shared" si="8"/>
        <v>27.672727272727272</v>
      </c>
      <c r="M35" s="24">
        <f t="shared" si="9"/>
        <v>8</v>
      </c>
      <c r="N35" s="24">
        <f t="shared" si="1"/>
        <v>1.9094181818181819</v>
      </c>
    </row>
    <row r="36" spans="1:14">
      <c r="A36">
        <f t="shared" si="0"/>
        <v>32</v>
      </c>
      <c r="B36">
        <v>1</v>
      </c>
      <c r="D36">
        <v>1</v>
      </c>
      <c r="E36" s="23">
        <f t="shared" si="5"/>
        <v>127.67272727272727</v>
      </c>
      <c r="N36" s="24">
        <f t="shared" si="1"/>
        <v>0</v>
      </c>
    </row>
    <row r="37" spans="1:14">
      <c r="A37">
        <f t="shared" si="0"/>
        <v>33</v>
      </c>
      <c r="B37">
        <v>1</v>
      </c>
      <c r="D37">
        <v>1</v>
      </c>
      <c r="E37" s="23">
        <f t="shared" si="5"/>
        <v>127.67272727272727</v>
      </c>
      <c r="N37" s="24">
        <f t="shared" si="1"/>
        <v>0</v>
      </c>
    </row>
    <row r="38" spans="1:14">
      <c r="A38">
        <f t="shared" si="0"/>
        <v>34</v>
      </c>
      <c r="B38">
        <v>1</v>
      </c>
      <c r="D38">
        <v>1</v>
      </c>
      <c r="E38" s="23">
        <f t="shared" si="5"/>
        <v>127.67272727272727</v>
      </c>
      <c r="N38" s="24">
        <f t="shared" si="1"/>
        <v>0</v>
      </c>
    </row>
    <row r="39" spans="1:14">
      <c r="A39">
        <f t="shared" si="0"/>
        <v>35</v>
      </c>
      <c r="B39">
        <v>1</v>
      </c>
      <c r="D39">
        <v>1</v>
      </c>
      <c r="E39" s="23">
        <f t="shared" si="5"/>
        <v>127.67272727272727</v>
      </c>
      <c r="N39" s="24">
        <f t="shared" si="1"/>
        <v>0</v>
      </c>
    </row>
    <row r="40" spans="1:14">
      <c r="A40">
        <f t="shared" si="0"/>
        <v>36</v>
      </c>
      <c r="B40">
        <v>1</v>
      </c>
      <c r="D40">
        <v>1</v>
      </c>
      <c r="E40" s="23">
        <f t="shared" si="5"/>
        <v>127.67272727272727</v>
      </c>
      <c r="N40" s="24">
        <f t="shared" si="1"/>
        <v>0</v>
      </c>
    </row>
    <row r="41" spans="1:14">
      <c r="A41">
        <f t="shared" si="0"/>
        <v>37</v>
      </c>
      <c r="B41">
        <v>1</v>
      </c>
      <c r="D41">
        <v>1</v>
      </c>
      <c r="E41" s="23">
        <f t="shared" si="5"/>
        <v>127.67272727272727</v>
      </c>
      <c r="N41" s="24">
        <f t="shared" si="1"/>
        <v>0</v>
      </c>
    </row>
    <row r="42" spans="1:14">
      <c r="A42">
        <f t="shared" si="0"/>
        <v>38</v>
      </c>
      <c r="B42">
        <v>1</v>
      </c>
      <c r="D42">
        <v>1</v>
      </c>
      <c r="E42" s="23">
        <f t="shared" si="5"/>
        <v>127.67272727272727</v>
      </c>
      <c r="N42" s="24">
        <f t="shared" si="1"/>
        <v>0</v>
      </c>
    </row>
    <row r="43" spans="1:14">
      <c r="A43">
        <f t="shared" si="0"/>
        <v>39</v>
      </c>
      <c r="B43">
        <v>1</v>
      </c>
      <c r="E43" s="23">
        <f t="shared" si="5"/>
        <v>127.67272727272727</v>
      </c>
      <c r="N43" s="24">
        <f t="shared" ref="N43:N74" si="10">(F43*J43+G43*K43+H43*L43+I43*M43)*$Q$1</f>
        <v>0</v>
      </c>
    </row>
    <row r="44" spans="1:14">
      <c r="A44">
        <f t="shared" si="0"/>
        <v>40</v>
      </c>
      <c r="B44">
        <v>1</v>
      </c>
      <c r="E44" s="23">
        <f t="shared" si="5"/>
        <v>127.67272727272727</v>
      </c>
      <c r="N44" s="24">
        <f t="shared" si="10"/>
        <v>0</v>
      </c>
    </row>
    <row r="45" spans="1:14">
      <c r="A45">
        <f t="shared" si="0"/>
        <v>41</v>
      </c>
      <c r="B45">
        <v>1</v>
      </c>
      <c r="E45" s="23">
        <f t="shared" si="5"/>
        <v>127.67272727272727</v>
      </c>
      <c r="N45" s="24">
        <f t="shared" si="10"/>
        <v>0</v>
      </c>
    </row>
    <row r="46" spans="1:14">
      <c r="A46">
        <f t="shared" si="0"/>
        <v>42</v>
      </c>
      <c r="B46">
        <v>1</v>
      </c>
      <c r="E46" s="23">
        <f t="shared" si="5"/>
        <v>127.67272727272727</v>
      </c>
      <c r="N46" s="24">
        <f t="shared" si="10"/>
        <v>0</v>
      </c>
    </row>
    <row r="47" spans="1:14">
      <c r="A47">
        <f t="shared" si="0"/>
        <v>43</v>
      </c>
      <c r="B47">
        <v>1</v>
      </c>
      <c r="E47" s="23">
        <f t="shared" si="5"/>
        <v>127.67272727272727</v>
      </c>
      <c r="N47" s="24">
        <f t="shared" si="10"/>
        <v>0</v>
      </c>
    </row>
    <row r="48" spans="1:14">
      <c r="A48">
        <f t="shared" si="0"/>
        <v>44</v>
      </c>
      <c r="B48">
        <v>1</v>
      </c>
      <c r="E48" s="23">
        <f t="shared" si="5"/>
        <v>127.67272727272727</v>
      </c>
      <c r="N48" s="24">
        <f t="shared" si="10"/>
        <v>0</v>
      </c>
    </row>
    <row r="49" spans="1:14">
      <c r="A49">
        <f t="shared" si="0"/>
        <v>45</v>
      </c>
      <c r="B49">
        <v>1</v>
      </c>
      <c r="E49" s="23">
        <f t="shared" si="5"/>
        <v>127.67272727272727</v>
      </c>
      <c r="N49" s="24">
        <f t="shared" si="10"/>
        <v>0</v>
      </c>
    </row>
    <row r="50" spans="1:14">
      <c r="A50">
        <f t="shared" si="0"/>
        <v>46</v>
      </c>
      <c r="B50">
        <v>1</v>
      </c>
      <c r="E50" s="23">
        <f t="shared" si="5"/>
        <v>127.67272727272727</v>
      </c>
      <c r="N50" s="24">
        <f t="shared" si="10"/>
        <v>0</v>
      </c>
    </row>
    <row r="51" spans="1:14">
      <c r="A51">
        <f t="shared" si="0"/>
        <v>47</v>
      </c>
      <c r="B51">
        <v>1</v>
      </c>
      <c r="E51" s="23">
        <f t="shared" si="5"/>
        <v>127.67272727272727</v>
      </c>
      <c r="N51" s="24">
        <f t="shared" si="10"/>
        <v>0</v>
      </c>
    </row>
    <row r="52" spans="1:14">
      <c r="A52">
        <f t="shared" si="0"/>
        <v>48</v>
      </c>
      <c r="B52">
        <v>1</v>
      </c>
      <c r="E52" s="23">
        <f t="shared" si="5"/>
        <v>127.67272727272727</v>
      </c>
      <c r="N52" s="24">
        <f t="shared" si="10"/>
        <v>0</v>
      </c>
    </row>
    <row r="53" spans="1:14">
      <c r="A53">
        <f t="shared" si="0"/>
        <v>49</v>
      </c>
      <c r="B53">
        <v>1</v>
      </c>
      <c r="E53" s="23">
        <f t="shared" si="5"/>
        <v>127.67272727272727</v>
      </c>
      <c r="N53" s="24">
        <f t="shared" si="10"/>
        <v>0</v>
      </c>
    </row>
    <row r="54" spans="1:14">
      <c r="A54">
        <f t="shared" si="0"/>
        <v>50</v>
      </c>
      <c r="B54">
        <v>1</v>
      </c>
      <c r="E54" s="23">
        <f t="shared" si="5"/>
        <v>127.67272727272727</v>
      </c>
      <c r="N54" s="24">
        <f t="shared" si="10"/>
        <v>0</v>
      </c>
    </row>
    <row r="55" spans="1:14">
      <c r="A55">
        <f t="shared" si="0"/>
        <v>51</v>
      </c>
      <c r="B55">
        <v>1</v>
      </c>
      <c r="E55" s="23">
        <f t="shared" si="5"/>
        <v>127.67272727272727</v>
      </c>
      <c r="N55" s="24">
        <f t="shared" si="10"/>
        <v>0</v>
      </c>
    </row>
    <row r="56" spans="1:14">
      <c r="A56">
        <f t="shared" si="0"/>
        <v>52</v>
      </c>
      <c r="B56">
        <v>1</v>
      </c>
      <c r="E56" s="23">
        <f t="shared" si="5"/>
        <v>127.67272727272727</v>
      </c>
      <c r="N56" s="24">
        <f t="shared" si="10"/>
        <v>0</v>
      </c>
    </row>
    <row r="57" spans="1:14">
      <c r="A57">
        <f t="shared" si="0"/>
        <v>53</v>
      </c>
      <c r="B57">
        <v>1</v>
      </c>
      <c r="E57" s="23">
        <f t="shared" si="5"/>
        <v>127.67272727272727</v>
      </c>
      <c r="N57" s="24">
        <f t="shared" si="10"/>
        <v>0</v>
      </c>
    </row>
    <row r="58" spans="1:14">
      <c r="A58">
        <f t="shared" si="0"/>
        <v>54</v>
      </c>
      <c r="B58">
        <v>1</v>
      </c>
      <c r="E58" s="23">
        <f t="shared" si="5"/>
        <v>127.67272727272727</v>
      </c>
      <c r="N58" s="24">
        <f t="shared" si="10"/>
        <v>0</v>
      </c>
    </row>
    <row r="59" spans="1:14">
      <c r="A59">
        <f t="shared" si="0"/>
        <v>55</v>
      </c>
      <c r="B59">
        <v>1</v>
      </c>
      <c r="E59" s="23">
        <f t="shared" si="5"/>
        <v>127.67272727272727</v>
      </c>
      <c r="N59" s="24">
        <f t="shared" si="10"/>
        <v>0</v>
      </c>
    </row>
    <row r="60" spans="1:14">
      <c r="A60">
        <f t="shared" si="0"/>
        <v>56</v>
      </c>
      <c r="B60">
        <v>1</v>
      </c>
      <c r="E60" s="23">
        <f t="shared" si="5"/>
        <v>127.67272727272727</v>
      </c>
      <c r="N60" s="24">
        <f t="shared" si="10"/>
        <v>0</v>
      </c>
    </row>
    <row r="61" spans="1:14">
      <c r="A61">
        <f t="shared" si="0"/>
        <v>57</v>
      </c>
      <c r="B61">
        <v>1</v>
      </c>
      <c r="E61" s="23">
        <f t="shared" si="5"/>
        <v>127.67272727272727</v>
      </c>
      <c r="N61" s="24">
        <f t="shared" si="10"/>
        <v>0</v>
      </c>
    </row>
    <row r="62" spans="1:14">
      <c r="A62">
        <f t="shared" si="0"/>
        <v>58</v>
      </c>
      <c r="B62">
        <v>1</v>
      </c>
      <c r="E62" s="23">
        <f t="shared" si="5"/>
        <v>127.67272727272727</v>
      </c>
      <c r="N62" s="24">
        <f t="shared" si="10"/>
        <v>0</v>
      </c>
    </row>
    <row r="63" spans="1:14">
      <c r="A63">
        <f t="shared" si="0"/>
        <v>59</v>
      </c>
      <c r="B63">
        <v>1</v>
      </c>
      <c r="E63" s="23">
        <f t="shared" si="5"/>
        <v>127.67272727272727</v>
      </c>
      <c r="N63" s="24">
        <f t="shared" si="10"/>
        <v>0</v>
      </c>
    </row>
    <row r="64" spans="1:14">
      <c r="A64">
        <f t="shared" si="0"/>
        <v>60</v>
      </c>
      <c r="B64">
        <v>1</v>
      </c>
      <c r="E64" s="23">
        <f t="shared" si="5"/>
        <v>127.67272727272727</v>
      </c>
      <c r="N64" s="24">
        <f t="shared" si="10"/>
        <v>0</v>
      </c>
    </row>
    <row r="65" spans="1:14">
      <c r="A65">
        <f t="shared" si="0"/>
        <v>61</v>
      </c>
      <c r="B65">
        <v>1</v>
      </c>
      <c r="E65" s="23">
        <f t="shared" si="5"/>
        <v>127.67272727272727</v>
      </c>
      <c r="N65" s="24">
        <f t="shared" si="10"/>
        <v>0</v>
      </c>
    </row>
    <row r="66" spans="1:14">
      <c r="A66">
        <f t="shared" si="0"/>
        <v>62</v>
      </c>
      <c r="B66">
        <v>1</v>
      </c>
      <c r="E66" s="23">
        <f t="shared" si="5"/>
        <v>127.67272727272727</v>
      </c>
      <c r="N66" s="24">
        <f t="shared" si="10"/>
        <v>0</v>
      </c>
    </row>
    <row r="67" spans="1:14">
      <c r="A67">
        <f t="shared" si="0"/>
        <v>63</v>
      </c>
      <c r="B67">
        <v>1</v>
      </c>
      <c r="E67" s="23">
        <f t="shared" si="5"/>
        <v>127.67272727272727</v>
      </c>
      <c r="N67" s="24">
        <f t="shared" si="10"/>
        <v>0</v>
      </c>
    </row>
    <row r="68" spans="1:14">
      <c r="A68">
        <f t="shared" si="0"/>
        <v>64</v>
      </c>
      <c r="B68">
        <v>1</v>
      </c>
      <c r="E68" s="23">
        <f t="shared" si="5"/>
        <v>127.67272727272727</v>
      </c>
      <c r="N68" s="24">
        <f t="shared" si="10"/>
        <v>0</v>
      </c>
    </row>
    <row r="69" spans="1:14">
      <c r="A69">
        <f t="shared" si="0"/>
        <v>65</v>
      </c>
      <c r="B69">
        <v>1</v>
      </c>
      <c r="E69" s="23">
        <f t="shared" si="5"/>
        <v>127.67272727272727</v>
      </c>
      <c r="N69" s="24">
        <f t="shared" si="10"/>
        <v>0</v>
      </c>
    </row>
    <row r="70" spans="1:14">
      <c r="A70">
        <f t="shared" ref="A70:A81" si="11">ROW()-4</f>
        <v>66</v>
      </c>
      <c r="B70">
        <v>1</v>
      </c>
      <c r="E70" s="23">
        <f t="shared" si="5"/>
        <v>127.67272727272727</v>
      </c>
      <c r="N70" s="24">
        <f t="shared" si="10"/>
        <v>0</v>
      </c>
    </row>
    <row r="71" spans="1:14">
      <c r="A71">
        <f t="shared" si="11"/>
        <v>67</v>
      </c>
      <c r="B71">
        <v>1</v>
      </c>
      <c r="E71" s="23">
        <f t="shared" si="5"/>
        <v>127.67272727272727</v>
      </c>
      <c r="N71" s="24">
        <f t="shared" si="10"/>
        <v>0</v>
      </c>
    </row>
    <row r="72" spans="1:14">
      <c r="A72">
        <f t="shared" si="11"/>
        <v>68</v>
      </c>
      <c r="B72">
        <v>1</v>
      </c>
      <c r="E72" s="23">
        <f t="shared" si="5"/>
        <v>127.67272727272727</v>
      </c>
      <c r="N72" s="24">
        <f t="shared" si="10"/>
        <v>0</v>
      </c>
    </row>
    <row r="73" spans="1:14">
      <c r="A73">
        <f t="shared" si="11"/>
        <v>69</v>
      </c>
      <c r="B73">
        <v>1</v>
      </c>
      <c r="E73" s="23">
        <f t="shared" si="5"/>
        <v>127.67272727272727</v>
      </c>
      <c r="N73" s="24">
        <f t="shared" si="10"/>
        <v>0</v>
      </c>
    </row>
    <row r="74" spans="1:14">
      <c r="A74">
        <f t="shared" si="11"/>
        <v>70</v>
      </c>
      <c r="B74">
        <v>1</v>
      </c>
      <c r="E74" s="23">
        <f t="shared" si="5"/>
        <v>127.67272727272727</v>
      </c>
      <c r="N74" s="24">
        <f t="shared" si="10"/>
        <v>0</v>
      </c>
    </row>
    <row r="75" spans="1:14">
      <c r="A75">
        <f t="shared" si="11"/>
        <v>71</v>
      </c>
      <c r="B75">
        <v>1</v>
      </c>
      <c r="E75" s="23">
        <f t="shared" si="5"/>
        <v>127.67272727272727</v>
      </c>
      <c r="N75" s="24">
        <f t="shared" ref="N75:N83" si="12">(F75*J75+G75*K75+H75*L75+I75*M75)*$Q$1</f>
        <v>0</v>
      </c>
    </row>
    <row r="76" spans="1:14">
      <c r="A76">
        <f t="shared" si="11"/>
        <v>72</v>
      </c>
      <c r="B76">
        <v>1</v>
      </c>
      <c r="E76" s="23">
        <f t="shared" si="5"/>
        <v>127.67272727272727</v>
      </c>
      <c r="N76" s="24">
        <f t="shared" si="12"/>
        <v>0</v>
      </c>
    </row>
    <row r="77" spans="1:14">
      <c r="A77">
        <f t="shared" si="11"/>
        <v>73</v>
      </c>
      <c r="B77">
        <v>1</v>
      </c>
      <c r="E77" s="23">
        <f t="shared" si="5"/>
        <v>127.67272727272727</v>
      </c>
      <c r="N77" s="24">
        <f t="shared" si="12"/>
        <v>0</v>
      </c>
    </row>
    <row r="78" spans="1:14">
      <c r="A78">
        <f t="shared" si="11"/>
        <v>74</v>
      </c>
      <c r="B78">
        <v>1</v>
      </c>
      <c r="E78" s="23">
        <f t="shared" si="5"/>
        <v>127.67272727272727</v>
      </c>
      <c r="N78" s="24">
        <f t="shared" si="12"/>
        <v>0</v>
      </c>
    </row>
    <row r="79" spans="1:14">
      <c r="A79">
        <f t="shared" si="11"/>
        <v>75</v>
      </c>
      <c r="B79">
        <v>1</v>
      </c>
      <c r="E79" s="23">
        <f t="shared" si="5"/>
        <v>127.67272727272727</v>
      </c>
      <c r="N79" s="24">
        <f t="shared" si="12"/>
        <v>0</v>
      </c>
    </row>
    <row r="80" spans="1:14">
      <c r="A80">
        <f t="shared" si="11"/>
        <v>76</v>
      </c>
      <c r="B80">
        <v>1</v>
      </c>
      <c r="E80" s="23">
        <f t="shared" si="5"/>
        <v>127.67272727272727</v>
      </c>
      <c r="N80" s="24">
        <f t="shared" si="12"/>
        <v>0</v>
      </c>
    </row>
    <row r="81" spans="1:14">
      <c r="A81">
        <f t="shared" si="11"/>
        <v>77</v>
      </c>
      <c r="B81">
        <v>1</v>
      </c>
      <c r="E81" s="23">
        <f t="shared" si="5"/>
        <v>127.67272727272727</v>
      </c>
      <c r="N81" s="24">
        <f t="shared" si="12"/>
        <v>0</v>
      </c>
    </row>
    <row r="82" spans="1:14">
      <c r="B82">
        <v>1</v>
      </c>
      <c r="N82" s="24">
        <f t="shared" si="12"/>
        <v>0</v>
      </c>
    </row>
    <row r="83" spans="1:14">
      <c r="B83">
        <v>1</v>
      </c>
      <c r="N83" s="24">
        <f t="shared" si="12"/>
        <v>0</v>
      </c>
    </row>
    <row r="84" spans="1:14">
      <c r="B84">
        <v>1</v>
      </c>
    </row>
    <row r="85" spans="1:14">
      <c r="B85">
        <v>1</v>
      </c>
    </row>
    <row r="86" spans="1:14">
      <c r="B86">
        <v>1</v>
      </c>
    </row>
    <row r="87" spans="1:14">
      <c r="B87">
        <v>1</v>
      </c>
    </row>
    <row r="88" spans="1:14">
      <c r="A88" s="28">
        <f>COUNT(A5:A87)</f>
        <v>77</v>
      </c>
      <c r="B88" s="28">
        <f>SUM(B13:B87)</f>
        <v>73</v>
      </c>
      <c r="C88" s="28">
        <f>SUM(C5:C87)</f>
        <v>26</v>
      </c>
      <c r="E88" s="29"/>
      <c r="F88" s="29">
        <f>SUM(F5:F87)</f>
        <v>1021.3818181818181</v>
      </c>
      <c r="G88" s="29">
        <f t="shared" ref="G88:I88" si="13">SUM(G5:G87)</f>
        <v>0</v>
      </c>
      <c r="H88" s="29">
        <f t="shared" si="13"/>
        <v>638.36363636363637</v>
      </c>
      <c r="I88" s="29">
        <f t="shared" si="13"/>
        <v>138.36363636363637</v>
      </c>
      <c r="J88" s="29"/>
      <c r="K88" s="29"/>
      <c r="L88" s="29"/>
      <c r="M88" s="29"/>
      <c r="N88" s="29">
        <f>SUM(N5:N87)</f>
        <v>84.611563636363641</v>
      </c>
    </row>
    <row r="89" spans="1:14">
      <c r="F89" s="25">
        <f>SUM(F88:I88)</f>
        <v>1798.1090909090908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846</v>
      </c>
      <c r="K2" s="24" t="s">
        <v>751</v>
      </c>
      <c r="P2" s="26" t="s">
        <v>754</v>
      </c>
      <c r="Q2" s="27">
        <f>VIPcric_3!D23</f>
        <v>6800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VIPcric_3!E23</f>
        <v>11.524896817743491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Q6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P10" s="26" t="s">
        <v>848</v>
      </c>
      <c r="Q10" s="27">
        <v>2000</v>
      </c>
      <c r="R10" s="27" t="s">
        <v>755</v>
      </c>
    </row>
    <row r="11" spans="1:20">
      <c r="A11">
        <f t="shared" si="0"/>
        <v>7</v>
      </c>
      <c r="C11">
        <v>1</v>
      </c>
      <c r="N11" s="24">
        <f t="shared" ref="N11:N42" si="1">(F11*J11+G11*K11+H11*L11+I11*M11)*$Q$1</f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ref="E15:E22" si="2">$Q$2/$Q$3</f>
        <v>590.02697443076988</v>
      </c>
      <c r="H15" s="24">
        <f t="shared" ref="H15:H18" si="3">E15</f>
        <v>590.02697443076988</v>
      </c>
      <c r="L15" s="24">
        <v>16</v>
      </c>
      <c r="N15" s="24">
        <f t="shared" si="1"/>
        <v>81.423722471446254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590.02697443076988</v>
      </c>
      <c r="H16" s="24">
        <f t="shared" si="3"/>
        <v>590.02697443076988</v>
      </c>
      <c r="L16" s="24">
        <f>L15-1</f>
        <v>15</v>
      </c>
      <c r="N16" s="24">
        <f t="shared" si="1"/>
        <v>76.334739816980857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590.02697443076988</v>
      </c>
      <c r="H17" s="24">
        <f t="shared" si="3"/>
        <v>590.02697443076988</v>
      </c>
      <c r="L17" s="24">
        <f t="shared" ref="L17:L18" si="4">L16-1</f>
        <v>14</v>
      </c>
      <c r="N17" s="24">
        <f t="shared" si="1"/>
        <v>71.245757162515474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590.02697443076988</v>
      </c>
      <c r="H18" s="24">
        <f t="shared" si="3"/>
        <v>590.02697443076988</v>
      </c>
      <c r="L18" s="24">
        <f t="shared" si="4"/>
        <v>13</v>
      </c>
      <c r="N18" s="24">
        <f t="shared" si="1"/>
        <v>66.156774508050077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590.02697443076988</v>
      </c>
      <c r="N19" s="24">
        <f t="shared" si="1"/>
        <v>0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590.02697443076988</v>
      </c>
      <c r="N20" s="24">
        <f t="shared" si="1"/>
        <v>0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590.02697443076988</v>
      </c>
      <c r="N21" s="24">
        <f t="shared" si="1"/>
        <v>0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590.02697443076988</v>
      </c>
      <c r="N22" s="24">
        <f t="shared" si="1"/>
        <v>0</v>
      </c>
    </row>
    <row r="23" spans="1:14">
      <c r="A23">
        <f t="shared" si="0"/>
        <v>19</v>
      </c>
      <c r="B23">
        <v>1</v>
      </c>
      <c r="C23">
        <v>1</v>
      </c>
      <c r="E23" s="23">
        <f>$Q$2/$Q$3</f>
        <v>590.02697443076988</v>
      </c>
      <c r="N23" s="24">
        <f t="shared" si="1"/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ref="E24:E25" si="5">$Q$2/$Q$3</f>
        <v>590.02697443076988</v>
      </c>
      <c r="N24" s="24">
        <f t="shared" si="1"/>
        <v>0</v>
      </c>
    </row>
    <row r="25" spans="1:14">
      <c r="A25">
        <f t="shared" si="0"/>
        <v>21</v>
      </c>
      <c r="B25">
        <v>1</v>
      </c>
      <c r="C25">
        <v>1</v>
      </c>
      <c r="E25" s="23">
        <f t="shared" si="5"/>
        <v>590.02697443076988</v>
      </c>
      <c r="N25" s="24">
        <f t="shared" si="1"/>
        <v>0</v>
      </c>
    </row>
    <row r="26" spans="1:14">
      <c r="A26">
        <f t="shared" si="0"/>
        <v>22</v>
      </c>
      <c r="C26">
        <v>1</v>
      </c>
      <c r="N26" s="24">
        <f t="shared" si="1"/>
        <v>0</v>
      </c>
    </row>
    <row r="27" spans="1:14">
      <c r="A27">
        <f t="shared" si="0"/>
        <v>23</v>
      </c>
      <c r="C27">
        <v>1</v>
      </c>
      <c r="N27" s="24">
        <f t="shared" si="1"/>
        <v>0</v>
      </c>
    </row>
    <row r="28" spans="1:14">
      <c r="A28">
        <f t="shared" si="0"/>
        <v>24</v>
      </c>
      <c r="C28">
        <v>1</v>
      </c>
      <c r="N28" s="24">
        <f t="shared" si="1"/>
        <v>0</v>
      </c>
    </row>
    <row r="29" spans="1:14">
      <c r="A29">
        <f t="shared" si="0"/>
        <v>25</v>
      </c>
      <c r="C29">
        <v>1</v>
      </c>
      <c r="N29" s="24">
        <f t="shared" si="1"/>
        <v>0</v>
      </c>
    </row>
    <row r="30" spans="1:14">
      <c r="A30">
        <f t="shared" si="0"/>
        <v>26</v>
      </c>
      <c r="C30">
        <v>1</v>
      </c>
      <c r="N30" s="24">
        <f t="shared" si="1"/>
        <v>0</v>
      </c>
    </row>
    <row r="31" spans="1:14">
      <c r="A31">
        <f t="shared" si="0"/>
        <v>27</v>
      </c>
      <c r="D31">
        <v>1</v>
      </c>
      <c r="I31" s="24">
        <f>$Q$10*10%</f>
        <v>200</v>
      </c>
      <c r="M31" s="24">
        <v>12</v>
      </c>
      <c r="N31" s="24">
        <f t="shared" si="1"/>
        <v>20.700000000000003</v>
      </c>
    </row>
    <row r="32" spans="1:14">
      <c r="A32">
        <f t="shared" si="0"/>
        <v>28</v>
      </c>
      <c r="D32">
        <v>1</v>
      </c>
      <c r="N32" s="24">
        <f t="shared" si="1"/>
        <v>0</v>
      </c>
    </row>
    <row r="33" spans="1:14">
      <c r="A33">
        <f t="shared" si="0"/>
        <v>29</v>
      </c>
      <c r="D33">
        <v>1</v>
      </c>
      <c r="N33" s="24">
        <f t="shared" si="1"/>
        <v>0</v>
      </c>
    </row>
    <row r="34" spans="1:14">
      <c r="A34">
        <f t="shared" si="0"/>
        <v>30</v>
      </c>
      <c r="D34">
        <v>1</v>
      </c>
      <c r="N34" s="24">
        <f t="shared" si="1"/>
        <v>0</v>
      </c>
    </row>
    <row r="35" spans="1:14">
      <c r="A35">
        <f t="shared" si="0"/>
        <v>31</v>
      </c>
      <c r="D35">
        <v>1</v>
      </c>
      <c r="N35" s="24">
        <f t="shared" si="1"/>
        <v>0</v>
      </c>
    </row>
    <row r="36" spans="1:14">
      <c r="A36">
        <f t="shared" si="0"/>
        <v>32</v>
      </c>
      <c r="D36">
        <v>1</v>
      </c>
      <c r="N36" s="24">
        <f t="shared" si="1"/>
        <v>0</v>
      </c>
    </row>
    <row r="37" spans="1:14">
      <c r="A37">
        <f t="shared" si="0"/>
        <v>33</v>
      </c>
      <c r="D37">
        <v>1</v>
      </c>
      <c r="N37" s="24">
        <f t="shared" si="1"/>
        <v>0</v>
      </c>
    </row>
    <row r="38" spans="1:14">
      <c r="A38">
        <f t="shared" si="0"/>
        <v>34</v>
      </c>
      <c r="D38">
        <v>1</v>
      </c>
      <c r="N38" s="24">
        <f t="shared" si="1"/>
        <v>0</v>
      </c>
    </row>
    <row r="39" spans="1:14">
      <c r="A39">
        <f t="shared" si="0"/>
        <v>35</v>
      </c>
      <c r="D39">
        <v>1</v>
      </c>
      <c r="N39" s="24">
        <f t="shared" si="1"/>
        <v>0</v>
      </c>
    </row>
    <row r="40" spans="1:14">
      <c r="A40">
        <f t="shared" si="0"/>
        <v>36</v>
      </c>
      <c r="D40">
        <v>1</v>
      </c>
      <c r="N40" s="24">
        <f t="shared" si="1"/>
        <v>0</v>
      </c>
    </row>
    <row r="41" spans="1:14">
      <c r="A41">
        <f t="shared" si="0"/>
        <v>37</v>
      </c>
      <c r="D41">
        <v>1</v>
      </c>
      <c r="N41" s="24">
        <f t="shared" si="1"/>
        <v>0</v>
      </c>
    </row>
    <row r="42" spans="1:14">
      <c r="A42">
        <f t="shared" si="0"/>
        <v>38</v>
      </c>
      <c r="D42">
        <v>1</v>
      </c>
      <c r="N42" s="24">
        <f t="shared" si="1"/>
        <v>0</v>
      </c>
    </row>
    <row r="43" spans="1:14">
      <c r="A43">
        <f t="shared" si="0"/>
        <v>39</v>
      </c>
      <c r="N43" s="24">
        <f t="shared" ref="N43:N74" si="6">(F43*J43+G43*K43+H43*L43+I43*M43)*$Q$1</f>
        <v>0</v>
      </c>
    </row>
    <row r="44" spans="1:14">
      <c r="A44">
        <f t="shared" si="0"/>
        <v>40</v>
      </c>
      <c r="N44" s="24">
        <f t="shared" si="6"/>
        <v>0</v>
      </c>
    </row>
    <row r="45" spans="1:14">
      <c r="A45">
        <f t="shared" si="0"/>
        <v>41</v>
      </c>
      <c r="N45" s="24">
        <f t="shared" si="6"/>
        <v>0</v>
      </c>
    </row>
    <row r="46" spans="1:14">
      <c r="A46">
        <f t="shared" si="0"/>
        <v>42</v>
      </c>
      <c r="N46" s="24">
        <f t="shared" si="6"/>
        <v>0</v>
      </c>
    </row>
    <row r="47" spans="1:14">
      <c r="A47">
        <f t="shared" si="0"/>
        <v>43</v>
      </c>
      <c r="N47" s="24">
        <f t="shared" si="6"/>
        <v>0</v>
      </c>
    </row>
    <row r="48" spans="1:14">
      <c r="A48">
        <f t="shared" si="0"/>
        <v>44</v>
      </c>
      <c r="N48" s="24">
        <f t="shared" si="6"/>
        <v>0</v>
      </c>
    </row>
    <row r="49" spans="1:14">
      <c r="A49">
        <f t="shared" si="0"/>
        <v>45</v>
      </c>
      <c r="N49" s="24">
        <f t="shared" si="6"/>
        <v>0</v>
      </c>
    </row>
    <row r="50" spans="1:14">
      <c r="A50">
        <f t="shared" si="0"/>
        <v>46</v>
      </c>
      <c r="N50" s="24">
        <f t="shared" si="6"/>
        <v>0</v>
      </c>
    </row>
    <row r="51" spans="1:14">
      <c r="A51">
        <f t="shared" si="0"/>
        <v>47</v>
      </c>
      <c r="N51" s="24">
        <f t="shared" si="6"/>
        <v>0</v>
      </c>
    </row>
    <row r="52" spans="1:14">
      <c r="A52">
        <f t="shared" si="0"/>
        <v>48</v>
      </c>
      <c r="N52" s="24">
        <f t="shared" si="6"/>
        <v>0</v>
      </c>
    </row>
    <row r="53" spans="1:14">
      <c r="A53">
        <f t="shared" si="0"/>
        <v>49</v>
      </c>
      <c r="N53" s="24">
        <f t="shared" si="6"/>
        <v>0</v>
      </c>
    </row>
    <row r="54" spans="1:14">
      <c r="A54">
        <f t="shared" si="0"/>
        <v>50</v>
      </c>
      <c r="N54" s="24">
        <f t="shared" si="6"/>
        <v>0</v>
      </c>
    </row>
    <row r="55" spans="1:14">
      <c r="A55">
        <f t="shared" si="0"/>
        <v>51</v>
      </c>
      <c r="N55" s="24">
        <f t="shared" si="6"/>
        <v>0</v>
      </c>
    </row>
    <row r="56" spans="1:14">
      <c r="A56">
        <f t="shared" si="0"/>
        <v>52</v>
      </c>
      <c r="N56" s="24">
        <f t="shared" si="6"/>
        <v>0</v>
      </c>
    </row>
    <row r="57" spans="1:14">
      <c r="A57">
        <f t="shared" si="0"/>
        <v>53</v>
      </c>
      <c r="N57" s="24">
        <f t="shared" si="6"/>
        <v>0</v>
      </c>
    </row>
    <row r="58" spans="1:14">
      <c r="A58">
        <f t="shared" si="0"/>
        <v>54</v>
      </c>
      <c r="N58" s="24">
        <f t="shared" si="6"/>
        <v>0</v>
      </c>
    </row>
    <row r="59" spans="1:14">
      <c r="A59">
        <f t="shared" si="0"/>
        <v>55</v>
      </c>
      <c r="N59" s="24">
        <f t="shared" si="6"/>
        <v>0</v>
      </c>
    </row>
    <row r="60" spans="1:14">
      <c r="A60">
        <f t="shared" si="0"/>
        <v>56</v>
      </c>
      <c r="N60" s="24">
        <f t="shared" si="6"/>
        <v>0</v>
      </c>
    </row>
    <row r="61" spans="1:14">
      <c r="A61">
        <f t="shared" si="0"/>
        <v>57</v>
      </c>
      <c r="N61" s="24">
        <f t="shared" si="6"/>
        <v>0</v>
      </c>
    </row>
    <row r="62" spans="1:14">
      <c r="A62">
        <f t="shared" si="0"/>
        <v>58</v>
      </c>
      <c r="N62" s="24">
        <f t="shared" si="6"/>
        <v>0</v>
      </c>
    </row>
    <row r="63" spans="1:14">
      <c r="A63">
        <f t="shared" si="0"/>
        <v>59</v>
      </c>
      <c r="N63" s="24">
        <f t="shared" si="6"/>
        <v>0</v>
      </c>
    </row>
    <row r="64" spans="1:14">
      <c r="A64">
        <f t="shared" si="0"/>
        <v>60</v>
      </c>
      <c r="N64" s="24">
        <f t="shared" si="6"/>
        <v>0</v>
      </c>
    </row>
    <row r="65" spans="1:14">
      <c r="A65">
        <f t="shared" si="0"/>
        <v>61</v>
      </c>
      <c r="N65" s="24">
        <f t="shared" si="6"/>
        <v>0</v>
      </c>
    </row>
    <row r="66" spans="1:14">
      <c r="A66">
        <f t="shared" si="0"/>
        <v>62</v>
      </c>
      <c r="N66" s="24">
        <f t="shared" si="6"/>
        <v>0</v>
      </c>
    </row>
    <row r="67" spans="1:14">
      <c r="A67">
        <f t="shared" si="0"/>
        <v>63</v>
      </c>
      <c r="N67" s="24">
        <f t="shared" si="6"/>
        <v>0</v>
      </c>
    </row>
    <row r="68" spans="1:14">
      <c r="A68">
        <f t="shared" si="0"/>
        <v>64</v>
      </c>
      <c r="N68" s="24">
        <f t="shared" si="6"/>
        <v>0</v>
      </c>
    </row>
    <row r="69" spans="1:14">
      <c r="A69">
        <f t="shared" si="0"/>
        <v>65</v>
      </c>
      <c r="N69" s="24">
        <f t="shared" si="6"/>
        <v>0</v>
      </c>
    </row>
    <row r="70" spans="1:14">
      <c r="A70">
        <f t="shared" ref="A70:A81" si="7">ROW()-4</f>
        <v>66</v>
      </c>
      <c r="N70" s="24">
        <f t="shared" si="6"/>
        <v>0</v>
      </c>
    </row>
    <row r="71" spans="1:14">
      <c r="A71">
        <f t="shared" si="7"/>
        <v>67</v>
      </c>
      <c r="N71" s="24">
        <f t="shared" si="6"/>
        <v>0</v>
      </c>
    </row>
    <row r="72" spans="1:14">
      <c r="A72">
        <f t="shared" si="7"/>
        <v>68</v>
      </c>
      <c r="N72" s="24">
        <f t="shared" si="6"/>
        <v>0</v>
      </c>
    </row>
    <row r="73" spans="1:14">
      <c r="A73">
        <f t="shared" si="7"/>
        <v>69</v>
      </c>
      <c r="N73" s="24">
        <f t="shared" si="6"/>
        <v>0</v>
      </c>
    </row>
    <row r="74" spans="1:14">
      <c r="A74">
        <f t="shared" si="7"/>
        <v>70</v>
      </c>
      <c r="N74" s="24">
        <f t="shared" si="6"/>
        <v>0</v>
      </c>
    </row>
    <row r="75" spans="1:14">
      <c r="A75">
        <f t="shared" si="7"/>
        <v>71</v>
      </c>
      <c r="N75" s="24">
        <f t="shared" ref="N75:N83" si="8">(F75*J75+G75*K75+H75*L75+I75*M75)*$Q$1</f>
        <v>0</v>
      </c>
    </row>
    <row r="76" spans="1:14">
      <c r="A76">
        <f t="shared" si="7"/>
        <v>72</v>
      </c>
      <c r="N76" s="24">
        <f t="shared" si="8"/>
        <v>0</v>
      </c>
    </row>
    <row r="77" spans="1:14">
      <c r="A77">
        <f t="shared" si="7"/>
        <v>73</v>
      </c>
      <c r="N77" s="24">
        <f t="shared" si="8"/>
        <v>0</v>
      </c>
    </row>
    <row r="78" spans="1:14">
      <c r="A78">
        <f t="shared" si="7"/>
        <v>74</v>
      </c>
      <c r="N78" s="24">
        <f t="shared" si="8"/>
        <v>0</v>
      </c>
    </row>
    <row r="79" spans="1:14">
      <c r="A79">
        <f t="shared" si="7"/>
        <v>75</v>
      </c>
      <c r="N79" s="24">
        <f t="shared" si="8"/>
        <v>0</v>
      </c>
    </row>
    <row r="80" spans="1:14">
      <c r="A80">
        <f t="shared" si="7"/>
        <v>76</v>
      </c>
      <c r="N80" s="24">
        <f t="shared" si="8"/>
        <v>0</v>
      </c>
    </row>
    <row r="81" spans="1:14">
      <c r="A81">
        <f t="shared" si="7"/>
        <v>77</v>
      </c>
      <c r="N81" s="24">
        <f t="shared" si="8"/>
        <v>0</v>
      </c>
    </row>
    <row r="82" spans="1:14">
      <c r="N82" s="24">
        <f t="shared" si="8"/>
        <v>0</v>
      </c>
    </row>
    <row r="83" spans="1:14">
      <c r="N83" s="24">
        <f t="shared" si="8"/>
        <v>0</v>
      </c>
    </row>
    <row r="88" spans="1:14">
      <c r="A88" s="28">
        <f>COUNT(A5:A87)</f>
        <v>77</v>
      </c>
      <c r="B88" s="28">
        <f>SUM(B13:B87)</f>
        <v>11</v>
      </c>
      <c r="C88" s="28">
        <f>SUM(C5:C87)</f>
        <v>26</v>
      </c>
      <c r="E88" s="29"/>
      <c r="F88" s="29">
        <f>SUM(F5:F87)</f>
        <v>0</v>
      </c>
      <c r="G88" s="29">
        <f t="shared" ref="G88:I88" si="9">SUM(G5:G87)</f>
        <v>0</v>
      </c>
      <c r="H88" s="29">
        <f t="shared" si="9"/>
        <v>2360.1078977230795</v>
      </c>
      <c r="I88" s="29">
        <f t="shared" si="9"/>
        <v>200</v>
      </c>
      <c r="J88" s="29"/>
      <c r="K88" s="29"/>
      <c r="L88" s="29"/>
      <c r="M88" s="29"/>
      <c r="N88" s="29">
        <f>SUM(N5:N87)</f>
        <v>315.86099395899265</v>
      </c>
    </row>
    <row r="89" spans="1:14">
      <c r="F89" s="25">
        <f>SUM(F88:I88)</f>
        <v>2560.1078977230795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847</v>
      </c>
      <c r="J1" s="24" t="s">
        <v>798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820</v>
      </c>
      <c r="K2" s="24" t="s">
        <v>763</v>
      </c>
      <c r="P2" s="26" t="s">
        <v>754</v>
      </c>
      <c r="Q2" s="27">
        <f>VIPcric_3!D21</f>
        <v>10711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VIPcric_3!E21</f>
        <v>52.1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(10+19+155+625*1.05)/30</f>
        <v>28.008333333333333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N5" s="24">
        <f t="shared" ref="N5:N68" si="0">(F5*J5+G5*K5+H5*L5+I5*M5)*$Q$1</f>
        <v>0</v>
      </c>
      <c r="P5" s="26" t="s">
        <v>768</v>
      </c>
      <c r="Q5" s="30">
        <f>(10+19+155+(625*1.05-Q7*30)/2)/30</f>
        <v>12.070833333333333</v>
      </c>
      <c r="R5" s="27" t="s">
        <v>758</v>
      </c>
    </row>
    <row r="6" spans="1:20">
      <c r="A6">
        <f t="shared" ref="A6:A69" si="1">ROW()-4</f>
        <v>2</v>
      </c>
      <c r="C6">
        <v>1</v>
      </c>
      <c r="N6" s="24">
        <f t="shared" si="0"/>
        <v>0</v>
      </c>
      <c r="P6" s="26" t="s">
        <v>757</v>
      </c>
      <c r="Q6" s="30">
        <f>(10+19+155+(625*1.05-Q7*30))/30</f>
        <v>18.008333333333333</v>
      </c>
      <c r="R6" s="27" t="s">
        <v>758</v>
      </c>
    </row>
    <row r="7" spans="1:20">
      <c r="A7">
        <f t="shared" si="1"/>
        <v>3</v>
      </c>
      <c r="C7">
        <v>1</v>
      </c>
      <c r="N7" s="24">
        <f t="shared" si="0"/>
        <v>0</v>
      </c>
      <c r="P7" s="26" t="s">
        <v>759</v>
      </c>
      <c r="Q7" s="27">
        <v>10</v>
      </c>
      <c r="R7" s="27" t="s">
        <v>758</v>
      </c>
    </row>
    <row r="8" spans="1:20">
      <c r="A8">
        <f t="shared" si="1"/>
        <v>4</v>
      </c>
      <c r="C8">
        <v>1</v>
      </c>
      <c r="N8" s="24">
        <f t="shared" si="0"/>
        <v>0</v>
      </c>
      <c r="P8" s="27" t="s">
        <v>760</v>
      </c>
      <c r="Q8" s="27">
        <v>3</v>
      </c>
      <c r="R8" s="27" t="s">
        <v>758</v>
      </c>
    </row>
    <row r="9" spans="1:20">
      <c r="A9">
        <f t="shared" si="1"/>
        <v>5</v>
      </c>
      <c r="C9">
        <v>1</v>
      </c>
      <c r="N9" s="24">
        <f>(F9*J9+G9*K9+H9*L9+I9*M9)*$Q$1</f>
        <v>0</v>
      </c>
      <c r="P9" s="26" t="s">
        <v>761</v>
      </c>
      <c r="Q9" s="27">
        <v>15</v>
      </c>
      <c r="R9" s="27" t="s">
        <v>758</v>
      </c>
    </row>
    <row r="10" spans="1:20">
      <c r="A10">
        <f t="shared" si="1"/>
        <v>6</v>
      </c>
      <c r="C10">
        <v>1</v>
      </c>
      <c r="N10" s="24">
        <f t="shared" si="0"/>
        <v>0</v>
      </c>
      <c r="P10" s="27" t="s">
        <v>789</v>
      </c>
      <c r="Q10" s="34">
        <v>3600</v>
      </c>
      <c r="R10" s="27"/>
    </row>
    <row r="11" spans="1:20">
      <c r="A11">
        <f t="shared" si="1"/>
        <v>7</v>
      </c>
      <c r="C11">
        <v>1</v>
      </c>
      <c r="N11" s="24">
        <f t="shared" si="0"/>
        <v>0</v>
      </c>
      <c r="Q11" s="37">
        <f>$Q$10*65%</f>
        <v>2340</v>
      </c>
    </row>
    <row r="12" spans="1:20">
      <c r="A12">
        <f t="shared" si="1"/>
        <v>8</v>
      </c>
      <c r="C12">
        <v>1</v>
      </c>
      <c r="N12" s="24">
        <f t="shared" si="0"/>
        <v>0</v>
      </c>
    </row>
    <row r="13" spans="1:20">
      <c r="A13">
        <f t="shared" si="1"/>
        <v>9</v>
      </c>
      <c r="C13">
        <v>1</v>
      </c>
      <c r="N13" s="24">
        <f t="shared" si="0"/>
        <v>0</v>
      </c>
    </row>
    <row r="14" spans="1:20">
      <c r="A14">
        <f t="shared" si="1"/>
        <v>10</v>
      </c>
      <c r="C14">
        <v>1</v>
      </c>
      <c r="N14" s="24">
        <f t="shared" si="0"/>
        <v>0</v>
      </c>
    </row>
    <row r="15" spans="1:20">
      <c r="A15">
        <f t="shared" si="1"/>
        <v>11</v>
      </c>
      <c r="C15">
        <v>1</v>
      </c>
      <c r="N15" s="24">
        <f t="shared" si="0"/>
        <v>0</v>
      </c>
    </row>
    <row r="16" spans="1:20">
      <c r="A16">
        <f t="shared" si="1"/>
        <v>12</v>
      </c>
      <c r="C16">
        <v>1</v>
      </c>
      <c r="N16" s="24">
        <f t="shared" si="0"/>
        <v>0</v>
      </c>
    </row>
    <row r="17" spans="1:14">
      <c r="A17">
        <f t="shared" si="1"/>
        <v>13</v>
      </c>
      <c r="B17">
        <v>1</v>
      </c>
      <c r="C17">
        <v>1</v>
      </c>
      <c r="E17" s="23">
        <f t="shared" ref="E17:E69" si="2">1/$Q$3*$Q$2</f>
        <v>205.58541266794623</v>
      </c>
      <c r="F17" s="24">
        <f>E17</f>
        <v>205.58541266794623</v>
      </c>
      <c r="J17" s="24">
        <v>4</v>
      </c>
      <c r="N17" s="24">
        <f t="shared" si="0"/>
        <v>7.0926967370441458</v>
      </c>
    </row>
    <row r="18" spans="1:14">
      <c r="A18">
        <f t="shared" si="1"/>
        <v>14</v>
      </c>
      <c r="B18">
        <v>1</v>
      </c>
      <c r="C18">
        <v>1</v>
      </c>
      <c r="E18" s="23">
        <f t="shared" si="2"/>
        <v>205.58541266794623</v>
      </c>
      <c r="F18" s="24">
        <f>E18</f>
        <v>205.58541266794623</v>
      </c>
      <c r="J18" s="24">
        <f>J17-1</f>
        <v>3</v>
      </c>
      <c r="N18" s="24">
        <f t="shared" si="0"/>
        <v>5.3195225527831091</v>
      </c>
    </row>
    <row r="19" spans="1:14">
      <c r="A19">
        <f t="shared" si="1"/>
        <v>15</v>
      </c>
      <c r="B19">
        <v>1</v>
      </c>
      <c r="C19">
        <v>1</v>
      </c>
      <c r="E19" s="23">
        <f t="shared" si="2"/>
        <v>205.58541266794623</v>
      </c>
      <c r="F19" s="24">
        <f>E19</f>
        <v>205.58541266794623</v>
      </c>
      <c r="J19" s="24">
        <f>J18-1</f>
        <v>2</v>
      </c>
      <c r="N19" s="24">
        <f t="shared" si="0"/>
        <v>3.5463483685220729</v>
      </c>
    </row>
    <row r="20" spans="1:14">
      <c r="A20">
        <f t="shared" si="1"/>
        <v>16</v>
      </c>
      <c r="B20">
        <v>1</v>
      </c>
      <c r="C20">
        <v>1</v>
      </c>
      <c r="E20" s="23">
        <f t="shared" si="2"/>
        <v>205.58541266794623</v>
      </c>
      <c r="F20" s="24">
        <f>E20</f>
        <v>205.58541266794623</v>
      </c>
      <c r="J20" s="24">
        <f>J19-1</f>
        <v>1</v>
      </c>
      <c r="N20" s="24">
        <f t="shared" si="0"/>
        <v>1.7731741842610365</v>
      </c>
    </row>
    <row r="21" spans="1:14">
      <c r="A21">
        <f t="shared" si="1"/>
        <v>17</v>
      </c>
      <c r="B21">
        <v>1</v>
      </c>
      <c r="C21">
        <v>1</v>
      </c>
      <c r="E21" s="23">
        <f t="shared" si="2"/>
        <v>205.58541266794623</v>
      </c>
      <c r="G21" s="24">
        <f>E21</f>
        <v>205.58541266794623</v>
      </c>
      <c r="K21" s="24">
        <v>7</v>
      </c>
      <c r="N21" s="24">
        <f t="shared" si="0"/>
        <v>12.412219289827254</v>
      </c>
    </row>
    <row r="22" spans="1:14">
      <c r="A22">
        <f t="shared" si="1"/>
        <v>18</v>
      </c>
      <c r="B22">
        <v>1</v>
      </c>
      <c r="C22">
        <v>1</v>
      </c>
      <c r="E22" s="23">
        <f t="shared" si="2"/>
        <v>205.58541266794623</v>
      </c>
      <c r="G22" s="24">
        <f t="shared" ref="G22:G27" si="3">E22</f>
        <v>205.58541266794623</v>
      </c>
      <c r="K22" s="24">
        <f>K21-1</f>
        <v>6</v>
      </c>
      <c r="N22" s="24">
        <f t="shared" si="0"/>
        <v>10.639045105566218</v>
      </c>
    </row>
    <row r="23" spans="1:14">
      <c r="A23">
        <f t="shared" si="1"/>
        <v>19</v>
      </c>
      <c r="B23">
        <v>1</v>
      </c>
      <c r="C23">
        <v>1</v>
      </c>
      <c r="E23" s="23">
        <f t="shared" si="2"/>
        <v>205.58541266794623</v>
      </c>
      <c r="G23" s="24">
        <f t="shared" si="3"/>
        <v>205.58541266794623</v>
      </c>
      <c r="K23" s="24">
        <f t="shared" ref="K23:K27" si="4">K22-1</f>
        <v>5</v>
      </c>
      <c r="N23" s="24">
        <f t="shared" si="0"/>
        <v>8.8658709213051825</v>
      </c>
    </row>
    <row r="24" spans="1:14">
      <c r="A24">
        <f t="shared" si="1"/>
        <v>20</v>
      </c>
      <c r="B24">
        <v>1</v>
      </c>
      <c r="C24">
        <v>1</v>
      </c>
      <c r="E24" s="23">
        <f t="shared" si="2"/>
        <v>205.58541266794623</v>
      </c>
      <c r="G24" s="24">
        <f t="shared" si="3"/>
        <v>205.58541266794623</v>
      </c>
      <c r="K24" s="24">
        <f t="shared" si="4"/>
        <v>4</v>
      </c>
      <c r="N24" s="24">
        <f t="shared" si="0"/>
        <v>7.0926967370441458</v>
      </c>
    </row>
    <row r="25" spans="1:14">
      <c r="A25">
        <f t="shared" si="1"/>
        <v>21</v>
      </c>
      <c r="B25">
        <v>1</v>
      </c>
      <c r="C25">
        <v>1</v>
      </c>
      <c r="E25" s="23">
        <f t="shared" si="2"/>
        <v>205.58541266794623</v>
      </c>
      <c r="G25" s="24">
        <f t="shared" si="3"/>
        <v>205.58541266794623</v>
      </c>
      <c r="K25" s="24">
        <f t="shared" si="4"/>
        <v>3</v>
      </c>
      <c r="N25" s="24">
        <f t="shared" si="0"/>
        <v>5.3195225527831091</v>
      </c>
    </row>
    <row r="26" spans="1:14">
      <c r="A26">
        <f t="shared" si="1"/>
        <v>22</v>
      </c>
      <c r="B26">
        <v>1</v>
      </c>
      <c r="C26">
        <v>1</v>
      </c>
      <c r="E26" s="23">
        <f t="shared" si="2"/>
        <v>205.58541266794623</v>
      </c>
      <c r="G26" s="24">
        <f t="shared" si="3"/>
        <v>205.58541266794623</v>
      </c>
      <c r="K26" s="24">
        <f t="shared" si="4"/>
        <v>2</v>
      </c>
      <c r="N26" s="24">
        <f t="shared" si="0"/>
        <v>3.5463483685220729</v>
      </c>
    </row>
    <row r="27" spans="1:14">
      <c r="A27">
        <f t="shared" si="1"/>
        <v>23</v>
      </c>
      <c r="B27">
        <v>1</v>
      </c>
      <c r="C27">
        <v>1</v>
      </c>
      <c r="E27" s="23">
        <f t="shared" si="2"/>
        <v>205.58541266794623</v>
      </c>
      <c r="G27" s="24">
        <f t="shared" si="3"/>
        <v>205.58541266794623</v>
      </c>
      <c r="K27" s="24">
        <f t="shared" si="4"/>
        <v>1</v>
      </c>
      <c r="N27" s="24">
        <f t="shared" si="0"/>
        <v>1.7731741842610365</v>
      </c>
    </row>
    <row r="28" spans="1:14">
      <c r="A28">
        <f t="shared" si="1"/>
        <v>24</v>
      </c>
      <c r="B28">
        <v>1</v>
      </c>
      <c r="C28">
        <v>1</v>
      </c>
      <c r="E28" s="23">
        <f t="shared" si="2"/>
        <v>205.58541266794623</v>
      </c>
      <c r="H28" s="24">
        <f>E28</f>
        <v>205.58541266794623</v>
      </c>
      <c r="L28" s="24">
        <v>5</v>
      </c>
      <c r="N28" s="24">
        <f t="shared" si="0"/>
        <v>8.8658709213051825</v>
      </c>
    </row>
    <row r="29" spans="1:14">
      <c r="A29">
        <f t="shared" si="1"/>
        <v>25</v>
      </c>
      <c r="B29">
        <v>1</v>
      </c>
      <c r="C29">
        <v>1</v>
      </c>
      <c r="E29" s="23">
        <f t="shared" si="2"/>
        <v>205.58541266794623</v>
      </c>
      <c r="H29" s="24">
        <f t="shared" ref="H29:H32" si="5">E29</f>
        <v>205.58541266794623</v>
      </c>
      <c r="L29" s="24">
        <f>L28-1</f>
        <v>4</v>
      </c>
      <c r="N29" s="24">
        <f t="shared" si="0"/>
        <v>7.0926967370441458</v>
      </c>
    </row>
    <row r="30" spans="1:14">
      <c r="A30">
        <f t="shared" si="1"/>
        <v>26</v>
      </c>
      <c r="B30">
        <v>1</v>
      </c>
      <c r="C30">
        <v>1</v>
      </c>
      <c r="E30" s="23">
        <f t="shared" si="2"/>
        <v>205.58541266794623</v>
      </c>
      <c r="H30" s="24">
        <f t="shared" si="5"/>
        <v>205.58541266794623</v>
      </c>
      <c r="L30" s="24">
        <f t="shared" ref="L30:L32" si="6">L29-1</f>
        <v>3</v>
      </c>
      <c r="N30" s="24">
        <f t="shared" si="0"/>
        <v>5.3195225527831091</v>
      </c>
    </row>
    <row r="31" spans="1:14">
      <c r="A31">
        <f t="shared" si="1"/>
        <v>27</v>
      </c>
      <c r="B31">
        <v>1</v>
      </c>
      <c r="C31">
        <v>1</v>
      </c>
      <c r="E31" s="23">
        <f t="shared" si="2"/>
        <v>205.58541266794623</v>
      </c>
      <c r="H31" s="24">
        <f t="shared" si="5"/>
        <v>205.58541266794623</v>
      </c>
      <c r="L31" s="24">
        <f t="shared" si="6"/>
        <v>2</v>
      </c>
      <c r="N31" s="24">
        <f t="shared" si="0"/>
        <v>3.5463483685220729</v>
      </c>
    </row>
    <row r="32" spans="1:14">
      <c r="A32">
        <f t="shared" si="1"/>
        <v>28</v>
      </c>
      <c r="B32">
        <v>1</v>
      </c>
      <c r="C32">
        <v>1</v>
      </c>
      <c r="E32" s="23">
        <f t="shared" si="2"/>
        <v>205.58541266794623</v>
      </c>
      <c r="H32" s="24">
        <f t="shared" si="5"/>
        <v>205.58541266794623</v>
      </c>
      <c r="L32" s="24">
        <f t="shared" si="6"/>
        <v>1</v>
      </c>
      <c r="N32" s="24">
        <f t="shared" si="0"/>
        <v>1.7731741842610365</v>
      </c>
    </row>
    <row r="33" spans="1:14">
      <c r="A33">
        <f t="shared" si="1"/>
        <v>29</v>
      </c>
      <c r="B33">
        <v>1</v>
      </c>
      <c r="D33">
        <v>1</v>
      </c>
      <c r="E33" s="23">
        <f t="shared" si="2"/>
        <v>205.58541266794623</v>
      </c>
      <c r="I33" s="24">
        <f>Q10*5%</f>
        <v>180</v>
      </c>
      <c r="M33" s="24">
        <v>15</v>
      </c>
      <c r="N33" s="24">
        <f t="shared" si="0"/>
        <v>23.287500000000001</v>
      </c>
    </row>
    <row r="34" spans="1:14">
      <c r="A34">
        <f t="shared" si="1"/>
        <v>30</v>
      </c>
      <c r="B34">
        <v>1</v>
      </c>
      <c r="D34">
        <v>1</v>
      </c>
      <c r="E34" s="23">
        <f t="shared" si="2"/>
        <v>205.58541266794623</v>
      </c>
      <c r="I34" s="24">
        <f>I33</f>
        <v>180</v>
      </c>
      <c r="M34" s="24">
        <v>14</v>
      </c>
      <c r="N34" s="24">
        <f t="shared" si="0"/>
        <v>21.735000000000003</v>
      </c>
    </row>
    <row r="35" spans="1:14">
      <c r="A35">
        <f t="shared" si="1"/>
        <v>31</v>
      </c>
      <c r="B35">
        <v>1</v>
      </c>
      <c r="D35">
        <v>1</v>
      </c>
      <c r="E35" s="23">
        <f t="shared" si="2"/>
        <v>205.58541266794623</v>
      </c>
      <c r="N35" s="24">
        <f t="shared" si="0"/>
        <v>0</v>
      </c>
    </row>
    <row r="36" spans="1:14">
      <c r="A36">
        <f t="shared" si="1"/>
        <v>32</v>
      </c>
      <c r="B36">
        <v>1</v>
      </c>
      <c r="D36">
        <v>1</v>
      </c>
      <c r="E36" s="23">
        <f t="shared" si="2"/>
        <v>205.58541266794623</v>
      </c>
      <c r="N36" s="24">
        <f t="shared" si="0"/>
        <v>0</v>
      </c>
    </row>
    <row r="37" spans="1:14">
      <c r="A37">
        <f t="shared" si="1"/>
        <v>33</v>
      </c>
      <c r="B37">
        <v>1</v>
      </c>
      <c r="D37">
        <v>1</v>
      </c>
      <c r="E37" s="23">
        <f t="shared" si="2"/>
        <v>205.58541266794623</v>
      </c>
      <c r="N37" s="24">
        <f t="shared" si="0"/>
        <v>0</v>
      </c>
    </row>
    <row r="38" spans="1:14">
      <c r="A38">
        <f t="shared" si="1"/>
        <v>34</v>
      </c>
      <c r="B38">
        <v>1</v>
      </c>
      <c r="D38">
        <v>1</v>
      </c>
      <c r="E38" s="23">
        <f t="shared" si="2"/>
        <v>205.58541266794623</v>
      </c>
      <c r="N38" s="24">
        <f t="shared" si="0"/>
        <v>0</v>
      </c>
    </row>
    <row r="39" spans="1:14">
      <c r="A39">
        <f t="shared" si="1"/>
        <v>35</v>
      </c>
      <c r="B39">
        <v>1</v>
      </c>
      <c r="D39">
        <v>1</v>
      </c>
      <c r="E39" s="23">
        <f t="shared" si="2"/>
        <v>205.58541266794623</v>
      </c>
      <c r="N39" s="24">
        <f t="shared" si="0"/>
        <v>0</v>
      </c>
    </row>
    <row r="40" spans="1:14">
      <c r="A40">
        <f t="shared" si="1"/>
        <v>36</v>
      </c>
      <c r="B40">
        <v>1</v>
      </c>
      <c r="D40">
        <v>1</v>
      </c>
      <c r="E40" s="23">
        <f t="shared" si="2"/>
        <v>205.58541266794623</v>
      </c>
      <c r="N40" s="24">
        <f t="shared" si="0"/>
        <v>0</v>
      </c>
    </row>
    <row r="41" spans="1:14">
      <c r="A41">
        <f t="shared" si="1"/>
        <v>37</v>
      </c>
      <c r="B41">
        <v>1</v>
      </c>
      <c r="D41">
        <v>1</v>
      </c>
      <c r="E41" s="23">
        <f t="shared" si="2"/>
        <v>205.58541266794623</v>
      </c>
      <c r="N41" s="24">
        <f t="shared" si="0"/>
        <v>0</v>
      </c>
    </row>
    <row r="42" spans="1:14">
      <c r="A42">
        <f t="shared" si="1"/>
        <v>38</v>
      </c>
      <c r="B42">
        <v>1</v>
      </c>
      <c r="D42">
        <v>1</v>
      </c>
      <c r="E42" s="23">
        <f t="shared" si="2"/>
        <v>205.58541266794623</v>
      </c>
      <c r="N42" s="24">
        <f t="shared" si="0"/>
        <v>0</v>
      </c>
    </row>
    <row r="43" spans="1:14">
      <c r="A43">
        <f t="shared" si="1"/>
        <v>39</v>
      </c>
      <c r="B43">
        <v>1</v>
      </c>
      <c r="D43">
        <v>1</v>
      </c>
      <c r="E43" s="23">
        <f t="shared" si="2"/>
        <v>205.58541266794623</v>
      </c>
      <c r="N43" s="24">
        <f t="shared" si="0"/>
        <v>0</v>
      </c>
    </row>
    <row r="44" spans="1:14">
      <c r="A44">
        <f t="shared" si="1"/>
        <v>40</v>
      </c>
      <c r="B44">
        <v>1</v>
      </c>
      <c r="D44">
        <v>1</v>
      </c>
      <c r="E44" s="23">
        <f t="shared" si="2"/>
        <v>205.58541266794623</v>
      </c>
      <c r="N44" s="24">
        <f t="shared" si="0"/>
        <v>0</v>
      </c>
    </row>
    <row r="45" spans="1:14">
      <c r="A45">
        <f t="shared" si="1"/>
        <v>41</v>
      </c>
      <c r="B45">
        <v>1</v>
      </c>
      <c r="D45">
        <v>1</v>
      </c>
      <c r="E45" s="23">
        <f t="shared" si="2"/>
        <v>205.58541266794623</v>
      </c>
      <c r="N45" s="24">
        <f t="shared" si="0"/>
        <v>0</v>
      </c>
    </row>
    <row r="46" spans="1:14">
      <c r="A46">
        <f t="shared" si="1"/>
        <v>42</v>
      </c>
      <c r="B46">
        <v>1</v>
      </c>
      <c r="D46">
        <v>1</v>
      </c>
      <c r="E46" s="23">
        <f t="shared" si="2"/>
        <v>205.58541266794623</v>
      </c>
      <c r="N46" s="24">
        <f t="shared" si="0"/>
        <v>0</v>
      </c>
    </row>
    <row r="47" spans="1:14">
      <c r="A47">
        <f t="shared" si="1"/>
        <v>43</v>
      </c>
      <c r="B47">
        <v>1</v>
      </c>
      <c r="D47">
        <v>1</v>
      </c>
      <c r="E47" s="23">
        <f t="shared" si="2"/>
        <v>205.58541266794623</v>
      </c>
      <c r="N47" s="24">
        <f t="shared" si="0"/>
        <v>0</v>
      </c>
    </row>
    <row r="48" spans="1:14">
      <c r="A48">
        <f t="shared" si="1"/>
        <v>44</v>
      </c>
      <c r="B48">
        <v>1</v>
      </c>
      <c r="E48" s="23">
        <f t="shared" si="2"/>
        <v>205.58541266794623</v>
      </c>
      <c r="N48" s="24">
        <f t="shared" si="0"/>
        <v>0</v>
      </c>
    </row>
    <row r="49" spans="1:14">
      <c r="A49">
        <f t="shared" si="1"/>
        <v>45</v>
      </c>
      <c r="B49">
        <v>1</v>
      </c>
      <c r="E49" s="23">
        <f t="shared" si="2"/>
        <v>205.58541266794623</v>
      </c>
      <c r="N49" s="24">
        <f t="shared" si="0"/>
        <v>0</v>
      </c>
    </row>
    <row r="50" spans="1:14">
      <c r="A50">
        <f t="shared" si="1"/>
        <v>46</v>
      </c>
      <c r="B50">
        <v>1</v>
      </c>
      <c r="E50" s="23">
        <f t="shared" si="2"/>
        <v>205.58541266794623</v>
      </c>
      <c r="N50" s="24">
        <f t="shared" si="0"/>
        <v>0</v>
      </c>
    </row>
    <row r="51" spans="1:14">
      <c r="A51">
        <f t="shared" si="1"/>
        <v>47</v>
      </c>
      <c r="B51">
        <v>1</v>
      </c>
      <c r="E51" s="23">
        <f t="shared" si="2"/>
        <v>205.58541266794623</v>
      </c>
      <c r="N51" s="24">
        <f t="shared" si="0"/>
        <v>0</v>
      </c>
    </row>
    <row r="52" spans="1:14">
      <c r="A52">
        <f t="shared" si="1"/>
        <v>48</v>
      </c>
      <c r="B52">
        <v>1</v>
      </c>
      <c r="E52" s="23">
        <f t="shared" si="2"/>
        <v>205.58541266794623</v>
      </c>
      <c r="N52" s="24">
        <f t="shared" si="0"/>
        <v>0</v>
      </c>
    </row>
    <row r="53" spans="1:14">
      <c r="A53">
        <f t="shared" si="1"/>
        <v>49</v>
      </c>
      <c r="B53">
        <v>1</v>
      </c>
      <c r="E53" s="23">
        <f t="shared" si="2"/>
        <v>205.58541266794623</v>
      </c>
      <c r="N53" s="24">
        <f t="shared" si="0"/>
        <v>0</v>
      </c>
    </row>
    <row r="54" spans="1:14">
      <c r="A54">
        <f t="shared" si="1"/>
        <v>50</v>
      </c>
      <c r="B54">
        <v>1</v>
      </c>
      <c r="E54" s="23">
        <f t="shared" si="2"/>
        <v>205.58541266794623</v>
      </c>
      <c r="N54" s="24">
        <f t="shared" si="0"/>
        <v>0</v>
      </c>
    </row>
    <row r="55" spans="1:14">
      <c r="A55">
        <f t="shared" si="1"/>
        <v>51</v>
      </c>
      <c r="B55">
        <v>1</v>
      </c>
      <c r="E55" s="23">
        <f t="shared" si="2"/>
        <v>205.58541266794623</v>
      </c>
      <c r="N55" s="24">
        <f t="shared" si="0"/>
        <v>0</v>
      </c>
    </row>
    <row r="56" spans="1:14">
      <c r="A56">
        <f t="shared" si="1"/>
        <v>52</v>
      </c>
      <c r="B56">
        <v>1</v>
      </c>
      <c r="E56" s="23">
        <f t="shared" si="2"/>
        <v>205.58541266794623</v>
      </c>
      <c r="N56" s="24">
        <f t="shared" si="0"/>
        <v>0</v>
      </c>
    </row>
    <row r="57" spans="1:14">
      <c r="A57">
        <f t="shared" si="1"/>
        <v>53</v>
      </c>
      <c r="B57">
        <v>1</v>
      </c>
      <c r="E57" s="23">
        <f t="shared" si="2"/>
        <v>205.58541266794623</v>
      </c>
      <c r="N57" s="24">
        <f t="shared" si="0"/>
        <v>0</v>
      </c>
    </row>
    <row r="58" spans="1:14">
      <c r="A58">
        <f t="shared" si="1"/>
        <v>54</v>
      </c>
      <c r="B58">
        <v>1</v>
      </c>
      <c r="E58" s="23">
        <f t="shared" si="2"/>
        <v>205.58541266794623</v>
      </c>
      <c r="N58" s="24">
        <f t="shared" si="0"/>
        <v>0</v>
      </c>
    </row>
    <row r="59" spans="1:14">
      <c r="A59">
        <f t="shared" si="1"/>
        <v>55</v>
      </c>
      <c r="B59">
        <v>1</v>
      </c>
      <c r="E59" s="23">
        <f t="shared" si="2"/>
        <v>205.58541266794623</v>
      </c>
      <c r="N59" s="24">
        <f t="shared" si="0"/>
        <v>0</v>
      </c>
    </row>
    <row r="60" spans="1:14">
      <c r="A60">
        <f t="shared" si="1"/>
        <v>56</v>
      </c>
      <c r="B60">
        <v>1</v>
      </c>
      <c r="E60" s="23">
        <f t="shared" si="2"/>
        <v>205.58541266794623</v>
      </c>
      <c r="N60" s="24">
        <f t="shared" si="0"/>
        <v>0</v>
      </c>
    </row>
    <row r="61" spans="1:14">
      <c r="A61">
        <f t="shared" si="1"/>
        <v>57</v>
      </c>
      <c r="B61">
        <v>1</v>
      </c>
      <c r="E61" s="23">
        <f t="shared" si="2"/>
        <v>205.58541266794623</v>
      </c>
      <c r="N61" s="24">
        <f t="shared" si="0"/>
        <v>0</v>
      </c>
    </row>
    <row r="62" spans="1:14">
      <c r="A62">
        <f t="shared" si="1"/>
        <v>58</v>
      </c>
      <c r="B62">
        <v>1</v>
      </c>
      <c r="E62" s="23">
        <f t="shared" si="2"/>
        <v>205.58541266794623</v>
      </c>
      <c r="N62" s="24">
        <f t="shared" si="0"/>
        <v>0</v>
      </c>
    </row>
    <row r="63" spans="1:14">
      <c r="A63">
        <f t="shared" si="1"/>
        <v>59</v>
      </c>
      <c r="B63">
        <v>1</v>
      </c>
      <c r="E63" s="23">
        <f t="shared" si="2"/>
        <v>205.58541266794623</v>
      </c>
      <c r="N63" s="24">
        <f t="shared" si="0"/>
        <v>0</v>
      </c>
    </row>
    <row r="64" spans="1:14">
      <c r="A64">
        <f t="shared" si="1"/>
        <v>60</v>
      </c>
      <c r="B64">
        <v>1</v>
      </c>
      <c r="E64" s="23">
        <f t="shared" si="2"/>
        <v>205.58541266794623</v>
      </c>
      <c r="N64" s="24">
        <f t="shared" si="0"/>
        <v>0</v>
      </c>
    </row>
    <row r="65" spans="1:14">
      <c r="A65">
        <f t="shared" si="1"/>
        <v>61</v>
      </c>
      <c r="B65">
        <v>1</v>
      </c>
      <c r="E65" s="23">
        <f t="shared" si="2"/>
        <v>205.58541266794623</v>
      </c>
      <c r="N65" s="24">
        <f t="shared" si="0"/>
        <v>0</v>
      </c>
    </row>
    <row r="66" spans="1:14">
      <c r="A66">
        <f t="shared" si="1"/>
        <v>62</v>
      </c>
      <c r="B66">
        <v>1</v>
      </c>
      <c r="E66" s="23">
        <f t="shared" si="2"/>
        <v>205.58541266794623</v>
      </c>
      <c r="N66" s="24">
        <f t="shared" si="0"/>
        <v>0</v>
      </c>
    </row>
    <row r="67" spans="1:14">
      <c r="A67">
        <f t="shared" si="1"/>
        <v>63</v>
      </c>
      <c r="B67">
        <v>1</v>
      </c>
      <c r="E67" s="23">
        <f t="shared" si="2"/>
        <v>205.58541266794623</v>
      </c>
      <c r="N67" s="24">
        <f t="shared" si="0"/>
        <v>0</v>
      </c>
    </row>
    <row r="68" spans="1:14">
      <c r="A68">
        <f t="shared" si="1"/>
        <v>64</v>
      </c>
      <c r="B68">
        <v>1</v>
      </c>
      <c r="E68" s="23">
        <f t="shared" si="2"/>
        <v>205.58541266794623</v>
      </c>
      <c r="N68" s="24">
        <f t="shared" si="0"/>
        <v>0</v>
      </c>
    </row>
    <row r="69" spans="1:14">
      <c r="A69">
        <f t="shared" si="1"/>
        <v>65</v>
      </c>
      <c r="B69">
        <v>1</v>
      </c>
      <c r="E69" s="23">
        <f t="shared" si="2"/>
        <v>205.58541266794623</v>
      </c>
      <c r="N69" s="24">
        <f t="shared" ref="N69:N87" si="7">(F69*J69+G69*K69+H69*L69+I69*M69)*$Q$1</f>
        <v>0</v>
      </c>
    </row>
    <row r="70" spans="1:14">
      <c r="N70" s="24">
        <f t="shared" si="7"/>
        <v>0</v>
      </c>
    </row>
    <row r="71" spans="1:14">
      <c r="N71" s="24">
        <f t="shared" si="7"/>
        <v>0</v>
      </c>
    </row>
    <row r="72" spans="1:14">
      <c r="N72" s="24">
        <f t="shared" si="7"/>
        <v>0</v>
      </c>
    </row>
    <row r="73" spans="1:14">
      <c r="N73" s="24">
        <f t="shared" si="7"/>
        <v>0</v>
      </c>
    </row>
    <row r="74" spans="1:14">
      <c r="N74" s="24">
        <f t="shared" si="7"/>
        <v>0</v>
      </c>
    </row>
    <row r="75" spans="1:14">
      <c r="N75" s="24">
        <f t="shared" si="7"/>
        <v>0</v>
      </c>
    </row>
    <row r="76" spans="1:14">
      <c r="N76" s="24">
        <f t="shared" si="7"/>
        <v>0</v>
      </c>
    </row>
    <row r="77" spans="1:14">
      <c r="N77" s="24">
        <f t="shared" si="7"/>
        <v>0</v>
      </c>
    </row>
    <row r="78" spans="1:14">
      <c r="N78" s="24">
        <f t="shared" si="7"/>
        <v>0</v>
      </c>
    </row>
    <row r="79" spans="1:14">
      <c r="N79" s="24">
        <f t="shared" si="7"/>
        <v>0</v>
      </c>
    </row>
    <row r="80" spans="1:14">
      <c r="N80" s="24">
        <f t="shared" si="7"/>
        <v>0</v>
      </c>
    </row>
    <row r="81" spans="1:14">
      <c r="N81" s="24">
        <f t="shared" si="7"/>
        <v>0</v>
      </c>
    </row>
    <row r="82" spans="1:14">
      <c r="N82" s="24">
        <f t="shared" si="7"/>
        <v>0</v>
      </c>
    </row>
    <row r="83" spans="1:14">
      <c r="N83" s="24">
        <f t="shared" si="7"/>
        <v>0</v>
      </c>
    </row>
    <row r="84" spans="1:14">
      <c r="N84" s="24">
        <f t="shared" si="7"/>
        <v>0</v>
      </c>
    </row>
    <row r="85" spans="1:14">
      <c r="N85" s="24">
        <f t="shared" si="7"/>
        <v>0</v>
      </c>
    </row>
    <row r="86" spans="1:14">
      <c r="N86" s="24">
        <f t="shared" si="7"/>
        <v>0</v>
      </c>
    </row>
    <row r="87" spans="1:14">
      <c r="N87" s="24">
        <f t="shared" si="7"/>
        <v>0</v>
      </c>
    </row>
    <row r="88" spans="1:14">
      <c r="A88" s="28">
        <f>COUNT(A5:A87)</f>
        <v>65</v>
      </c>
      <c r="B88" s="28">
        <f>SUM(B13:B87)</f>
        <v>53</v>
      </c>
      <c r="C88" s="28">
        <f>SUM(C5:C87)</f>
        <v>28</v>
      </c>
      <c r="E88" s="29"/>
      <c r="F88" s="29">
        <f>SUM(F5:F87)</f>
        <v>822.34165067178492</v>
      </c>
      <c r="G88" s="29">
        <f t="shared" ref="G88:I88" si="8">SUM(G5:G87)</f>
        <v>1439.0978886756236</v>
      </c>
      <c r="H88" s="29">
        <f>SUM(H5:H87)</f>
        <v>1027.9270633397311</v>
      </c>
      <c r="I88" s="29">
        <f t="shared" si="8"/>
        <v>360</v>
      </c>
      <c r="J88" s="29"/>
      <c r="K88" s="29"/>
      <c r="L88" s="29"/>
      <c r="M88" s="29"/>
      <c r="N88" s="29">
        <f>SUM(N5:N87)</f>
        <v>139.00073176583496</v>
      </c>
    </row>
    <row r="89" spans="1:14">
      <c r="F89" s="25">
        <f>SUM(F88:I88)</f>
        <v>3649.3666026871397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847</v>
      </c>
      <c r="J1" s="24" t="s">
        <v>798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820</v>
      </c>
      <c r="K2" s="24" t="s">
        <v>763</v>
      </c>
      <c r="P2" s="26" t="s">
        <v>754</v>
      </c>
      <c r="Q2" s="27">
        <f>VIPcric_3!D22</f>
        <v>40094</v>
      </c>
      <c r="R2" s="27" t="s">
        <v>755</v>
      </c>
    </row>
    <row r="3" spans="1:20">
      <c r="H3" s="24" t="s">
        <v>821</v>
      </c>
      <c r="L3" s="24" t="s">
        <v>752</v>
      </c>
      <c r="P3" s="26" t="s">
        <v>738</v>
      </c>
      <c r="Q3" s="27">
        <f>VIPcric_3!E22</f>
        <v>19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(10+19+155+625*1.05)/30</f>
        <v>28.008333333333333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N5" s="24">
        <f t="shared" ref="N5:N68" si="0">(F5*J5+G5*K5+H5*L5+I5*M5)*$Q$1</f>
        <v>0</v>
      </c>
      <c r="P5" s="26" t="s">
        <v>768</v>
      </c>
      <c r="Q5" s="30">
        <f>(10+19+155+(625*1.05-Q7*30)/2)/30</f>
        <v>12.070833333333333</v>
      </c>
      <c r="R5" s="27" t="s">
        <v>758</v>
      </c>
    </row>
    <row r="6" spans="1:20">
      <c r="A6">
        <f t="shared" ref="A6:A44" si="1">ROW()-4</f>
        <v>2</v>
      </c>
      <c r="C6">
        <v>1</v>
      </c>
      <c r="N6" s="24">
        <f t="shared" si="0"/>
        <v>0</v>
      </c>
      <c r="P6" s="26" t="s">
        <v>757</v>
      </c>
      <c r="Q6" s="30">
        <f>(10+19+155+(625*1.05-Q7*30))/30</f>
        <v>18.008333333333333</v>
      </c>
      <c r="R6" s="27" t="s">
        <v>758</v>
      </c>
    </row>
    <row r="7" spans="1:20">
      <c r="A7">
        <f t="shared" si="1"/>
        <v>3</v>
      </c>
      <c r="C7">
        <v>1</v>
      </c>
      <c r="N7" s="24">
        <f t="shared" si="0"/>
        <v>0</v>
      </c>
      <c r="P7" s="26" t="s">
        <v>759</v>
      </c>
      <c r="Q7" s="27">
        <v>10</v>
      </c>
      <c r="R7" s="27" t="s">
        <v>758</v>
      </c>
    </row>
    <row r="8" spans="1:20">
      <c r="A8">
        <f t="shared" si="1"/>
        <v>4</v>
      </c>
      <c r="C8">
        <v>1</v>
      </c>
      <c r="N8" s="24">
        <f t="shared" si="0"/>
        <v>0</v>
      </c>
      <c r="P8" s="27" t="s">
        <v>760</v>
      </c>
      <c r="Q8" s="27">
        <v>3</v>
      </c>
      <c r="R8" s="27" t="s">
        <v>758</v>
      </c>
    </row>
    <row r="9" spans="1:20">
      <c r="A9">
        <f t="shared" si="1"/>
        <v>5</v>
      </c>
      <c r="C9">
        <v>1</v>
      </c>
      <c r="N9" s="24">
        <f>(F9*J9+G9*K9+H9*L9+I9*M9)*$Q$1</f>
        <v>0</v>
      </c>
      <c r="P9" s="26" t="s">
        <v>761</v>
      </c>
      <c r="Q9" s="27">
        <v>15</v>
      </c>
      <c r="R9" s="27" t="s">
        <v>758</v>
      </c>
    </row>
    <row r="10" spans="1:20">
      <c r="A10">
        <f t="shared" si="1"/>
        <v>6</v>
      </c>
      <c r="C10">
        <v>1</v>
      </c>
      <c r="N10" s="24">
        <f t="shared" si="0"/>
        <v>0</v>
      </c>
      <c r="P10" s="27" t="s">
        <v>789</v>
      </c>
      <c r="Q10" s="34">
        <v>5000</v>
      </c>
      <c r="R10" s="27"/>
    </row>
    <row r="11" spans="1:20">
      <c r="A11">
        <f t="shared" si="1"/>
        <v>7</v>
      </c>
      <c r="C11">
        <v>1</v>
      </c>
      <c r="N11" s="24">
        <f t="shared" si="0"/>
        <v>0</v>
      </c>
      <c r="Q11" s="37"/>
    </row>
    <row r="12" spans="1:20">
      <c r="A12">
        <f t="shared" si="1"/>
        <v>8</v>
      </c>
      <c r="C12">
        <v>1</v>
      </c>
      <c r="N12" s="24">
        <f t="shared" si="0"/>
        <v>0</v>
      </c>
    </row>
    <row r="13" spans="1:20">
      <c r="A13">
        <f t="shared" si="1"/>
        <v>9</v>
      </c>
      <c r="C13">
        <v>1</v>
      </c>
      <c r="N13" s="24">
        <f t="shared" si="0"/>
        <v>0</v>
      </c>
    </row>
    <row r="14" spans="1:20">
      <c r="A14">
        <f t="shared" si="1"/>
        <v>10</v>
      </c>
      <c r="C14">
        <v>1</v>
      </c>
      <c r="N14" s="24">
        <f t="shared" si="0"/>
        <v>0</v>
      </c>
    </row>
    <row r="15" spans="1:20">
      <c r="A15">
        <f t="shared" si="1"/>
        <v>11</v>
      </c>
      <c r="C15">
        <v>1</v>
      </c>
      <c r="N15" s="24">
        <f t="shared" si="0"/>
        <v>0</v>
      </c>
    </row>
    <row r="16" spans="1:20">
      <c r="A16">
        <f t="shared" si="1"/>
        <v>12</v>
      </c>
      <c r="C16">
        <v>1</v>
      </c>
      <c r="N16" s="24">
        <f t="shared" si="0"/>
        <v>0</v>
      </c>
    </row>
    <row r="17" spans="1:14">
      <c r="A17">
        <f t="shared" si="1"/>
        <v>13</v>
      </c>
      <c r="B17">
        <v>1</v>
      </c>
      <c r="C17">
        <v>1</v>
      </c>
      <c r="E17" s="23">
        <f t="shared" ref="E17:E35" si="2">1/$Q$3*$Q$2</f>
        <v>2110.2105263157891</v>
      </c>
      <c r="F17" s="24">
        <f>E17</f>
        <v>2110.2105263157891</v>
      </c>
      <c r="J17" s="24">
        <v>28</v>
      </c>
      <c r="N17" s="24">
        <f t="shared" si="0"/>
        <v>509.61584210526308</v>
      </c>
    </row>
    <row r="18" spans="1:14">
      <c r="A18">
        <f t="shared" si="1"/>
        <v>14</v>
      </c>
      <c r="B18">
        <v>1</v>
      </c>
      <c r="C18">
        <v>1</v>
      </c>
      <c r="E18" s="23">
        <f t="shared" si="2"/>
        <v>2110.2105263157891</v>
      </c>
      <c r="F18" s="24">
        <f>E18</f>
        <v>2110.2105263157891</v>
      </c>
      <c r="J18" s="24">
        <f>J17-1</f>
        <v>27</v>
      </c>
      <c r="N18" s="24">
        <f t="shared" si="0"/>
        <v>491.41527631578941</v>
      </c>
    </row>
    <row r="19" spans="1:14">
      <c r="A19">
        <f t="shared" si="1"/>
        <v>15</v>
      </c>
      <c r="B19">
        <v>1</v>
      </c>
      <c r="C19">
        <v>1</v>
      </c>
      <c r="E19" s="23">
        <f t="shared" si="2"/>
        <v>2110.2105263157891</v>
      </c>
      <c r="F19" s="24">
        <f>Q10-SUM(F17:F18)</f>
        <v>779.57894736842172</v>
      </c>
      <c r="J19" s="24">
        <f t="shared" ref="J19" si="3">J18-1</f>
        <v>26</v>
      </c>
      <c r="N19" s="24">
        <f t="shared" si="0"/>
        <v>174.82057894736857</v>
      </c>
    </row>
    <row r="20" spans="1:14">
      <c r="A20">
        <f t="shared" si="1"/>
        <v>16</v>
      </c>
      <c r="B20">
        <v>1</v>
      </c>
      <c r="C20">
        <v>1</v>
      </c>
      <c r="E20" s="23">
        <f t="shared" si="2"/>
        <v>2110.2105263157891</v>
      </c>
      <c r="N20" s="24">
        <f t="shared" si="0"/>
        <v>0</v>
      </c>
    </row>
    <row r="21" spans="1:14">
      <c r="A21">
        <f t="shared" si="1"/>
        <v>17</v>
      </c>
      <c r="B21">
        <v>1</v>
      </c>
      <c r="C21">
        <v>1</v>
      </c>
      <c r="E21" s="23">
        <f t="shared" si="2"/>
        <v>2110.2105263157891</v>
      </c>
      <c r="N21" s="24">
        <f t="shared" si="0"/>
        <v>0</v>
      </c>
    </row>
    <row r="22" spans="1:14">
      <c r="A22">
        <f t="shared" si="1"/>
        <v>18</v>
      </c>
      <c r="B22">
        <v>1</v>
      </c>
      <c r="C22">
        <v>1</v>
      </c>
      <c r="E22" s="23">
        <f t="shared" si="2"/>
        <v>2110.2105263157891</v>
      </c>
      <c r="N22" s="24">
        <f t="shared" si="0"/>
        <v>0</v>
      </c>
    </row>
    <row r="23" spans="1:14">
      <c r="A23">
        <f t="shared" si="1"/>
        <v>19</v>
      </c>
      <c r="B23">
        <v>1</v>
      </c>
      <c r="C23">
        <v>1</v>
      </c>
      <c r="E23" s="23">
        <f t="shared" si="2"/>
        <v>2110.2105263157891</v>
      </c>
      <c r="N23" s="24">
        <f t="shared" si="0"/>
        <v>0</v>
      </c>
    </row>
    <row r="24" spans="1:14">
      <c r="A24">
        <f t="shared" si="1"/>
        <v>20</v>
      </c>
      <c r="B24">
        <v>1</v>
      </c>
      <c r="C24">
        <v>1</v>
      </c>
      <c r="E24" s="23">
        <f t="shared" si="2"/>
        <v>2110.2105263157891</v>
      </c>
      <c r="N24" s="24">
        <f t="shared" si="0"/>
        <v>0</v>
      </c>
    </row>
    <row r="25" spans="1:14">
      <c r="A25">
        <f t="shared" si="1"/>
        <v>21</v>
      </c>
      <c r="B25">
        <v>1</v>
      </c>
      <c r="C25">
        <v>1</v>
      </c>
      <c r="E25" s="23">
        <f t="shared" si="2"/>
        <v>2110.2105263157891</v>
      </c>
      <c r="N25" s="24">
        <f t="shared" si="0"/>
        <v>0</v>
      </c>
    </row>
    <row r="26" spans="1:14">
      <c r="A26">
        <f t="shared" si="1"/>
        <v>22</v>
      </c>
      <c r="B26">
        <v>1</v>
      </c>
      <c r="C26">
        <v>1</v>
      </c>
      <c r="E26" s="23">
        <f t="shared" si="2"/>
        <v>2110.2105263157891</v>
      </c>
      <c r="N26" s="24">
        <f t="shared" si="0"/>
        <v>0</v>
      </c>
    </row>
    <row r="27" spans="1:14">
      <c r="A27">
        <f t="shared" si="1"/>
        <v>23</v>
      </c>
      <c r="B27">
        <v>1</v>
      </c>
      <c r="C27">
        <v>1</v>
      </c>
      <c r="E27" s="23">
        <f t="shared" si="2"/>
        <v>2110.2105263157891</v>
      </c>
      <c r="N27" s="24">
        <f t="shared" si="0"/>
        <v>0</v>
      </c>
    </row>
    <row r="28" spans="1:14">
      <c r="A28">
        <f t="shared" si="1"/>
        <v>24</v>
      </c>
      <c r="B28">
        <v>1</v>
      </c>
      <c r="C28">
        <v>1</v>
      </c>
      <c r="E28" s="23">
        <f t="shared" si="2"/>
        <v>2110.2105263157891</v>
      </c>
      <c r="N28" s="24">
        <f t="shared" si="0"/>
        <v>0</v>
      </c>
    </row>
    <row r="29" spans="1:14">
      <c r="A29">
        <f t="shared" si="1"/>
        <v>25</v>
      </c>
      <c r="B29">
        <v>1</v>
      </c>
      <c r="C29">
        <v>1</v>
      </c>
      <c r="E29" s="23">
        <f t="shared" si="2"/>
        <v>2110.2105263157891</v>
      </c>
      <c r="N29" s="24">
        <f t="shared" si="0"/>
        <v>0</v>
      </c>
    </row>
    <row r="30" spans="1:14">
      <c r="A30">
        <f t="shared" si="1"/>
        <v>26</v>
      </c>
      <c r="B30">
        <v>1</v>
      </c>
      <c r="C30">
        <v>1</v>
      </c>
      <c r="E30" s="23">
        <f t="shared" si="2"/>
        <v>2110.2105263157891</v>
      </c>
      <c r="N30" s="24">
        <f t="shared" si="0"/>
        <v>0</v>
      </c>
    </row>
    <row r="31" spans="1:14">
      <c r="A31">
        <f t="shared" si="1"/>
        <v>27</v>
      </c>
      <c r="B31">
        <v>1</v>
      </c>
      <c r="C31">
        <v>1</v>
      </c>
      <c r="E31" s="23">
        <f t="shared" si="2"/>
        <v>2110.2105263157891</v>
      </c>
      <c r="N31" s="24">
        <f t="shared" si="0"/>
        <v>0</v>
      </c>
    </row>
    <row r="32" spans="1:14">
      <c r="A32">
        <f t="shared" si="1"/>
        <v>28</v>
      </c>
      <c r="B32">
        <v>1</v>
      </c>
      <c r="C32">
        <v>1</v>
      </c>
      <c r="E32" s="23">
        <f t="shared" si="2"/>
        <v>2110.2105263157891</v>
      </c>
      <c r="N32" s="24">
        <f t="shared" si="0"/>
        <v>0</v>
      </c>
    </row>
    <row r="33" spans="1:14">
      <c r="A33">
        <f t="shared" si="1"/>
        <v>29</v>
      </c>
      <c r="B33">
        <v>1</v>
      </c>
      <c r="D33">
        <v>1</v>
      </c>
      <c r="E33" s="23">
        <f t="shared" si="2"/>
        <v>2110.2105263157891</v>
      </c>
      <c r="N33" s="24">
        <f t="shared" si="0"/>
        <v>0</v>
      </c>
    </row>
    <row r="34" spans="1:14">
      <c r="A34">
        <f t="shared" si="1"/>
        <v>30</v>
      </c>
      <c r="B34">
        <v>1</v>
      </c>
      <c r="D34">
        <v>1</v>
      </c>
      <c r="E34" s="23">
        <f t="shared" si="2"/>
        <v>2110.2105263157891</v>
      </c>
      <c r="N34" s="24">
        <f t="shared" si="0"/>
        <v>0</v>
      </c>
    </row>
    <row r="35" spans="1:14">
      <c r="A35">
        <f t="shared" si="1"/>
        <v>31</v>
      </c>
      <c r="B35">
        <v>1</v>
      </c>
      <c r="D35">
        <v>1</v>
      </c>
      <c r="E35" s="23">
        <f t="shared" si="2"/>
        <v>2110.2105263157891</v>
      </c>
      <c r="N35" s="24">
        <f t="shared" si="0"/>
        <v>0</v>
      </c>
    </row>
    <row r="36" spans="1:14">
      <c r="A36">
        <f t="shared" si="1"/>
        <v>32</v>
      </c>
      <c r="D36">
        <v>1</v>
      </c>
      <c r="N36" s="24">
        <f t="shared" si="0"/>
        <v>0</v>
      </c>
    </row>
    <row r="37" spans="1:14">
      <c r="A37">
        <f t="shared" si="1"/>
        <v>33</v>
      </c>
      <c r="D37">
        <v>1</v>
      </c>
      <c r="N37" s="24">
        <f t="shared" si="0"/>
        <v>0</v>
      </c>
    </row>
    <row r="38" spans="1:14">
      <c r="A38">
        <f t="shared" si="1"/>
        <v>34</v>
      </c>
      <c r="D38">
        <v>1</v>
      </c>
      <c r="N38" s="24">
        <f t="shared" si="0"/>
        <v>0</v>
      </c>
    </row>
    <row r="39" spans="1:14">
      <c r="A39">
        <f t="shared" si="1"/>
        <v>35</v>
      </c>
      <c r="D39">
        <v>1</v>
      </c>
      <c r="N39" s="24">
        <f t="shared" si="0"/>
        <v>0</v>
      </c>
    </row>
    <row r="40" spans="1:14">
      <c r="A40">
        <f t="shared" si="1"/>
        <v>36</v>
      </c>
      <c r="D40">
        <v>1</v>
      </c>
      <c r="N40" s="24">
        <f t="shared" si="0"/>
        <v>0</v>
      </c>
    </row>
    <row r="41" spans="1:14">
      <c r="A41">
        <f t="shared" si="1"/>
        <v>37</v>
      </c>
      <c r="D41">
        <v>1</v>
      </c>
      <c r="N41" s="24">
        <f t="shared" si="0"/>
        <v>0</v>
      </c>
    </row>
    <row r="42" spans="1:14">
      <c r="A42">
        <f t="shared" si="1"/>
        <v>38</v>
      </c>
      <c r="D42">
        <v>1</v>
      </c>
      <c r="N42" s="24">
        <f t="shared" si="0"/>
        <v>0</v>
      </c>
    </row>
    <row r="43" spans="1:14">
      <c r="A43">
        <f t="shared" si="1"/>
        <v>39</v>
      </c>
      <c r="D43">
        <v>1</v>
      </c>
      <c r="N43" s="24">
        <f t="shared" si="0"/>
        <v>0</v>
      </c>
    </row>
    <row r="44" spans="1:14">
      <c r="A44">
        <f t="shared" si="1"/>
        <v>40</v>
      </c>
      <c r="D44">
        <v>1</v>
      </c>
      <c r="N44" s="24">
        <f t="shared" si="0"/>
        <v>0</v>
      </c>
    </row>
    <row r="45" spans="1:14">
      <c r="N45" s="24">
        <f t="shared" si="0"/>
        <v>0</v>
      </c>
    </row>
    <row r="46" spans="1:14">
      <c r="N46" s="24">
        <f t="shared" si="0"/>
        <v>0</v>
      </c>
    </row>
    <row r="47" spans="1:14">
      <c r="N47" s="24">
        <f t="shared" si="0"/>
        <v>0</v>
      </c>
    </row>
    <row r="48" spans="1:14">
      <c r="N48" s="24">
        <f t="shared" si="0"/>
        <v>0</v>
      </c>
    </row>
    <row r="49" spans="14:14">
      <c r="N49" s="24">
        <f t="shared" si="0"/>
        <v>0</v>
      </c>
    </row>
    <row r="50" spans="14:14">
      <c r="N50" s="24">
        <f t="shared" si="0"/>
        <v>0</v>
      </c>
    </row>
    <row r="51" spans="14:14">
      <c r="N51" s="24">
        <f t="shared" si="0"/>
        <v>0</v>
      </c>
    </row>
    <row r="52" spans="14:14">
      <c r="N52" s="24">
        <f t="shared" si="0"/>
        <v>0</v>
      </c>
    </row>
    <row r="53" spans="14:14">
      <c r="N53" s="24">
        <f t="shared" si="0"/>
        <v>0</v>
      </c>
    </row>
    <row r="54" spans="14:14">
      <c r="N54" s="24">
        <f t="shared" si="0"/>
        <v>0</v>
      </c>
    </row>
    <row r="55" spans="14:14">
      <c r="N55" s="24">
        <f t="shared" si="0"/>
        <v>0</v>
      </c>
    </row>
    <row r="56" spans="14:14">
      <c r="N56" s="24">
        <f t="shared" si="0"/>
        <v>0</v>
      </c>
    </row>
    <row r="57" spans="14:14">
      <c r="N57" s="24">
        <f t="shared" si="0"/>
        <v>0</v>
      </c>
    </row>
    <row r="58" spans="14:14">
      <c r="N58" s="24">
        <f t="shared" si="0"/>
        <v>0</v>
      </c>
    </row>
    <row r="59" spans="14:14">
      <c r="N59" s="24">
        <f t="shared" si="0"/>
        <v>0</v>
      </c>
    </row>
    <row r="60" spans="14:14">
      <c r="N60" s="24">
        <f t="shared" si="0"/>
        <v>0</v>
      </c>
    </row>
    <row r="61" spans="14:14">
      <c r="N61" s="24">
        <f t="shared" si="0"/>
        <v>0</v>
      </c>
    </row>
    <row r="62" spans="14:14">
      <c r="N62" s="24">
        <f t="shared" si="0"/>
        <v>0</v>
      </c>
    </row>
    <row r="63" spans="14:14">
      <c r="N63" s="24">
        <f t="shared" si="0"/>
        <v>0</v>
      </c>
    </row>
    <row r="64" spans="14:14">
      <c r="N64" s="24">
        <f t="shared" si="0"/>
        <v>0</v>
      </c>
    </row>
    <row r="65" spans="14:14">
      <c r="N65" s="24">
        <f t="shared" si="0"/>
        <v>0</v>
      </c>
    </row>
    <row r="66" spans="14:14">
      <c r="N66" s="24">
        <f t="shared" si="0"/>
        <v>0</v>
      </c>
    </row>
    <row r="67" spans="14:14">
      <c r="N67" s="24">
        <f t="shared" si="0"/>
        <v>0</v>
      </c>
    </row>
    <row r="68" spans="14:14">
      <c r="N68" s="24">
        <f t="shared" si="0"/>
        <v>0</v>
      </c>
    </row>
    <row r="69" spans="14:14">
      <c r="N69" s="24">
        <f t="shared" ref="N69:N87" si="4">(F69*J69+G69*K69+H69*L69+I69*M69)*$Q$1</f>
        <v>0</v>
      </c>
    </row>
    <row r="70" spans="14:14">
      <c r="N70" s="24">
        <f t="shared" si="4"/>
        <v>0</v>
      </c>
    </row>
    <row r="71" spans="14:14">
      <c r="N71" s="24">
        <f t="shared" si="4"/>
        <v>0</v>
      </c>
    </row>
    <row r="72" spans="14:14">
      <c r="N72" s="24">
        <f t="shared" si="4"/>
        <v>0</v>
      </c>
    </row>
    <row r="73" spans="14:14">
      <c r="N73" s="24">
        <f t="shared" si="4"/>
        <v>0</v>
      </c>
    </row>
    <row r="74" spans="14:14">
      <c r="N74" s="24">
        <f t="shared" si="4"/>
        <v>0</v>
      </c>
    </row>
    <row r="75" spans="14:14">
      <c r="N75" s="24">
        <f t="shared" si="4"/>
        <v>0</v>
      </c>
    </row>
    <row r="76" spans="14:14">
      <c r="N76" s="24">
        <f t="shared" si="4"/>
        <v>0</v>
      </c>
    </row>
    <row r="77" spans="14:14">
      <c r="N77" s="24">
        <f t="shared" si="4"/>
        <v>0</v>
      </c>
    </row>
    <row r="78" spans="14:14">
      <c r="N78" s="24">
        <f t="shared" si="4"/>
        <v>0</v>
      </c>
    </row>
    <row r="79" spans="14:14">
      <c r="N79" s="24">
        <f t="shared" si="4"/>
        <v>0</v>
      </c>
    </row>
    <row r="80" spans="14:14">
      <c r="N80" s="24">
        <f t="shared" si="4"/>
        <v>0</v>
      </c>
    </row>
    <row r="81" spans="1:14">
      <c r="N81" s="24">
        <f t="shared" si="4"/>
        <v>0</v>
      </c>
    </row>
    <row r="82" spans="1:14">
      <c r="N82" s="24">
        <f t="shared" si="4"/>
        <v>0</v>
      </c>
    </row>
    <row r="83" spans="1:14">
      <c r="N83" s="24">
        <f t="shared" si="4"/>
        <v>0</v>
      </c>
    </row>
    <row r="84" spans="1:14">
      <c r="N84" s="24">
        <f t="shared" si="4"/>
        <v>0</v>
      </c>
    </row>
    <row r="85" spans="1:14">
      <c r="N85" s="24">
        <f t="shared" si="4"/>
        <v>0</v>
      </c>
    </row>
    <row r="86" spans="1:14">
      <c r="N86" s="24">
        <f t="shared" si="4"/>
        <v>0</v>
      </c>
    </row>
    <row r="87" spans="1:14">
      <c r="N87" s="24">
        <f t="shared" si="4"/>
        <v>0</v>
      </c>
    </row>
    <row r="88" spans="1:14">
      <c r="A88" s="28">
        <f>COUNT(A5:A87)</f>
        <v>40</v>
      </c>
      <c r="B88" s="28">
        <f>SUM(B13:B87)</f>
        <v>19</v>
      </c>
      <c r="C88" s="28">
        <f>SUM(C5:C87)</f>
        <v>28</v>
      </c>
      <c r="E88" s="29"/>
      <c r="F88" s="29">
        <f>SUM(F5:F87)</f>
        <v>5000</v>
      </c>
      <c r="G88" s="29">
        <f t="shared" ref="G88:I88" si="5">SUM(G5:G87)</f>
        <v>0</v>
      </c>
      <c r="H88" s="29">
        <f>SUM(H5:H87)</f>
        <v>0</v>
      </c>
      <c r="I88" s="29">
        <f t="shared" si="5"/>
        <v>0</v>
      </c>
      <c r="J88" s="29"/>
      <c r="K88" s="29"/>
      <c r="L88" s="29"/>
      <c r="M88" s="29"/>
      <c r="N88" s="29">
        <f>SUM(N5:N87)</f>
        <v>1175.8516973684211</v>
      </c>
    </row>
    <row r="89" spans="1:14">
      <c r="F89" s="25">
        <f>SUM(F88:I88)</f>
        <v>5000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820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824</v>
      </c>
      <c r="L2" s="24" t="s">
        <v>763</v>
      </c>
      <c r="R2" s="26" t="s">
        <v>754</v>
      </c>
      <c r="S2" s="27">
        <f>VIPcric_3!D18</f>
        <v>7100</v>
      </c>
      <c r="T2" s="27" t="s">
        <v>755</v>
      </c>
    </row>
    <row r="3" spans="1:22">
      <c r="H3" s="24" t="s">
        <v>825</v>
      </c>
      <c r="M3" s="24" t="s">
        <v>786</v>
      </c>
      <c r="R3" s="26" t="s">
        <v>738</v>
      </c>
      <c r="S3" s="27">
        <f>VIPcric_3!E18</f>
        <v>120</v>
      </c>
      <c r="T3" s="27" t="s">
        <v>756</v>
      </c>
    </row>
    <row r="4" spans="1:22">
      <c r="I4" s="24" t="s">
        <v>821</v>
      </c>
      <c r="J4" s="24" t="s">
        <v>822</v>
      </c>
      <c r="N4" s="24" t="s">
        <v>787</v>
      </c>
      <c r="O4" s="24" t="s">
        <v>788</v>
      </c>
      <c r="R4" s="26" t="s">
        <v>767</v>
      </c>
      <c r="S4" s="30">
        <f>(10+19+155+625*1.05)/30</f>
        <v>28.008333333333333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>(F5*K5+G5*L5+H5*M5+I5*N5+J5*O5)*$S$1</f>
        <v>0</v>
      </c>
      <c r="R5" s="26" t="s">
        <v>768</v>
      </c>
      <c r="S5" s="30">
        <f>(10+19+155+(625*1.05-S7*30))/30</f>
        <v>16.008333333333333</v>
      </c>
      <c r="T5" s="27" t="s">
        <v>758</v>
      </c>
    </row>
    <row r="6" spans="1:22">
      <c r="A6">
        <f t="shared" ref="A6:A69" si="0">ROW()-4</f>
        <v>2</v>
      </c>
      <c r="C6">
        <v>1</v>
      </c>
      <c r="P6" s="24">
        <f t="shared" ref="P6:P69" si="1">(F6*K6+G6*L6+H6*M6+I6*N6+J6*O6)*$S$1</f>
        <v>0</v>
      </c>
      <c r="R6" s="26" t="s">
        <v>757</v>
      </c>
      <c r="S6" s="30">
        <f>(10+19+155+625*1.05-S7*30)/30</f>
        <v>16.008333333333333</v>
      </c>
      <c r="T6" s="27" t="s">
        <v>758</v>
      </c>
    </row>
    <row r="7" spans="1:22">
      <c r="A7">
        <f t="shared" si="0"/>
        <v>3</v>
      </c>
      <c r="C7">
        <v>1</v>
      </c>
      <c r="P7" s="24">
        <f t="shared" si="1"/>
        <v>0</v>
      </c>
      <c r="R7" s="26" t="s">
        <v>759</v>
      </c>
      <c r="S7" s="27">
        <v>12</v>
      </c>
      <c r="T7" s="27" t="s">
        <v>758</v>
      </c>
    </row>
    <row r="8" spans="1:22">
      <c r="A8">
        <f t="shared" si="0"/>
        <v>4</v>
      </c>
      <c r="C8">
        <v>1</v>
      </c>
      <c r="P8" s="24">
        <f t="shared" si="1"/>
        <v>0</v>
      </c>
      <c r="R8" s="27" t="s">
        <v>760</v>
      </c>
      <c r="S8" s="27">
        <v>3</v>
      </c>
      <c r="T8" s="27" t="s">
        <v>758</v>
      </c>
    </row>
    <row r="9" spans="1:22">
      <c r="A9">
        <f t="shared" si="0"/>
        <v>5</v>
      </c>
      <c r="C9">
        <v>1</v>
      </c>
      <c r="P9" s="24">
        <f t="shared" si="1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0"/>
        <v>6</v>
      </c>
      <c r="C10">
        <v>1</v>
      </c>
      <c r="P10" s="24">
        <f t="shared" si="1"/>
        <v>0</v>
      </c>
      <c r="R10" s="27" t="s">
        <v>789</v>
      </c>
      <c r="S10" s="34">
        <v>1800</v>
      </c>
      <c r="T10" s="27" t="s">
        <v>755</v>
      </c>
    </row>
    <row r="11" spans="1:22">
      <c r="A11">
        <f t="shared" si="0"/>
        <v>7</v>
      </c>
      <c r="C11">
        <v>1</v>
      </c>
      <c r="P11" s="24">
        <f t="shared" si="1"/>
        <v>0</v>
      </c>
    </row>
    <row r="12" spans="1:22">
      <c r="A12">
        <f t="shared" si="0"/>
        <v>8</v>
      </c>
      <c r="C12">
        <v>1</v>
      </c>
      <c r="P12" s="24">
        <f t="shared" si="1"/>
        <v>0</v>
      </c>
    </row>
    <row r="13" spans="1:22">
      <c r="A13">
        <f t="shared" si="0"/>
        <v>9</v>
      </c>
      <c r="C13">
        <v>1</v>
      </c>
      <c r="P13" s="24">
        <f t="shared" si="1"/>
        <v>0</v>
      </c>
    </row>
    <row r="14" spans="1:22">
      <c r="A14">
        <f t="shared" si="0"/>
        <v>10</v>
      </c>
      <c r="C14">
        <v>1</v>
      </c>
      <c r="P14" s="24">
        <f t="shared" si="1"/>
        <v>0</v>
      </c>
    </row>
    <row r="15" spans="1:22">
      <c r="A15">
        <f t="shared" si="0"/>
        <v>11</v>
      </c>
      <c r="C15">
        <v>1</v>
      </c>
      <c r="P15" s="24">
        <f t="shared" si="1"/>
        <v>0</v>
      </c>
    </row>
    <row r="16" spans="1:22">
      <c r="A16">
        <f t="shared" si="0"/>
        <v>12</v>
      </c>
      <c r="C16">
        <v>1</v>
      </c>
      <c r="P16" s="24">
        <f t="shared" si="1"/>
        <v>0</v>
      </c>
    </row>
    <row r="17" spans="1:16">
      <c r="A17">
        <f t="shared" si="0"/>
        <v>13</v>
      </c>
      <c r="C17">
        <v>1</v>
      </c>
      <c r="P17" s="24">
        <f t="shared" si="1"/>
        <v>0</v>
      </c>
    </row>
    <row r="18" spans="1:16">
      <c r="A18">
        <f t="shared" si="0"/>
        <v>14</v>
      </c>
      <c r="C18">
        <v>1</v>
      </c>
      <c r="P18" s="24">
        <f t="shared" si="1"/>
        <v>0</v>
      </c>
    </row>
    <row r="19" spans="1:16">
      <c r="A19">
        <f t="shared" si="0"/>
        <v>15</v>
      </c>
      <c r="C19">
        <v>1</v>
      </c>
      <c r="P19" s="24">
        <f t="shared" si="1"/>
        <v>0</v>
      </c>
    </row>
    <row r="20" spans="1:16">
      <c r="A20">
        <f t="shared" si="0"/>
        <v>16</v>
      </c>
      <c r="C20">
        <v>1</v>
      </c>
      <c r="P20" s="24">
        <f t="shared" si="1"/>
        <v>0</v>
      </c>
    </row>
    <row r="21" spans="1:16">
      <c r="A21">
        <f t="shared" si="0"/>
        <v>17</v>
      </c>
      <c r="B21">
        <v>1</v>
      </c>
      <c r="C21">
        <v>1</v>
      </c>
      <c r="E21" s="36">
        <f t="shared" ref="E21:E84" si="2">1/$S$3*$S$2</f>
        <v>59.166666666666664</v>
      </c>
      <c r="F21" s="24">
        <f>$E21*30%</f>
        <v>17.75</v>
      </c>
      <c r="G21" s="24">
        <f>$E21*20%</f>
        <v>11.833333333333334</v>
      </c>
      <c r="H21" s="24">
        <f>$E21*20%</f>
        <v>11.833333333333334</v>
      </c>
      <c r="I21" s="24">
        <f>$E21*20%</f>
        <v>11.833333333333334</v>
      </c>
      <c r="J21" s="24">
        <f>$E21*10%</f>
        <v>5.916666666666667</v>
      </c>
      <c r="K21" s="24">
        <v>4</v>
      </c>
      <c r="L21" s="24">
        <v>8</v>
      </c>
      <c r="M21" s="24">
        <v>10</v>
      </c>
      <c r="N21" s="24">
        <v>12</v>
      </c>
      <c r="O21" s="24">
        <v>24</v>
      </c>
      <c r="P21" s="24">
        <f t="shared" si="1"/>
        <v>4.899</v>
      </c>
    </row>
    <row r="22" spans="1:16">
      <c r="A22">
        <f t="shared" si="0"/>
        <v>18</v>
      </c>
      <c r="B22">
        <v>1</v>
      </c>
      <c r="C22">
        <v>1</v>
      </c>
      <c r="E22" s="36">
        <f t="shared" si="2"/>
        <v>59.166666666666664</v>
      </c>
      <c r="F22" s="24">
        <f t="shared" ref="F22:F24" si="3">$E22*30%</f>
        <v>17.75</v>
      </c>
      <c r="G22" s="24">
        <f t="shared" ref="G22:I32" si="4">$E22*20%</f>
        <v>11.833333333333334</v>
      </c>
      <c r="H22" s="24">
        <f t="shared" si="4"/>
        <v>11.833333333333334</v>
      </c>
      <c r="I22" s="24">
        <f t="shared" si="4"/>
        <v>11.833333333333334</v>
      </c>
      <c r="J22" s="24">
        <f t="shared" ref="J22:J44" si="5">$E22*10%</f>
        <v>5.916666666666667</v>
      </c>
      <c r="K22" s="24">
        <f>K21-1</f>
        <v>3</v>
      </c>
      <c r="L22" s="24">
        <f>L21-1</f>
        <v>7</v>
      </c>
      <c r="M22" s="24">
        <f>M21-1</f>
        <v>9</v>
      </c>
      <c r="N22" s="24">
        <f>N21-1</f>
        <v>11</v>
      </c>
      <c r="O22" s="24">
        <f>O21-1</f>
        <v>23</v>
      </c>
      <c r="P22" s="24">
        <f t="shared" si="1"/>
        <v>4.3886875000000005</v>
      </c>
    </row>
    <row r="23" spans="1:16">
      <c r="A23">
        <f t="shared" si="0"/>
        <v>19</v>
      </c>
      <c r="B23">
        <v>1</v>
      </c>
      <c r="C23">
        <v>1</v>
      </c>
      <c r="E23" s="36">
        <f t="shared" si="2"/>
        <v>59.166666666666664</v>
      </c>
      <c r="F23" s="24">
        <f t="shared" si="3"/>
        <v>17.75</v>
      </c>
      <c r="G23" s="24">
        <f t="shared" si="4"/>
        <v>11.833333333333334</v>
      </c>
      <c r="H23" s="24">
        <f t="shared" si="4"/>
        <v>11.833333333333334</v>
      </c>
      <c r="I23" s="24">
        <f t="shared" si="4"/>
        <v>11.833333333333334</v>
      </c>
      <c r="J23" s="24">
        <f t="shared" si="5"/>
        <v>5.916666666666667</v>
      </c>
      <c r="K23" s="24">
        <f t="shared" ref="K23:O38" si="6">K22-1</f>
        <v>2</v>
      </c>
      <c r="L23" s="24">
        <f t="shared" si="6"/>
        <v>6</v>
      </c>
      <c r="M23" s="24">
        <f t="shared" si="6"/>
        <v>8</v>
      </c>
      <c r="N23" s="24">
        <f t="shared" si="6"/>
        <v>10</v>
      </c>
      <c r="O23" s="24">
        <f t="shared" si="6"/>
        <v>22</v>
      </c>
      <c r="P23" s="24">
        <f t="shared" si="1"/>
        <v>3.8783750000000006</v>
      </c>
    </row>
    <row r="24" spans="1:16">
      <c r="A24">
        <f t="shared" si="0"/>
        <v>20</v>
      </c>
      <c r="B24">
        <v>1</v>
      </c>
      <c r="C24">
        <v>1</v>
      </c>
      <c r="E24" s="36">
        <f t="shared" si="2"/>
        <v>59.166666666666664</v>
      </c>
      <c r="F24" s="24">
        <f t="shared" si="3"/>
        <v>17.75</v>
      </c>
      <c r="G24" s="24">
        <f t="shared" si="4"/>
        <v>11.833333333333334</v>
      </c>
      <c r="H24" s="24">
        <f t="shared" si="4"/>
        <v>11.833333333333334</v>
      </c>
      <c r="I24" s="24">
        <f t="shared" si="4"/>
        <v>11.833333333333334</v>
      </c>
      <c r="J24" s="24">
        <f t="shared" si="5"/>
        <v>5.916666666666667</v>
      </c>
      <c r="K24" s="24">
        <f t="shared" si="6"/>
        <v>1</v>
      </c>
      <c r="L24" s="24">
        <f t="shared" si="6"/>
        <v>5</v>
      </c>
      <c r="M24" s="24">
        <f t="shared" si="6"/>
        <v>7</v>
      </c>
      <c r="N24" s="24">
        <f t="shared" si="6"/>
        <v>9</v>
      </c>
      <c r="O24" s="24">
        <f t="shared" si="6"/>
        <v>21</v>
      </c>
      <c r="P24" s="24">
        <f t="shared" si="1"/>
        <v>3.3680625000000002</v>
      </c>
    </row>
    <row r="25" spans="1:16">
      <c r="A25">
        <f t="shared" si="0"/>
        <v>21</v>
      </c>
      <c r="B25">
        <v>1</v>
      </c>
      <c r="C25">
        <v>1</v>
      </c>
      <c r="E25" s="36">
        <f t="shared" si="2"/>
        <v>59.166666666666664</v>
      </c>
      <c r="G25" s="24">
        <f t="shared" si="4"/>
        <v>11.833333333333334</v>
      </c>
      <c r="H25" s="24">
        <f t="shared" si="4"/>
        <v>11.833333333333334</v>
      </c>
      <c r="I25" s="24">
        <f t="shared" si="4"/>
        <v>11.833333333333334</v>
      </c>
      <c r="J25" s="24">
        <f t="shared" si="5"/>
        <v>5.916666666666667</v>
      </c>
      <c r="L25" s="24">
        <f t="shared" si="6"/>
        <v>4</v>
      </c>
      <c r="M25" s="24">
        <f t="shared" si="6"/>
        <v>6</v>
      </c>
      <c r="N25" s="24">
        <f t="shared" si="6"/>
        <v>8</v>
      </c>
      <c r="O25" s="24">
        <f t="shared" si="6"/>
        <v>20</v>
      </c>
      <c r="P25" s="24">
        <f t="shared" si="1"/>
        <v>2.8577500000000007</v>
      </c>
    </row>
    <row r="26" spans="1:16">
      <c r="A26">
        <f t="shared" si="0"/>
        <v>22</v>
      </c>
      <c r="B26">
        <v>1</v>
      </c>
      <c r="C26">
        <v>1</v>
      </c>
      <c r="E26" s="36">
        <f t="shared" si="2"/>
        <v>59.166666666666664</v>
      </c>
      <c r="G26" s="24">
        <f t="shared" si="4"/>
        <v>11.833333333333334</v>
      </c>
      <c r="H26" s="24">
        <f t="shared" si="4"/>
        <v>11.833333333333334</v>
      </c>
      <c r="I26" s="24">
        <f t="shared" si="4"/>
        <v>11.833333333333334</v>
      </c>
      <c r="J26" s="24">
        <f t="shared" si="5"/>
        <v>5.916666666666667</v>
      </c>
      <c r="L26" s="24">
        <f t="shared" si="6"/>
        <v>3</v>
      </c>
      <c r="M26" s="24">
        <f t="shared" si="6"/>
        <v>5</v>
      </c>
      <c r="N26" s="24">
        <f t="shared" si="6"/>
        <v>7</v>
      </c>
      <c r="O26" s="24">
        <f t="shared" si="6"/>
        <v>19</v>
      </c>
      <c r="P26" s="24">
        <f t="shared" si="1"/>
        <v>2.5005312500000003</v>
      </c>
    </row>
    <row r="27" spans="1:16">
      <c r="A27">
        <f t="shared" si="0"/>
        <v>23</v>
      </c>
      <c r="B27">
        <v>1</v>
      </c>
      <c r="C27">
        <v>1</v>
      </c>
      <c r="E27" s="36">
        <f t="shared" si="2"/>
        <v>59.166666666666664</v>
      </c>
      <c r="G27" s="24">
        <f t="shared" si="4"/>
        <v>11.833333333333334</v>
      </c>
      <c r="H27" s="24">
        <f t="shared" si="4"/>
        <v>11.833333333333334</v>
      </c>
      <c r="I27" s="24">
        <f t="shared" si="4"/>
        <v>11.833333333333334</v>
      </c>
      <c r="J27" s="24">
        <f t="shared" si="5"/>
        <v>5.916666666666667</v>
      </c>
      <c r="L27" s="24">
        <f t="shared" si="6"/>
        <v>2</v>
      </c>
      <c r="M27" s="24">
        <f t="shared" si="6"/>
        <v>4</v>
      </c>
      <c r="N27" s="24">
        <f t="shared" si="6"/>
        <v>6</v>
      </c>
      <c r="O27" s="24">
        <f t="shared" si="6"/>
        <v>18</v>
      </c>
      <c r="P27" s="24">
        <f t="shared" si="1"/>
        <v>2.1433125000000004</v>
      </c>
    </row>
    <row r="28" spans="1:16">
      <c r="A28">
        <f t="shared" si="0"/>
        <v>24</v>
      </c>
      <c r="B28">
        <v>1</v>
      </c>
      <c r="C28">
        <v>1</v>
      </c>
      <c r="E28" s="36">
        <f t="shared" si="2"/>
        <v>59.166666666666664</v>
      </c>
      <c r="G28" s="24">
        <f t="shared" si="4"/>
        <v>11.833333333333334</v>
      </c>
      <c r="H28" s="24">
        <f t="shared" si="4"/>
        <v>11.833333333333334</v>
      </c>
      <c r="I28" s="24">
        <f t="shared" si="4"/>
        <v>11.833333333333334</v>
      </c>
      <c r="J28" s="24">
        <f t="shared" si="5"/>
        <v>5.916666666666667</v>
      </c>
      <c r="L28" s="24">
        <f t="shared" si="6"/>
        <v>1</v>
      </c>
      <c r="M28" s="24">
        <f t="shared" si="6"/>
        <v>3</v>
      </c>
      <c r="N28" s="24">
        <f t="shared" si="6"/>
        <v>5</v>
      </c>
      <c r="O28" s="24">
        <f t="shared" si="6"/>
        <v>17</v>
      </c>
      <c r="P28" s="24">
        <f t="shared" si="1"/>
        <v>1.7860937500000003</v>
      </c>
    </row>
    <row r="29" spans="1:16">
      <c r="A29">
        <f t="shared" si="0"/>
        <v>25</v>
      </c>
      <c r="B29">
        <v>1</v>
      </c>
      <c r="C29">
        <v>1</v>
      </c>
      <c r="E29" s="36">
        <f t="shared" si="2"/>
        <v>59.166666666666664</v>
      </c>
      <c r="H29" s="24">
        <f t="shared" si="4"/>
        <v>11.833333333333334</v>
      </c>
      <c r="I29" s="24">
        <f t="shared" si="4"/>
        <v>11.833333333333334</v>
      </c>
      <c r="J29" s="24">
        <f t="shared" si="5"/>
        <v>5.916666666666667</v>
      </c>
      <c r="M29" s="24">
        <f t="shared" si="6"/>
        <v>2</v>
      </c>
      <c r="N29" s="24">
        <f t="shared" si="6"/>
        <v>4</v>
      </c>
      <c r="O29" s="24">
        <f t="shared" si="6"/>
        <v>16</v>
      </c>
      <c r="P29" s="24">
        <f t="shared" si="1"/>
        <v>1.4288750000000003</v>
      </c>
    </row>
    <row r="30" spans="1:16">
      <c r="A30">
        <f t="shared" si="0"/>
        <v>26</v>
      </c>
      <c r="B30">
        <v>1</v>
      </c>
      <c r="C30">
        <v>1</v>
      </c>
      <c r="E30" s="36">
        <f t="shared" si="2"/>
        <v>59.166666666666664</v>
      </c>
      <c r="H30" s="24">
        <f t="shared" si="4"/>
        <v>11.833333333333334</v>
      </c>
      <c r="I30" s="24">
        <f t="shared" si="4"/>
        <v>11.833333333333334</v>
      </c>
      <c r="J30" s="24">
        <f t="shared" si="5"/>
        <v>5.916666666666667</v>
      </c>
      <c r="M30" s="24">
        <f t="shared" si="6"/>
        <v>1</v>
      </c>
      <c r="N30" s="24">
        <f t="shared" si="6"/>
        <v>3</v>
      </c>
      <c r="O30" s="24">
        <f t="shared" si="6"/>
        <v>15</v>
      </c>
      <c r="P30" s="24">
        <f t="shared" si="1"/>
        <v>1.1737187500000001</v>
      </c>
    </row>
    <row r="31" spans="1:16">
      <c r="A31">
        <f t="shared" si="0"/>
        <v>27</v>
      </c>
      <c r="B31">
        <v>1</v>
      </c>
      <c r="C31">
        <v>1</v>
      </c>
      <c r="E31" s="36">
        <f t="shared" si="2"/>
        <v>59.166666666666664</v>
      </c>
      <c r="I31" s="24">
        <f t="shared" si="4"/>
        <v>11.833333333333334</v>
      </c>
      <c r="J31" s="24">
        <f t="shared" si="5"/>
        <v>5.916666666666667</v>
      </c>
      <c r="N31" s="24">
        <f t="shared" si="6"/>
        <v>2</v>
      </c>
      <c r="O31" s="24">
        <f t="shared" si="6"/>
        <v>14</v>
      </c>
      <c r="P31" s="24">
        <f t="shared" si="1"/>
        <v>0.91856250000000017</v>
      </c>
    </row>
    <row r="32" spans="1:16">
      <c r="A32">
        <f t="shared" si="0"/>
        <v>28</v>
      </c>
      <c r="B32">
        <v>1</v>
      </c>
      <c r="C32">
        <v>1</v>
      </c>
      <c r="E32" s="36">
        <f t="shared" si="2"/>
        <v>59.166666666666664</v>
      </c>
      <c r="I32" s="24">
        <f t="shared" si="4"/>
        <v>11.833333333333334</v>
      </c>
      <c r="J32" s="24">
        <f t="shared" si="5"/>
        <v>5.916666666666667</v>
      </c>
      <c r="N32" s="24">
        <f t="shared" si="6"/>
        <v>1</v>
      </c>
      <c r="O32" s="24">
        <f t="shared" si="6"/>
        <v>13</v>
      </c>
      <c r="P32" s="24">
        <f t="shared" si="1"/>
        <v>0.76546875000000003</v>
      </c>
    </row>
    <row r="33" spans="1:16">
      <c r="A33">
        <f t="shared" si="0"/>
        <v>29</v>
      </c>
      <c r="B33">
        <v>1</v>
      </c>
      <c r="D33">
        <v>1</v>
      </c>
      <c r="E33" s="36">
        <f t="shared" si="2"/>
        <v>59.166666666666664</v>
      </c>
      <c r="J33" s="24">
        <f t="shared" si="5"/>
        <v>5.916666666666667</v>
      </c>
      <c r="O33" s="24">
        <f t="shared" si="6"/>
        <v>12</v>
      </c>
      <c r="P33" s="24">
        <f t="shared" si="1"/>
        <v>0.612375</v>
      </c>
    </row>
    <row r="34" spans="1:16">
      <c r="A34">
        <f t="shared" si="0"/>
        <v>30</v>
      </c>
      <c r="B34">
        <v>1</v>
      </c>
      <c r="D34">
        <v>1</v>
      </c>
      <c r="E34" s="36">
        <f t="shared" si="2"/>
        <v>59.166666666666664</v>
      </c>
      <c r="J34" s="24">
        <f t="shared" si="5"/>
        <v>5.916666666666667</v>
      </c>
      <c r="O34" s="24">
        <f t="shared" si="6"/>
        <v>11</v>
      </c>
      <c r="P34" s="24">
        <f t="shared" si="1"/>
        <v>0.56134375000000014</v>
      </c>
    </row>
    <row r="35" spans="1:16">
      <c r="A35">
        <f t="shared" si="0"/>
        <v>31</v>
      </c>
      <c r="B35">
        <v>1</v>
      </c>
      <c r="D35">
        <v>1</v>
      </c>
      <c r="E35" s="36">
        <f t="shared" si="2"/>
        <v>59.166666666666664</v>
      </c>
      <c r="J35" s="24">
        <f t="shared" si="5"/>
        <v>5.916666666666667</v>
      </c>
      <c r="O35" s="24">
        <f t="shared" si="6"/>
        <v>10</v>
      </c>
      <c r="P35" s="24">
        <f t="shared" si="1"/>
        <v>0.51031250000000006</v>
      </c>
    </row>
    <row r="36" spans="1:16">
      <c r="A36">
        <f t="shared" si="0"/>
        <v>32</v>
      </c>
      <c r="B36">
        <v>1</v>
      </c>
      <c r="D36">
        <v>1</v>
      </c>
      <c r="E36" s="36">
        <f t="shared" si="2"/>
        <v>59.166666666666664</v>
      </c>
      <c r="J36" s="24">
        <f t="shared" si="5"/>
        <v>5.916666666666667</v>
      </c>
      <c r="O36" s="24">
        <f t="shared" si="6"/>
        <v>9</v>
      </c>
      <c r="P36" s="24">
        <f t="shared" si="1"/>
        <v>0.45928125000000003</v>
      </c>
    </row>
    <row r="37" spans="1:16">
      <c r="A37">
        <f t="shared" si="0"/>
        <v>33</v>
      </c>
      <c r="B37">
        <v>1</v>
      </c>
      <c r="D37">
        <v>1</v>
      </c>
      <c r="E37" s="36">
        <f t="shared" si="2"/>
        <v>59.166666666666664</v>
      </c>
      <c r="J37" s="24">
        <f t="shared" si="5"/>
        <v>5.916666666666667</v>
      </c>
      <c r="O37" s="24">
        <f t="shared" si="6"/>
        <v>8</v>
      </c>
      <c r="P37" s="24">
        <f t="shared" si="1"/>
        <v>0.40825000000000006</v>
      </c>
    </row>
    <row r="38" spans="1:16">
      <c r="A38">
        <f t="shared" si="0"/>
        <v>34</v>
      </c>
      <c r="B38">
        <v>1</v>
      </c>
      <c r="D38">
        <v>1</v>
      </c>
      <c r="E38" s="36">
        <f t="shared" si="2"/>
        <v>59.166666666666664</v>
      </c>
      <c r="J38" s="24">
        <f t="shared" si="5"/>
        <v>5.916666666666667</v>
      </c>
      <c r="O38" s="24">
        <f t="shared" si="6"/>
        <v>7</v>
      </c>
      <c r="P38" s="24">
        <f t="shared" si="1"/>
        <v>0.35721875000000008</v>
      </c>
    </row>
    <row r="39" spans="1:16">
      <c r="A39">
        <f t="shared" si="0"/>
        <v>35</v>
      </c>
      <c r="B39">
        <v>1</v>
      </c>
      <c r="D39">
        <v>1</v>
      </c>
      <c r="E39" s="36">
        <f t="shared" si="2"/>
        <v>59.166666666666664</v>
      </c>
      <c r="J39" s="24">
        <f t="shared" si="5"/>
        <v>5.916666666666667</v>
      </c>
      <c r="O39" s="24">
        <f t="shared" ref="O39:O44" si="7">O38-1</f>
        <v>6</v>
      </c>
      <c r="P39" s="24">
        <f t="shared" si="1"/>
        <v>0.3061875</v>
      </c>
    </row>
    <row r="40" spans="1:16">
      <c r="A40">
        <f t="shared" si="0"/>
        <v>36</v>
      </c>
      <c r="B40">
        <v>1</v>
      </c>
      <c r="D40">
        <v>1</v>
      </c>
      <c r="E40" s="23">
        <f t="shared" si="2"/>
        <v>59.166666666666664</v>
      </c>
      <c r="J40" s="24">
        <f t="shared" si="5"/>
        <v>5.916666666666667</v>
      </c>
      <c r="O40" s="24">
        <f t="shared" si="7"/>
        <v>5</v>
      </c>
      <c r="P40" s="24">
        <f t="shared" si="1"/>
        <v>0.25515625000000003</v>
      </c>
    </row>
    <row r="41" spans="1:16">
      <c r="A41">
        <f t="shared" si="0"/>
        <v>37</v>
      </c>
      <c r="B41">
        <v>1</v>
      </c>
      <c r="D41">
        <v>1</v>
      </c>
      <c r="E41" s="23">
        <f t="shared" si="2"/>
        <v>59.166666666666664</v>
      </c>
      <c r="J41" s="24">
        <f t="shared" si="5"/>
        <v>5.916666666666667</v>
      </c>
      <c r="O41" s="24">
        <f t="shared" si="7"/>
        <v>4</v>
      </c>
      <c r="P41" s="24">
        <f t="shared" si="1"/>
        <v>0.20412500000000003</v>
      </c>
    </row>
    <row r="42" spans="1:16">
      <c r="A42">
        <f t="shared" si="0"/>
        <v>38</v>
      </c>
      <c r="B42">
        <v>1</v>
      </c>
      <c r="D42">
        <v>1</v>
      </c>
      <c r="E42" s="23">
        <f t="shared" si="2"/>
        <v>59.166666666666664</v>
      </c>
      <c r="J42" s="24">
        <f t="shared" si="5"/>
        <v>5.916666666666667</v>
      </c>
      <c r="O42" s="24">
        <f t="shared" si="7"/>
        <v>3</v>
      </c>
      <c r="P42" s="24">
        <f t="shared" si="1"/>
        <v>0.15309375</v>
      </c>
    </row>
    <row r="43" spans="1:16">
      <c r="A43">
        <f t="shared" si="0"/>
        <v>39</v>
      </c>
      <c r="B43">
        <v>1</v>
      </c>
      <c r="D43">
        <v>1</v>
      </c>
      <c r="E43" s="23">
        <f t="shared" si="2"/>
        <v>59.166666666666664</v>
      </c>
      <c r="J43" s="24">
        <f t="shared" si="5"/>
        <v>5.916666666666667</v>
      </c>
      <c r="O43" s="24">
        <f t="shared" si="7"/>
        <v>2</v>
      </c>
      <c r="P43" s="24">
        <f t="shared" si="1"/>
        <v>0.10206250000000001</v>
      </c>
    </row>
    <row r="44" spans="1:16">
      <c r="A44">
        <f t="shared" si="0"/>
        <v>40</v>
      </c>
      <c r="B44">
        <v>1</v>
      </c>
      <c r="D44">
        <v>1</v>
      </c>
      <c r="E44" s="23">
        <f t="shared" si="2"/>
        <v>59.166666666666664</v>
      </c>
      <c r="J44" s="24">
        <f t="shared" si="5"/>
        <v>5.916666666666667</v>
      </c>
      <c r="O44" s="24">
        <f t="shared" si="7"/>
        <v>1</v>
      </c>
      <c r="P44" s="24">
        <f t="shared" si="1"/>
        <v>5.1031250000000007E-2</v>
      </c>
    </row>
    <row r="45" spans="1:16">
      <c r="A45">
        <f t="shared" si="0"/>
        <v>41</v>
      </c>
      <c r="B45">
        <v>1</v>
      </c>
      <c r="E45" s="23">
        <f t="shared" si="2"/>
        <v>59.166666666666664</v>
      </c>
      <c r="P45" s="24">
        <f t="shared" si="1"/>
        <v>0</v>
      </c>
    </row>
    <row r="46" spans="1:16">
      <c r="A46">
        <f t="shared" si="0"/>
        <v>42</v>
      </c>
      <c r="B46">
        <v>1</v>
      </c>
      <c r="E46" s="23">
        <f t="shared" si="2"/>
        <v>59.166666666666664</v>
      </c>
      <c r="P46" s="24">
        <f t="shared" si="1"/>
        <v>0</v>
      </c>
    </row>
    <row r="47" spans="1:16">
      <c r="A47">
        <f t="shared" si="0"/>
        <v>43</v>
      </c>
      <c r="B47">
        <v>1</v>
      </c>
      <c r="E47" s="23">
        <f t="shared" si="2"/>
        <v>59.166666666666664</v>
      </c>
      <c r="P47" s="24">
        <f t="shared" si="1"/>
        <v>0</v>
      </c>
    </row>
    <row r="48" spans="1:16">
      <c r="A48">
        <f t="shared" si="0"/>
        <v>44</v>
      </c>
      <c r="B48">
        <v>1</v>
      </c>
      <c r="E48" s="23">
        <f t="shared" si="2"/>
        <v>59.166666666666664</v>
      </c>
      <c r="P48" s="24">
        <f t="shared" si="1"/>
        <v>0</v>
      </c>
    </row>
    <row r="49" spans="1:16">
      <c r="A49">
        <f t="shared" si="0"/>
        <v>45</v>
      </c>
      <c r="B49">
        <v>1</v>
      </c>
      <c r="E49" s="23">
        <f t="shared" si="2"/>
        <v>59.166666666666664</v>
      </c>
      <c r="P49" s="24">
        <f t="shared" si="1"/>
        <v>0</v>
      </c>
    </row>
    <row r="50" spans="1:16">
      <c r="A50">
        <f t="shared" si="0"/>
        <v>46</v>
      </c>
      <c r="B50">
        <v>1</v>
      </c>
      <c r="E50" s="23">
        <f t="shared" si="2"/>
        <v>59.166666666666664</v>
      </c>
      <c r="P50" s="24">
        <f t="shared" si="1"/>
        <v>0</v>
      </c>
    </row>
    <row r="51" spans="1:16">
      <c r="A51">
        <f t="shared" si="0"/>
        <v>47</v>
      </c>
      <c r="B51">
        <v>1</v>
      </c>
      <c r="E51" s="23">
        <f t="shared" si="2"/>
        <v>59.166666666666664</v>
      </c>
      <c r="P51" s="24">
        <f t="shared" si="1"/>
        <v>0</v>
      </c>
    </row>
    <row r="52" spans="1:16">
      <c r="A52">
        <f t="shared" si="0"/>
        <v>48</v>
      </c>
      <c r="B52">
        <v>1</v>
      </c>
      <c r="E52" s="23">
        <f t="shared" si="2"/>
        <v>59.166666666666664</v>
      </c>
      <c r="P52" s="24">
        <f t="shared" si="1"/>
        <v>0</v>
      </c>
    </row>
    <row r="53" spans="1:16">
      <c r="A53">
        <f t="shared" si="0"/>
        <v>49</v>
      </c>
      <c r="B53">
        <v>1</v>
      </c>
      <c r="E53" s="23">
        <f t="shared" si="2"/>
        <v>59.166666666666664</v>
      </c>
      <c r="P53" s="24">
        <f t="shared" si="1"/>
        <v>0</v>
      </c>
    </row>
    <row r="54" spans="1:16">
      <c r="A54">
        <f t="shared" si="0"/>
        <v>50</v>
      </c>
      <c r="B54">
        <v>1</v>
      </c>
      <c r="E54" s="23">
        <f t="shared" si="2"/>
        <v>59.166666666666664</v>
      </c>
      <c r="P54" s="24">
        <f t="shared" si="1"/>
        <v>0</v>
      </c>
    </row>
    <row r="55" spans="1:16">
      <c r="A55">
        <f t="shared" si="0"/>
        <v>51</v>
      </c>
      <c r="B55">
        <v>1</v>
      </c>
      <c r="E55" s="23">
        <f t="shared" si="2"/>
        <v>59.166666666666664</v>
      </c>
      <c r="P55" s="24">
        <f t="shared" si="1"/>
        <v>0</v>
      </c>
    </row>
    <row r="56" spans="1:16">
      <c r="A56">
        <f t="shared" si="0"/>
        <v>52</v>
      </c>
      <c r="B56">
        <v>1</v>
      </c>
      <c r="E56" s="23">
        <f t="shared" si="2"/>
        <v>59.166666666666664</v>
      </c>
      <c r="P56" s="24">
        <f t="shared" si="1"/>
        <v>0</v>
      </c>
    </row>
    <row r="57" spans="1:16">
      <c r="A57">
        <f t="shared" si="0"/>
        <v>53</v>
      </c>
      <c r="B57">
        <v>1</v>
      </c>
      <c r="E57" s="23">
        <f>1/$S$3*$S$2</f>
        <v>59.166666666666664</v>
      </c>
      <c r="P57" s="24">
        <f t="shared" si="1"/>
        <v>0</v>
      </c>
    </row>
    <row r="58" spans="1:16">
      <c r="A58">
        <f t="shared" si="0"/>
        <v>54</v>
      </c>
      <c r="B58">
        <v>1</v>
      </c>
      <c r="E58" s="23">
        <f t="shared" si="2"/>
        <v>59.166666666666664</v>
      </c>
      <c r="P58" s="24">
        <f t="shared" si="1"/>
        <v>0</v>
      </c>
    </row>
    <row r="59" spans="1:16">
      <c r="A59">
        <f t="shared" si="0"/>
        <v>55</v>
      </c>
      <c r="B59">
        <v>1</v>
      </c>
      <c r="E59" s="23">
        <f t="shared" si="2"/>
        <v>59.166666666666664</v>
      </c>
      <c r="P59" s="24">
        <f t="shared" si="1"/>
        <v>0</v>
      </c>
    </row>
    <row r="60" spans="1:16">
      <c r="A60">
        <f t="shared" si="0"/>
        <v>56</v>
      </c>
      <c r="B60">
        <v>1</v>
      </c>
      <c r="E60" s="23">
        <f t="shared" si="2"/>
        <v>59.166666666666664</v>
      </c>
      <c r="P60" s="24">
        <f t="shared" si="1"/>
        <v>0</v>
      </c>
    </row>
    <row r="61" spans="1:16">
      <c r="A61">
        <f t="shared" si="0"/>
        <v>57</v>
      </c>
      <c r="B61">
        <v>1</v>
      </c>
      <c r="E61" s="23">
        <f t="shared" si="2"/>
        <v>59.166666666666664</v>
      </c>
      <c r="P61" s="24">
        <f t="shared" si="1"/>
        <v>0</v>
      </c>
    </row>
    <row r="62" spans="1:16">
      <c r="A62">
        <f t="shared" si="0"/>
        <v>58</v>
      </c>
      <c r="B62">
        <v>1</v>
      </c>
      <c r="E62" s="23">
        <f t="shared" si="2"/>
        <v>59.166666666666664</v>
      </c>
      <c r="P62" s="24">
        <f t="shared" si="1"/>
        <v>0</v>
      </c>
    </row>
    <row r="63" spans="1:16">
      <c r="A63">
        <f t="shared" si="0"/>
        <v>59</v>
      </c>
      <c r="B63">
        <v>1</v>
      </c>
      <c r="E63" s="23">
        <f t="shared" si="2"/>
        <v>59.166666666666664</v>
      </c>
      <c r="P63" s="24">
        <f t="shared" si="1"/>
        <v>0</v>
      </c>
    </row>
    <row r="64" spans="1:16">
      <c r="A64">
        <f t="shared" si="0"/>
        <v>60</v>
      </c>
      <c r="B64">
        <v>1</v>
      </c>
      <c r="E64" s="23">
        <f t="shared" si="2"/>
        <v>59.166666666666664</v>
      </c>
      <c r="P64" s="24">
        <f t="shared" si="1"/>
        <v>0</v>
      </c>
    </row>
    <row r="65" spans="1:16">
      <c r="A65">
        <f t="shared" si="0"/>
        <v>61</v>
      </c>
      <c r="B65">
        <v>1</v>
      </c>
      <c r="E65" s="23">
        <f t="shared" si="2"/>
        <v>59.166666666666664</v>
      </c>
      <c r="P65" s="24">
        <f t="shared" si="1"/>
        <v>0</v>
      </c>
    </row>
    <row r="66" spans="1:16">
      <c r="A66">
        <f t="shared" si="0"/>
        <v>62</v>
      </c>
      <c r="B66">
        <v>1</v>
      </c>
      <c r="E66" s="23">
        <f t="shared" si="2"/>
        <v>59.166666666666664</v>
      </c>
      <c r="P66" s="24">
        <f t="shared" si="1"/>
        <v>0</v>
      </c>
    </row>
    <row r="67" spans="1:16">
      <c r="A67">
        <f t="shared" si="0"/>
        <v>63</v>
      </c>
      <c r="B67">
        <v>1</v>
      </c>
      <c r="E67" s="23">
        <f t="shared" si="2"/>
        <v>59.166666666666664</v>
      </c>
      <c r="P67" s="24">
        <f t="shared" si="1"/>
        <v>0</v>
      </c>
    </row>
    <row r="68" spans="1:16">
      <c r="A68">
        <f t="shared" si="0"/>
        <v>64</v>
      </c>
      <c r="B68">
        <v>1</v>
      </c>
      <c r="E68" s="23">
        <f t="shared" si="2"/>
        <v>59.166666666666664</v>
      </c>
      <c r="P68" s="24">
        <f t="shared" si="1"/>
        <v>0</v>
      </c>
    </row>
    <row r="69" spans="1:16">
      <c r="A69">
        <f t="shared" si="0"/>
        <v>65</v>
      </c>
      <c r="B69">
        <v>1</v>
      </c>
      <c r="E69" s="23">
        <f t="shared" si="2"/>
        <v>59.166666666666664</v>
      </c>
      <c r="P69" s="24">
        <f t="shared" si="1"/>
        <v>0</v>
      </c>
    </row>
    <row r="70" spans="1:16">
      <c r="A70">
        <f t="shared" ref="A70:A85" si="8">ROW()-4</f>
        <v>66</v>
      </c>
      <c r="B70">
        <v>1</v>
      </c>
      <c r="E70" s="23">
        <f t="shared" si="2"/>
        <v>59.166666666666664</v>
      </c>
      <c r="P70" s="24">
        <f t="shared" ref="P70:P87" si="9">(F70*K70+G70*L70+H70*M70+I70*N70+J70*O70)*$S$1</f>
        <v>0</v>
      </c>
    </row>
    <row r="71" spans="1:16">
      <c r="A71">
        <f t="shared" si="8"/>
        <v>67</v>
      </c>
      <c r="B71">
        <v>1</v>
      </c>
      <c r="E71" s="23">
        <f t="shared" si="2"/>
        <v>59.166666666666664</v>
      </c>
      <c r="P71" s="24">
        <f t="shared" si="9"/>
        <v>0</v>
      </c>
    </row>
    <row r="72" spans="1:16">
      <c r="A72">
        <f t="shared" si="8"/>
        <v>68</v>
      </c>
      <c r="B72">
        <v>1</v>
      </c>
      <c r="E72" s="23">
        <f t="shared" si="2"/>
        <v>59.166666666666664</v>
      </c>
      <c r="P72" s="24">
        <f t="shared" si="9"/>
        <v>0</v>
      </c>
    </row>
    <row r="73" spans="1:16">
      <c r="A73">
        <f t="shared" si="8"/>
        <v>69</v>
      </c>
      <c r="B73">
        <v>1</v>
      </c>
      <c r="E73" s="23">
        <f t="shared" si="2"/>
        <v>59.166666666666664</v>
      </c>
      <c r="P73" s="24">
        <f t="shared" si="9"/>
        <v>0</v>
      </c>
    </row>
    <row r="74" spans="1:16">
      <c r="A74">
        <f t="shared" si="8"/>
        <v>70</v>
      </c>
      <c r="B74">
        <v>2</v>
      </c>
      <c r="E74" s="23">
        <f t="shared" si="2"/>
        <v>59.166666666666664</v>
      </c>
      <c r="P74" s="24">
        <f t="shared" si="9"/>
        <v>0</v>
      </c>
    </row>
    <row r="75" spans="1:16">
      <c r="A75">
        <f t="shared" si="8"/>
        <v>71</v>
      </c>
      <c r="B75">
        <v>3</v>
      </c>
      <c r="E75" s="23">
        <f t="shared" si="2"/>
        <v>59.166666666666664</v>
      </c>
      <c r="P75" s="24">
        <f t="shared" si="9"/>
        <v>0</v>
      </c>
    </row>
    <row r="76" spans="1:16">
      <c r="A76">
        <f t="shared" si="8"/>
        <v>72</v>
      </c>
      <c r="B76">
        <v>4</v>
      </c>
      <c r="E76" s="23">
        <f t="shared" si="2"/>
        <v>59.166666666666664</v>
      </c>
      <c r="P76" s="24">
        <f t="shared" si="9"/>
        <v>0</v>
      </c>
    </row>
    <row r="77" spans="1:16">
      <c r="A77">
        <f t="shared" si="8"/>
        <v>73</v>
      </c>
      <c r="B77">
        <v>5</v>
      </c>
      <c r="E77" s="23">
        <f t="shared" si="2"/>
        <v>59.166666666666664</v>
      </c>
      <c r="P77" s="24">
        <f t="shared" si="9"/>
        <v>0</v>
      </c>
    </row>
    <row r="78" spans="1:16">
      <c r="A78">
        <f t="shared" si="8"/>
        <v>74</v>
      </c>
      <c r="B78">
        <v>6</v>
      </c>
      <c r="E78" s="23">
        <f t="shared" si="2"/>
        <v>59.166666666666664</v>
      </c>
      <c r="P78" s="24">
        <f t="shared" si="9"/>
        <v>0</v>
      </c>
    </row>
    <row r="79" spans="1:16">
      <c r="A79">
        <f t="shared" si="8"/>
        <v>75</v>
      </c>
      <c r="B79">
        <v>7</v>
      </c>
      <c r="E79" s="23">
        <f t="shared" si="2"/>
        <v>59.166666666666664</v>
      </c>
      <c r="P79" s="24">
        <f t="shared" si="9"/>
        <v>0</v>
      </c>
    </row>
    <row r="80" spans="1:16">
      <c r="A80">
        <f t="shared" si="8"/>
        <v>76</v>
      </c>
      <c r="B80">
        <v>8</v>
      </c>
      <c r="E80" s="23">
        <f t="shared" si="2"/>
        <v>59.166666666666664</v>
      </c>
      <c r="P80" s="24">
        <f t="shared" si="9"/>
        <v>0</v>
      </c>
    </row>
    <row r="81" spans="1:16">
      <c r="A81">
        <f t="shared" si="8"/>
        <v>77</v>
      </c>
      <c r="B81">
        <v>9</v>
      </c>
      <c r="E81" s="23">
        <f t="shared" si="2"/>
        <v>59.166666666666664</v>
      </c>
      <c r="P81" s="24">
        <f t="shared" si="9"/>
        <v>0</v>
      </c>
    </row>
    <row r="82" spans="1:16">
      <c r="A82">
        <f t="shared" si="8"/>
        <v>78</v>
      </c>
      <c r="B82">
        <v>10</v>
      </c>
      <c r="E82" s="23">
        <f t="shared" si="2"/>
        <v>59.166666666666664</v>
      </c>
      <c r="P82" s="24">
        <f t="shared" si="9"/>
        <v>0</v>
      </c>
    </row>
    <row r="83" spans="1:16">
      <c r="A83">
        <f t="shared" si="8"/>
        <v>79</v>
      </c>
      <c r="B83">
        <v>11</v>
      </c>
      <c r="E83" s="23">
        <f t="shared" si="2"/>
        <v>59.166666666666664</v>
      </c>
      <c r="P83" s="24">
        <f t="shared" si="9"/>
        <v>0</v>
      </c>
    </row>
    <row r="84" spans="1:16">
      <c r="A84">
        <f t="shared" si="8"/>
        <v>80</v>
      </c>
      <c r="B84">
        <v>12</v>
      </c>
      <c r="E84" s="23">
        <f t="shared" si="2"/>
        <v>59.166666666666664</v>
      </c>
      <c r="P84" s="24">
        <f t="shared" si="9"/>
        <v>0</v>
      </c>
    </row>
    <row r="85" spans="1:16">
      <c r="A85">
        <f t="shared" si="8"/>
        <v>81</v>
      </c>
      <c r="B85">
        <v>13</v>
      </c>
      <c r="E85" s="23">
        <f t="shared" ref="E85" si="10">1/$S$3*$S$2</f>
        <v>59.166666666666664</v>
      </c>
      <c r="P85" s="24">
        <f t="shared" si="9"/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81</v>
      </c>
      <c r="B88" s="28">
        <f>SUM(B13:B87)</f>
        <v>143</v>
      </c>
      <c r="C88" s="28">
        <f>SUM(C5:C87)</f>
        <v>28</v>
      </c>
      <c r="E88" s="29"/>
      <c r="F88" s="29">
        <f>SUM(F5:F87)</f>
        <v>71</v>
      </c>
      <c r="G88" s="29">
        <f t="shared" ref="G88:I88" si="11">SUM(G5:G87)</f>
        <v>94.666666666666657</v>
      </c>
      <c r="H88" s="29">
        <f>SUM(H5:H87)</f>
        <v>118.33333333333331</v>
      </c>
      <c r="I88" s="29">
        <f t="shared" si="11"/>
        <v>142</v>
      </c>
      <c r="J88" s="29"/>
      <c r="K88" s="29"/>
      <c r="L88" s="29"/>
      <c r="M88" s="29"/>
      <c r="N88" s="29"/>
      <c r="O88" s="29"/>
      <c r="P88" s="29">
        <f t="shared" ref="P88" si="12">SUM(P5:P87)</f>
        <v>34.088875000000002</v>
      </c>
    </row>
    <row r="89" spans="1:16">
      <c r="F89" s="25">
        <f>SUM(F88:I88)</f>
        <v>426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782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807</v>
      </c>
      <c r="L2" s="24" t="s">
        <v>763</v>
      </c>
      <c r="R2" s="26" t="s">
        <v>754</v>
      </c>
      <c r="S2" s="27">
        <f>VIPcric_3!D11</f>
        <v>12875</v>
      </c>
      <c r="T2" s="27" t="s">
        <v>755</v>
      </c>
    </row>
    <row r="3" spans="1:22">
      <c r="H3" s="24" t="s">
        <v>808</v>
      </c>
      <c r="M3" s="24" t="s">
        <v>786</v>
      </c>
      <c r="R3" s="26" t="s">
        <v>738</v>
      </c>
      <c r="S3" s="27">
        <f>VIPcric_3!E11</f>
        <v>43.7</v>
      </c>
      <c r="T3" s="27" t="s">
        <v>756</v>
      </c>
    </row>
    <row r="4" spans="1:22">
      <c r="I4" s="24" t="s">
        <v>809</v>
      </c>
      <c r="J4" s="24" t="s">
        <v>776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(10+19+150)/30</f>
        <v>5.9666666666666668</v>
      </c>
      <c r="T5" s="27" t="s">
        <v>758</v>
      </c>
    </row>
    <row r="6" spans="1:22">
      <c r="A6">
        <f t="shared" ref="A6:A55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19.141666666666666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8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10</v>
      </c>
      <c r="T9" s="27" t="s">
        <v>758</v>
      </c>
    </row>
    <row r="10" spans="1:22">
      <c r="A10">
        <f t="shared" si="1"/>
        <v>6</v>
      </c>
      <c r="B10">
        <v>1</v>
      </c>
      <c r="C10">
        <v>1</v>
      </c>
      <c r="E10" s="23">
        <f t="shared" ref="E10:E18" si="2">1/$S$3*$S$2</f>
        <v>294.6224256292906</v>
      </c>
      <c r="P10" s="24">
        <f t="shared" si="0"/>
        <v>0</v>
      </c>
      <c r="R10" s="27" t="s">
        <v>773</v>
      </c>
      <c r="S10" s="32">
        <v>1.3</v>
      </c>
      <c r="T10" s="27" t="s">
        <v>806</v>
      </c>
      <c r="V10">
        <f>2800*1.3</f>
        <v>3640</v>
      </c>
    </row>
    <row r="11" spans="1:22">
      <c r="A11">
        <f t="shared" si="1"/>
        <v>7</v>
      </c>
      <c r="B11">
        <v>1</v>
      </c>
      <c r="C11">
        <v>1</v>
      </c>
      <c r="E11" s="23">
        <f t="shared" si="2"/>
        <v>294.6224256292906</v>
      </c>
      <c r="P11" s="24">
        <f t="shared" si="0"/>
        <v>0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294.6224256292906</v>
      </c>
      <c r="P12" s="24">
        <f t="shared" si="0"/>
        <v>0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294.6224256292906</v>
      </c>
      <c r="P13" s="24">
        <f t="shared" si="0"/>
        <v>0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294.6224256292906</v>
      </c>
      <c r="P14" s="24">
        <f t="shared" si="0"/>
        <v>0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294.6224256292906</v>
      </c>
      <c r="P15" s="24">
        <f t="shared" si="0"/>
        <v>0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294.6224256292906</v>
      </c>
      <c r="P16" s="24">
        <f t="shared" si="0"/>
        <v>0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294.6224256292906</v>
      </c>
      <c r="P17" s="24">
        <f t="shared" si="0"/>
        <v>0</v>
      </c>
    </row>
    <row r="18" spans="1:16">
      <c r="A18">
        <f t="shared" si="1"/>
        <v>14</v>
      </c>
      <c r="B18">
        <v>1</v>
      </c>
      <c r="C18">
        <v>1</v>
      </c>
      <c r="E18" s="23">
        <f t="shared" si="2"/>
        <v>294.6224256292906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ref="E19:E55" si="3">1/$S$3*$S$2</f>
        <v>294.6224256292906</v>
      </c>
      <c r="F19" s="24">
        <f>$E19*40%</f>
        <v>117.84897025171625</v>
      </c>
      <c r="G19" s="24">
        <f>$E19*15%</f>
        <v>44.193363844393588</v>
      </c>
      <c r="H19" s="24">
        <f>$E19*30%</f>
        <v>88.386727688787175</v>
      </c>
      <c r="I19" s="24">
        <f>$E19*10%</f>
        <v>29.462242562929063</v>
      </c>
      <c r="J19" s="24">
        <f>$E19*5%</f>
        <v>14.731121281464532</v>
      </c>
      <c r="K19" s="24">
        <v>5</v>
      </c>
      <c r="L19" s="24">
        <v>8</v>
      </c>
      <c r="M19" s="24">
        <v>12</v>
      </c>
      <c r="N19" s="24">
        <v>21</v>
      </c>
      <c r="O19" s="24">
        <v>21</v>
      </c>
      <c r="P19" s="24">
        <f>(F19*K19+G19*L19+H19*M19+I19*N19+J19*O19)*$S$1</f>
        <v>25.284128289473685</v>
      </c>
    </row>
    <row r="20" spans="1:16">
      <c r="A20">
        <f t="shared" si="1"/>
        <v>16</v>
      </c>
      <c r="B20">
        <v>1</v>
      </c>
      <c r="C20">
        <v>1</v>
      </c>
      <c r="E20" s="23">
        <f t="shared" si="3"/>
        <v>294.6224256292906</v>
      </c>
      <c r="F20" s="24">
        <f t="shared" ref="F20:F23" si="4">$E20*40%</f>
        <v>117.84897025171625</v>
      </c>
      <c r="G20" s="24">
        <f t="shared" ref="G20:G26" si="5">$E20*15%</f>
        <v>44.193363844393588</v>
      </c>
      <c r="H20" s="24">
        <f t="shared" ref="H20:H31" si="6">$E20*30%</f>
        <v>88.386727688787175</v>
      </c>
      <c r="I20" s="24">
        <f t="shared" ref="I20:I36" si="7">$E20*10%</f>
        <v>29.462242562929063</v>
      </c>
      <c r="J20" s="24">
        <f t="shared" ref="J20:J39" si="8">$E20*5%</f>
        <v>14.731121281464532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20</v>
      </c>
      <c r="O20" s="24">
        <f>O19-1</f>
        <v>20</v>
      </c>
      <c r="P20" s="24">
        <f t="shared" ref="P20:P83" si="9">(F20*K20+G20*L20+H20*M20+I20*N20+J20*O20)*$S$1</f>
        <v>22.743009868421058</v>
      </c>
    </row>
    <row r="21" spans="1:16">
      <c r="A21">
        <f t="shared" si="1"/>
        <v>17</v>
      </c>
      <c r="B21">
        <v>1</v>
      </c>
      <c r="C21">
        <v>1</v>
      </c>
      <c r="E21" s="23">
        <f t="shared" si="3"/>
        <v>294.6224256292906</v>
      </c>
      <c r="F21" s="24">
        <f t="shared" si="4"/>
        <v>117.84897025171625</v>
      </c>
      <c r="G21" s="24">
        <f t="shared" si="5"/>
        <v>44.193363844393588</v>
      </c>
      <c r="H21" s="24">
        <f t="shared" si="6"/>
        <v>88.386727688787175</v>
      </c>
      <c r="I21" s="24">
        <f t="shared" si="7"/>
        <v>29.462242562929063</v>
      </c>
      <c r="J21" s="24">
        <f t="shared" si="8"/>
        <v>14.731121281464532</v>
      </c>
      <c r="K21" s="24">
        <f t="shared" ref="K21:O36" si="10">K20-1</f>
        <v>3</v>
      </c>
      <c r="L21" s="24">
        <f t="shared" si="10"/>
        <v>6</v>
      </c>
      <c r="M21" s="24">
        <f t="shared" si="10"/>
        <v>10</v>
      </c>
      <c r="N21" s="24">
        <f t="shared" si="10"/>
        <v>19</v>
      </c>
      <c r="O21" s="24">
        <f t="shared" si="10"/>
        <v>19</v>
      </c>
      <c r="P21" s="24">
        <f t="shared" si="9"/>
        <v>20.201891447368425</v>
      </c>
    </row>
    <row r="22" spans="1:16">
      <c r="A22">
        <f t="shared" si="1"/>
        <v>18</v>
      </c>
      <c r="B22">
        <v>1</v>
      </c>
      <c r="C22">
        <v>1</v>
      </c>
      <c r="E22" s="23">
        <f t="shared" si="3"/>
        <v>294.6224256292906</v>
      </c>
      <c r="F22" s="24">
        <f t="shared" si="4"/>
        <v>117.84897025171625</v>
      </c>
      <c r="G22" s="24">
        <f t="shared" si="5"/>
        <v>44.193363844393588</v>
      </c>
      <c r="H22" s="24">
        <f t="shared" si="6"/>
        <v>88.386727688787175</v>
      </c>
      <c r="I22" s="24">
        <f t="shared" si="7"/>
        <v>29.462242562929063</v>
      </c>
      <c r="J22" s="24">
        <f t="shared" si="8"/>
        <v>14.731121281464532</v>
      </c>
      <c r="K22" s="24">
        <f t="shared" si="10"/>
        <v>2</v>
      </c>
      <c r="L22" s="24">
        <f t="shared" si="10"/>
        <v>5</v>
      </c>
      <c r="M22" s="24">
        <f t="shared" si="10"/>
        <v>9</v>
      </c>
      <c r="N22" s="24">
        <f t="shared" si="10"/>
        <v>18</v>
      </c>
      <c r="O22" s="24">
        <f t="shared" si="10"/>
        <v>18</v>
      </c>
      <c r="P22" s="24">
        <f t="shared" si="9"/>
        <v>17.660773026315791</v>
      </c>
    </row>
    <row r="23" spans="1:16">
      <c r="A23">
        <f t="shared" si="1"/>
        <v>19</v>
      </c>
      <c r="B23">
        <v>1</v>
      </c>
      <c r="C23">
        <v>1</v>
      </c>
      <c r="E23" s="23">
        <f t="shared" si="3"/>
        <v>294.6224256292906</v>
      </c>
      <c r="F23" s="24">
        <f t="shared" si="4"/>
        <v>117.84897025171625</v>
      </c>
      <c r="G23" s="24">
        <f t="shared" si="5"/>
        <v>44.193363844393588</v>
      </c>
      <c r="H23" s="24">
        <f t="shared" si="6"/>
        <v>88.386727688787175</v>
      </c>
      <c r="I23" s="24">
        <f t="shared" si="7"/>
        <v>29.462242562929063</v>
      </c>
      <c r="J23" s="24">
        <f t="shared" si="8"/>
        <v>14.731121281464532</v>
      </c>
      <c r="K23" s="24">
        <f t="shared" si="10"/>
        <v>1</v>
      </c>
      <c r="L23" s="24">
        <f t="shared" si="10"/>
        <v>4</v>
      </c>
      <c r="M23" s="24">
        <f t="shared" si="10"/>
        <v>8</v>
      </c>
      <c r="N23" s="24">
        <f t="shared" si="10"/>
        <v>17</v>
      </c>
      <c r="O23" s="24">
        <f t="shared" si="10"/>
        <v>17</v>
      </c>
      <c r="P23" s="24">
        <f t="shared" si="9"/>
        <v>15.119654605263158</v>
      </c>
    </row>
    <row r="24" spans="1:16">
      <c r="A24">
        <f t="shared" si="1"/>
        <v>20</v>
      </c>
      <c r="B24">
        <v>1</v>
      </c>
      <c r="C24">
        <v>1</v>
      </c>
      <c r="E24" s="23">
        <f t="shared" si="3"/>
        <v>294.6224256292906</v>
      </c>
      <c r="G24" s="24">
        <f t="shared" si="5"/>
        <v>44.193363844393588</v>
      </c>
      <c r="H24" s="24">
        <f t="shared" si="6"/>
        <v>88.386727688787175</v>
      </c>
      <c r="I24" s="24">
        <f t="shared" si="7"/>
        <v>29.462242562929063</v>
      </c>
      <c r="J24" s="24">
        <f t="shared" si="8"/>
        <v>14.731121281464532</v>
      </c>
      <c r="L24" s="24">
        <f t="shared" si="10"/>
        <v>3</v>
      </c>
      <c r="M24" s="24">
        <f t="shared" si="10"/>
        <v>7</v>
      </c>
      <c r="N24" s="24">
        <f t="shared" si="10"/>
        <v>16</v>
      </c>
      <c r="O24" s="24">
        <f t="shared" si="10"/>
        <v>16</v>
      </c>
      <c r="P24" s="24">
        <f t="shared" si="9"/>
        <v>12.578536184210527</v>
      </c>
    </row>
    <row r="25" spans="1:16">
      <c r="A25">
        <f t="shared" si="1"/>
        <v>21</v>
      </c>
      <c r="B25">
        <v>1</v>
      </c>
      <c r="C25">
        <v>1</v>
      </c>
      <c r="E25" s="23">
        <f t="shared" si="3"/>
        <v>294.6224256292906</v>
      </c>
      <c r="G25" s="24">
        <f t="shared" si="5"/>
        <v>44.193363844393588</v>
      </c>
      <c r="H25" s="24">
        <f t="shared" si="6"/>
        <v>88.386727688787175</v>
      </c>
      <c r="I25" s="24">
        <f t="shared" si="7"/>
        <v>29.462242562929063</v>
      </c>
      <c r="J25" s="24">
        <f t="shared" si="8"/>
        <v>14.731121281464532</v>
      </c>
      <c r="L25" s="24">
        <f t="shared" si="10"/>
        <v>2</v>
      </c>
      <c r="M25" s="24">
        <f t="shared" si="10"/>
        <v>6</v>
      </c>
      <c r="N25" s="24">
        <f t="shared" si="10"/>
        <v>15</v>
      </c>
      <c r="O25" s="24">
        <f t="shared" si="10"/>
        <v>15</v>
      </c>
      <c r="P25" s="24">
        <f t="shared" si="9"/>
        <v>11.053865131578949</v>
      </c>
    </row>
    <row r="26" spans="1:16">
      <c r="A26">
        <f t="shared" si="1"/>
        <v>22</v>
      </c>
      <c r="B26">
        <v>1</v>
      </c>
      <c r="C26">
        <v>1</v>
      </c>
      <c r="E26" s="23">
        <f t="shared" si="3"/>
        <v>294.6224256292906</v>
      </c>
      <c r="G26" s="24">
        <f t="shared" si="5"/>
        <v>44.193363844393588</v>
      </c>
      <c r="H26" s="24">
        <f t="shared" si="6"/>
        <v>88.386727688787175</v>
      </c>
      <c r="I26" s="24">
        <f t="shared" si="7"/>
        <v>29.462242562929063</v>
      </c>
      <c r="J26" s="24">
        <f t="shared" si="8"/>
        <v>14.731121281464532</v>
      </c>
      <c r="L26" s="24">
        <f t="shared" si="10"/>
        <v>1</v>
      </c>
      <c r="M26" s="24">
        <f t="shared" si="10"/>
        <v>5</v>
      </c>
      <c r="N26" s="24">
        <f t="shared" si="10"/>
        <v>14</v>
      </c>
      <c r="O26" s="24">
        <f t="shared" si="10"/>
        <v>14</v>
      </c>
      <c r="P26" s="24">
        <f t="shared" si="9"/>
        <v>9.5291940789473681</v>
      </c>
    </row>
    <row r="27" spans="1:16">
      <c r="A27">
        <f t="shared" si="1"/>
        <v>23</v>
      </c>
      <c r="B27">
        <v>1</v>
      </c>
      <c r="C27">
        <v>1</v>
      </c>
      <c r="E27" s="23">
        <f t="shared" si="3"/>
        <v>294.6224256292906</v>
      </c>
      <c r="H27" s="24">
        <f t="shared" si="6"/>
        <v>88.386727688787175</v>
      </c>
      <c r="I27" s="24">
        <f t="shared" si="7"/>
        <v>29.462242562929063</v>
      </c>
      <c r="J27" s="24">
        <f t="shared" si="8"/>
        <v>14.731121281464532</v>
      </c>
      <c r="M27" s="24">
        <f t="shared" si="10"/>
        <v>4</v>
      </c>
      <c r="N27" s="24">
        <f t="shared" si="10"/>
        <v>13</v>
      </c>
      <c r="O27" s="24">
        <f t="shared" si="10"/>
        <v>13</v>
      </c>
      <c r="P27" s="24">
        <f t="shared" si="9"/>
        <v>8.0045230263157894</v>
      </c>
    </row>
    <row r="28" spans="1:16">
      <c r="A28">
        <f t="shared" si="1"/>
        <v>24</v>
      </c>
      <c r="B28">
        <v>1</v>
      </c>
      <c r="C28">
        <v>1</v>
      </c>
      <c r="E28" s="23">
        <f t="shared" si="3"/>
        <v>294.6224256292906</v>
      </c>
      <c r="H28" s="24">
        <f t="shared" si="6"/>
        <v>88.386727688787175</v>
      </c>
      <c r="I28" s="24">
        <f t="shared" si="7"/>
        <v>29.462242562929063</v>
      </c>
      <c r="J28" s="24">
        <f t="shared" si="8"/>
        <v>14.731121281464532</v>
      </c>
      <c r="M28" s="24">
        <f t="shared" si="10"/>
        <v>3</v>
      </c>
      <c r="N28" s="24">
        <f t="shared" si="10"/>
        <v>12</v>
      </c>
      <c r="O28" s="24">
        <f t="shared" si="10"/>
        <v>12</v>
      </c>
      <c r="P28" s="24">
        <f t="shared" si="9"/>
        <v>6.8610197368421053</v>
      </c>
    </row>
    <row r="29" spans="1:16">
      <c r="A29">
        <f t="shared" si="1"/>
        <v>25</v>
      </c>
      <c r="B29">
        <v>1</v>
      </c>
      <c r="C29">
        <v>1</v>
      </c>
      <c r="E29" s="23">
        <f t="shared" si="3"/>
        <v>294.6224256292906</v>
      </c>
      <c r="H29" s="24">
        <f t="shared" si="6"/>
        <v>88.386727688787175</v>
      </c>
      <c r="I29" s="24">
        <f t="shared" si="7"/>
        <v>29.462242562929063</v>
      </c>
      <c r="J29" s="24">
        <f t="shared" si="8"/>
        <v>14.731121281464532</v>
      </c>
      <c r="M29" s="24">
        <f t="shared" si="10"/>
        <v>2</v>
      </c>
      <c r="N29" s="24">
        <f t="shared" si="10"/>
        <v>11</v>
      </c>
      <c r="O29" s="24">
        <f t="shared" si="10"/>
        <v>11</v>
      </c>
      <c r="P29" s="24">
        <f t="shared" si="9"/>
        <v>5.7175164473684212</v>
      </c>
    </row>
    <row r="30" spans="1:16">
      <c r="A30">
        <f t="shared" si="1"/>
        <v>26</v>
      </c>
      <c r="B30">
        <v>1</v>
      </c>
      <c r="C30">
        <v>1</v>
      </c>
      <c r="E30" s="23">
        <f t="shared" si="3"/>
        <v>294.6224256292906</v>
      </c>
      <c r="H30" s="24">
        <f t="shared" si="6"/>
        <v>88.386727688787175</v>
      </c>
      <c r="I30" s="24">
        <f t="shared" si="7"/>
        <v>29.462242562929063</v>
      </c>
      <c r="J30" s="24">
        <f t="shared" si="8"/>
        <v>14.731121281464532</v>
      </c>
      <c r="M30" s="24">
        <f t="shared" si="10"/>
        <v>1</v>
      </c>
      <c r="N30" s="24">
        <f t="shared" si="10"/>
        <v>10</v>
      </c>
      <c r="O30" s="24">
        <f t="shared" si="10"/>
        <v>10</v>
      </c>
      <c r="P30" s="24">
        <f t="shared" si="9"/>
        <v>4.5740131578947381</v>
      </c>
    </row>
    <row r="31" spans="1:16">
      <c r="A31">
        <f t="shared" si="1"/>
        <v>27</v>
      </c>
      <c r="B31">
        <v>1</v>
      </c>
      <c r="C31">
        <v>1</v>
      </c>
      <c r="E31" s="23">
        <f t="shared" si="3"/>
        <v>294.6224256292906</v>
      </c>
      <c r="H31" s="24">
        <f t="shared" si="6"/>
        <v>88.386727688787175</v>
      </c>
      <c r="I31" s="24">
        <f t="shared" si="7"/>
        <v>29.462242562929063</v>
      </c>
      <c r="J31" s="24">
        <f t="shared" si="8"/>
        <v>14.731121281464532</v>
      </c>
      <c r="N31" s="24">
        <f t="shared" si="10"/>
        <v>9</v>
      </c>
      <c r="O31" s="24">
        <f t="shared" si="10"/>
        <v>9</v>
      </c>
      <c r="P31" s="24">
        <f t="shared" si="9"/>
        <v>3.4305098684210531</v>
      </c>
    </row>
    <row r="32" spans="1:16">
      <c r="A32">
        <f t="shared" si="1"/>
        <v>28</v>
      </c>
      <c r="B32">
        <v>1</v>
      </c>
      <c r="D32">
        <v>1</v>
      </c>
      <c r="E32" s="23">
        <f t="shared" si="3"/>
        <v>294.6224256292906</v>
      </c>
      <c r="I32" s="24">
        <f t="shared" si="7"/>
        <v>29.462242562929063</v>
      </c>
      <c r="J32" s="24">
        <f t="shared" si="8"/>
        <v>14.731121281464532</v>
      </c>
      <c r="N32" s="24">
        <f t="shared" si="10"/>
        <v>8</v>
      </c>
      <c r="O32" s="24">
        <f t="shared" si="10"/>
        <v>8</v>
      </c>
      <c r="P32" s="24">
        <f t="shared" si="9"/>
        <v>3.0493421052631584</v>
      </c>
    </row>
    <row r="33" spans="1:16">
      <c r="A33">
        <f t="shared" si="1"/>
        <v>29</v>
      </c>
      <c r="B33">
        <v>1</v>
      </c>
      <c r="D33">
        <v>1</v>
      </c>
      <c r="E33" s="23">
        <f t="shared" si="3"/>
        <v>294.6224256292906</v>
      </c>
      <c r="I33" s="24">
        <f t="shared" si="7"/>
        <v>29.462242562929063</v>
      </c>
      <c r="J33" s="24">
        <f t="shared" si="8"/>
        <v>14.731121281464532</v>
      </c>
      <c r="N33" s="24">
        <f t="shared" si="10"/>
        <v>7</v>
      </c>
      <c r="O33" s="24">
        <f t="shared" si="10"/>
        <v>7</v>
      </c>
      <c r="P33" s="24">
        <f t="shared" si="9"/>
        <v>2.6681743421052633</v>
      </c>
    </row>
    <row r="34" spans="1:16">
      <c r="A34">
        <f t="shared" si="1"/>
        <v>30</v>
      </c>
      <c r="B34">
        <v>1</v>
      </c>
      <c r="D34">
        <v>1</v>
      </c>
      <c r="E34" s="23">
        <f t="shared" si="3"/>
        <v>294.6224256292906</v>
      </c>
      <c r="I34" s="24">
        <f t="shared" si="7"/>
        <v>29.462242562929063</v>
      </c>
      <c r="J34" s="24">
        <f t="shared" si="8"/>
        <v>14.731121281464532</v>
      </c>
      <c r="N34" s="24">
        <f t="shared" si="10"/>
        <v>6</v>
      </c>
      <c r="O34" s="24">
        <f t="shared" si="10"/>
        <v>6</v>
      </c>
      <c r="P34" s="24">
        <f t="shared" si="9"/>
        <v>2.287006578947369</v>
      </c>
    </row>
    <row r="35" spans="1:16">
      <c r="A35">
        <f t="shared" si="1"/>
        <v>31</v>
      </c>
      <c r="B35">
        <v>1</v>
      </c>
      <c r="D35">
        <v>1</v>
      </c>
      <c r="E35" s="23">
        <f t="shared" si="3"/>
        <v>294.6224256292906</v>
      </c>
      <c r="I35" s="24">
        <f t="shared" si="7"/>
        <v>29.462242562929063</v>
      </c>
      <c r="J35" s="24">
        <f t="shared" si="8"/>
        <v>14.731121281464532</v>
      </c>
      <c r="N35" s="24">
        <f t="shared" si="10"/>
        <v>5</v>
      </c>
      <c r="O35" s="24">
        <f t="shared" si="10"/>
        <v>5</v>
      </c>
      <c r="P35" s="24">
        <f t="shared" si="9"/>
        <v>1.9058388157894741</v>
      </c>
    </row>
    <row r="36" spans="1:16">
      <c r="A36">
        <f t="shared" si="1"/>
        <v>32</v>
      </c>
      <c r="B36">
        <v>1</v>
      </c>
      <c r="D36">
        <v>1</v>
      </c>
      <c r="E36" s="23">
        <f t="shared" si="3"/>
        <v>294.6224256292906</v>
      </c>
      <c r="I36" s="24">
        <f t="shared" si="7"/>
        <v>29.462242562929063</v>
      </c>
      <c r="J36" s="24">
        <f t="shared" si="8"/>
        <v>14.731121281464532</v>
      </c>
      <c r="N36" s="24">
        <f t="shared" si="10"/>
        <v>4</v>
      </c>
      <c r="O36" s="24">
        <f t="shared" si="10"/>
        <v>4</v>
      </c>
      <c r="P36" s="24">
        <f t="shared" si="9"/>
        <v>1.5246710526315792</v>
      </c>
    </row>
    <row r="37" spans="1:16">
      <c r="A37">
        <f t="shared" si="1"/>
        <v>33</v>
      </c>
      <c r="B37">
        <v>1</v>
      </c>
      <c r="D37">
        <v>1</v>
      </c>
      <c r="E37" s="23">
        <f t="shared" si="3"/>
        <v>294.6224256292906</v>
      </c>
      <c r="J37" s="24">
        <f t="shared" si="8"/>
        <v>14.731121281464532</v>
      </c>
      <c r="N37" s="24">
        <f t="shared" ref="N37:O39" si="11">N36-1</f>
        <v>3</v>
      </c>
      <c r="O37" s="24">
        <f t="shared" si="11"/>
        <v>3</v>
      </c>
      <c r="P37" s="24">
        <f t="shared" si="9"/>
        <v>0.3811677631578948</v>
      </c>
    </row>
    <row r="38" spans="1:16">
      <c r="A38">
        <f t="shared" si="1"/>
        <v>34</v>
      </c>
      <c r="B38">
        <v>1</v>
      </c>
      <c r="D38">
        <v>1</v>
      </c>
      <c r="E38" s="23">
        <f t="shared" si="3"/>
        <v>294.6224256292906</v>
      </c>
      <c r="J38" s="24">
        <f t="shared" si="8"/>
        <v>14.731121281464532</v>
      </c>
      <c r="N38" s="24">
        <f t="shared" si="11"/>
        <v>2</v>
      </c>
      <c r="O38" s="24">
        <f t="shared" si="11"/>
        <v>2</v>
      </c>
      <c r="P38" s="24">
        <f t="shared" si="9"/>
        <v>0.25411184210526316</v>
      </c>
    </row>
    <row r="39" spans="1:16">
      <c r="A39">
        <f t="shared" si="1"/>
        <v>35</v>
      </c>
      <c r="B39">
        <v>1</v>
      </c>
      <c r="D39">
        <v>1</v>
      </c>
      <c r="E39" s="23">
        <f t="shared" si="3"/>
        <v>294.6224256292906</v>
      </c>
      <c r="J39" s="24">
        <f t="shared" si="8"/>
        <v>14.731121281464532</v>
      </c>
      <c r="N39" s="24">
        <f t="shared" si="11"/>
        <v>1</v>
      </c>
      <c r="O39" s="24">
        <f t="shared" si="11"/>
        <v>1</v>
      </c>
      <c r="P39" s="24">
        <f t="shared" si="9"/>
        <v>0.12705592105263158</v>
      </c>
    </row>
    <row r="40" spans="1:16">
      <c r="A40">
        <f t="shared" si="1"/>
        <v>36</v>
      </c>
      <c r="B40">
        <v>1</v>
      </c>
      <c r="E40" s="23">
        <f t="shared" si="3"/>
        <v>294.6224256292906</v>
      </c>
      <c r="P40" s="24">
        <f t="shared" si="9"/>
        <v>0</v>
      </c>
    </row>
    <row r="41" spans="1:16">
      <c r="A41">
        <f t="shared" si="1"/>
        <v>37</v>
      </c>
      <c r="B41">
        <v>1</v>
      </c>
      <c r="E41" s="23">
        <f t="shared" si="3"/>
        <v>294.6224256292906</v>
      </c>
      <c r="P41" s="24">
        <f t="shared" si="9"/>
        <v>0</v>
      </c>
    </row>
    <row r="42" spans="1:16">
      <c r="A42">
        <f t="shared" si="1"/>
        <v>38</v>
      </c>
      <c r="B42">
        <v>1</v>
      </c>
      <c r="E42" s="23">
        <f t="shared" si="3"/>
        <v>294.6224256292906</v>
      </c>
      <c r="P42" s="24">
        <f t="shared" si="9"/>
        <v>0</v>
      </c>
    </row>
    <row r="43" spans="1:16">
      <c r="A43">
        <f t="shared" si="1"/>
        <v>39</v>
      </c>
      <c r="B43">
        <v>1</v>
      </c>
      <c r="E43" s="23">
        <f t="shared" si="3"/>
        <v>294.6224256292906</v>
      </c>
      <c r="P43" s="24">
        <f t="shared" si="9"/>
        <v>0</v>
      </c>
    </row>
    <row r="44" spans="1:16">
      <c r="A44">
        <f t="shared" si="1"/>
        <v>40</v>
      </c>
      <c r="B44">
        <v>1</v>
      </c>
      <c r="E44" s="23">
        <f t="shared" si="3"/>
        <v>294.6224256292906</v>
      </c>
      <c r="P44" s="24">
        <f t="shared" si="9"/>
        <v>0</v>
      </c>
    </row>
    <row r="45" spans="1:16">
      <c r="A45">
        <f t="shared" si="1"/>
        <v>41</v>
      </c>
      <c r="B45">
        <v>1</v>
      </c>
      <c r="E45" s="23">
        <f t="shared" si="3"/>
        <v>294.6224256292906</v>
      </c>
      <c r="P45" s="24">
        <f t="shared" si="9"/>
        <v>0</v>
      </c>
    </row>
    <row r="46" spans="1:16">
      <c r="A46">
        <f t="shared" si="1"/>
        <v>42</v>
      </c>
      <c r="B46">
        <v>1</v>
      </c>
      <c r="E46" s="23">
        <f t="shared" si="3"/>
        <v>294.6224256292906</v>
      </c>
      <c r="P46" s="24">
        <f t="shared" si="9"/>
        <v>0</v>
      </c>
    </row>
    <row r="47" spans="1:16">
      <c r="A47">
        <f t="shared" si="1"/>
        <v>43</v>
      </c>
      <c r="B47">
        <v>1</v>
      </c>
      <c r="E47" s="23">
        <f t="shared" si="3"/>
        <v>294.6224256292906</v>
      </c>
      <c r="P47" s="24">
        <f t="shared" si="9"/>
        <v>0</v>
      </c>
    </row>
    <row r="48" spans="1:16">
      <c r="A48">
        <f t="shared" si="1"/>
        <v>44</v>
      </c>
      <c r="B48">
        <v>1</v>
      </c>
      <c r="E48" s="23">
        <f t="shared" si="3"/>
        <v>294.6224256292906</v>
      </c>
      <c r="P48" s="24">
        <f t="shared" si="9"/>
        <v>0</v>
      </c>
    </row>
    <row r="49" spans="1:16">
      <c r="A49">
        <f t="shared" si="1"/>
        <v>45</v>
      </c>
      <c r="B49">
        <v>1</v>
      </c>
      <c r="E49" s="23">
        <f t="shared" si="3"/>
        <v>294.6224256292906</v>
      </c>
      <c r="P49" s="24">
        <f t="shared" si="9"/>
        <v>0</v>
      </c>
    </row>
    <row r="50" spans="1:16">
      <c r="A50">
        <f t="shared" si="1"/>
        <v>46</v>
      </c>
      <c r="B50">
        <v>1</v>
      </c>
      <c r="E50" s="23">
        <f t="shared" si="3"/>
        <v>294.6224256292906</v>
      </c>
      <c r="P50" s="24">
        <f t="shared" si="9"/>
        <v>0</v>
      </c>
    </row>
    <row r="51" spans="1:16">
      <c r="A51">
        <f t="shared" si="1"/>
        <v>47</v>
      </c>
      <c r="B51">
        <v>1</v>
      </c>
      <c r="E51" s="23">
        <f t="shared" si="3"/>
        <v>294.6224256292906</v>
      </c>
      <c r="P51" s="24">
        <f t="shared" si="9"/>
        <v>0</v>
      </c>
    </row>
    <row r="52" spans="1:16">
      <c r="A52">
        <f t="shared" si="1"/>
        <v>48</v>
      </c>
      <c r="B52">
        <v>1</v>
      </c>
      <c r="E52" s="23">
        <f t="shared" si="3"/>
        <v>294.6224256292906</v>
      </c>
      <c r="P52" s="24">
        <f t="shared" si="9"/>
        <v>0</v>
      </c>
    </row>
    <row r="53" spans="1:16">
      <c r="A53">
        <f t="shared" si="1"/>
        <v>49</v>
      </c>
      <c r="B53">
        <v>1</v>
      </c>
      <c r="E53" s="23">
        <f t="shared" si="3"/>
        <v>294.6224256292906</v>
      </c>
      <c r="P53" s="24">
        <f t="shared" si="9"/>
        <v>0</v>
      </c>
    </row>
    <row r="54" spans="1:16">
      <c r="A54">
        <f t="shared" si="1"/>
        <v>50</v>
      </c>
      <c r="B54">
        <v>1</v>
      </c>
      <c r="E54" s="23">
        <f t="shared" si="3"/>
        <v>294.6224256292906</v>
      </c>
      <c r="P54" s="24">
        <f t="shared" si="9"/>
        <v>0</v>
      </c>
    </row>
    <row r="55" spans="1:16">
      <c r="A55">
        <f t="shared" si="1"/>
        <v>51</v>
      </c>
      <c r="B55">
        <v>1</v>
      </c>
      <c r="E55" s="23">
        <f t="shared" si="3"/>
        <v>294.6224256292906</v>
      </c>
      <c r="P55" s="24">
        <f t="shared" si="9"/>
        <v>0</v>
      </c>
    </row>
    <row r="56" spans="1:16">
      <c r="P56" s="24">
        <f t="shared" si="9"/>
        <v>0</v>
      </c>
    </row>
    <row r="57" spans="1:16">
      <c r="P57" s="24">
        <f t="shared" si="9"/>
        <v>0</v>
      </c>
    </row>
    <row r="58" spans="1:16">
      <c r="P58" s="24">
        <f t="shared" si="9"/>
        <v>0</v>
      </c>
    </row>
    <row r="59" spans="1:16">
      <c r="P59" s="24">
        <f t="shared" si="9"/>
        <v>0</v>
      </c>
    </row>
    <row r="60" spans="1:16">
      <c r="P60" s="24">
        <f t="shared" si="9"/>
        <v>0</v>
      </c>
    </row>
    <row r="61" spans="1:16">
      <c r="P61" s="24">
        <f t="shared" si="9"/>
        <v>0</v>
      </c>
    </row>
    <row r="62" spans="1:16">
      <c r="P62" s="24">
        <f t="shared" si="9"/>
        <v>0</v>
      </c>
    </row>
    <row r="63" spans="1:16">
      <c r="P63" s="24">
        <f t="shared" si="9"/>
        <v>0</v>
      </c>
    </row>
    <row r="64" spans="1:16">
      <c r="P64" s="24">
        <f t="shared" si="9"/>
        <v>0</v>
      </c>
    </row>
    <row r="65" spans="16:16">
      <c r="P65" s="24">
        <f t="shared" si="9"/>
        <v>0</v>
      </c>
    </row>
    <row r="66" spans="16:16">
      <c r="P66" s="24">
        <f t="shared" si="9"/>
        <v>0</v>
      </c>
    </row>
    <row r="67" spans="16:16">
      <c r="P67" s="24">
        <f t="shared" si="9"/>
        <v>0</v>
      </c>
    </row>
    <row r="68" spans="16:16">
      <c r="P68" s="24">
        <f t="shared" si="9"/>
        <v>0</v>
      </c>
    </row>
    <row r="69" spans="16:16">
      <c r="P69" s="24">
        <f t="shared" si="9"/>
        <v>0</v>
      </c>
    </row>
    <row r="70" spans="16:16">
      <c r="P70" s="24">
        <f t="shared" si="9"/>
        <v>0</v>
      </c>
    </row>
    <row r="71" spans="16:16">
      <c r="P71" s="24">
        <f t="shared" si="9"/>
        <v>0</v>
      </c>
    </row>
    <row r="72" spans="16:16">
      <c r="P72" s="24">
        <f t="shared" si="9"/>
        <v>0</v>
      </c>
    </row>
    <row r="73" spans="16:16">
      <c r="P73" s="24">
        <f t="shared" si="9"/>
        <v>0</v>
      </c>
    </row>
    <row r="74" spans="16:16">
      <c r="P74" s="24">
        <f t="shared" si="9"/>
        <v>0</v>
      </c>
    </row>
    <row r="75" spans="16:16">
      <c r="P75" s="24">
        <f t="shared" si="9"/>
        <v>0</v>
      </c>
    </row>
    <row r="76" spans="16:16">
      <c r="P76" s="24">
        <f t="shared" si="9"/>
        <v>0</v>
      </c>
    </row>
    <row r="77" spans="16:16">
      <c r="P77" s="24">
        <f t="shared" si="9"/>
        <v>0</v>
      </c>
    </row>
    <row r="78" spans="16:16">
      <c r="P78" s="24">
        <f t="shared" si="9"/>
        <v>0</v>
      </c>
    </row>
    <row r="79" spans="16:16">
      <c r="P79" s="24">
        <f t="shared" si="9"/>
        <v>0</v>
      </c>
    </row>
    <row r="80" spans="16:16">
      <c r="P80" s="24">
        <f t="shared" si="9"/>
        <v>0</v>
      </c>
    </row>
    <row r="81" spans="1:16">
      <c r="P81" s="24">
        <f t="shared" si="9"/>
        <v>0</v>
      </c>
    </row>
    <row r="82" spans="1:16">
      <c r="P82" s="24">
        <f t="shared" si="9"/>
        <v>0</v>
      </c>
    </row>
    <row r="83" spans="1:16">
      <c r="P83" s="24">
        <f t="shared" si="9"/>
        <v>0</v>
      </c>
    </row>
    <row r="84" spans="1:16">
      <c r="P84" s="24">
        <f t="shared" ref="P84:P87" si="12">(F84*K84+G84*L84+H84*M84+I84*N84+J84*O84)*$S$1</f>
        <v>0</v>
      </c>
    </row>
    <row r="85" spans="1:16">
      <c r="P85" s="24">
        <f t="shared" si="12"/>
        <v>0</v>
      </c>
    </row>
    <row r="86" spans="1:16">
      <c r="P86" s="24">
        <f t="shared" si="12"/>
        <v>0</v>
      </c>
    </row>
    <row r="87" spans="1:16">
      <c r="P87" s="24">
        <f t="shared" si="12"/>
        <v>0</v>
      </c>
    </row>
    <row r="88" spans="1:16">
      <c r="A88" s="28">
        <f>COUNT(A5:A87)</f>
        <v>51</v>
      </c>
      <c r="B88" s="28">
        <f>SUM(B13:B87)</f>
        <v>43</v>
      </c>
      <c r="C88" s="28">
        <f>SUM(C5:C87)</f>
        <v>27</v>
      </c>
      <c r="E88" s="29"/>
      <c r="F88" s="29">
        <f>SUM(F5:F87)</f>
        <v>589.24485125858132</v>
      </c>
      <c r="G88" s="29">
        <f t="shared" ref="G88:I88" si="13">SUM(G5:G87)</f>
        <v>353.5469107551487</v>
      </c>
      <c r="H88" s="29">
        <f>SUM(H5:H87)</f>
        <v>1149.0274599542336</v>
      </c>
      <c r="I88" s="29">
        <f t="shared" si="13"/>
        <v>530.32036613272328</v>
      </c>
      <c r="J88" s="29"/>
      <c r="K88" s="29"/>
      <c r="L88" s="29"/>
      <c r="M88" s="29"/>
      <c r="N88" s="29"/>
      <c r="O88" s="29"/>
      <c r="P88" s="29">
        <f>SUM(P5:P87)</f>
        <v>174.95600328947364</v>
      </c>
    </row>
    <row r="89" spans="1:16">
      <c r="F89" s="25">
        <f>SUM(F88:I88)</f>
        <v>2622.139588100687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782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807</v>
      </c>
      <c r="L2" s="24" t="s">
        <v>763</v>
      </c>
      <c r="R2" s="26" t="s">
        <v>754</v>
      </c>
      <c r="S2" s="27">
        <f>VIPcric_3!D12</f>
        <v>30654</v>
      </c>
      <c r="T2" s="27" t="s">
        <v>755</v>
      </c>
    </row>
    <row r="3" spans="1:22">
      <c r="H3" s="24" t="s">
        <v>808</v>
      </c>
      <c r="M3" s="24" t="s">
        <v>786</v>
      </c>
      <c r="R3" s="26" t="s">
        <v>738</v>
      </c>
      <c r="S3" s="27">
        <f>VIPcric_3!E12</f>
        <v>21.1</v>
      </c>
      <c r="T3" s="27" t="s">
        <v>756</v>
      </c>
    </row>
    <row r="4" spans="1:22">
      <c r="I4" s="24" t="s">
        <v>809</v>
      </c>
      <c r="J4" s="24" t="s">
        <v>776</v>
      </c>
      <c r="N4" s="24" t="s">
        <v>787</v>
      </c>
      <c r="O4" s="24" t="s">
        <v>788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(10+19+150+(605*1.05-S7*30)/2*30)/30</f>
        <v>203.59166666666667</v>
      </c>
      <c r="T5" s="27" t="s">
        <v>758</v>
      </c>
    </row>
    <row r="6" spans="1:22">
      <c r="A6">
        <f t="shared" ref="A6:A39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19.141666666666666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8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10</v>
      </c>
      <c r="T9" s="27" t="s">
        <v>758</v>
      </c>
    </row>
    <row r="10" spans="1:22">
      <c r="A10">
        <f t="shared" si="1"/>
        <v>6</v>
      </c>
      <c r="B10">
        <v>1</v>
      </c>
      <c r="C10">
        <v>1</v>
      </c>
      <c r="E10" s="23">
        <f t="shared" ref="E10:E39" si="2">1/$S$3*$S$2</f>
        <v>1452.7962085308056</v>
      </c>
      <c r="P10" s="24">
        <f t="shared" si="0"/>
        <v>0</v>
      </c>
      <c r="R10" s="27" t="s">
        <v>773</v>
      </c>
      <c r="S10" s="32">
        <v>1.3</v>
      </c>
      <c r="T10" s="27" t="s">
        <v>806</v>
      </c>
      <c r="V10">
        <f>2800*1.3</f>
        <v>3640</v>
      </c>
    </row>
    <row r="11" spans="1:22">
      <c r="A11">
        <f t="shared" si="1"/>
        <v>7</v>
      </c>
      <c r="B11">
        <v>1</v>
      </c>
      <c r="C11">
        <v>1</v>
      </c>
      <c r="E11" s="23">
        <f t="shared" si="2"/>
        <v>1452.7962085308056</v>
      </c>
      <c r="P11" s="24">
        <f t="shared" si="0"/>
        <v>0</v>
      </c>
    </row>
    <row r="12" spans="1:22">
      <c r="A12">
        <f t="shared" si="1"/>
        <v>8</v>
      </c>
      <c r="B12">
        <v>1</v>
      </c>
      <c r="C12">
        <v>1</v>
      </c>
      <c r="E12" s="23">
        <f t="shared" si="2"/>
        <v>1452.7962085308056</v>
      </c>
      <c r="P12" s="24">
        <f t="shared" si="0"/>
        <v>0</v>
      </c>
    </row>
    <row r="13" spans="1:22">
      <c r="A13">
        <f t="shared" si="1"/>
        <v>9</v>
      </c>
      <c r="B13">
        <v>1</v>
      </c>
      <c r="C13">
        <v>1</v>
      </c>
      <c r="E13" s="23">
        <f t="shared" si="2"/>
        <v>1452.7962085308056</v>
      </c>
      <c r="P13" s="24">
        <f t="shared" si="0"/>
        <v>0</v>
      </c>
    </row>
    <row r="14" spans="1:22">
      <c r="A14">
        <f t="shared" si="1"/>
        <v>10</v>
      </c>
      <c r="B14">
        <v>1</v>
      </c>
      <c r="C14">
        <v>1</v>
      </c>
      <c r="E14" s="23">
        <f t="shared" si="2"/>
        <v>1452.7962085308056</v>
      </c>
      <c r="P14" s="24">
        <f t="shared" si="0"/>
        <v>0</v>
      </c>
    </row>
    <row r="15" spans="1:22">
      <c r="A15">
        <f t="shared" si="1"/>
        <v>11</v>
      </c>
      <c r="B15">
        <v>1</v>
      </c>
      <c r="C15">
        <v>1</v>
      </c>
      <c r="E15" s="23">
        <f t="shared" si="2"/>
        <v>1452.7962085308056</v>
      </c>
      <c r="P15" s="24">
        <f t="shared" si="0"/>
        <v>0</v>
      </c>
    </row>
    <row r="16" spans="1:22">
      <c r="A16">
        <f t="shared" si="1"/>
        <v>12</v>
      </c>
      <c r="B16">
        <v>1</v>
      </c>
      <c r="C16">
        <v>1</v>
      </c>
      <c r="E16" s="23">
        <f t="shared" si="2"/>
        <v>1452.7962085308056</v>
      </c>
      <c r="P16" s="24">
        <f t="shared" si="0"/>
        <v>0</v>
      </c>
    </row>
    <row r="17" spans="1:16">
      <c r="A17">
        <f t="shared" si="1"/>
        <v>13</v>
      </c>
      <c r="B17">
        <v>1</v>
      </c>
      <c r="C17">
        <v>1</v>
      </c>
      <c r="E17" s="23">
        <f t="shared" si="2"/>
        <v>1452.7962085308056</v>
      </c>
      <c r="P17" s="24">
        <f t="shared" si="0"/>
        <v>0</v>
      </c>
    </row>
    <row r="18" spans="1:16">
      <c r="A18">
        <f t="shared" si="1"/>
        <v>14</v>
      </c>
      <c r="B18">
        <v>1</v>
      </c>
      <c r="C18">
        <v>1</v>
      </c>
      <c r="E18" s="23">
        <f t="shared" si="2"/>
        <v>1452.7962085308056</v>
      </c>
      <c r="P18" s="24">
        <f t="shared" si="0"/>
        <v>0</v>
      </c>
    </row>
    <row r="19" spans="1:16">
      <c r="A19">
        <f t="shared" si="1"/>
        <v>15</v>
      </c>
      <c r="B19">
        <v>1</v>
      </c>
      <c r="C19">
        <v>1</v>
      </c>
      <c r="E19" s="23">
        <f t="shared" si="2"/>
        <v>1452.7962085308056</v>
      </c>
      <c r="F19" s="24">
        <f>$E19*40%</f>
        <v>581.11848341232223</v>
      </c>
      <c r="G19" s="24">
        <f>$E19*15%</f>
        <v>217.91943127962085</v>
      </c>
      <c r="H19" s="24">
        <f>$E19*30%</f>
        <v>435.8388625592417</v>
      </c>
      <c r="I19" s="24">
        <f>$E19*10%</f>
        <v>145.27962085308056</v>
      </c>
      <c r="J19" s="24">
        <f>$E19*5%</f>
        <v>72.639810426540279</v>
      </c>
      <c r="K19" s="24">
        <v>5</v>
      </c>
      <c r="L19" s="24">
        <v>8</v>
      </c>
      <c r="M19" s="24">
        <v>12</v>
      </c>
      <c r="N19" s="24">
        <v>21</v>
      </c>
      <c r="O19" s="24">
        <v>21</v>
      </c>
      <c r="P19" s="24">
        <f>(F19*K19+G19*L19+H19*M19+I19*N19+J19*O19)*$S$1</f>
        <v>124.67715462085306</v>
      </c>
    </row>
    <row r="20" spans="1:16">
      <c r="A20">
        <f t="shared" si="1"/>
        <v>16</v>
      </c>
      <c r="B20">
        <v>1</v>
      </c>
      <c r="C20">
        <v>1</v>
      </c>
      <c r="E20" s="23">
        <f t="shared" si="2"/>
        <v>1452.7962085308056</v>
      </c>
      <c r="F20" s="24">
        <f t="shared" ref="F20:F23" si="3">$E20*40%</f>
        <v>581.11848341232223</v>
      </c>
      <c r="G20" s="24">
        <f t="shared" ref="G20:G26" si="4">$E20*15%</f>
        <v>217.91943127962085</v>
      </c>
      <c r="H20" s="24">
        <f t="shared" ref="H20:H31" si="5">$E20*30%</f>
        <v>435.8388625592417</v>
      </c>
      <c r="I20" s="24">
        <f t="shared" ref="I20:I36" si="6">$E20*10%</f>
        <v>145.27962085308056</v>
      </c>
      <c r="J20" s="24">
        <f t="shared" ref="J20:J39" si="7">$E20*5%</f>
        <v>72.639810426540279</v>
      </c>
      <c r="K20" s="24">
        <f>K19-1</f>
        <v>4</v>
      </c>
      <c r="L20" s="24">
        <f>L19-1</f>
        <v>7</v>
      </c>
      <c r="M20" s="24">
        <f>M19-1</f>
        <v>11</v>
      </c>
      <c r="N20" s="24">
        <f>N19-1</f>
        <v>20</v>
      </c>
      <c r="O20" s="24">
        <f>O19-1</f>
        <v>20</v>
      </c>
      <c r="P20" s="24">
        <f t="shared" ref="P20:P83" si="8">(F20*K20+G20*L20+H20*M20+I20*N20+J20*O20)*$S$1</f>
        <v>112.14678732227489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1452.7962085308056</v>
      </c>
      <c r="F21" s="24">
        <f t="shared" si="3"/>
        <v>581.11848341232223</v>
      </c>
      <c r="G21" s="24">
        <f t="shared" si="4"/>
        <v>217.91943127962085</v>
      </c>
      <c r="H21" s="24">
        <f t="shared" si="5"/>
        <v>435.8388625592417</v>
      </c>
      <c r="I21" s="24">
        <f t="shared" si="6"/>
        <v>145.27962085308056</v>
      </c>
      <c r="J21" s="24">
        <f t="shared" si="7"/>
        <v>72.639810426540279</v>
      </c>
      <c r="K21" s="24">
        <f t="shared" ref="K21:O36" si="9">K20-1</f>
        <v>3</v>
      </c>
      <c r="L21" s="24">
        <f t="shared" si="9"/>
        <v>6</v>
      </c>
      <c r="M21" s="24">
        <f t="shared" si="9"/>
        <v>10</v>
      </c>
      <c r="N21" s="24">
        <f t="shared" si="9"/>
        <v>19</v>
      </c>
      <c r="O21" s="24">
        <f t="shared" si="9"/>
        <v>19</v>
      </c>
      <c r="P21" s="24">
        <f t="shared" si="8"/>
        <v>99.616420023696676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1452.7962085308056</v>
      </c>
      <c r="F22" s="24">
        <f t="shared" si="3"/>
        <v>581.11848341232223</v>
      </c>
      <c r="G22" s="24">
        <f t="shared" si="4"/>
        <v>217.91943127962085</v>
      </c>
      <c r="H22" s="24">
        <f t="shared" si="5"/>
        <v>435.8388625592417</v>
      </c>
      <c r="I22" s="24">
        <f t="shared" si="6"/>
        <v>145.27962085308056</v>
      </c>
      <c r="J22" s="24">
        <f t="shared" si="7"/>
        <v>72.639810426540279</v>
      </c>
      <c r="K22" s="24">
        <f t="shared" si="9"/>
        <v>2</v>
      </c>
      <c r="L22" s="24">
        <f t="shared" si="9"/>
        <v>5</v>
      </c>
      <c r="M22" s="24">
        <f t="shared" si="9"/>
        <v>9</v>
      </c>
      <c r="N22" s="24">
        <f t="shared" si="9"/>
        <v>18</v>
      </c>
      <c r="O22" s="24">
        <f t="shared" si="9"/>
        <v>18</v>
      </c>
      <c r="P22" s="24">
        <f t="shared" si="8"/>
        <v>87.086052725118478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1452.7962085308056</v>
      </c>
      <c r="F23" s="24">
        <f t="shared" si="3"/>
        <v>581.11848341232223</v>
      </c>
      <c r="G23" s="24">
        <f t="shared" si="4"/>
        <v>217.91943127962085</v>
      </c>
      <c r="H23" s="24">
        <f t="shared" si="5"/>
        <v>435.8388625592417</v>
      </c>
      <c r="I23" s="24">
        <f t="shared" si="6"/>
        <v>145.27962085308056</v>
      </c>
      <c r="J23" s="24">
        <f t="shared" si="7"/>
        <v>72.639810426540279</v>
      </c>
      <c r="K23" s="24">
        <f t="shared" si="9"/>
        <v>1</v>
      </c>
      <c r="L23" s="24">
        <f t="shared" si="9"/>
        <v>4</v>
      </c>
      <c r="M23" s="24">
        <f t="shared" si="9"/>
        <v>8</v>
      </c>
      <c r="N23" s="24">
        <f t="shared" si="9"/>
        <v>17</v>
      </c>
      <c r="O23" s="24">
        <f t="shared" si="9"/>
        <v>17</v>
      </c>
      <c r="P23" s="24">
        <f t="shared" si="8"/>
        <v>74.555685426540293</v>
      </c>
    </row>
    <row r="24" spans="1:16">
      <c r="A24">
        <f t="shared" si="1"/>
        <v>20</v>
      </c>
      <c r="B24">
        <v>1</v>
      </c>
      <c r="C24">
        <v>1</v>
      </c>
      <c r="E24" s="23">
        <f t="shared" si="2"/>
        <v>1452.7962085308056</v>
      </c>
      <c r="G24" s="24">
        <f t="shared" si="4"/>
        <v>217.91943127962085</v>
      </c>
      <c r="H24" s="24">
        <f t="shared" si="5"/>
        <v>435.8388625592417</v>
      </c>
      <c r="I24" s="24">
        <f t="shared" si="6"/>
        <v>145.27962085308056</v>
      </c>
      <c r="J24" s="24">
        <f t="shared" si="7"/>
        <v>72.639810426540279</v>
      </c>
      <c r="L24" s="24">
        <f t="shared" si="9"/>
        <v>3</v>
      </c>
      <c r="M24" s="24">
        <f t="shared" si="9"/>
        <v>7</v>
      </c>
      <c r="N24" s="24">
        <f t="shared" si="9"/>
        <v>16</v>
      </c>
      <c r="O24" s="24">
        <f t="shared" si="9"/>
        <v>16</v>
      </c>
      <c r="P24" s="24">
        <f t="shared" si="8"/>
        <v>62.025318127962095</v>
      </c>
    </row>
    <row r="25" spans="1:16">
      <c r="A25">
        <f t="shared" si="1"/>
        <v>21</v>
      </c>
      <c r="B25">
        <v>1</v>
      </c>
      <c r="C25">
        <v>1</v>
      </c>
      <c r="E25" s="23">
        <f t="shared" si="2"/>
        <v>1452.7962085308056</v>
      </c>
      <c r="G25" s="24">
        <f t="shared" si="4"/>
        <v>217.91943127962085</v>
      </c>
      <c r="H25" s="24">
        <f t="shared" si="5"/>
        <v>435.8388625592417</v>
      </c>
      <c r="I25" s="24">
        <f t="shared" si="6"/>
        <v>145.27962085308056</v>
      </c>
      <c r="J25" s="24">
        <f t="shared" si="7"/>
        <v>72.639810426540279</v>
      </c>
      <c r="L25" s="24">
        <f t="shared" si="9"/>
        <v>2</v>
      </c>
      <c r="M25" s="24">
        <f t="shared" si="9"/>
        <v>6</v>
      </c>
      <c r="N25" s="24">
        <f t="shared" si="9"/>
        <v>15</v>
      </c>
      <c r="O25" s="24">
        <f t="shared" si="9"/>
        <v>15</v>
      </c>
      <c r="P25" s="24">
        <f t="shared" si="8"/>
        <v>54.507097748815163</v>
      </c>
    </row>
    <row r="26" spans="1:16">
      <c r="A26">
        <f t="shared" si="1"/>
        <v>22</v>
      </c>
      <c r="B26">
        <v>1</v>
      </c>
      <c r="C26">
        <v>1</v>
      </c>
      <c r="E26" s="23">
        <f t="shared" si="2"/>
        <v>1452.7962085308056</v>
      </c>
      <c r="G26" s="24">
        <f t="shared" si="4"/>
        <v>217.91943127962085</v>
      </c>
      <c r="H26" s="24">
        <f t="shared" si="5"/>
        <v>435.8388625592417</v>
      </c>
      <c r="I26" s="24">
        <f t="shared" si="6"/>
        <v>145.27962085308056</v>
      </c>
      <c r="J26" s="24">
        <f t="shared" si="7"/>
        <v>72.639810426540279</v>
      </c>
      <c r="L26" s="24">
        <f t="shared" si="9"/>
        <v>1</v>
      </c>
      <c r="M26" s="24">
        <f t="shared" si="9"/>
        <v>5</v>
      </c>
      <c r="N26" s="24">
        <f t="shared" si="9"/>
        <v>14</v>
      </c>
      <c r="O26" s="24">
        <f t="shared" si="9"/>
        <v>14</v>
      </c>
      <c r="P26" s="24">
        <f t="shared" si="8"/>
        <v>46.988877369668245</v>
      </c>
    </row>
    <row r="27" spans="1:16">
      <c r="A27">
        <f t="shared" si="1"/>
        <v>23</v>
      </c>
      <c r="B27">
        <v>1</v>
      </c>
      <c r="C27">
        <v>1</v>
      </c>
      <c r="E27" s="23">
        <f t="shared" si="2"/>
        <v>1452.7962085308056</v>
      </c>
      <c r="H27" s="24">
        <f t="shared" si="5"/>
        <v>435.8388625592417</v>
      </c>
      <c r="I27" s="24">
        <f t="shared" si="6"/>
        <v>145.27962085308056</v>
      </c>
      <c r="J27" s="24">
        <f t="shared" si="7"/>
        <v>72.639810426540279</v>
      </c>
      <c r="M27" s="24">
        <f t="shared" si="9"/>
        <v>4</v>
      </c>
      <c r="N27" s="24">
        <f t="shared" si="9"/>
        <v>13</v>
      </c>
      <c r="O27" s="24">
        <f t="shared" si="9"/>
        <v>13</v>
      </c>
      <c r="P27" s="24">
        <f t="shared" si="8"/>
        <v>39.470656990521327</v>
      </c>
    </row>
    <row r="28" spans="1:16">
      <c r="A28">
        <f t="shared" si="1"/>
        <v>24</v>
      </c>
      <c r="B28">
        <v>1</v>
      </c>
      <c r="C28">
        <v>1</v>
      </c>
      <c r="E28" s="23">
        <f t="shared" si="2"/>
        <v>1452.7962085308056</v>
      </c>
      <c r="H28" s="24">
        <f t="shared" si="5"/>
        <v>435.8388625592417</v>
      </c>
      <c r="I28" s="24">
        <f t="shared" si="6"/>
        <v>145.27962085308056</v>
      </c>
      <c r="J28" s="24">
        <f t="shared" si="7"/>
        <v>72.639810426540279</v>
      </c>
      <c r="M28" s="24">
        <f t="shared" si="9"/>
        <v>3</v>
      </c>
      <c r="N28" s="24">
        <f t="shared" si="9"/>
        <v>12</v>
      </c>
      <c r="O28" s="24">
        <f t="shared" si="9"/>
        <v>12</v>
      </c>
      <c r="P28" s="24">
        <f t="shared" si="8"/>
        <v>33.831991706161133</v>
      </c>
    </row>
    <row r="29" spans="1:16">
      <c r="A29">
        <f t="shared" si="1"/>
        <v>25</v>
      </c>
      <c r="B29">
        <v>1</v>
      </c>
      <c r="C29">
        <v>1</v>
      </c>
      <c r="E29" s="23">
        <f t="shared" si="2"/>
        <v>1452.7962085308056</v>
      </c>
      <c r="H29" s="24">
        <f t="shared" si="5"/>
        <v>435.8388625592417</v>
      </c>
      <c r="I29" s="24">
        <f t="shared" si="6"/>
        <v>145.27962085308056</v>
      </c>
      <c r="J29" s="24">
        <f t="shared" si="7"/>
        <v>72.639810426540279</v>
      </c>
      <c r="M29" s="24">
        <f t="shared" si="9"/>
        <v>2</v>
      </c>
      <c r="N29" s="24">
        <f t="shared" si="9"/>
        <v>11</v>
      </c>
      <c r="O29" s="24">
        <f t="shared" si="9"/>
        <v>11</v>
      </c>
      <c r="P29" s="24">
        <f t="shared" si="8"/>
        <v>28.19332642180095</v>
      </c>
    </row>
    <row r="30" spans="1:16">
      <c r="A30">
        <f t="shared" si="1"/>
        <v>26</v>
      </c>
      <c r="B30">
        <v>1</v>
      </c>
      <c r="C30">
        <v>1</v>
      </c>
      <c r="E30" s="23">
        <f t="shared" si="2"/>
        <v>1452.7962085308056</v>
      </c>
      <c r="H30" s="24">
        <f t="shared" si="5"/>
        <v>435.8388625592417</v>
      </c>
      <c r="I30" s="24">
        <f t="shared" si="6"/>
        <v>145.27962085308056</v>
      </c>
      <c r="J30" s="24">
        <f t="shared" si="7"/>
        <v>72.639810426540279</v>
      </c>
      <c r="M30" s="24">
        <f t="shared" si="9"/>
        <v>1</v>
      </c>
      <c r="N30" s="24">
        <f t="shared" si="9"/>
        <v>10</v>
      </c>
      <c r="O30" s="24">
        <f t="shared" si="9"/>
        <v>10</v>
      </c>
      <c r="P30" s="24">
        <f t="shared" si="8"/>
        <v>22.55466113744076</v>
      </c>
    </row>
    <row r="31" spans="1:16">
      <c r="A31">
        <f t="shared" si="1"/>
        <v>27</v>
      </c>
      <c r="B31">
        <v>1</v>
      </c>
      <c r="C31">
        <v>1</v>
      </c>
      <c r="E31" s="23">
        <f t="shared" si="2"/>
        <v>1452.7962085308056</v>
      </c>
      <c r="H31" s="24">
        <f t="shared" si="5"/>
        <v>435.8388625592417</v>
      </c>
      <c r="I31" s="24">
        <f t="shared" si="6"/>
        <v>145.27962085308056</v>
      </c>
      <c r="J31" s="24">
        <f t="shared" si="7"/>
        <v>72.639810426540279</v>
      </c>
      <c r="N31" s="24">
        <f t="shared" si="9"/>
        <v>9</v>
      </c>
      <c r="O31" s="24">
        <f t="shared" si="9"/>
        <v>9</v>
      </c>
      <c r="P31" s="24">
        <f t="shared" si="8"/>
        <v>16.91599585308057</v>
      </c>
    </row>
    <row r="32" spans="1:16">
      <c r="A32">
        <f t="shared" si="1"/>
        <v>28</v>
      </c>
      <c r="B32">
        <v>1</v>
      </c>
      <c r="D32">
        <v>1</v>
      </c>
      <c r="E32" s="23">
        <f t="shared" si="2"/>
        <v>1452.7962085308056</v>
      </c>
      <c r="I32" s="24">
        <f t="shared" si="6"/>
        <v>145.27962085308056</v>
      </c>
      <c r="J32" s="24">
        <f t="shared" si="7"/>
        <v>72.639810426540279</v>
      </c>
      <c r="N32" s="24">
        <f t="shared" si="9"/>
        <v>8</v>
      </c>
      <c r="O32" s="24">
        <f t="shared" si="9"/>
        <v>8</v>
      </c>
      <c r="P32" s="24">
        <f t="shared" si="8"/>
        <v>15.036440758293837</v>
      </c>
    </row>
    <row r="33" spans="1:16">
      <c r="A33">
        <f t="shared" si="1"/>
        <v>29</v>
      </c>
      <c r="B33">
        <v>1</v>
      </c>
      <c r="D33">
        <v>1</v>
      </c>
      <c r="E33" s="23">
        <f t="shared" si="2"/>
        <v>1452.7962085308056</v>
      </c>
      <c r="I33" s="24">
        <f t="shared" si="6"/>
        <v>145.27962085308056</v>
      </c>
      <c r="J33" s="24">
        <f t="shared" si="7"/>
        <v>72.639810426540279</v>
      </c>
      <c r="N33" s="24">
        <f t="shared" si="9"/>
        <v>7</v>
      </c>
      <c r="O33" s="24">
        <f t="shared" si="9"/>
        <v>7</v>
      </c>
      <c r="P33" s="24">
        <f t="shared" si="8"/>
        <v>13.15688566350711</v>
      </c>
    </row>
    <row r="34" spans="1:16">
      <c r="A34">
        <f t="shared" si="1"/>
        <v>30</v>
      </c>
      <c r="B34">
        <v>1</v>
      </c>
      <c r="D34">
        <v>1</v>
      </c>
      <c r="E34" s="23">
        <f t="shared" si="2"/>
        <v>1452.7962085308056</v>
      </c>
      <c r="I34" s="24">
        <f t="shared" si="6"/>
        <v>145.27962085308056</v>
      </c>
      <c r="J34" s="24">
        <f t="shared" si="7"/>
        <v>72.639810426540279</v>
      </c>
      <c r="N34" s="24">
        <f t="shared" si="9"/>
        <v>6</v>
      </c>
      <c r="O34" s="24">
        <f t="shared" si="9"/>
        <v>6</v>
      </c>
      <c r="P34" s="24">
        <f t="shared" si="8"/>
        <v>11.27733056872038</v>
      </c>
    </row>
    <row r="35" spans="1:16">
      <c r="A35">
        <f t="shared" si="1"/>
        <v>31</v>
      </c>
      <c r="B35">
        <v>1</v>
      </c>
      <c r="D35">
        <v>1</v>
      </c>
      <c r="E35" s="23">
        <f t="shared" si="2"/>
        <v>1452.7962085308056</v>
      </c>
      <c r="I35" s="24">
        <f t="shared" si="6"/>
        <v>145.27962085308056</v>
      </c>
      <c r="J35" s="24">
        <f t="shared" si="7"/>
        <v>72.639810426540279</v>
      </c>
      <c r="N35" s="24">
        <f t="shared" si="9"/>
        <v>5</v>
      </c>
      <c r="O35" s="24">
        <f t="shared" si="9"/>
        <v>5</v>
      </c>
      <c r="P35" s="24">
        <f t="shared" si="8"/>
        <v>9.3977754739336508</v>
      </c>
    </row>
    <row r="36" spans="1:16">
      <c r="A36">
        <f t="shared" si="1"/>
        <v>32</v>
      </c>
      <c r="B36">
        <v>1</v>
      </c>
      <c r="D36">
        <v>1</v>
      </c>
      <c r="E36" s="23">
        <f t="shared" si="2"/>
        <v>1452.7962085308056</v>
      </c>
      <c r="I36" s="24">
        <f t="shared" si="6"/>
        <v>145.27962085308056</v>
      </c>
      <c r="J36" s="24">
        <f t="shared" si="7"/>
        <v>72.639810426540279</v>
      </c>
      <c r="N36" s="24">
        <f t="shared" si="9"/>
        <v>4</v>
      </c>
      <c r="O36" s="24">
        <f t="shared" si="9"/>
        <v>4</v>
      </c>
      <c r="P36" s="24">
        <f t="shared" si="8"/>
        <v>7.5182203791469187</v>
      </c>
    </row>
    <row r="37" spans="1:16">
      <c r="A37">
        <f t="shared" si="1"/>
        <v>33</v>
      </c>
      <c r="B37">
        <v>1</v>
      </c>
      <c r="D37">
        <v>1</v>
      </c>
      <c r="E37" s="23">
        <f t="shared" si="2"/>
        <v>1452.7962085308056</v>
      </c>
      <c r="J37" s="24">
        <f t="shared" si="7"/>
        <v>72.639810426540279</v>
      </c>
      <c r="N37" s="24">
        <f t="shared" ref="N37:O39" si="10">N36-1</f>
        <v>3</v>
      </c>
      <c r="O37" s="24">
        <f t="shared" si="10"/>
        <v>3</v>
      </c>
      <c r="P37" s="24">
        <f t="shared" si="8"/>
        <v>1.8795550947867297</v>
      </c>
    </row>
    <row r="38" spans="1:16">
      <c r="A38">
        <f t="shared" si="1"/>
        <v>34</v>
      </c>
      <c r="B38">
        <v>1</v>
      </c>
      <c r="D38">
        <v>1</v>
      </c>
      <c r="E38" s="23">
        <f t="shared" si="2"/>
        <v>1452.7962085308056</v>
      </c>
      <c r="J38" s="24">
        <f t="shared" si="7"/>
        <v>72.639810426540279</v>
      </c>
      <c r="N38" s="24">
        <f t="shared" si="10"/>
        <v>2</v>
      </c>
      <c r="O38" s="24">
        <f t="shared" si="10"/>
        <v>2</v>
      </c>
      <c r="P38" s="24">
        <f t="shared" si="8"/>
        <v>1.25303672985782</v>
      </c>
    </row>
    <row r="39" spans="1:16">
      <c r="A39">
        <f t="shared" si="1"/>
        <v>35</v>
      </c>
      <c r="B39">
        <v>1</v>
      </c>
      <c r="D39">
        <v>1</v>
      </c>
      <c r="E39" s="23">
        <f t="shared" si="2"/>
        <v>1452.7962085308056</v>
      </c>
      <c r="J39" s="24">
        <f t="shared" si="7"/>
        <v>72.639810426540279</v>
      </c>
      <c r="N39" s="24">
        <f t="shared" si="10"/>
        <v>1</v>
      </c>
      <c r="O39" s="24">
        <f t="shared" si="10"/>
        <v>1</v>
      </c>
      <c r="P39" s="24">
        <f t="shared" si="8"/>
        <v>0.62651836492891</v>
      </c>
    </row>
    <row r="40" spans="1:16">
      <c r="P40" s="24">
        <f t="shared" si="8"/>
        <v>0</v>
      </c>
    </row>
    <row r="41" spans="1:16">
      <c r="P41" s="24">
        <f t="shared" si="8"/>
        <v>0</v>
      </c>
    </row>
    <row r="42" spans="1:16">
      <c r="P42" s="24">
        <f t="shared" si="8"/>
        <v>0</v>
      </c>
    </row>
    <row r="43" spans="1:16">
      <c r="P43" s="24">
        <f t="shared" si="8"/>
        <v>0</v>
      </c>
    </row>
    <row r="44" spans="1:16">
      <c r="P44" s="24">
        <f t="shared" si="8"/>
        <v>0</v>
      </c>
    </row>
    <row r="45" spans="1:16">
      <c r="P45" s="24">
        <f t="shared" si="8"/>
        <v>0</v>
      </c>
    </row>
    <row r="46" spans="1:16">
      <c r="P46" s="24">
        <f t="shared" si="8"/>
        <v>0</v>
      </c>
    </row>
    <row r="47" spans="1:16">
      <c r="P47" s="24">
        <f t="shared" si="8"/>
        <v>0</v>
      </c>
    </row>
    <row r="48" spans="1:16">
      <c r="P48" s="24">
        <f t="shared" si="8"/>
        <v>0</v>
      </c>
    </row>
    <row r="49" spans="16:16">
      <c r="P49" s="24">
        <f t="shared" si="8"/>
        <v>0</v>
      </c>
    </row>
    <row r="50" spans="16:16">
      <c r="P50" s="24">
        <f t="shared" si="8"/>
        <v>0</v>
      </c>
    </row>
    <row r="51" spans="16:16">
      <c r="P51" s="24">
        <f t="shared" si="8"/>
        <v>0</v>
      </c>
    </row>
    <row r="52" spans="16:16">
      <c r="P52" s="24">
        <f t="shared" si="8"/>
        <v>0</v>
      </c>
    </row>
    <row r="53" spans="16:16">
      <c r="P53" s="24">
        <f t="shared" si="8"/>
        <v>0</v>
      </c>
    </row>
    <row r="54" spans="16:16">
      <c r="P54" s="24">
        <f t="shared" si="8"/>
        <v>0</v>
      </c>
    </row>
    <row r="55" spans="16:16">
      <c r="P55" s="24">
        <f t="shared" si="8"/>
        <v>0</v>
      </c>
    </row>
    <row r="56" spans="16:16">
      <c r="P56" s="24">
        <f t="shared" si="8"/>
        <v>0</v>
      </c>
    </row>
    <row r="57" spans="16:16">
      <c r="P57" s="24">
        <f t="shared" si="8"/>
        <v>0</v>
      </c>
    </row>
    <row r="58" spans="16:16">
      <c r="P58" s="24">
        <f t="shared" si="8"/>
        <v>0</v>
      </c>
    </row>
    <row r="59" spans="16:16">
      <c r="P59" s="24">
        <f t="shared" si="8"/>
        <v>0</v>
      </c>
    </row>
    <row r="60" spans="16:16">
      <c r="P60" s="24">
        <f t="shared" si="8"/>
        <v>0</v>
      </c>
    </row>
    <row r="61" spans="16:16">
      <c r="P61" s="24">
        <f t="shared" si="8"/>
        <v>0</v>
      </c>
    </row>
    <row r="62" spans="16:16">
      <c r="P62" s="24">
        <f t="shared" si="8"/>
        <v>0</v>
      </c>
    </row>
    <row r="63" spans="16:16">
      <c r="P63" s="24">
        <f t="shared" si="8"/>
        <v>0</v>
      </c>
    </row>
    <row r="64" spans="16:16">
      <c r="P64" s="24">
        <f t="shared" si="8"/>
        <v>0</v>
      </c>
    </row>
    <row r="65" spans="16:16">
      <c r="P65" s="24">
        <f t="shared" si="8"/>
        <v>0</v>
      </c>
    </row>
    <row r="66" spans="16:16">
      <c r="P66" s="24">
        <f t="shared" si="8"/>
        <v>0</v>
      </c>
    </row>
    <row r="67" spans="16:16">
      <c r="P67" s="24">
        <f t="shared" si="8"/>
        <v>0</v>
      </c>
    </row>
    <row r="68" spans="16:16">
      <c r="P68" s="24">
        <f t="shared" si="8"/>
        <v>0</v>
      </c>
    </row>
    <row r="69" spans="16:16">
      <c r="P69" s="24">
        <f t="shared" si="8"/>
        <v>0</v>
      </c>
    </row>
    <row r="70" spans="16:16">
      <c r="P70" s="24">
        <f t="shared" si="8"/>
        <v>0</v>
      </c>
    </row>
    <row r="71" spans="16:16">
      <c r="P71" s="24">
        <f t="shared" si="8"/>
        <v>0</v>
      </c>
    </row>
    <row r="72" spans="16:16">
      <c r="P72" s="24">
        <f t="shared" si="8"/>
        <v>0</v>
      </c>
    </row>
    <row r="73" spans="16:16">
      <c r="P73" s="24">
        <f t="shared" si="8"/>
        <v>0</v>
      </c>
    </row>
    <row r="74" spans="16:16">
      <c r="P74" s="24">
        <f t="shared" si="8"/>
        <v>0</v>
      </c>
    </row>
    <row r="75" spans="16:16">
      <c r="P75" s="24">
        <f t="shared" si="8"/>
        <v>0</v>
      </c>
    </row>
    <row r="76" spans="16:16">
      <c r="P76" s="24">
        <f t="shared" si="8"/>
        <v>0</v>
      </c>
    </row>
    <row r="77" spans="16:16">
      <c r="P77" s="24">
        <f t="shared" si="8"/>
        <v>0</v>
      </c>
    </row>
    <row r="78" spans="16:16">
      <c r="P78" s="24">
        <f t="shared" si="8"/>
        <v>0</v>
      </c>
    </row>
    <row r="79" spans="16:16">
      <c r="P79" s="24">
        <f t="shared" si="8"/>
        <v>0</v>
      </c>
    </row>
    <row r="80" spans="16:16">
      <c r="P80" s="24">
        <f t="shared" si="8"/>
        <v>0</v>
      </c>
    </row>
    <row r="81" spans="1:16">
      <c r="P81" s="24">
        <f t="shared" si="8"/>
        <v>0</v>
      </c>
    </row>
    <row r="82" spans="1:16">
      <c r="P82" s="24">
        <f t="shared" si="8"/>
        <v>0</v>
      </c>
    </row>
    <row r="83" spans="1:16">
      <c r="P83" s="24">
        <f t="shared" si="8"/>
        <v>0</v>
      </c>
    </row>
    <row r="84" spans="1:16">
      <c r="P84" s="24">
        <f t="shared" ref="P84:P87" si="11">(F84*K84+G84*L84+H84*M84+I84*N84+J84*O84)*$S$1</f>
        <v>0</v>
      </c>
    </row>
    <row r="85" spans="1:16">
      <c r="P85" s="24">
        <f t="shared" si="11"/>
        <v>0</v>
      </c>
    </row>
    <row r="86" spans="1:16">
      <c r="P86" s="24">
        <f t="shared" si="11"/>
        <v>0</v>
      </c>
    </row>
    <row r="87" spans="1:16">
      <c r="P87" s="24">
        <f t="shared" si="11"/>
        <v>0</v>
      </c>
    </row>
    <row r="88" spans="1:16">
      <c r="A88" s="28">
        <f>COUNT(A5:A87)</f>
        <v>35</v>
      </c>
      <c r="B88" s="28">
        <f>SUM(B13:B87)</f>
        <v>27</v>
      </c>
      <c r="C88" s="28">
        <f>SUM(C5:C87)</f>
        <v>27</v>
      </c>
      <c r="E88" s="29"/>
      <c r="F88" s="29">
        <f>SUM(F5:F87)</f>
        <v>2905.5924170616113</v>
      </c>
      <c r="G88" s="29">
        <f t="shared" ref="G88:I88" si="12">SUM(G5:G87)</f>
        <v>1743.3554502369666</v>
      </c>
      <c r="H88" s="29">
        <f>SUM(H5:H87)</f>
        <v>5665.9052132701408</v>
      </c>
      <c r="I88" s="29">
        <f t="shared" si="12"/>
        <v>2615.0331753554497</v>
      </c>
      <c r="J88" s="29"/>
      <c r="K88" s="29"/>
      <c r="L88" s="29"/>
      <c r="M88" s="29"/>
      <c r="N88" s="29"/>
      <c r="O88" s="29"/>
      <c r="P88" s="29">
        <f>SUM(P5:P87)</f>
        <v>862.71578850710875</v>
      </c>
    </row>
    <row r="89" spans="1:16">
      <c r="F89" s="25">
        <f>SUM(F88:I88)</f>
        <v>12929.886255924168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98"/>
  <sheetViews>
    <sheetView workbookViewId="0"/>
  </sheetViews>
  <sheetFormatPr defaultRowHeight="13.8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745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746</v>
      </c>
      <c r="J2" s="24" t="s">
        <v>751</v>
      </c>
      <c r="O2" s="26" t="s">
        <v>754</v>
      </c>
      <c r="P2" s="27">
        <f>VIPcric_3!D10</f>
        <v>10601</v>
      </c>
      <c r="Q2" s="27" t="s">
        <v>755</v>
      </c>
    </row>
    <row r="3" spans="1:19">
      <c r="G3" s="24" t="s">
        <v>747</v>
      </c>
      <c r="K3" s="24" t="s">
        <v>752</v>
      </c>
      <c r="O3" s="26" t="s">
        <v>738</v>
      </c>
      <c r="P3" s="27">
        <f>VIPcric_3!E10</f>
        <v>73.599999999999994</v>
      </c>
      <c r="Q3" s="27" t="s">
        <v>756</v>
      </c>
    </row>
    <row r="4" spans="1:19">
      <c r="H4" s="24" t="s">
        <v>748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M5" s="24">
        <f t="shared" ref="M5:M68" si="0">(E5*I5+F5*J5+G5*K5+H5*L5)*$P$1</f>
        <v>0</v>
      </c>
      <c r="O5" s="26" t="s">
        <v>768</v>
      </c>
      <c r="P5" s="30">
        <f>P6</f>
        <v>20.141666666666666</v>
      </c>
      <c r="Q5" s="27" t="s">
        <v>758</v>
      </c>
    </row>
    <row r="6" spans="1:19">
      <c r="A6">
        <f t="shared" ref="A6:A69" si="1">ROW()-4</f>
        <v>2</v>
      </c>
      <c r="C6">
        <v>1</v>
      </c>
      <c r="M6" s="24">
        <f t="shared" si="0"/>
        <v>0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1"/>
        <v>3</v>
      </c>
      <c r="C7">
        <v>1</v>
      </c>
      <c r="M7" s="24">
        <f t="shared" si="0"/>
        <v>0</v>
      </c>
      <c r="O7" s="26" t="s">
        <v>759</v>
      </c>
      <c r="P7" s="27">
        <v>7</v>
      </c>
      <c r="Q7" s="27" t="s">
        <v>758</v>
      </c>
    </row>
    <row r="8" spans="1:19">
      <c r="A8">
        <f t="shared" si="1"/>
        <v>4</v>
      </c>
      <c r="C8">
        <v>1</v>
      </c>
      <c r="M8" s="24">
        <f t="shared" si="0"/>
        <v>0</v>
      </c>
      <c r="O8" s="27" t="s">
        <v>760</v>
      </c>
      <c r="P8" s="27">
        <v>2</v>
      </c>
      <c r="Q8" s="27" t="s">
        <v>758</v>
      </c>
    </row>
    <row r="9" spans="1:19">
      <c r="A9">
        <f t="shared" si="1"/>
        <v>5</v>
      </c>
      <c r="C9">
        <v>1</v>
      </c>
      <c r="M9" s="24">
        <f t="shared" si="0"/>
        <v>0</v>
      </c>
      <c r="O9" s="26" t="s">
        <v>761</v>
      </c>
      <c r="P9" s="27">
        <v>8</v>
      </c>
      <c r="Q9" s="27" t="s">
        <v>758</v>
      </c>
    </row>
    <row r="10" spans="1:19">
      <c r="A10">
        <f t="shared" si="1"/>
        <v>6</v>
      </c>
      <c r="C10">
        <v>1</v>
      </c>
      <c r="M10" s="24">
        <f t="shared" si="0"/>
        <v>0</v>
      </c>
    </row>
    <row r="11" spans="1:19">
      <c r="A11">
        <f t="shared" si="1"/>
        <v>7</v>
      </c>
      <c r="C11">
        <v>1</v>
      </c>
      <c r="M11" s="24">
        <f t="shared" si="0"/>
        <v>0</v>
      </c>
    </row>
    <row r="12" spans="1:19">
      <c r="A12">
        <f t="shared" si="1"/>
        <v>8</v>
      </c>
      <c r="C12">
        <v>1</v>
      </c>
      <c r="M12" s="24">
        <f t="shared" si="0"/>
        <v>0</v>
      </c>
    </row>
    <row r="13" spans="1:19">
      <c r="A13">
        <f t="shared" si="1"/>
        <v>9</v>
      </c>
      <c r="C13">
        <v>1</v>
      </c>
      <c r="M13" s="24">
        <f t="shared" si="0"/>
        <v>0</v>
      </c>
    </row>
    <row r="14" spans="1:19">
      <c r="A14">
        <f t="shared" si="1"/>
        <v>10</v>
      </c>
      <c r="C14">
        <v>1</v>
      </c>
      <c r="M14" s="24">
        <f t="shared" si="0"/>
        <v>0</v>
      </c>
    </row>
    <row r="15" spans="1:19">
      <c r="A15">
        <f t="shared" si="1"/>
        <v>11</v>
      </c>
      <c r="C15">
        <v>1</v>
      </c>
      <c r="M15" s="24">
        <f t="shared" si="0"/>
        <v>0</v>
      </c>
    </row>
    <row r="16" spans="1:19">
      <c r="A16">
        <f t="shared" si="1"/>
        <v>12</v>
      </c>
      <c r="C16">
        <v>1</v>
      </c>
      <c r="M16" s="24">
        <f t="shared" si="0"/>
        <v>0</v>
      </c>
    </row>
    <row r="17" spans="1:13">
      <c r="A17">
        <f t="shared" si="1"/>
        <v>13</v>
      </c>
      <c r="C17">
        <v>1</v>
      </c>
      <c r="M17" s="24">
        <f t="shared" si="0"/>
        <v>0</v>
      </c>
    </row>
    <row r="18" spans="1:13">
      <c r="A18">
        <f t="shared" si="1"/>
        <v>14</v>
      </c>
      <c r="C18">
        <v>1</v>
      </c>
      <c r="M18" s="24">
        <f t="shared" si="0"/>
        <v>0</v>
      </c>
    </row>
    <row r="19" spans="1:13">
      <c r="A19">
        <f t="shared" si="1"/>
        <v>15</v>
      </c>
      <c r="C19">
        <v>1</v>
      </c>
      <c r="M19" s="24">
        <f t="shared" si="0"/>
        <v>0</v>
      </c>
    </row>
    <row r="20" spans="1:13">
      <c r="A20">
        <f t="shared" si="1"/>
        <v>16</v>
      </c>
      <c r="C20">
        <v>1</v>
      </c>
      <c r="M20" s="24">
        <f t="shared" si="0"/>
        <v>0</v>
      </c>
    </row>
    <row r="21" spans="1:13">
      <c r="A21">
        <f t="shared" si="1"/>
        <v>17</v>
      </c>
      <c r="C21">
        <v>1</v>
      </c>
      <c r="M21" s="24">
        <f t="shared" si="0"/>
        <v>0</v>
      </c>
    </row>
    <row r="22" spans="1:13">
      <c r="A22">
        <f t="shared" si="1"/>
        <v>18</v>
      </c>
      <c r="C22">
        <v>1</v>
      </c>
      <c r="M22" s="24">
        <f t="shared" si="0"/>
        <v>0</v>
      </c>
    </row>
    <row r="23" spans="1:13">
      <c r="A23">
        <f t="shared" si="1"/>
        <v>19</v>
      </c>
      <c r="B23">
        <v>1</v>
      </c>
      <c r="C23">
        <v>1</v>
      </c>
      <c r="D23" s="23">
        <f t="shared" ref="D23:D86" si="2">1/$P$3*$P$2</f>
        <v>144.03532608695653</v>
      </c>
      <c r="E23" s="24">
        <f>$D23*30%</f>
        <v>43.210597826086961</v>
      </c>
      <c r="F23" s="24">
        <f t="shared" ref="F23:G31" si="3">$D23*30%</f>
        <v>43.210597826086961</v>
      </c>
      <c r="G23" s="24">
        <f t="shared" si="3"/>
        <v>43.210597826086961</v>
      </c>
      <c r="H23" s="24">
        <f>$D23*10%</f>
        <v>14.403532608695654</v>
      </c>
      <c r="I23" s="24">
        <v>1</v>
      </c>
      <c r="J23" s="24">
        <f>P7</f>
        <v>7</v>
      </c>
      <c r="K23" s="24">
        <v>9</v>
      </c>
      <c r="L23" s="24">
        <f>16</f>
        <v>16</v>
      </c>
      <c r="M23" s="24">
        <f t="shared" si="0"/>
        <v>8.3234414062500015</v>
      </c>
    </row>
    <row r="24" spans="1:13">
      <c r="A24">
        <f t="shared" si="1"/>
        <v>20</v>
      </c>
      <c r="B24">
        <v>1</v>
      </c>
      <c r="C24">
        <v>1</v>
      </c>
      <c r="D24" s="23">
        <f t="shared" si="2"/>
        <v>144.03532608695653</v>
      </c>
      <c r="F24" s="24">
        <f t="shared" si="3"/>
        <v>43.210597826086961</v>
      </c>
      <c r="G24" s="24">
        <f t="shared" si="3"/>
        <v>43.210597826086961</v>
      </c>
      <c r="H24" s="24">
        <f t="shared" ref="H24:H38" si="4">$D24*10%</f>
        <v>14.403532608695654</v>
      </c>
      <c r="J24" s="24">
        <f>J23-1</f>
        <v>6</v>
      </c>
      <c r="K24" s="24">
        <f>K23-1</f>
        <v>8</v>
      </c>
      <c r="L24" s="24">
        <f>L23-1</f>
        <v>15</v>
      </c>
      <c r="M24" s="24">
        <f t="shared" si="0"/>
        <v>7.0811367187500016</v>
      </c>
    </row>
    <row r="25" spans="1:13">
      <c r="A25">
        <f t="shared" si="1"/>
        <v>21</v>
      </c>
      <c r="B25">
        <v>1</v>
      </c>
      <c r="C25">
        <v>1</v>
      </c>
      <c r="D25" s="23">
        <f t="shared" si="2"/>
        <v>144.03532608695653</v>
      </c>
      <c r="F25" s="24">
        <f t="shared" si="3"/>
        <v>43.210597826086961</v>
      </c>
      <c r="G25" s="24">
        <f t="shared" si="3"/>
        <v>43.210597826086961</v>
      </c>
      <c r="H25" s="24">
        <f t="shared" si="4"/>
        <v>14.403532608695654</v>
      </c>
      <c r="J25" s="24">
        <f t="shared" ref="J25:L38" si="5">J24-1</f>
        <v>5</v>
      </c>
      <c r="K25" s="24">
        <f t="shared" si="5"/>
        <v>7</v>
      </c>
      <c r="L25" s="24">
        <f t="shared" si="5"/>
        <v>14</v>
      </c>
      <c r="M25" s="24">
        <f t="shared" si="0"/>
        <v>6.2115234375000004</v>
      </c>
    </row>
    <row r="26" spans="1:13">
      <c r="A26">
        <f t="shared" si="1"/>
        <v>22</v>
      </c>
      <c r="B26">
        <v>1</v>
      </c>
      <c r="C26">
        <v>1</v>
      </c>
      <c r="D26" s="23">
        <f t="shared" si="2"/>
        <v>144.03532608695653</v>
      </c>
      <c r="F26" s="24">
        <f t="shared" si="3"/>
        <v>43.210597826086961</v>
      </c>
      <c r="G26" s="24">
        <f t="shared" si="3"/>
        <v>43.210597826086961</v>
      </c>
      <c r="H26" s="24">
        <f t="shared" si="4"/>
        <v>14.403532608695654</v>
      </c>
      <c r="J26" s="24">
        <f t="shared" si="5"/>
        <v>4</v>
      </c>
      <c r="K26" s="24">
        <f t="shared" si="5"/>
        <v>6</v>
      </c>
      <c r="L26" s="24">
        <f t="shared" si="5"/>
        <v>13</v>
      </c>
      <c r="M26" s="24">
        <f t="shared" si="0"/>
        <v>5.3419101562500009</v>
      </c>
    </row>
    <row r="27" spans="1:13">
      <c r="A27">
        <f t="shared" si="1"/>
        <v>23</v>
      </c>
      <c r="B27">
        <v>1</v>
      </c>
      <c r="C27">
        <v>1</v>
      </c>
      <c r="D27" s="23">
        <f t="shared" si="2"/>
        <v>144.03532608695653</v>
      </c>
      <c r="F27" s="24">
        <f t="shared" si="3"/>
        <v>43.210597826086961</v>
      </c>
      <c r="G27" s="24">
        <f t="shared" si="3"/>
        <v>43.210597826086961</v>
      </c>
      <c r="H27" s="24">
        <f t="shared" si="4"/>
        <v>14.403532608695654</v>
      </c>
      <c r="J27" s="24">
        <f t="shared" si="5"/>
        <v>3</v>
      </c>
      <c r="K27" s="24">
        <f t="shared" si="5"/>
        <v>5</v>
      </c>
      <c r="L27" s="24">
        <f t="shared" si="5"/>
        <v>12</v>
      </c>
      <c r="M27" s="24">
        <f t="shared" si="0"/>
        <v>4.4722968750000005</v>
      </c>
    </row>
    <row r="28" spans="1:13">
      <c r="A28">
        <f t="shared" si="1"/>
        <v>24</v>
      </c>
      <c r="B28">
        <v>1</v>
      </c>
      <c r="C28">
        <v>1</v>
      </c>
      <c r="D28" s="23">
        <f t="shared" si="2"/>
        <v>144.03532608695653</v>
      </c>
      <c r="F28" s="24">
        <f t="shared" si="3"/>
        <v>43.210597826086961</v>
      </c>
      <c r="G28" s="24">
        <f t="shared" si="3"/>
        <v>43.210597826086961</v>
      </c>
      <c r="H28" s="24">
        <f t="shared" si="4"/>
        <v>14.403532608695654</v>
      </c>
      <c r="J28" s="24">
        <f t="shared" si="5"/>
        <v>2</v>
      </c>
      <c r="K28" s="24">
        <f t="shared" si="5"/>
        <v>4</v>
      </c>
      <c r="L28" s="24">
        <f t="shared" si="5"/>
        <v>11</v>
      </c>
      <c r="M28" s="24">
        <f t="shared" si="0"/>
        <v>3.6026835937500006</v>
      </c>
    </row>
    <row r="29" spans="1:13">
      <c r="A29">
        <f t="shared" si="1"/>
        <v>25</v>
      </c>
      <c r="B29">
        <v>1</v>
      </c>
      <c r="C29">
        <v>1</v>
      </c>
      <c r="D29" s="23">
        <f t="shared" si="2"/>
        <v>144.03532608695653</v>
      </c>
      <c r="F29" s="24">
        <f t="shared" si="3"/>
        <v>43.210597826086961</v>
      </c>
      <c r="G29" s="24">
        <f t="shared" si="3"/>
        <v>43.210597826086961</v>
      </c>
      <c r="H29" s="24">
        <f t="shared" si="4"/>
        <v>14.403532608695654</v>
      </c>
      <c r="J29" s="24">
        <f t="shared" si="5"/>
        <v>1</v>
      </c>
      <c r="K29" s="24">
        <f t="shared" si="5"/>
        <v>3</v>
      </c>
      <c r="L29" s="24">
        <f t="shared" si="5"/>
        <v>10</v>
      </c>
      <c r="M29" s="24">
        <f t="shared" si="0"/>
        <v>2.7330703125000007</v>
      </c>
    </row>
    <row r="30" spans="1:13">
      <c r="A30">
        <f t="shared" si="1"/>
        <v>26</v>
      </c>
      <c r="B30">
        <v>1</v>
      </c>
      <c r="C30">
        <v>1</v>
      </c>
      <c r="D30" s="23">
        <f t="shared" si="2"/>
        <v>144.03532608695653</v>
      </c>
      <c r="G30" s="24">
        <f t="shared" si="3"/>
        <v>43.210597826086961</v>
      </c>
      <c r="H30" s="24">
        <f t="shared" si="4"/>
        <v>14.403532608695654</v>
      </c>
      <c r="K30" s="24">
        <f t="shared" si="5"/>
        <v>2</v>
      </c>
      <c r="L30" s="24">
        <f t="shared" si="5"/>
        <v>9</v>
      </c>
      <c r="M30" s="24">
        <f t="shared" si="0"/>
        <v>1.8634570312500003</v>
      </c>
    </row>
    <row r="31" spans="1:13">
      <c r="A31">
        <f t="shared" si="1"/>
        <v>27</v>
      </c>
      <c r="B31">
        <v>1</v>
      </c>
      <c r="C31">
        <v>1</v>
      </c>
      <c r="D31" s="23">
        <f t="shared" si="2"/>
        <v>144.03532608695653</v>
      </c>
      <c r="G31" s="24">
        <f t="shared" si="3"/>
        <v>43.210597826086961</v>
      </c>
      <c r="H31" s="24">
        <f t="shared" si="4"/>
        <v>14.403532608695654</v>
      </c>
      <c r="K31" s="24">
        <f t="shared" si="5"/>
        <v>1</v>
      </c>
      <c r="L31" s="24">
        <f t="shared" si="5"/>
        <v>8</v>
      </c>
      <c r="M31" s="24">
        <f t="shared" si="0"/>
        <v>1.3665351562500003</v>
      </c>
    </row>
    <row r="32" spans="1:13">
      <c r="A32">
        <f t="shared" si="1"/>
        <v>28</v>
      </c>
      <c r="B32">
        <v>1</v>
      </c>
      <c r="D32" s="23">
        <f t="shared" si="2"/>
        <v>144.03532608695653</v>
      </c>
      <c r="H32" s="24">
        <f t="shared" si="4"/>
        <v>14.403532608695654</v>
      </c>
      <c r="L32" s="24">
        <f t="shared" si="5"/>
        <v>7</v>
      </c>
      <c r="M32" s="24">
        <f t="shared" si="0"/>
        <v>0.86961328125000015</v>
      </c>
    </row>
    <row r="33" spans="1:13">
      <c r="A33">
        <f t="shared" si="1"/>
        <v>29</v>
      </c>
      <c r="B33">
        <v>1</v>
      </c>
      <c r="D33" s="23">
        <f t="shared" si="2"/>
        <v>144.03532608695653</v>
      </c>
      <c r="H33" s="24">
        <f t="shared" si="4"/>
        <v>14.403532608695654</v>
      </c>
      <c r="L33" s="24">
        <f t="shared" si="5"/>
        <v>6</v>
      </c>
      <c r="M33" s="24">
        <f t="shared" si="0"/>
        <v>0.74538281250000016</v>
      </c>
    </row>
    <row r="34" spans="1:13">
      <c r="A34">
        <f t="shared" si="1"/>
        <v>30</v>
      </c>
      <c r="B34">
        <v>1</v>
      </c>
      <c r="D34" s="23">
        <f t="shared" si="2"/>
        <v>144.03532608695653</v>
      </c>
      <c r="H34" s="24">
        <f t="shared" si="4"/>
        <v>14.403532608695654</v>
      </c>
      <c r="L34" s="24">
        <f t="shared" si="5"/>
        <v>5</v>
      </c>
      <c r="M34" s="24">
        <f t="shared" si="0"/>
        <v>0.62115234375000006</v>
      </c>
    </row>
    <row r="35" spans="1:13">
      <c r="A35">
        <f t="shared" si="1"/>
        <v>31</v>
      </c>
      <c r="B35">
        <v>1</v>
      </c>
      <c r="D35" s="23">
        <f t="shared" si="2"/>
        <v>144.03532608695653</v>
      </c>
      <c r="H35" s="24">
        <f t="shared" si="4"/>
        <v>14.403532608695654</v>
      </c>
      <c r="L35" s="24">
        <f t="shared" si="5"/>
        <v>4</v>
      </c>
      <c r="M35" s="24">
        <f t="shared" si="0"/>
        <v>0.49692187500000012</v>
      </c>
    </row>
    <row r="36" spans="1:13">
      <c r="A36">
        <f t="shared" si="1"/>
        <v>32</v>
      </c>
      <c r="B36">
        <v>1</v>
      </c>
      <c r="D36" s="23">
        <f t="shared" si="2"/>
        <v>144.03532608695653</v>
      </c>
      <c r="H36" s="24">
        <f t="shared" si="4"/>
        <v>14.403532608695654</v>
      </c>
      <c r="L36" s="24">
        <f t="shared" si="5"/>
        <v>3</v>
      </c>
      <c r="M36" s="24">
        <f t="shared" si="0"/>
        <v>0.37269140625000008</v>
      </c>
    </row>
    <row r="37" spans="1:13">
      <c r="A37">
        <f t="shared" si="1"/>
        <v>33</v>
      </c>
      <c r="B37">
        <v>1</v>
      </c>
      <c r="D37" s="23">
        <f t="shared" si="2"/>
        <v>144.03532608695653</v>
      </c>
      <c r="H37" s="24">
        <f t="shared" si="4"/>
        <v>14.403532608695654</v>
      </c>
      <c r="L37" s="24">
        <f t="shared" si="5"/>
        <v>2</v>
      </c>
      <c r="M37" s="24">
        <f t="shared" si="0"/>
        <v>0.24846093750000006</v>
      </c>
    </row>
    <row r="38" spans="1:13">
      <c r="A38">
        <f t="shared" si="1"/>
        <v>34</v>
      </c>
      <c r="B38">
        <v>1</v>
      </c>
      <c r="D38" s="23">
        <f t="shared" si="2"/>
        <v>144.03532608695653</v>
      </c>
      <c r="H38" s="24">
        <f t="shared" si="4"/>
        <v>14.403532608695654</v>
      </c>
      <c r="L38" s="24">
        <f t="shared" si="5"/>
        <v>1</v>
      </c>
      <c r="M38" s="24">
        <f t="shared" si="0"/>
        <v>0.12423046875000003</v>
      </c>
    </row>
    <row r="39" spans="1:13">
      <c r="A39">
        <f t="shared" si="1"/>
        <v>35</v>
      </c>
      <c r="B39">
        <v>1</v>
      </c>
      <c r="D39" s="23">
        <f t="shared" si="2"/>
        <v>144.03532608695653</v>
      </c>
      <c r="M39" s="24">
        <f t="shared" si="0"/>
        <v>0</v>
      </c>
    </row>
    <row r="40" spans="1:13">
      <c r="A40">
        <f t="shared" si="1"/>
        <v>36</v>
      </c>
      <c r="B40">
        <v>1</v>
      </c>
      <c r="D40" s="23">
        <f t="shared" si="2"/>
        <v>144.03532608695653</v>
      </c>
      <c r="M40" s="24">
        <f t="shared" si="0"/>
        <v>0</v>
      </c>
    </row>
    <row r="41" spans="1:13">
      <c r="A41">
        <f t="shared" si="1"/>
        <v>37</v>
      </c>
      <c r="B41">
        <v>1</v>
      </c>
      <c r="D41" s="23">
        <f t="shared" si="2"/>
        <v>144.03532608695653</v>
      </c>
      <c r="M41" s="24">
        <f t="shared" si="0"/>
        <v>0</v>
      </c>
    </row>
    <row r="42" spans="1:13">
      <c r="A42">
        <f t="shared" si="1"/>
        <v>38</v>
      </c>
      <c r="B42">
        <v>1</v>
      </c>
      <c r="D42" s="23">
        <f t="shared" si="2"/>
        <v>144.03532608695653</v>
      </c>
      <c r="M42" s="24">
        <f t="shared" si="0"/>
        <v>0</v>
      </c>
    </row>
    <row r="43" spans="1:13">
      <c r="A43">
        <f t="shared" si="1"/>
        <v>39</v>
      </c>
      <c r="B43">
        <v>1</v>
      </c>
      <c r="D43" s="23">
        <f t="shared" si="2"/>
        <v>144.03532608695653</v>
      </c>
      <c r="M43" s="24">
        <f t="shared" si="0"/>
        <v>0</v>
      </c>
    </row>
    <row r="44" spans="1:13">
      <c r="A44">
        <f t="shared" si="1"/>
        <v>40</v>
      </c>
      <c r="B44">
        <v>1</v>
      </c>
      <c r="D44" s="23">
        <f t="shared" si="2"/>
        <v>144.03532608695653</v>
      </c>
      <c r="M44" s="24">
        <f t="shared" si="0"/>
        <v>0</v>
      </c>
    </row>
    <row r="45" spans="1:13">
      <c r="A45">
        <f t="shared" si="1"/>
        <v>41</v>
      </c>
      <c r="B45">
        <v>1</v>
      </c>
      <c r="D45" s="23">
        <f t="shared" si="2"/>
        <v>144.03532608695653</v>
      </c>
      <c r="M45" s="24">
        <f t="shared" si="0"/>
        <v>0</v>
      </c>
    </row>
    <row r="46" spans="1:13">
      <c r="A46">
        <f t="shared" si="1"/>
        <v>42</v>
      </c>
      <c r="B46">
        <v>1</v>
      </c>
      <c r="D46" s="23">
        <f t="shared" si="2"/>
        <v>144.03532608695653</v>
      </c>
      <c r="M46" s="24">
        <f t="shared" si="0"/>
        <v>0</v>
      </c>
    </row>
    <row r="47" spans="1:13">
      <c r="A47">
        <f t="shared" si="1"/>
        <v>43</v>
      </c>
      <c r="B47">
        <v>1</v>
      </c>
      <c r="D47" s="23">
        <f t="shared" si="2"/>
        <v>144.03532608695653</v>
      </c>
      <c r="M47" s="24">
        <f t="shared" si="0"/>
        <v>0</v>
      </c>
    </row>
    <row r="48" spans="1:13">
      <c r="A48">
        <f t="shared" si="1"/>
        <v>44</v>
      </c>
      <c r="B48">
        <v>1</v>
      </c>
      <c r="D48" s="23">
        <f t="shared" si="2"/>
        <v>144.03532608695653</v>
      </c>
      <c r="M48" s="24">
        <f t="shared" si="0"/>
        <v>0</v>
      </c>
    </row>
    <row r="49" spans="1:13">
      <c r="A49">
        <f t="shared" si="1"/>
        <v>45</v>
      </c>
      <c r="B49">
        <v>1</v>
      </c>
      <c r="D49" s="23">
        <f t="shared" si="2"/>
        <v>144.03532608695653</v>
      </c>
      <c r="M49" s="24">
        <f t="shared" si="0"/>
        <v>0</v>
      </c>
    </row>
    <row r="50" spans="1:13">
      <c r="A50">
        <f t="shared" si="1"/>
        <v>46</v>
      </c>
      <c r="B50">
        <v>1</v>
      </c>
      <c r="D50" s="23">
        <f t="shared" si="2"/>
        <v>144.03532608695653</v>
      </c>
      <c r="M50" s="24">
        <f t="shared" si="0"/>
        <v>0</v>
      </c>
    </row>
    <row r="51" spans="1:13">
      <c r="A51">
        <f t="shared" si="1"/>
        <v>47</v>
      </c>
      <c r="B51">
        <v>1</v>
      </c>
      <c r="D51" s="23">
        <f t="shared" si="2"/>
        <v>144.03532608695653</v>
      </c>
      <c r="M51" s="24">
        <f t="shared" si="0"/>
        <v>0</v>
      </c>
    </row>
    <row r="52" spans="1:13">
      <c r="A52">
        <f t="shared" si="1"/>
        <v>48</v>
      </c>
      <c r="B52">
        <v>1</v>
      </c>
      <c r="D52" s="23">
        <f t="shared" si="2"/>
        <v>144.03532608695653</v>
      </c>
      <c r="M52" s="24">
        <f t="shared" si="0"/>
        <v>0</v>
      </c>
    </row>
    <row r="53" spans="1:13">
      <c r="A53">
        <f t="shared" si="1"/>
        <v>49</v>
      </c>
      <c r="B53">
        <v>1</v>
      </c>
      <c r="D53" s="23">
        <f t="shared" si="2"/>
        <v>144.03532608695653</v>
      </c>
      <c r="M53" s="24">
        <f t="shared" si="0"/>
        <v>0</v>
      </c>
    </row>
    <row r="54" spans="1:13">
      <c r="A54">
        <f t="shared" si="1"/>
        <v>50</v>
      </c>
      <c r="B54">
        <v>1</v>
      </c>
      <c r="D54" s="23">
        <f t="shared" si="2"/>
        <v>144.03532608695653</v>
      </c>
      <c r="M54" s="24">
        <f t="shared" si="0"/>
        <v>0</v>
      </c>
    </row>
    <row r="55" spans="1:13">
      <c r="A55">
        <f t="shared" si="1"/>
        <v>51</v>
      </c>
      <c r="B55">
        <v>1</v>
      </c>
      <c r="D55" s="23">
        <f t="shared" si="2"/>
        <v>144.03532608695653</v>
      </c>
      <c r="M55" s="24">
        <f t="shared" si="0"/>
        <v>0</v>
      </c>
    </row>
    <row r="56" spans="1:13">
      <c r="A56">
        <f t="shared" si="1"/>
        <v>52</v>
      </c>
      <c r="B56">
        <v>1</v>
      </c>
      <c r="D56" s="23">
        <f t="shared" si="2"/>
        <v>144.03532608695653</v>
      </c>
      <c r="M56" s="24">
        <f t="shared" si="0"/>
        <v>0</v>
      </c>
    </row>
    <row r="57" spans="1:13">
      <c r="A57">
        <f t="shared" si="1"/>
        <v>53</v>
      </c>
      <c r="B57">
        <v>1</v>
      </c>
      <c r="D57" s="23">
        <f t="shared" si="2"/>
        <v>144.03532608695653</v>
      </c>
      <c r="M57" s="24">
        <f t="shared" si="0"/>
        <v>0</v>
      </c>
    </row>
    <row r="58" spans="1:13">
      <c r="A58">
        <f t="shared" si="1"/>
        <v>54</v>
      </c>
      <c r="B58">
        <v>1</v>
      </c>
      <c r="D58" s="23">
        <f t="shared" si="2"/>
        <v>144.03532608695653</v>
      </c>
      <c r="M58" s="24">
        <f t="shared" si="0"/>
        <v>0</v>
      </c>
    </row>
    <row r="59" spans="1:13">
      <c r="A59">
        <f t="shared" si="1"/>
        <v>55</v>
      </c>
      <c r="B59">
        <v>1</v>
      </c>
      <c r="D59" s="23">
        <f t="shared" si="2"/>
        <v>144.03532608695653</v>
      </c>
      <c r="M59" s="24">
        <f t="shared" si="0"/>
        <v>0</v>
      </c>
    </row>
    <row r="60" spans="1:13">
      <c r="A60">
        <f t="shared" si="1"/>
        <v>56</v>
      </c>
      <c r="B60">
        <v>1</v>
      </c>
      <c r="D60" s="23">
        <f t="shared" si="2"/>
        <v>144.03532608695653</v>
      </c>
      <c r="M60" s="24">
        <f t="shared" si="0"/>
        <v>0</v>
      </c>
    </row>
    <row r="61" spans="1:13">
      <c r="A61">
        <f t="shared" si="1"/>
        <v>57</v>
      </c>
      <c r="B61">
        <v>1</v>
      </c>
      <c r="D61" s="23">
        <f t="shared" si="2"/>
        <v>144.03532608695653</v>
      </c>
      <c r="M61" s="24">
        <f t="shared" si="0"/>
        <v>0</v>
      </c>
    </row>
    <row r="62" spans="1:13">
      <c r="A62">
        <f t="shared" si="1"/>
        <v>58</v>
      </c>
      <c r="B62">
        <v>1</v>
      </c>
      <c r="D62" s="23">
        <f t="shared" si="2"/>
        <v>144.03532608695653</v>
      </c>
      <c r="M62" s="24">
        <f t="shared" si="0"/>
        <v>0</v>
      </c>
    </row>
    <row r="63" spans="1:13">
      <c r="A63">
        <f t="shared" si="1"/>
        <v>59</v>
      </c>
      <c r="B63">
        <v>1</v>
      </c>
      <c r="D63" s="23">
        <f t="shared" si="2"/>
        <v>144.03532608695653</v>
      </c>
      <c r="M63" s="24">
        <f t="shared" si="0"/>
        <v>0</v>
      </c>
    </row>
    <row r="64" spans="1:13">
      <c r="A64">
        <f t="shared" si="1"/>
        <v>60</v>
      </c>
      <c r="B64">
        <v>1</v>
      </c>
      <c r="D64" s="23">
        <f t="shared" si="2"/>
        <v>144.03532608695653</v>
      </c>
      <c r="M64" s="24">
        <f t="shared" si="0"/>
        <v>0</v>
      </c>
    </row>
    <row r="65" spans="1:13">
      <c r="A65">
        <f t="shared" si="1"/>
        <v>61</v>
      </c>
      <c r="B65">
        <v>1</v>
      </c>
      <c r="D65" s="23">
        <f t="shared" si="2"/>
        <v>144.03532608695653</v>
      </c>
      <c r="M65" s="24">
        <f t="shared" si="0"/>
        <v>0</v>
      </c>
    </row>
    <row r="66" spans="1:13">
      <c r="A66">
        <f t="shared" si="1"/>
        <v>62</v>
      </c>
      <c r="B66">
        <v>1</v>
      </c>
      <c r="D66" s="23">
        <f t="shared" si="2"/>
        <v>144.03532608695653</v>
      </c>
      <c r="M66" s="24">
        <f t="shared" si="0"/>
        <v>0</v>
      </c>
    </row>
    <row r="67" spans="1:13">
      <c r="A67">
        <f t="shared" si="1"/>
        <v>63</v>
      </c>
      <c r="B67">
        <v>1</v>
      </c>
      <c r="D67" s="23">
        <f t="shared" si="2"/>
        <v>144.03532608695653</v>
      </c>
      <c r="M67" s="24">
        <f t="shared" si="0"/>
        <v>0</v>
      </c>
    </row>
    <row r="68" spans="1:13">
      <c r="A68">
        <f t="shared" si="1"/>
        <v>64</v>
      </c>
      <c r="B68">
        <v>1</v>
      </c>
      <c r="D68" s="23">
        <f t="shared" si="2"/>
        <v>144.03532608695653</v>
      </c>
      <c r="M68" s="24">
        <f t="shared" si="0"/>
        <v>0</v>
      </c>
    </row>
    <row r="69" spans="1:13">
      <c r="A69">
        <f t="shared" si="1"/>
        <v>65</v>
      </c>
      <c r="B69">
        <v>1</v>
      </c>
      <c r="D69" s="23">
        <f t="shared" si="2"/>
        <v>144.03532608695653</v>
      </c>
      <c r="M69" s="24">
        <f t="shared" ref="M69:M96" si="6">(E69*I69+F69*J69+G69*K69+H69*L69)*$P$1</f>
        <v>0</v>
      </c>
    </row>
    <row r="70" spans="1:13">
      <c r="A70">
        <f t="shared" ref="A70:A96" si="7">ROW()-4</f>
        <v>66</v>
      </c>
      <c r="B70">
        <v>1</v>
      </c>
      <c r="D70" s="23">
        <f t="shared" si="2"/>
        <v>144.03532608695653</v>
      </c>
      <c r="M70" s="24">
        <f t="shared" si="6"/>
        <v>0</v>
      </c>
    </row>
    <row r="71" spans="1:13">
      <c r="A71">
        <f t="shared" si="7"/>
        <v>67</v>
      </c>
      <c r="B71">
        <v>1</v>
      </c>
      <c r="D71" s="23">
        <f t="shared" si="2"/>
        <v>144.03532608695653</v>
      </c>
      <c r="M71" s="24">
        <f t="shared" si="6"/>
        <v>0</v>
      </c>
    </row>
    <row r="72" spans="1:13">
      <c r="A72">
        <f t="shared" si="7"/>
        <v>68</v>
      </c>
      <c r="B72">
        <v>1</v>
      </c>
      <c r="D72" s="23">
        <f t="shared" si="2"/>
        <v>144.03532608695653</v>
      </c>
      <c r="M72" s="24">
        <f t="shared" si="6"/>
        <v>0</v>
      </c>
    </row>
    <row r="73" spans="1:13">
      <c r="A73">
        <f t="shared" si="7"/>
        <v>69</v>
      </c>
      <c r="B73">
        <v>1</v>
      </c>
      <c r="D73" s="23">
        <f t="shared" si="2"/>
        <v>144.03532608695653</v>
      </c>
      <c r="M73" s="24">
        <f t="shared" si="6"/>
        <v>0</v>
      </c>
    </row>
    <row r="74" spans="1:13">
      <c r="A74">
        <f t="shared" si="7"/>
        <v>70</v>
      </c>
      <c r="B74">
        <v>1</v>
      </c>
      <c r="D74" s="23">
        <f t="shared" si="2"/>
        <v>144.03532608695653</v>
      </c>
      <c r="M74" s="24">
        <f t="shared" si="6"/>
        <v>0</v>
      </c>
    </row>
    <row r="75" spans="1:13">
      <c r="A75">
        <f t="shared" si="7"/>
        <v>71</v>
      </c>
      <c r="B75">
        <v>1</v>
      </c>
      <c r="D75" s="23">
        <f t="shared" si="2"/>
        <v>144.03532608695653</v>
      </c>
      <c r="M75" s="24">
        <f t="shared" si="6"/>
        <v>0</v>
      </c>
    </row>
    <row r="76" spans="1:13">
      <c r="A76">
        <f t="shared" si="7"/>
        <v>72</v>
      </c>
      <c r="B76">
        <v>1</v>
      </c>
      <c r="D76" s="23">
        <f t="shared" si="2"/>
        <v>144.03532608695653</v>
      </c>
      <c r="M76" s="24">
        <f t="shared" si="6"/>
        <v>0</v>
      </c>
    </row>
    <row r="77" spans="1:13">
      <c r="A77">
        <f t="shared" si="7"/>
        <v>73</v>
      </c>
      <c r="B77">
        <v>1</v>
      </c>
      <c r="D77" s="23">
        <f t="shared" si="2"/>
        <v>144.03532608695653</v>
      </c>
      <c r="M77" s="24">
        <f t="shared" si="6"/>
        <v>0</v>
      </c>
    </row>
    <row r="78" spans="1:13">
      <c r="A78">
        <f t="shared" si="7"/>
        <v>74</v>
      </c>
      <c r="B78">
        <v>1</v>
      </c>
      <c r="D78" s="23">
        <f t="shared" si="2"/>
        <v>144.03532608695653</v>
      </c>
      <c r="M78" s="24">
        <f t="shared" si="6"/>
        <v>0</v>
      </c>
    </row>
    <row r="79" spans="1:13">
      <c r="A79">
        <f t="shared" si="7"/>
        <v>75</v>
      </c>
      <c r="B79">
        <v>1</v>
      </c>
      <c r="D79" s="23">
        <f t="shared" si="2"/>
        <v>144.03532608695653</v>
      </c>
      <c r="M79" s="24">
        <f t="shared" si="6"/>
        <v>0</v>
      </c>
    </row>
    <row r="80" spans="1:13">
      <c r="A80">
        <f t="shared" si="7"/>
        <v>76</v>
      </c>
      <c r="B80">
        <v>1</v>
      </c>
      <c r="D80" s="23">
        <f t="shared" si="2"/>
        <v>144.03532608695653</v>
      </c>
      <c r="M80" s="24">
        <f t="shared" si="6"/>
        <v>0</v>
      </c>
    </row>
    <row r="81" spans="1:13">
      <c r="A81">
        <f t="shared" si="7"/>
        <v>77</v>
      </c>
      <c r="B81">
        <v>1</v>
      </c>
      <c r="D81" s="23">
        <f t="shared" si="2"/>
        <v>144.03532608695653</v>
      </c>
      <c r="M81" s="24">
        <f t="shared" si="6"/>
        <v>0</v>
      </c>
    </row>
    <row r="82" spans="1:13">
      <c r="A82">
        <f t="shared" si="7"/>
        <v>78</v>
      </c>
      <c r="B82">
        <v>1</v>
      </c>
      <c r="D82" s="23">
        <f t="shared" si="2"/>
        <v>144.03532608695653</v>
      </c>
      <c r="M82" s="24">
        <f t="shared" si="6"/>
        <v>0</v>
      </c>
    </row>
    <row r="83" spans="1:13">
      <c r="A83">
        <f t="shared" si="7"/>
        <v>79</v>
      </c>
      <c r="B83">
        <v>1</v>
      </c>
      <c r="D83" s="23">
        <f t="shared" si="2"/>
        <v>144.03532608695653</v>
      </c>
      <c r="M83" s="24">
        <f t="shared" si="6"/>
        <v>0</v>
      </c>
    </row>
    <row r="84" spans="1:13">
      <c r="A84">
        <f t="shared" si="7"/>
        <v>80</v>
      </c>
      <c r="B84">
        <v>1</v>
      </c>
      <c r="D84" s="23">
        <f t="shared" si="2"/>
        <v>144.03532608695653</v>
      </c>
      <c r="M84" s="24">
        <f t="shared" si="6"/>
        <v>0</v>
      </c>
    </row>
    <row r="85" spans="1:13">
      <c r="A85">
        <f t="shared" si="7"/>
        <v>81</v>
      </c>
      <c r="B85">
        <v>1</v>
      </c>
      <c r="D85" s="23">
        <f t="shared" si="2"/>
        <v>144.03532608695653</v>
      </c>
      <c r="M85" s="24">
        <f t="shared" si="6"/>
        <v>0</v>
      </c>
    </row>
    <row r="86" spans="1:13">
      <c r="A86">
        <f t="shared" si="7"/>
        <v>82</v>
      </c>
      <c r="B86">
        <v>1</v>
      </c>
      <c r="D86" s="23">
        <f t="shared" si="2"/>
        <v>144.03532608695653</v>
      </c>
      <c r="M86" s="24">
        <f t="shared" si="6"/>
        <v>0</v>
      </c>
    </row>
    <row r="87" spans="1:13">
      <c r="A87">
        <f t="shared" si="7"/>
        <v>83</v>
      </c>
      <c r="B87">
        <v>1</v>
      </c>
      <c r="D87" s="23">
        <f t="shared" ref="D87:D96" si="8">1/$P$3*$P$2</f>
        <v>144.03532608695653</v>
      </c>
      <c r="M87" s="24">
        <f t="shared" si="6"/>
        <v>0</v>
      </c>
    </row>
    <row r="88" spans="1:13">
      <c r="A88">
        <f t="shared" si="7"/>
        <v>84</v>
      </c>
      <c r="B88">
        <v>1</v>
      </c>
      <c r="D88" s="23">
        <f t="shared" si="8"/>
        <v>144.03532608695653</v>
      </c>
      <c r="M88" s="24">
        <f t="shared" si="6"/>
        <v>0</v>
      </c>
    </row>
    <row r="89" spans="1:13">
      <c r="A89">
        <f t="shared" si="7"/>
        <v>85</v>
      </c>
      <c r="B89">
        <v>1</v>
      </c>
      <c r="D89" s="23">
        <f t="shared" si="8"/>
        <v>144.03532608695653</v>
      </c>
      <c r="M89" s="24">
        <f t="shared" si="6"/>
        <v>0</v>
      </c>
    </row>
    <row r="90" spans="1:13">
      <c r="A90">
        <f t="shared" si="7"/>
        <v>86</v>
      </c>
      <c r="B90">
        <v>1</v>
      </c>
      <c r="D90" s="23">
        <f t="shared" si="8"/>
        <v>144.03532608695653</v>
      </c>
      <c r="M90" s="24">
        <f t="shared" si="6"/>
        <v>0</v>
      </c>
    </row>
    <row r="91" spans="1:13">
      <c r="A91">
        <f t="shared" si="7"/>
        <v>87</v>
      </c>
      <c r="B91">
        <v>1</v>
      </c>
      <c r="D91" s="23">
        <f t="shared" si="8"/>
        <v>144.03532608695653</v>
      </c>
      <c r="M91" s="24">
        <f t="shared" si="6"/>
        <v>0</v>
      </c>
    </row>
    <row r="92" spans="1:13">
      <c r="A92">
        <f t="shared" si="7"/>
        <v>88</v>
      </c>
      <c r="B92">
        <v>1</v>
      </c>
      <c r="D92" s="23">
        <f t="shared" si="8"/>
        <v>144.03532608695653</v>
      </c>
      <c r="M92" s="24">
        <f t="shared" si="6"/>
        <v>0</v>
      </c>
    </row>
    <row r="93" spans="1:13">
      <c r="A93">
        <f t="shared" si="7"/>
        <v>89</v>
      </c>
      <c r="B93">
        <v>1</v>
      </c>
      <c r="D93" s="23">
        <f t="shared" si="8"/>
        <v>144.03532608695653</v>
      </c>
      <c r="M93" s="24">
        <f t="shared" si="6"/>
        <v>0</v>
      </c>
    </row>
    <row r="94" spans="1:13">
      <c r="A94">
        <f t="shared" si="7"/>
        <v>90</v>
      </c>
      <c r="B94">
        <v>1</v>
      </c>
      <c r="D94" s="23">
        <f t="shared" si="8"/>
        <v>144.03532608695653</v>
      </c>
      <c r="M94" s="24">
        <f t="shared" si="6"/>
        <v>0</v>
      </c>
    </row>
    <row r="95" spans="1:13">
      <c r="A95">
        <f t="shared" si="7"/>
        <v>91</v>
      </c>
      <c r="B95">
        <v>1</v>
      </c>
      <c r="D95" s="23">
        <f t="shared" si="8"/>
        <v>144.03532608695653</v>
      </c>
      <c r="M95" s="24">
        <f t="shared" si="6"/>
        <v>0</v>
      </c>
    </row>
    <row r="96" spans="1:13">
      <c r="A96">
        <f t="shared" si="7"/>
        <v>92</v>
      </c>
      <c r="B96">
        <v>1</v>
      </c>
      <c r="D96" s="23">
        <f t="shared" si="8"/>
        <v>144.03532608695653</v>
      </c>
      <c r="M96" s="24">
        <f t="shared" si="6"/>
        <v>0</v>
      </c>
    </row>
    <row r="97" spans="1:13">
      <c r="A97" s="28">
        <f>COUNT(A5:A96)</f>
        <v>92</v>
      </c>
      <c r="B97" s="28">
        <f>SUM(B13:B96)</f>
        <v>74</v>
      </c>
      <c r="C97" s="28">
        <f>SUM(C5:C96)</f>
        <v>27</v>
      </c>
      <c r="D97" s="29"/>
      <c r="E97" s="29">
        <f>SUM(E5:E96)</f>
        <v>43.210597826086961</v>
      </c>
      <c r="F97" s="29">
        <f t="shared" ref="F97:H97" si="9">SUM(F5:F96)</f>
        <v>302.47418478260869</v>
      </c>
      <c r="G97" s="29">
        <f t="shared" si="9"/>
        <v>388.89538043478257</v>
      </c>
      <c r="H97" s="29">
        <f t="shared" si="9"/>
        <v>230.45652173913047</v>
      </c>
      <c r="I97" s="29"/>
      <c r="J97" s="29"/>
      <c r="K97" s="29"/>
      <c r="L97" s="29"/>
      <c r="M97" s="29">
        <f>SUM(M5:M96)</f>
        <v>44.474507812499994</v>
      </c>
    </row>
    <row r="98" spans="1:13">
      <c r="E98" s="25">
        <f>SUM(E97:H97)</f>
        <v>965.03668478260875</v>
      </c>
      <c r="F98" s="25"/>
      <c r="G98" s="25"/>
      <c r="H98" s="25"/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117"/>
  <sheetViews>
    <sheetView workbookViewId="0"/>
  </sheetViews>
  <sheetFormatPr defaultRowHeight="13.8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745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746</v>
      </c>
      <c r="J2" s="24" t="s">
        <v>751</v>
      </c>
      <c r="O2" s="26" t="s">
        <v>754</v>
      </c>
      <c r="P2" s="27">
        <f>VIPcric_3!D13</f>
        <v>11934</v>
      </c>
      <c r="Q2" s="27" t="s">
        <v>755</v>
      </c>
    </row>
    <row r="3" spans="1:19">
      <c r="G3" s="24" t="s">
        <v>747</v>
      </c>
      <c r="K3" s="24" t="s">
        <v>752</v>
      </c>
      <c r="O3" s="26" t="s">
        <v>738</v>
      </c>
      <c r="P3" s="27">
        <f>VIPcric_3!E13</f>
        <v>126.4</v>
      </c>
      <c r="Q3" s="27" t="s">
        <v>756</v>
      </c>
    </row>
    <row r="4" spans="1:19">
      <c r="H4" s="24" t="s">
        <v>748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O5" s="26" t="s">
        <v>768</v>
      </c>
      <c r="P5" s="30">
        <f>P6</f>
        <v>20.141666666666666</v>
      </c>
      <c r="Q5" s="27" t="s">
        <v>758</v>
      </c>
    </row>
    <row r="6" spans="1:19">
      <c r="A6">
        <f t="shared" ref="A6:A69" si="0">ROW()-4</f>
        <v>2</v>
      </c>
      <c r="C6">
        <v>1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9">
      <c r="A8">
        <f t="shared" si="0"/>
        <v>4</v>
      </c>
      <c r="C8">
        <v>1</v>
      </c>
      <c r="O8" s="27" t="s">
        <v>760</v>
      </c>
      <c r="P8" s="27">
        <v>2</v>
      </c>
      <c r="Q8" s="27" t="s">
        <v>758</v>
      </c>
    </row>
    <row r="9" spans="1:19">
      <c r="A9">
        <f t="shared" si="0"/>
        <v>5</v>
      </c>
      <c r="C9">
        <v>1</v>
      </c>
      <c r="O9" s="26" t="s">
        <v>761</v>
      </c>
      <c r="P9" s="27">
        <v>8</v>
      </c>
      <c r="Q9" s="27" t="s">
        <v>758</v>
      </c>
    </row>
    <row r="10" spans="1:19">
      <c r="A10">
        <f t="shared" si="0"/>
        <v>6</v>
      </c>
      <c r="C10">
        <v>1</v>
      </c>
    </row>
    <row r="11" spans="1:19">
      <c r="A11">
        <f t="shared" si="0"/>
        <v>7</v>
      </c>
      <c r="C11">
        <v>1</v>
      </c>
    </row>
    <row r="12" spans="1:19">
      <c r="A12">
        <f t="shared" si="0"/>
        <v>8</v>
      </c>
      <c r="C12">
        <v>1</v>
      </c>
    </row>
    <row r="13" spans="1:19">
      <c r="A13">
        <f t="shared" si="0"/>
        <v>9</v>
      </c>
      <c r="C13">
        <v>1</v>
      </c>
    </row>
    <row r="14" spans="1:19">
      <c r="A14">
        <f t="shared" si="0"/>
        <v>10</v>
      </c>
      <c r="C14">
        <v>1</v>
      </c>
    </row>
    <row r="15" spans="1:19">
      <c r="A15">
        <f t="shared" si="0"/>
        <v>11</v>
      </c>
      <c r="C15">
        <v>1</v>
      </c>
    </row>
    <row r="16" spans="1:19">
      <c r="A16">
        <f t="shared" si="0"/>
        <v>12</v>
      </c>
      <c r="C16">
        <v>1</v>
      </c>
    </row>
    <row r="17" spans="1:13">
      <c r="A17">
        <f t="shared" si="0"/>
        <v>13</v>
      </c>
      <c r="C17">
        <v>1</v>
      </c>
    </row>
    <row r="18" spans="1:13">
      <c r="A18">
        <f t="shared" si="0"/>
        <v>14</v>
      </c>
      <c r="C18">
        <v>1</v>
      </c>
    </row>
    <row r="19" spans="1:13">
      <c r="A19">
        <f t="shared" si="0"/>
        <v>15</v>
      </c>
      <c r="C19">
        <v>1</v>
      </c>
    </row>
    <row r="20" spans="1:13">
      <c r="A20">
        <f t="shared" si="0"/>
        <v>16</v>
      </c>
      <c r="C20">
        <v>1</v>
      </c>
    </row>
    <row r="21" spans="1:13">
      <c r="A21">
        <f t="shared" si="0"/>
        <v>17</v>
      </c>
      <c r="C21">
        <v>1</v>
      </c>
    </row>
    <row r="22" spans="1:13">
      <c r="A22">
        <f t="shared" si="0"/>
        <v>18</v>
      </c>
      <c r="C22">
        <v>1</v>
      </c>
    </row>
    <row r="23" spans="1:13">
      <c r="A23">
        <f t="shared" si="0"/>
        <v>19</v>
      </c>
      <c r="B23">
        <v>1</v>
      </c>
      <c r="C23">
        <v>1</v>
      </c>
      <c r="D23" s="23">
        <f t="shared" ref="D23:D81" si="1">1/$P$3*$P$2</f>
        <v>94.414556962025301</v>
      </c>
      <c r="E23" s="24">
        <f>$D23*30%</f>
        <v>28.324367088607591</v>
      </c>
      <c r="F23" s="24">
        <f t="shared" ref="F23:G30" si="2">$D23*30%</f>
        <v>28.324367088607591</v>
      </c>
      <c r="G23" s="24">
        <f t="shared" si="2"/>
        <v>28.324367088607591</v>
      </c>
      <c r="H23" s="24">
        <f>$D23*10%</f>
        <v>9.4414556962025298</v>
      </c>
      <c r="I23" s="24">
        <v>1</v>
      </c>
      <c r="J23" s="24">
        <f>P7</f>
        <v>7</v>
      </c>
      <c r="K23" s="24">
        <v>8</v>
      </c>
      <c r="L23" s="24">
        <f>16</f>
        <v>16</v>
      </c>
      <c r="M23" s="24">
        <f t="shared" ref="M23:M38" si="3">(E23*I23+F23*J23+G23*K23+H23*L23)*$P$1</f>
        <v>5.2116835443037965</v>
      </c>
    </row>
    <row r="24" spans="1:13">
      <c r="A24">
        <f t="shared" si="0"/>
        <v>20</v>
      </c>
      <c r="B24">
        <v>1</v>
      </c>
      <c r="C24">
        <v>1</v>
      </c>
      <c r="D24" s="23">
        <f t="shared" si="1"/>
        <v>94.414556962025301</v>
      </c>
      <c r="F24" s="24">
        <f t="shared" si="2"/>
        <v>28.324367088607591</v>
      </c>
      <c r="G24" s="24">
        <f t="shared" si="2"/>
        <v>28.324367088607591</v>
      </c>
      <c r="H24" s="24">
        <f t="shared" ref="H24:H38" si="4">$D24*10%</f>
        <v>9.4414556962025298</v>
      </c>
      <c r="J24" s="24">
        <f>J23-1</f>
        <v>6</v>
      </c>
      <c r="K24" s="24">
        <f>K23-1</f>
        <v>7</v>
      </c>
      <c r="L24" s="24">
        <f>L23-1</f>
        <v>15</v>
      </c>
      <c r="M24" s="24">
        <f t="shared" si="3"/>
        <v>4.3973579905063289</v>
      </c>
    </row>
    <row r="25" spans="1:13">
      <c r="A25">
        <f t="shared" si="0"/>
        <v>21</v>
      </c>
      <c r="B25">
        <v>1</v>
      </c>
      <c r="C25">
        <v>1</v>
      </c>
      <c r="D25" s="23">
        <f t="shared" si="1"/>
        <v>94.414556962025301</v>
      </c>
      <c r="F25" s="24">
        <f t="shared" si="2"/>
        <v>28.324367088607591</v>
      </c>
      <c r="G25" s="24">
        <f t="shared" si="2"/>
        <v>28.324367088607591</v>
      </c>
      <c r="H25" s="24">
        <f t="shared" si="4"/>
        <v>9.4414556962025298</v>
      </c>
      <c r="J25" s="24">
        <f t="shared" ref="J25:L38" si="5">J24-1</f>
        <v>5</v>
      </c>
      <c r="K25" s="24">
        <f t="shared" si="5"/>
        <v>6</v>
      </c>
      <c r="L25" s="24">
        <f t="shared" si="5"/>
        <v>14</v>
      </c>
      <c r="M25" s="24">
        <f t="shared" si="3"/>
        <v>3.8273301028481015</v>
      </c>
    </row>
    <row r="26" spans="1:13">
      <c r="A26">
        <f t="shared" si="0"/>
        <v>22</v>
      </c>
      <c r="B26">
        <v>1</v>
      </c>
      <c r="C26">
        <v>1</v>
      </c>
      <c r="D26" s="23">
        <f t="shared" si="1"/>
        <v>94.414556962025301</v>
      </c>
      <c r="F26" s="24">
        <f t="shared" si="2"/>
        <v>28.324367088607591</v>
      </c>
      <c r="G26" s="24">
        <f t="shared" si="2"/>
        <v>28.324367088607591</v>
      </c>
      <c r="H26" s="24">
        <f t="shared" si="4"/>
        <v>9.4414556962025298</v>
      </c>
      <c r="J26" s="24">
        <f t="shared" si="5"/>
        <v>4</v>
      </c>
      <c r="K26" s="24">
        <f t="shared" si="5"/>
        <v>5</v>
      </c>
      <c r="L26" s="24">
        <f t="shared" si="5"/>
        <v>13</v>
      </c>
      <c r="M26" s="24">
        <f t="shared" si="3"/>
        <v>3.2573022151898732</v>
      </c>
    </row>
    <row r="27" spans="1:13">
      <c r="A27">
        <f t="shared" si="0"/>
        <v>23</v>
      </c>
      <c r="B27">
        <v>1</v>
      </c>
      <c r="C27">
        <v>1</v>
      </c>
      <c r="D27" s="23">
        <f t="shared" si="1"/>
        <v>94.414556962025301</v>
      </c>
      <c r="F27" s="24">
        <f t="shared" si="2"/>
        <v>28.324367088607591</v>
      </c>
      <c r="G27" s="24">
        <f t="shared" si="2"/>
        <v>28.324367088607591</v>
      </c>
      <c r="H27" s="24">
        <f t="shared" si="4"/>
        <v>9.4414556962025298</v>
      </c>
      <c r="J27" s="24">
        <f t="shared" si="5"/>
        <v>3</v>
      </c>
      <c r="K27" s="24">
        <f t="shared" si="5"/>
        <v>4</v>
      </c>
      <c r="L27" s="24">
        <f t="shared" si="5"/>
        <v>12</v>
      </c>
      <c r="M27" s="24">
        <f t="shared" si="3"/>
        <v>2.6872743275316453</v>
      </c>
    </row>
    <row r="28" spans="1:13">
      <c r="A28">
        <f t="shared" si="0"/>
        <v>24</v>
      </c>
      <c r="B28">
        <v>1</v>
      </c>
      <c r="C28">
        <v>1</v>
      </c>
      <c r="D28" s="23">
        <f t="shared" si="1"/>
        <v>94.414556962025301</v>
      </c>
      <c r="F28" s="24">
        <f t="shared" si="2"/>
        <v>28.324367088607591</v>
      </c>
      <c r="G28" s="24">
        <f t="shared" si="2"/>
        <v>28.324367088607591</v>
      </c>
      <c r="H28" s="24">
        <f t="shared" si="4"/>
        <v>9.4414556962025298</v>
      </c>
      <c r="J28" s="24">
        <f t="shared" si="5"/>
        <v>2</v>
      </c>
      <c r="K28" s="24">
        <f t="shared" si="5"/>
        <v>3</v>
      </c>
      <c r="L28" s="24">
        <f t="shared" si="5"/>
        <v>11</v>
      </c>
      <c r="M28" s="24">
        <f t="shared" si="3"/>
        <v>2.1172464398734174</v>
      </c>
    </row>
    <row r="29" spans="1:13">
      <c r="A29">
        <f t="shared" si="0"/>
        <v>25</v>
      </c>
      <c r="B29">
        <v>1</v>
      </c>
      <c r="C29">
        <v>1</v>
      </c>
      <c r="D29" s="23">
        <f t="shared" si="1"/>
        <v>94.414556962025301</v>
      </c>
      <c r="F29" s="24">
        <f t="shared" si="2"/>
        <v>28.324367088607591</v>
      </c>
      <c r="G29" s="24">
        <f t="shared" si="2"/>
        <v>28.324367088607591</v>
      </c>
      <c r="H29" s="24">
        <f t="shared" si="4"/>
        <v>9.4414556962025298</v>
      </c>
      <c r="J29" s="24">
        <f t="shared" si="5"/>
        <v>1</v>
      </c>
      <c r="K29" s="24">
        <f t="shared" si="5"/>
        <v>2</v>
      </c>
      <c r="L29" s="24">
        <f t="shared" si="5"/>
        <v>10</v>
      </c>
      <c r="M29" s="24">
        <f t="shared" si="3"/>
        <v>1.5472185522151898</v>
      </c>
    </row>
    <row r="30" spans="1:13">
      <c r="A30">
        <f t="shared" si="0"/>
        <v>26</v>
      </c>
      <c r="B30">
        <v>1</v>
      </c>
      <c r="C30">
        <v>1</v>
      </c>
      <c r="D30" s="23">
        <f t="shared" si="1"/>
        <v>94.414556962025301</v>
      </c>
      <c r="G30" s="24">
        <f t="shared" si="2"/>
        <v>28.324367088607591</v>
      </c>
      <c r="H30" s="24">
        <f t="shared" si="4"/>
        <v>9.4414556962025298</v>
      </c>
      <c r="K30" s="24">
        <f t="shared" si="5"/>
        <v>1</v>
      </c>
      <c r="L30" s="24">
        <f t="shared" si="5"/>
        <v>9</v>
      </c>
      <c r="M30" s="24">
        <f t="shared" si="3"/>
        <v>0.97719066455696191</v>
      </c>
    </row>
    <row r="31" spans="1:13">
      <c r="A31">
        <f t="shared" si="0"/>
        <v>27</v>
      </c>
      <c r="B31">
        <v>1</v>
      </c>
      <c r="D31" s="23">
        <f t="shared" si="1"/>
        <v>94.414556962025301</v>
      </c>
      <c r="H31" s="24">
        <f t="shared" si="4"/>
        <v>9.4414556962025298</v>
      </c>
      <c r="L31" s="24">
        <f t="shared" si="5"/>
        <v>8</v>
      </c>
      <c r="M31" s="24">
        <f t="shared" si="3"/>
        <v>0.65146044303797457</v>
      </c>
    </row>
    <row r="32" spans="1:13">
      <c r="A32">
        <f t="shared" si="0"/>
        <v>28</v>
      </c>
      <c r="B32">
        <v>1</v>
      </c>
      <c r="D32" s="23">
        <f t="shared" si="1"/>
        <v>94.414556962025301</v>
      </c>
      <c r="H32" s="24">
        <f t="shared" si="4"/>
        <v>9.4414556962025298</v>
      </c>
      <c r="L32" s="24">
        <f t="shared" si="5"/>
        <v>7</v>
      </c>
      <c r="M32" s="24">
        <f t="shared" si="3"/>
        <v>0.57002788765822787</v>
      </c>
    </row>
    <row r="33" spans="1:13">
      <c r="A33">
        <f t="shared" si="0"/>
        <v>29</v>
      </c>
      <c r="B33">
        <v>1</v>
      </c>
      <c r="D33" s="23">
        <f t="shared" si="1"/>
        <v>94.414556962025301</v>
      </c>
      <c r="H33" s="24">
        <f t="shared" si="4"/>
        <v>9.4414556962025298</v>
      </c>
      <c r="L33" s="24">
        <f t="shared" si="5"/>
        <v>6</v>
      </c>
      <c r="M33" s="24">
        <f t="shared" si="3"/>
        <v>0.48859533227848095</v>
      </c>
    </row>
    <row r="34" spans="1:13">
      <c r="A34">
        <f t="shared" si="0"/>
        <v>30</v>
      </c>
      <c r="B34">
        <v>1</v>
      </c>
      <c r="D34" s="23">
        <f t="shared" si="1"/>
        <v>94.414556962025301</v>
      </c>
      <c r="H34" s="24">
        <f t="shared" si="4"/>
        <v>9.4414556962025298</v>
      </c>
      <c r="L34" s="24">
        <f t="shared" si="5"/>
        <v>5</v>
      </c>
      <c r="M34" s="24">
        <f t="shared" si="3"/>
        <v>0.40716277689873415</v>
      </c>
    </row>
    <row r="35" spans="1:13">
      <c r="A35">
        <f t="shared" si="0"/>
        <v>31</v>
      </c>
      <c r="B35">
        <v>1</v>
      </c>
      <c r="D35" s="23">
        <f t="shared" si="1"/>
        <v>94.414556962025301</v>
      </c>
      <c r="H35" s="24">
        <f t="shared" si="4"/>
        <v>9.4414556962025298</v>
      </c>
      <c r="L35" s="24">
        <f t="shared" si="5"/>
        <v>4</v>
      </c>
      <c r="M35" s="24">
        <f t="shared" si="3"/>
        <v>0.32573022151898728</v>
      </c>
    </row>
    <row r="36" spans="1:13">
      <c r="A36">
        <f t="shared" si="0"/>
        <v>32</v>
      </c>
      <c r="B36">
        <v>1</v>
      </c>
      <c r="D36" s="23">
        <f t="shared" si="1"/>
        <v>94.414556962025301</v>
      </c>
      <c r="H36" s="24">
        <f t="shared" si="4"/>
        <v>9.4414556962025298</v>
      </c>
      <c r="L36" s="24">
        <f t="shared" si="5"/>
        <v>3</v>
      </c>
      <c r="M36" s="24">
        <f t="shared" si="3"/>
        <v>0.24429766613924048</v>
      </c>
    </row>
    <row r="37" spans="1:13">
      <c r="A37">
        <f t="shared" si="0"/>
        <v>33</v>
      </c>
      <c r="B37">
        <v>1</v>
      </c>
      <c r="D37" s="23">
        <f t="shared" si="1"/>
        <v>94.414556962025301</v>
      </c>
      <c r="H37" s="24">
        <f t="shared" si="4"/>
        <v>9.4414556962025298</v>
      </c>
      <c r="L37" s="24">
        <f t="shared" si="5"/>
        <v>2</v>
      </c>
      <c r="M37" s="24">
        <f t="shared" si="3"/>
        <v>0.16286511075949364</v>
      </c>
    </row>
    <row r="38" spans="1:13">
      <c r="A38">
        <f t="shared" si="0"/>
        <v>34</v>
      </c>
      <c r="B38">
        <v>1</v>
      </c>
      <c r="D38" s="23">
        <f t="shared" si="1"/>
        <v>94.414556962025301</v>
      </c>
      <c r="H38" s="24">
        <f t="shared" si="4"/>
        <v>9.4414556962025298</v>
      </c>
      <c r="L38" s="24">
        <f t="shared" si="5"/>
        <v>1</v>
      </c>
      <c r="M38" s="24">
        <f t="shared" si="3"/>
        <v>8.1432555379746821E-2</v>
      </c>
    </row>
    <row r="39" spans="1:13">
      <c r="A39">
        <f t="shared" si="0"/>
        <v>35</v>
      </c>
      <c r="B39">
        <v>1</v>
      </c>
      <c r="D39" s="23">
        <f t="shared" si="1"/>
        <v>94.414556962025301</v>
      </c>
    </row>
    <row r="40" spans="1:13">
      <c r="A40">
        <f t="shared" si="0"/>
        <v>36</v>
      </c>
      <c r="B40">
        <v>1</v>
      </c>
      <c r="D40" s="23">
        <f t="shared" si="1"/>
        <v>94.414556962025301</v>
      </c>
    </row>
    <row r="41" spans="1:13">
      <c r="A41">
        <f t="shared" si="0"/>
        <v>37</v>
      </c>
      <c r="B41">
        <v>1</v>
      </c>
      <c r="D41" s="23">
        <f t="shared" si="1"/>
        <v>94.414556962025301</v>
      </c>
    </row>
    <row r="42" spans="1:13">
      <c r="A42">
        <f t="shared" si="0"/>
        <v>38</v>
      </c>
      <c r="B42">
        <v>1</v>
      </c>
      <c r="D42" s="23">
        <f t="shared" si="1"/>
        <v>94.414556962025301</v>
      </c>
    </row>
    <row r="43" spans="1:13">
      <c r="A43">
        <f t="shared" si="0"/>
        <v>39</v>
      </c>
      <c r="B43">
        <v>1</v>
      </c>
      <c r="D43" s="23">
        <f t="shared" si="1"/>
        <v>94.414556962025301</v>
      </c>
    </row>
    <row r="44" spans="1:13">
      <c r="A44">
        <f t="shared" si="0"/>
        <v>40</v>
      </c>
      <c r="B44">
        <v>1</v>
      </c>
      <c r="D44" s="23">
        <f t="shared" si="1"/>
        <v>94.414556962025301</v>
      </c>
    </row>
    <row r="45" spans="1:13">
      <c r="A45">
        <f t="shared" si="0"/>
        <v>41</v>
      </c>
      <c r="B45">
        <v>1</v>
      </c>
      <c r="D45" s="23">
        <f t="shared" si="1"/>
        <v>94.414556962025301</v>
      </c>
    </row>
    <row r="46" spans="1:13">
      <c r="A46">
        <f t="shared" si="0"/>
        <v>42</v>
      </c>
      <c r="B46">
        <v>1</v>
      </c>
      <c r="D46" s="23">
        <f t="shared" si="1"/>
        <v>94.414556962025301</v>
      </c>
    </row>
    <row r="47" spans="1:13">
      <c r="A47">
        <f t="shared" si="0"/>
        <v>43</v>
      </c>
      <c r="B47">
        <v>1</v>
      </c>
      <c r="D47" s="23">
        <f t="shared" si="1"/>
        <v>94.414556962025301</v>
      </c>
    </row>
    <row r="48" spans="1:13">
      <c r="A48">
        <f t="shared" si="0"/>
        <v>44</v>
      </c>
      <c r="B48">
        <v>1</v>
      </c>
      <c r="D48" s="23">
        <f t="shared" si="1"/>
        <v>94.414556962025301</v>
      </c>
    </row>
    <row r="49" spans="1:4">
      <c r="A49">
        <f t="shared" si="0"/>
        <v>45</v>
      </c>
      <c r="B49">
        <v>1</v>
      </c>
      <c r="D49" s="23">
        <f t="shared" si="1"/>
        <v>94.414556962025301</v>
      </c>
    </row>
    <row r="50" spans="1:4">
      <c r="A50">
        <f t="shared" si="0"/>
        <v>46</v>
      </c>
      <c r="B50">
        <v>1</v>
      </c>
      <c r="D50" s="23">
        <f t="shared" si="1"/>
        <v>94.414556962025301</v>
      </c>
    </row>
    <row r="51" spans="1:4">
      <c r="A51">
        <f t="shared" si="0"/>
        <v>47</v>
      </c>
      <c r="B51">
        <v>1</v>
      </c>
      <c r="D51" s="23">
        <f t="shared" si="1"/>
        <v>94.414556962025301</v>
      </c>
    </row>
    <row r="52" spans="1:4">
      <c r="A52">
        <f t="shared" si="0"/>
        <v>48</v>
      </c>
      <c r="B52">
        <v>1</v>
      </c>
      <c r="D52" s="23">
        <f t="shared" si="1"/>
        <v>94.414556962025301</v>
      </c>
    </row>
    <row r="53" spans="1:4">
      <c r="A53">
        <f t="shared" si="0"/>
        <v>49</v>
      </c>
      <c r="B53">
        <v>1</v>
      </c>
      <c r="D53" s="23">
        <f t="shared" si="1"/>
        <v>94.414556962025301</v>
      </c>
    </row>
    <row r="54" spans="1:4">
      <c r="A54">
        <f t="shared" si="0"/>
        <v>50</v>
      </c>
      <c r="B54">
        <v>1</v>
      </c>
      <c r="D54" s="23">
        <f t="shared" si="1"/>
        <v>94.414556962025301</v>
      </c>
    </row>
    <row r="55" spans="1:4">
      <c r="A55">
        <f t="shared" si="0"/>
        <v>51</v>
      </c>
      <c r="B55">
        <v>1</v>
      </c>
      <c r="D55" s="23">
        <f t="shared" si="1"/>
        <v>94.414556962025301</v>
      </c>
    </row>
    <row r="56" spans="1:4">
      <c r="A56">
        <f t="shared" si="0"/>
        <v>52</v>
      </c>
      <c r="B56">
        <v>1</v>
      </c>
      <c r="D56" s="23">
        <f t="shared" si="1"/>
        <v>94.414556962025301</v>
      </c>
    </row>
    <row r="57" spans="1:4">
      <c r="A57">
        <f t="shared" si="0"/>
        <v>53</v>
      </c>
      <c r="B57">
        <v>1</v>
      </c>
      <c r="D57" s="23">
        <f t="shared" si="1"/>
        <v>94.414556962025301</v>
      </c>
    </row>
    <row r="58" spans="1:4">
      <c r="A58">
        <f t="shared" si="0"/>
        <v>54</v>
      </c>
      <c r="B58">
        <v>1</v>
      </c>
      <c r="D58" s="23">
        <f t="shared" si="1"/>
        <v>94.414556962025301</v>
      </c>
    </row>
    <row r="59" spans="1:4">
      <c r="A59">
        <f t="shared" si="0"/>
        <v>55</v>
      </c>
      <c r="B59">
        <v>1</v>
      </c>
      <c r="D59" s="23">
        <f t="shared" si="1"/>
        <v>94.414556962025301</v>
      </c>
    </row>
    <row r="60" spans="1:4">
      <c r="A60">
        <f t="shared" si="0"/>
        <v>56</v>
      </c>
      <c r="B60">
        <v>1</v>
      </c>
      <c r="D60" s="23">
        <f t="shared" si="1"/>
        <v>94.414556962025301</v>
      </c>
    </row>
    <row r="61" spans="1:4">
      <c r="A61">
        <f t="shared" si="0"/>
        <v>57</v>
      </c>
      <c r="B61">
        <v>1</v>
      </c>
      <c r="D61" s="23">
        <f t="shared" si="1"/>
        <v>94.414556962025301</v>
      </c>
    </row>
    <row r="62" spans="1:4">
      <c r="A62">
        <f t="shared" si="0"/>
        <v>58</v>
      </c>
      <c r="B62">
        <v>1</v>
      </c>
      <c r="D62" s="23">
        <f t="shared" si="1"/>
        <v>94.414556962025301</v>
      </c>
    </row>
    <row r="63" spans="1:4">
      <c r="A63">
        <f t="shared" si="0"/>
        <v>59</v>
      </c>
      <c r="B63">
        <v>1</v>
      </c>
      <c r="D63" s="23">
        <f t="shared" si="1"/>
        <v>94.414556962025301</v>
      </c>
    </row>
    <row r="64" spans="1:4">
      <c r="A64">
        <f t="shared" si="0"/>
        <v>60</v>
      </c>
      <c r="B64">
        <v>1</v>
      </c>
      <c r="D64" s="23">
        <f t="shared" si="1"/>
        <v>94.414556962025301</v>
      </c>
    </row>
    <row r="65" spans="1:4">
      <c r="A65">
        <f t="shared" si="0"/>
        <v>61</v>
      </c>
      <c r="B65">
        <v>1</v>
      </c>
      <c r="D65" s="23">
        <f t="shared" si="1"/>
        <v>94.414556962025301</v>
      </c>
    </row>
    <row r="66" spans="1:4">
      <c r="A66">
        <f t="shared" si="0"/>
        <v>62</v>
      </c>
      <c r="B66">
        <v>1</v>
      </c>
      <c r="D66" s="23">
        <f t="shared" si="1"/>
        <v>94.414556962025301</v>
      </c>
    </row>
    <row r="67" spans="1:4">
      <c r="A67">
        <f t="shared" si="0"/>
        <v>63</v>
      </c>
      <c r="B67">
        <v>1</v>
      </c>
      <c r="D67" s="23">
        <f t="shared" si="1"/>
        <v>94.414556962025301</v>
      </c>
    </row>
    <row r="68" spans="1:4">
      <c r="A68">
        <f t="shared" si="0"/>
        <v>64</v>
      </c>
      <c r="B68">
        <v>1</v>
      </c>
      <c r="D68" s="23">
        <f t="shared" si="1"/>
        <v>94.414556962025301</v>
      </c>
    </row>
    <row r="69" spans="1:4">
      <c r="A69">
        <f t="shared" si="0"/>
        <v>65</v>
      </c>
      <c r="B69">
        <v>1</v>
      </c>
      <c r="D69" s="23">
        <f t="shared" si="1"/>
        <v>94.414556962025301</v>
      </c>
    </row>
    <row r="70" spans="1:4">
      <c r="A70">
        <f t="shared" ref="A70:A81" si="6">ROW()-4</f>
        <v>66</v>
      </c>
      <c r="B70">
        <v>1</v>
      </c>
      <c r="D70" s="23">
        <f t="shared" si="1"/>
        <v>94.414556962025301</v>
      </c>
    </row>
    <row r="71" spans="1:4">
      <c r="A71">
        <f t="shared" si="6"/>
        <v>67</v>
      </c>
      <c r="B71">
        <v>1</v>
      </c>
      <c r="D71" s="23">
        <f t="shared" si="1"/>
        <v>94.414556962025301</v>
      </c>
    </row>
    <row r="72" spans="1:4">
      <c r="A72">
        <f t="shared" si="6"/>
        <v>68</v>
      </c>
      <c r="B72">
        <v>1</v>
      </c>
      <c r="D72" s="23">
        <f t="shared" si="1"/>
        <v>94.414556962025301</v>
      </c>
    </row>
    <row r="73" spans="1:4">
      <c r="A73">
        <f t="shared" si="6"/>
        <v>69</v>
      </c>
      <c r="B73">
        <v>1</v>
      </c>
      <c r="D73" s="23">
        <f t="shared" si="1"/>
        <v>94.414556962025301</v>
      </c>
    </row>
    <row r="74" spans="1:4">
      <c r="A74">
        <f t="shared" si="6"/>
        <v>70</v>
      </c>
      <c r="B74">
        <v>1</v>
      </c>
      <c r="D74" s="23">
        <f t="shared" si="1"/>
        <v>94.414556962025301</v>
      </c>
    </row>
    <row r="75" spans="1:4">
      <c r="A75">
        <f t="shared" si="6"/>
        <v>71</v>
      </c>
      <c r="B75">
        <v>1</v>
      </c>
      <c r="D75" s="23">
        <f t="shared" si="1"/>
        <v>94.414556962025301</v>
      </c>
    </row>
    <row r="76" spans="1:4">
      <c r="A76">
        <f t="shared" si="6"/>
        <v>72</v>
      </c>
      <c r="B76">
        <v>1</v>
      </c>
      <c r="D76" s="23">
        <f t="shared" si="1"/>
        <v>94.414556962025301</v>
      </c>
    </row>
    <row r="77" spans="1:4">
      <c r="A77">
        <f t="shared" si="6"/>
        <v>73</v>
      </c>
      <c r="B77">
        <v>1</v>
      </c>
      <c r="D77" s="23">
        <f t="shared" si="1"/>
        <v>94.414556962025301</v>
      </c>
    </row>
    <row r="78" spans="1:4">
      <c r="A78">
        <f t="shared" si="6"/>
        <v>74</v>
      </c>
      <c r="B78">
        <v>1</v>
      </c>
      <c r="D78" s="23">
        <f t="shared" si="1"/>
        <v>94.414556962025301</v>
      </c>
    </row>
    <row r="79" spans="1:4">
      <c r="A79">
        <f t="shared" si="6"/>
        <v>75</v>
      </c>
      <c r="B79">
        <v>1</v>
      </c>
      <c r="D79" s="23">
        <f t="shared" si="1"/>
        <v>94.414556962025301</v>
      </c>
    </row>
    <row r="80" spans="1:4">
      <c r="A80">
        <f t="shared" si="6"/>
        <v>76</v>
      </c>
      <c r="B80">
        <v>1</v>
      </c>
      <c r="D80" s="23">
        <f t="shared" si="1"/>
        <v>94.414556962025301</v>
      </c>
    </row>
    <row r="81" spans="1:4">
      <c r="A81">
        <f t="shared" si="6"/>
        <v>77</v>
      </c>
      <c r="B81">
        <v>1</v>
      </c>
      <c r="D81" s="23">
        <f t="shared" si="1"/>
        <v>94.414556962025301</v>
      </c>
    </row>
    <row r="82" spans="1:4">
      <c r="B82">
        <v>1</v>
      </c>
    </row>
    <row r="83" spans="1:4">
      <c r="B83">
        <v>1</v>
      </c>
    </row>
    <row r="84" spans="1:4">
      <c r="B84">
        <v>1</v>
      </c>
    </row>
    <row r="85" spans="1:4">
      <c r="B85">
        <v>1</v>
      </c>
    </row>
    <row r="86" spans="1:4">
      <c r="B86">
        <v>1</v>
      </c>
    </row>
    <row r="87" spans="1:4">
      <c r="B87">
        <v>1</v>
      </c>
    </row>
    <row r="88" spans="1:4">
      <c r="B88">
        <v>1</v>
      </c>
    </row>
    <row r="89" spans="1:4">
      <c r="B89">
        <v>1</v>
      </c>
    </row>
    <row r="90" spans="1:4">
      <c r="B90">
        <v>1</v>
      </c>
    </row>
    <row r="91" spans="1:4">
      <c r="B91">
        <v>1</v>
      </c>
    </row>
    <row r="92" spans="1:4">
      <c r="B92">
        <v>1</v>
      </c>
    </row>
    <row r="93" spans="1:4">
      <c r="B93">
        <v>1</v>
      </c>
    </row>
    <row r="94" spans="1:4">
      <c r="B94">
        <v>1</v>
      </c>
    </row>
    <row r="95" spans="1:4">
      <c r="B95">
        <v>1</v>
      </c>
    </row>
    <row r="96" spans="1:4">
      <c r="B96">
        <v>1</v>
      </c>
    </row>
    <row r="97" spans="2:2">
      <c r="B97">
        <v>1</v>
      </c>
    </row>
    <row r="98" spans="2:2">
      <c r="B98">
        <v>1</v>
      </c>
    </row>
    <row r="99" spans="2:2">
      <c r="B99">
        <v>1</v>
      </c>
    </row>
    <row r="100" spans="2:2">
      <c r="B100">
        <v>1</v>
      </c>
    </row>
    <row r="101" spans="2:2">
      <c r="B101">
        <v>1</v>
      </c>
    </row>
    <row r="102" spans="2:2">
      <c r="B102">
        <v>1</v>
      </c>
    </row>
    <row r="103" spans="2:2">
      <c r="B103">
        <v>1</v>
      </c>
    </row>
    <row r="104" spans="2:2">
      <c r="B104">
        <v>1</v>
      </c>
    </row>
    <row r="105" spans="2:2">
      <c r="B105">
        <v>1</v>
      </c>
    </row>
    <row r="106" spans="2:2">
      <c r="B106">
        <v>1</v>
      </c>
    </row>
    <row r="107" spans="2:2">
      <c r="B107">
        <v>1</v>
      </c>
    </row>
    <row r="116" spans="1:13">
      <c r="A116" s="28">
        <f>COUNT(A5:A115)</f>
        <v>77</v>
      </c>
      <c r="B116" s="28">
        <f>SUM(B13:B115)</f>
        <v>85</v>
      </c>
      <c r="C116" s="28">
        <f>SUM(C5:C115)</f>
        <v>26</v>
      </c>
      <c r="D116" s="29"/>
      <c r="E116" s="29">
        <f>SUM(E5:E115)</f>
        <v>28.324367088607591</v>
      </c>
      <c r="F116" s="29">
        <f t="shared" ref="F116:H116" si="7">SUM(F5:F115)</f>
        <v>198.27056962025316</v>
      </c>
      <c r="G116" s="29">
        <f t="shared" si="7"/>
        <v>226.59493670886076</v>
      </c>
      <c r="H116" s="29">
        <f t="shared" si="7"/>
        <v>151.06329113924045</v>
      </c>
      <c r="I116" s="29"/>
      <c r="J116" s="29"/>
      <c r="K116" s="29"/>
      <c r="L116" s="29"/>
      <c r="M116" s="29">
        <f>SUM(M5:M115)</f>
        <v>26.954175830696201</v>
      </c>
    </row>
    <row r="117" spans="1:13">
      <c r="E117" s="25">
        <f>SUM(E116:H116)</f>
        <v>604.25316455696202</v>
      </c>
      <c r="F117" s="25"/>
      <c r="G117" s="25"/>
      <c r="H117" s="25"/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89"/>
  <sheetViews>
    <sheetView workbookViewId="0"/>
  </sheetViews>
  <sheetFormatPr defaultRowHeight="13.8"/>
  <sheetData>
    <row r="1" spans="1:17">
      <c r="A1" t="s">
        <v>742</v>
      </c>
      <c r="B1" t="s">
        <v>744</v>
      </c>
      <c r="C1" t="s">
        <v>765</v>
      </c>
      <c r="D1" s="23" t="s">
        <v>743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7">
      <c r="J2" s="24" t="s">
        <v>751</v>
      </c>
      <c r="O2" s="26" t="s">
        <v>754</v>
      </c>
      <c r="P2" s="27">
        <f>VIPcric_3!D3</f>
        <v>66494</v>
      </c>
      <c r="Q2" s="27" t="s">
        <v>755</v>
      </c>
    </row>
    <row r="3" spans="1:17">
      <c r="G3" s="24" t="s">
        <v>766</v>
      </c>
      <c r="K3" s="24" t="s">
        <v>752</v>
      </c>
      <c r="O3" s="26" t="s">
        <v>738</v>
      </c>
      <c r="P3" s="27">
        <f>VIPcric_3!E3</f>
        <v>26.4</v>
      </c>
      <c r="Q3" s="27" t="s">
        <v>756</v>
      </c>
    </row>
    <row r="4" spans="1:17"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</row>
    <row r="5" spans="1:17">
      <c r="A5">
        <f>ROW()-4</f>
        <v>1</v>
      </c>
      <c r="C5">
        <v>1</v>
      </c>
      <c r="O5" s="26" t="s">
        <v>768</v>
      </c>
      <c r="P5" s="30">
        <f>(10+19+150+(605-P7*30)*2/3)/30</f>
        <v>14.744444444444444</v>
      </c>
      <c r="Q5" s="27" t="s">
        <v>758</v>
      </c>
    </row>
    <row r="6" spans="1:17">
      <c r="A6">
        <f t="shared" ref="A6:A44" si="0">ROW()-4</f>
        <v>2</v>
      </c>
      <c r="C6">
        <v>1</v>
      </c>
      <c r="O6" s="26" t="s">
        <v>757</v>
      </c>
      <c r="P6" s="30">
        <f>(10+19+150+(605-P7*30))/30</f>
        <v>19.133333333333333</v>
      </c>
      <c r="Q6" s="27" t="s">
        <v>758</v>
      </c>
    </row>
    <row r="7" spans="1:17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7">
      <c r="A8">
        <f t="shared" si="0"/>
        <v>4</v>
      </c>
      <c r="C8">
        <v>1</v>
      </c>
      <c r="O8" s="27" t="s">
        <v>760</v>
      </c>
      <c r="P8" s="27">
        <v>2</v>
      </c>
      <c r="Q8" s="27" t="s">
        <v>758</v>
      </c>
    </row>
    <row r="9" spans="1:17">
      <c r="A9">
        <f t="shared" si="0"/>
        <v>5</v>
      </c>
      <c r="C9">
        <v>1</v>
      </c>
      <c r="O9" s="26" t="s">
        <v>761</v>
      </c>
      <c r="P9" s="27">
        <v>8</v>
      </c>
      <c r="Q9" s="27" t="s">
        <v>758</v>
      </c>
    </row>
    <row r="10" spans="1:17">
      <c r="A10">
        <f t="shared" si="0"/>
        <v>6</v>
      </c>
      <c r="C10">
        <v>1</v>
      </c>
    </row>
    <row r="11" spans="1:17">
      <c r="A11">
        <f t="shared" si="0"/>
        <v>7</v>
      </c>
      <c r="C11">
        <v>1</v>
      </c>
    </row>
    <row r="12" spans="1:17">
      <c r="A12">
        <f t="shared" si="0"/>
        <v>8</v>
      </c>
      <c r="C12">
        <v>1</v>
      </c>
    </row>
    <row r="13" spans="1:17">
      <c r="A13">
        <f t="shared" si="0"/>
        <v>9</v>
      </c>
      <c r="C13">
        <v>1</v>
      </c>
    </row>
    <row r="14" spans="1:17">
      <c r="A14">
        <f t="shared" si="0"/>
        <v>10</v>
      </c>
      <c r="C14">
        <v>1</v>
      </c>
    </row>
    <row r="15" spans="1:17">
      <c r="A15">
        <f t="shared" si="0"/>
        <v>11</v>
      </c>
      <c r="C15">
        <v>1</v>
      </c>
    </row>
    <row r="16" spans="1:17">
      <c r="A16">
        <f t="shared" si="0"/>
        <v>12</v>
      </c>
      <c r="C16">
        <v>1</v>
      </c>
    </row>
    <row r="17" spans="1:13">
      <c r="A17">
        <f t="shared" si="0"/>
        <v>13</v>
      </c>
      <c r="C17">
        <v>1</v>
      </c>
      <c r="M17" s="24">
        <f t="shared" ref="M17:M22" si="1">(E17*I17+F17*J17+G17*K17+H17*L17)*$P$1</f>
        <v>0</v>
      </c>
    </row>
    <row r="18" spans="1:13">
      <c r="A18">
        <f t="shared" si="0"/>
        <v>14</v>
      </c>
      <c r="B18">
        <v>1</v>
      </c>
      <c r="C18">
        <v>1</v>
      </c>
      <c r="D18" s="23">
        <f>1/$P$3*$P$2*B18</f>
        <v>2518.7121212121215</v>
      </c>
      <c r="G18" s="24">
        <f>D18*1</f>
        <v>2518.7121212121215</v>
      </c>
      <c r="K18" s="24">
        <f>P5</f>
        <v>14.744444444444444</v>
      </c>
      <c r="M18" s="24">
        <f t="shared" si="1"/>
        <v>320.30671938131314</v>
      </c>
    </row>
    <row r="19" spans="1:13">
      <c r="A19">
        <f t="shared" si="0"/>
        <v>15</v>
      </c>
      <c r="B19">
        <v>1</v>
      </c>
      <c r="C19">
        <v>1</v>
      </c>
      <c r="D19" s="23">
        <f t="shared" ref="D19:D44" si="2">1/$P$3*$P$2*B19</f>
        <v>2518.7121212121215</v>
      </c>
      <c r="G19" s="24">
        <f t="shared" ref="G19:G31" si="3">D19*1</f>
        <v>2518.7121212121215</v>
      </c>
      <c r="K19" s="24">
        <f>K18-1</f>
        <v>13.744444444444444</v>
      </c>
      <c r="M19" s="24">
        <f t="shared" si="1"/>
        <v>298.58282733585861</v>
      </c>
    </row>
    <row r="20" spans="1:13">
      <c r="A20">
        <f t="shared" si="0"/>
        <v>16</v>
      </c>
      <c r="B20">
        <v>1</v>
      </c>
      <c r="C20">
        <v>1</v>
      </c>
      <c r="D20" s="23">
        <f t="shared" si="2"/>
        <v>2518.7121212121215</v>
      </c>
      <c r="G20" s="24">
        <f t="shared" si="3"/>
        <v>2518.7121212121215</v>
      </c>
      <c r="K20" s="24">
        <f t="shared" ref="K20:K31" si="4">K19-1</f>
        <v>12.744444444444444</v>
      </c>
      <c r="M20" s="24">
        <f t="shared" si="1"/>
        <v>276.85893529040408</v>
      </c>
    </row>
    <row r="21" spans="1:13">
      <c r="A21">
        <f t="shared" si="0"/>
        <v>17</v>
      </c>
      <c r="B21">
        <v>1</v>
      </c>
      <c r="C21">
        <v>1</v>
      </c>
      <c r="D21" s="23">
        <f t="shared" si="2"/>
        <v>2518.7121212121215</v>
      </c>
      <c r="G21" s="24">
        <f t="shared" si="3"/>
        <v>2518.7121212121215</v>
      </c>
      <c r="K21" s="24">
        <f t="shared" si="4"/>
        <v>11.744444444444444</v>
      </c>
      <c r="M21" s="24">
        <f t="shared" si="1"/>
        <v>255.13504324494951</v>
      </c>
    </row>
    <row r="22" spans="1:13">
      <c r="A22">
        <f t="shared" si="0"/>
        <v>18</v>
      </c>
      <c r="B22">
        <v>1</v>
      </c>
      <c r="C22">
        <v>1</v>
      </c>
      <c r="D22" s="23">
        <f t="shared" si="2"/>
        <v>2518.7121212121215</v>
      </c>
      <c r="G22" s="24">
        <f t="shared" si="3"/>
        <v>2518.7121212121215</v>
      </c>
      <c r="K22" s="24">
        <f t="shared" si="4"/>
        <v>10.744444444444444</v>
      </c>
      <c r="M22" s="24">
        <f t="shared" si="1"/>
        <v>233.41115119949498</v>
      </c>
    </row>
    <row r="23" spans="1:13">
      <c r="A23">
        <f t="shared" si="0"/>
        <v>19</v>
      </c>
      <c r="B23">
        <v>1</v>
      </c>
      <c r="C23">
        <v>1</v>
      </c>
      <c r="D23" s="23">
        <f t="shared" si="2"/>
        <v>2518.7121212121215</v>
      </c>
      <c r="G23" s="24">
        <f t="shared" si="3"/>
        <v>2518.7121212121215</v>
      </c>
      <c r="K23" s="24">
        <f t="shared" si="4"/>
        <v>9.7444444444444436</v>
      </c>
      <c r="M23" s="24">
        <f t="shared" ref="M23:M38" si="5">(E23*I23+F23*J23+G23*K23+H23*L23)*$P$1</f>
        <v>211.68725915404045</v>
      </c>
    </row>
    <row r="24" spans="1:13">
      <c r="A24">
        <f t="shared" si="0"/>
        <v>20</v>
      </c>
      <c r="B24">
        <v>1</v>
      </c>
      <c r="C24">
        <v>1</v>
      </c>
      <c r="D24" s="23">
        <f t="shared" si="2"/>
        <v>2518.7121212121215</v>
      </c>
      <c r="G24" s="24">
        <f t="shared" si="3"/>
        <v>2518.7121212121215</v>
      </c>
      <c r="K24" s="24">
        <f t="shared" si="4"/>
        <v>8.7444444444444436</v>
      </c>
      <c r="M24" s="24">
        <f t="shared" si="5"/>
        <v>189.96336710858586</v>
      </c>
    </row>
    <row r="25" spans="1:13">
      <c r="A25">
        <f t="shared" si="0"/>
        <v>21</v>
      </c>
      <c r="B25">
        <v>1</v>
      </c>
      <c r="C25">
        <v>1</v>
      </c>
      <c r="D25" s="23">
        <f t="shared" si="2"/>
        <v>2518.7121212121215</v>
      </c>
      <c r="G25" s="24">
        <f t="shared" si="3"/>
        <v>2518.7121212121215</v>
      </c>
      <c r="K25" s="24">
        <f t="shared" si="4"/>
        <v>7.7444444444444436</v>
      </c>
      <c r="M25" s="24">
        <f t="shared" si="5"/>
        <v>168.23947506313132</v>
      </c>
    </row>
    <row r="26" spans="1:13">
      <c r="A26">
        <f t="shared" si="0"/>
        <v>22</v>
      </c>
      <c r="B26">
        <v>1</v>
      </c>
      <c r="C26">
        <v>1</v>
      </c>
      <c r="D26" s="23">
        <f t="shared" si="2"/>
        <v>2518.7121212121215</v>
      </c>
      <c r="G26" s="24">
        <f t="shared" si="3"/>
        <v>2518.7121212121215</v>
      </c>
      <c r="K26" s="24">
        <f t="shared" si="4"/>
        <v>6.7444444444444436</v>
      </c>
      <c r="M26" s="24">
        <f t="shared" si="5"/>
        <v>146.51558301767679</v>
      </c>
    </row>
    <row r="27" spans="1:13">
      <c r="A27">
        <f t="shared" si="0"/>
        <v>23</v>
      </c>
      <c r="B27">
        <v>1</v>
      </c>
      <c r="C27">
        <v>1</v>
      </c>
      <c r="D27" s="23">
        <f t="shared" si="2"/>
        <v>2518.7121212121215</v>
      </c>
      <c r="G27" s="24">
        <f t="shared" si="3"/>
        <v>2518.7121212121215</v>
      </c>
      <c r="K27" s="24">
        <f t="shared" si="4"/>
        <v>5.7444444444444436</v>
      </c>
      <c r="M27" s="24">
        <f t="shared" si="5"/>
        <v>124.79169097222221</v>
      </c>
    </row>
    <row r="28" spans="1:13">
      <c r="A28">
        <f t="shared" si="0"/>
        <v>24</v>
      </c>
      <c r="B28">
        <v>1</v>
      </c>
      <c r="C28">
        <v>1</v>
      </c>
      <c r="D28" s="23">
        <f t="shared" si="2"/>
        <v>2518.7121212121215</v>
      </c>
      <c r="G28" s="24">
        <f t="shared" si="3"/>
        <v>2518.7121212121215</v>
      </c>
      <c r="K28" s="24">
        <f t="shared" si="4"/>
        <v>4.7444444444444436</v>
      </c>
      <c r="M28" s="24">
        <f t="shared" si="5"/>
        <v>103.06779892676768</v>
      </c>
    </row>
    <row r="29" spans="1:13">
      <c r="A29">
        <f t="shared" si="0"/>
        <v>25</v>
      </c>
      <c r="B29">
        <v>1</v>
      </c>
      <c r="C29">
        <v>1</v>
      </c>
      <c r="D29" s="23">
        <f t="shared" si="2"/>
        <v>2518.7121212121215</v>
      </c>
      <c r="G29" s="24">
        <f t="shared" si="3"/>
        <v>2518.7121212121215</v>
      </c>
      <c r="K29" s="24">
        <f t="shared" si="4"/>
        <v>3.7444444444444436</v>
      </c>
      <c r="M29" s="24">
        <f t="shared" si="5"/>
        <v>81.343906881313131</v>
      </c>
    </row>
    <row r="30" spans="1:13">
      <c r="A30">
        <f t="shared" si="0"/>
        <v>26</v>
      </c>
      <c r="B30">
        <v>1</v>
      </c>
      <c r="C30">
        <v>1</v>
      </c>
      <c r="D30" s="23">
        <f t="shared" si="2"/>
        <v>2518.7121212121215</v>
      </c>
      <c r="G30" s="24">
        <f t="shared" si="3"/>
        <v>2518.7121212121215</v>
      </c>
      <c r="K30" s="24">
        <f t="shared" si="4"/>
        <v>2.7444444444444436</v>
      </c>
      <c r="M30" s="24">
        <f t="shared" si="5"/>
        <v>59.620014835858576</v>
      </c>
    </row>
    <row r="31" spans="1:13">
      <c r="A31">
        <f t="shared" si="0"/>
        <v>27</v>
      </c>
      <c r="B31">
        <v>1</v>
      </c>
      <c r="C31">
        <v>1</v>
      </c>
      <c r="D31" s="23">
        <f t="shared" si="2"/>
        <v>2518.7121212121215</v>
      </c>
      <c r="G31" s="24">
        <f t="shared" si="3"/>
        <v>2518.7121212121215</v>
      </c>
      <c r="K31" s="24">
        <f t="shared" si="4"/>
        <v>1.7444444444444436</v>
      </c>
      <c r="M31" s="24">
        <f t="shared" si="5"/>
        <v>37.896122790404029</v>
      </c>
    </row>
    <row r="32" spans="1:13">
      <c r="A32">
        <f t="shared" si="0"/>
        <v>28</v>
      </c>
      <c r="B32">
        <v>1</v>
      </c>
      <c r="D32" s="23">
        <f t="shared" si="2"/>
        <v>2518.7121212121215</v>
      </c>
      <c r="M32" s="24">
        <f t="shared" si="5"/>
        <v>0</v>
      </c>
    </row>
    <row r="33" spans="1:13">
      <c r="A33">
        <f t="shared" si="0"/>
        <v>29</v>
      </c>
      <c r="B33">
        <v>1</v>
      </c>
      <c r="D33" s="23">
        <f t="shared" si="2"/>
        <v>2518.7121212121215</v>
      </c>
      <c r="M33" s="24">
        <f t="shared" si="5"/>
        <v>0</v>
      </c>
    </row>
    <row r="34" spans="1:13">
      <c r="A34">
        <f t="shared" si="0"/>
        <v>30</v>
      </c>
      <c r="B34">
        <v>1</v>
      </c>
      <c r="D34" s="23">
        <f t="shared" si="2"/>
        <v>2518.7121212121215</v>
      </c>
      <c r="M34" s="24">
        <f t="shared" si="5"/>
        <v>0</v>
      </c>
    </row>
    <row r="35" spans="1:13">
      <c r="A35">
        <f t="shared" si="0"/>
        <v>31</v>
      </c>
      <c r="B35">
        <v>1</v>
      </c>
      <c r="D35" s="23">
        <f t="shared" si="2"/>
        <v>2518.7121212121215</v>
      </c>
      <c r="M35" s="24">
        <f t="shared" si="5"/>
        <v>0</v>
      </c>
    </row>
    <row r="36" spans="1:13">
      <c r="A36">
        <f t="shared" si="0"/>
        <v>32</v>
      </c>
      <c r="B36">
        <v>1</v>
      </c>
      <c r="D36" s="23">
        <f t="shared" si="2"/>
        <v>2518.7121212121215</v>
      </c>
      <c r="M36" s="24">
        <f t="shared" si="5"/>
        <v>0</v>
      </c>
    </row>
    <row r="37" spans="1:13">
      <c r="A37">
        <f t="shared" si="0"/>
        <v>33</v>
      </c>
      <c r="B37">
        <v>1</v>
      </c>
      <c r="D37" s="23">
        <f t="shared" si="2"/>
        <v>2518.7121212121215</v>
      </c>
      <c r="M37" s="24">
        <f t="shared" si="5"/>
        <v>0</v>
      </c>
    </row>
    <row r="38" spans="1:13">
      <c r="A38">
        <f t="shared" si="0"/>
        <v>34</v>
      </c>
      <c r="B38">
        <v>1</v>
      </c>
      <c r="D38" s="23">
        <f t="shared" si="2"/>
        <v>2518.7121212121215</v>
      </c>
      <c r="M38" s="24">
        <f t="shared" si="5"/>
        <v>0</v>
      </c>
    </row>
    <row r="39" spans="1:13">
      <c r="A39">
        <f t="shared" si="0"/>
        <v>35</v>
      </c>
      <c r="B39">
        <v>1</v>
      </c>
      <c r="D39" s="23">
        <f t="shared" si="2"/>
        <v>2518.7121212121215</v>
      </c>
    </row>
    <row r="40" spans="1:13">
      <c r="A40">
        <f t="shared" si="0"/>
        <v>36</v>
      </c>
      <c r="B40">
        <v>1</v>
      </c>
      <c r="D40" s="23">
        <f t="shared" si="2"/>
        <v>2518.7121212121215</v>
      </c>
    </row>
    <row r="41" spans="1:13">
      <c r="A41">
        <f t="shared" si="0"/>
        <v>37</v>
      </c>
      <c r="B41">
        <v>1</v>
      </c>
      <c r="D41" s="23">
        <f t="shared" si="2"/>
        <v>2518.7121212121215</v>
      </c>
    </row>
    <row r="42" spans="1:13">
      <c r="A42">
        <f t="shared" si="0"/>
        <v>38</v>
      </c>
      <c r="B42">
        <v>1</v>
      </c>
      <c r="D42" s="23">
        <f t="shared" si="2"/>
        <v>2518.7121212121215</v>
      </c>
    </row>
    <row r="43" spans="1:13">
      <c r="A43">
        <f t="shared" si="0"/>
        <v>39</v>
      </c>
      <c r="B43">
        <v>1</v>
      </c>
      <c r="D43" s="23">
        <f t="shared" si="2"/>
        <v>2518.7121212121215</v>
      </c>
    </row>
    <row r="44" spans="1:13">
      <c r="A44">
        <f t="shared" si="0"/>
        <v>40</v>
      </c>
      <c r="B44">
        <v>0.4</v>
      </c>
      <c r="D44" s="23">
        <f t="shared" si="2"/>
        <v>1007.4848484848486</v>
      </c>
    </row>
    <row r="88" spans="1:13">
      <c r="A88" s="28">
        <f>COUNT(A5:A87)</f>
        <v>40</v>
      </c>
      <c r="B88" s="28">
        <f>SUM(B13:B87)</f>
        <v>26.4</v>
      </c>
      <c r="C88" s="28">
        <f>SUM(C5:C87)</f>
        <v>27</v>
      </c>
      <c r="D88" s="29"/>
      <c r="E88" s="29">
        <f>SUM(E5:E87)</f>
        <v>0</v>
      </c>
      <c r="F88" s="29">
        <f t="shared" ref="F88:G88" si="6">SUM(F5:F87)</f>
        <v>0</v>
      </c>
      <c r="G88" s="29">
        <f t="shared" si="6"/>
        <v>35261.969696969696</v>
      </c>
      <c r="H88" s="29">
        <f>SUM(H5:H87)</f>
        <v>0</v>
      </c>
      <c r="I88" s="29"/>
      <c r="J88" s="29"/>
      <c r="K88" s="29"/>
      <c r="L88" s="29"/>
      <c r="M88" s="29">
        <f>SUM(M5:M87)</f>
        <v>2507.4198952020201</v>
      </c>
    </row>
    <row r="89" spans="1:13">
      <c r="E89" s="25">
        <f>SUM(E88:H88)</f>
        <v>35261.969696969696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89"/>
  <sheetViews>
    <sheetView workbookViewId="0"/>
  </sheetViews>
  <sheetFormatPr defaultRowHeight="13.8"/>
  <sheetData>
    <row r="1" spans="1:19">
      <c r="A1" t="s">
        <v>742</v>
      </c>
      <c r="B1" t="s">
        <v>744</v>
      </c>
      <c r="C1" t="s">
        <v>765</v>
      </c>
      <c r="D1" s="23" t="s">
        <v>743</v>
      </c>
      <c r="I1" s="24" t="s">
        <v>750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J2" s="24" t="s">
        <v>751</v>
      </c>
      <c r="O2" s="26" t="s">
        <v>754</v>
      </c>
      <c r="P2" s="27">
        <f>VIPcric_3!D4</f>
        <v>7893</v>
      </c>
      <c r="Q2" s="27" t="s">
        <v>755</v>
      </c>
    </row>
    <row r="3" spans="1:19">
      <c r="G3" s="24" t="s">
        <v>771</v>
      </c>
      <c r="K3" s="24" t="s">
        <v>752</v>
      </c>
      <c r="O3" s="26" t="s">
        <v>738</v>
      </c>
      <c r="P3" s="27">
        <f>VIPcric_3!E4</f>
        <v>11.5</v>
      </c>
      <c r="Q3" s="27" t="s">
        <v>756</v>
      </c>
    </row>
    <row r="4" spans="1:19">
      <c r="H4" s="24" t="s">
        <v>772</v>
      </c>
      <c r="L4" s="24" t="s">
        <v>753</v>
      </c>
      <c r="O4" s="26" t="s">
        <v>767</v>
      </c>
      <c r="P4" s="30">
        <f>(10+19+150+605*1.05)/30</f>
        <v>27.141666666666666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O5" s="26" t="s">
        <v>768</v>
      </c>
      <c r="P5" s="30">
        <f>(10+19+150+(605*1.05-P7*30)/3)/30</f>
        <v>10.691666666666666</v>
      </c>
      <c r="Q5" s="27" t="s">
        <v>758</v>
      </c>
    </row>
    <row r="6" spans="1:19">
      <c r="A6">
        <f t="shared" ref="A6:A31" si="0">ROW()-4</f>
        <v>2</v>
      </c>
      <c r="C6">
        <v>1</v>
      </c>
      <c r="O6" s="26" t="s">
        <v>757</v>
      </c>
      <c r="P6" s="30">
        <f>(10+19+150+605*1.05-P7*30)/30</f>
        <v>20.141666666666666</v>
      </c>
      <c r="Q6" s="27" t="s">
        <v>758</v>
      </c>
    </row>
    <row r="7" spans="1:19">
      <c r="A7">
        <f t="shared" si="0"/>
        <v>3</v>
      </c>
      <c r="C7">
        <v>1</v>
      </c>
      <c r="O7" s="26" t="s">
        <v>759</v>
      </c>
      <c r="P7" s="27">
        <v>7</v>
      </c>
      <c r="Q7" s="27" t="s">
        <v>758</v>
      </c>
    </row>
    <row r="8" spans="1:19">
      <c r="A8">
        <f t="shared" si="0"/>
        <v>4</v>
      </c>
      <c r="C8">
        <v>1</v>
      </c>
      <c r="M8" s="24">
        <f t="shared" ref="M8:M22" si="1">(E8*I8+F8*J8+G8*K8+H8*L8)*$P$1</f>
        <v>0</v>
      </c>
      <c r="O8" s="27" t="s">
        <v>760</v>
      </c>
      <c r="P8" s="27">
        <v>2</v>
      </c>
      <c r="Q8" s="27" t="s">
        <v>758</v>
      </c>
    </row>
    <row r="9" spans="1:19">
      <c r="A9">
        <f t="shared" si="0"/>
        <v>5</v>
      </c>
      <c r="C9">
        <v>1</v>
      </c>
      <c r="M9" s="24">
        <f t="shared" si="1"/>
        <v>0</v>
      </c>
      <c r="O9" s="26" t="s">
        <v>761</v>
      </c>
      <c r="P9" s="27">
        <v>8</v>
      </c>
      <c r="Q9" s="27" t="s">
        <v>758</v>
      </c>
    </row>
    <row r="10" spans="1:19">
      <c r="A10">
        <f t="shared" si="0"/>
        <v>6</v>
      </c>
      <c r="C10">
        <v>1</v>
      </c>
      <c r="M10" s="24">
        <f t="shared" si="1"/>
        <v>0</v>
      </c>
      <c r="O10" s="27" t="s">
        <v>773</v>
      </c>
      <c r="P10" s="32">
        <v>0.15</v>
      </c>
      <c r="Q10" s="27"/>
    </row>
    <row r="11" spans="1:19">
      <c r="A11">
        <f t="shared" si="0"/>
        <v>7</v>
      </c>
      <c r="C11">
        <v>1</v>
      </c>
      <c r="M11" s="24">
        <f t="shared" si="1"/>
        <v>0</v>
      </c>
    </row>
    <row r="12" spans="1:19">
      <c r="A12">
        <f t="shared" si="0"/>
        <v>8</v>
      </c>
      <c r="C12">
        <v>1</v>
      </c>
      <c r="M12" s="24">
        <f t="shared" si="1"/>
        <v>0</v>
      </c>
    </row>
    <row r="13" spans="1:19">
      <c r="A13">
        <f t="shared" si="0"/>
        <v>9</v>
      </c>
      <c r="C13">
        <v>1</v>
      </c>
      <c r="M13" s="24">
        <f t="shared" si="1"/>
        <v>0</v>
      </c>
    </row>
    <row r="14" spans="1:19">
      <c r="A14">
        <f t="shared" si="0"/>
        <v>10</v>
      </c>
      <c r="C14">
        <v>1</v>
      </c>
      <c r="M14" s="24">
        <f t="shared" si="1"/>
        <v>0</v>
      </c>
    </row>
    <row r="15" spans="1:19">
      <c r="A15">
        <f t="shared" si="0"/>
        <v>11</v>
      </c>
      <c r="B15">
        <v>1</v>
      </c>
      <c r="C15">
        <v>1</v>
      </c>
      <c r="D15" s="23">
        <f t="shared" ref="D15:D22" si="2">1/$P$3*$P$2</f>
        <v>686.3478260869565</v>
      </c>
      <c r="G15" s="24">
        <f>D15*15%*50%</f>
        <v>51.476086956521733</v>
      </c>
      <c r="H15" s="24">
        <f>D15*15%*50%</f>
        <v>51.476086956521733</v>
      </c>
      <c r="K15" s="24">
        <v>17</v>
      </c>
      <c r="L15" s="24">
        <f>17+8</f>
        <v>25</v>
      </c>
      <c r="M15" s="24">
        <f t="shared" si="1"/>
        <v>18.647212499999998</v>
      </c>
    </row>
    <row r="16" spans="1:19">
      <c r="A16">
        <f t="shared" si="0"/>
        <v>12</v>
      </c>
      <c r="B16">
        <v>1</v>
      </c>
      <c r="C16">
        <v>1</v>
      </c>
      <c r="D16" s="23">
        <f t="shared" si="2"/>
        <v>686.3478260869565</v>
      </c>
      <c r="G16" s="24">
        <f t="shared" ref="G16:G31" si="3">D16*15%*50%</f>
        <v>51.476086956521733</v>
      </c>
      <c r="H16" s="24">
        <f t="shared" ref="H16:H39" si="4">D16*15%*50%</f>
        <v>51.476086956521733</v>
      </c>
      <c r="K16" s="24">
        <f>K15-1</f>
        <v>16</v>
      </c>
      <c r="L16" s="24">
        <f>L15-1</f>
        <v>24</v>
      </c>
      <c r="M16" s="24">
        <f t="shared" si="1"/>
        <v>17.759250000000002</v>
      </c>
    </row>
    <row r="17" spans="1:13">
      <c r="A17">
        <f t="shared" si="0"/>
        <v>13</v>
      </c>
      <c r="B17">
        <v>1</v>
      </c>
      <c r="C17">
        <v>1</v>
      </c>
      <c r="D17" s="23">
        <f t="shared" si="2"/>
        <v>686.3478260869565</v>
      </c>
      <c r="G17" s="24">
        <f t="shared" si="3"/>
        <v>51.476086956521733</v>
      </c>
      <c r="H17" s="24">
        <f t="shared" si="4"/>
        <v>51.476086956521733</v>
      </c>
      <c r="K17" s="24">
        <f t="shared" ref="K17:K31" si="5">K16-1</f>
        <v>15</v>
      </c>
      <c r="L17" s="24">
        <f t="shared" ref="L17:L39" si="6">L16-1</f>
        <v>23</v>
      </c>
      <c r="M17" s="24">
        <f t="shared" si="1"/>
        <v>16.871287499999998</v>
      </c>
    </row>
    <row r="18" spans="1:13">
      <c r="A18">
        <f t="shared" si="0"/>
        <v>14</v>
      </c>
      <c r="B18">
        <v>1</v>
      </c>
      <c r="C18">
        <v>1</v>
      </c>
      <c r="D18" s="23">
        <f t="shared" si="2"/>
        <v>686.3478260869565</v>
      </c>
      <c r="G18" s="24">
        <f t="shared" si="3"/>
        <v>51.476086956521733</v>
      </c>
      <c r="H18" s="24">
        <f t="shared" si="4"/>
        <v>51.476086956521733</v>
      </c>
      <c r="K18" s="24">
        <f t="shared" si="5"/>
        <v>14</v>
      </c>
      <c r="L18" s="24">
        <f t="shared" si="6"/>
        <v>22</v>
      </c>
      <c r="M18" s="24">
        <f t="shared" si="1"/>
        <v>15.983325000000001</v>
      </c>
    </row>
    <row r="19" spans="1:13">
      <c r="A19">
        <f t="shared" si="0"/>
        <v>15</v>
      </c>
      <c r="B19">
        <v>1</v>
      </c>
      <c r="C19">
        <v>1</v>
      </c>
      <c r="D19" s="23">
        <f t="shared" si="2"/>
        <v>686.3478260869565</v>
      </c>
      <c r="G19" s="24">
        <f t="shared" si="3"/>
        <v>51.476086956521733</v>
      </c>
      <c r="H19" s="24">
        <f t="shared" si="4"/>
        <v>51.476086956521733</v>
      </c>
      <c r="K19" s="24">
        <f t="shared" si="5"/>
        <v>13</v>
      </c>
      <c r="L19" s="24">
        <f t="shared" si="6"/>
        <v>21</v>
      </c>
      <c r="M19" s="24">
        <f t="shared" si="1"/>
        <v>15.0953625</v>
      </c>
    </row>
    <row r="20" spans="1:13">
      <c r="A20">
        <f t="shared" si="0"/>
        <v>16</v>
      </c>
      <c r="B20">
        <v>1</v>
      </c>
      <c r="C20">
        <v>1</v>
      </c>
      <c r="D20" s="23">
        <f t="shared" si="2"/>
        <v>686.3478260869565</v>
      </c>
      <c r="G20" s="24">
        <f t="shared" si="3"/>
        <v>51.476086956521733</v>
      </c>
      <c r="H20" s="24">
        <f t="shared" si="4"/>
        <v>51.476086956521733</v>
      </c>
      <c r="K20" s="24">
        <f t="shared" si="5"/>
        <v>12</v>
      </c>
      <c r="L20" s="24">
        <f t="shared" si="6"/>
        <v>20</v>
      </c>
      <c r="M20" s="24">
        <f t="shared" si="1"/>
        <v>14.207400000000002</v>
      </c>
    </row>
    <row r="21" spans="1:13">
      <c r="A21">
        <f t="shared" si="0"/>
        <v>17</v>
      </c>
      <c r="B21">
        <v>1</v>
      </c>
      <c r="C21">
        <v>1</v>
      </c>
      <c r="D21" s="23">
        <f t="shared" si="2"/>
        <v>686.3478260869565</v>
      </c>
      <c r="G21" s="24">
        <f t="shared" si="3"/>
        <v>51.476086956521733</v>
      </c>
      <c r="H21" s="24">
        <f t="shared" si="4"/>
        <v>51.476086956521733</v>
      </c>
      <c r="K21" s="24">
        <f t="shared" si="5"/>
        <v>11</v>
      </c>
      <c r="L21" s="24">
        <f t="shared" si="6"/>
        <v>19</v>
      </c>
      <c r="M21" s="24">
        <f t="shared" si="1"/>
        <v>13.319437499999999</v>
      </c>
    </row>
    <row r="22" spans="1:13">
      <c r="A22">
        <f t="shared" si="0"/>
        <v>18</v>
      </c>
      <c r="B22">
        <v>1</v>
      </c>
      <c r="C22">
        <v>1</v>
      </c>
      <c r="D22" s="23">
        <f t="shared" si="2"/>
        <v>686.3478260869565</v>
      </c>
      <c r="G22" s="24">
        <f t="shared" si="3"/>
        <v>51.476086956521733</v>
      </c>
      <c r="H22" s="24">
        <f t="shared" si="4"/>
        <v>51.476086956521733</v>
      </c>
      <c r="K22" s="24">
        <f t="shared" si="5"/>
        <v>10</v>
      </c>
      <c r="L22" s="24">
        <f t="shared" si="6"/>
        <v>18</v>
      </c>
      <c r="M22" s="24">
        <f t="shared" si="1"/>
        <v>12.431475000000001</v>
      </c>
    </row>
    <row r="23" spans="1:13">
      <c r="A23">
        <f t="shared" si="0"/>
        <v>19</v>
      </c>
      <c r="B23">
        <v>1</v>
      </c>
      <c r="C23">
        <v>1</v>
      </c>
      <c r="D23" s="23">
        <f t="shared" ref="D23:D26" si="7">1/$P$3*$P$2</f>
        <v>686.3478260869565</v>
      </c>
      <c r="G23" s="24">
        <f t="shared" si="3"/>
        <v>51.476086956521733</v>
      </c>
      <c r="H23" s="24">
        <f t="shared" si="4"/>
        <v>51.476086956521733</v>
      </c>
      <c r="K23" s="24">
        <f t="shared" si="5"/>
        <v>9</v>
      </c>
      <c r="L23" s="24">
        <f t="shared" si="6"/>
        <v>17</v>
      </c>
      <c r="M23" s="24">
        <f t="shared" ref="M23:M39" si="8">(E23*I23+F23*J23+G23*K23+H23*L23)*$P$1</f>
        <v>11.5435125</v>
      </c>
    </row>
    <row r="24" spans="1:13">
      <c r="A24">
        <f t="shared" si="0"/>
        <v>20</v>
      </c>
      <c r="B24">
        <v>1</v>
      </c>
      <c r="C24">
        <v>1</v>
      </c>
      <c r="D24" s="23">
        <f t="shared" si="7"/>
        <v>686.3478260869565</v>
      </c>
      <c r="G24" s="24">
        <f t="shared" si="3"/>
        <v>51.476086956521733</v>
      </c>
      <c r="H24" s="24">
        <f t="shared" si="4"/>
        <v>51.476086956521733</v>
      </c>
      <c r="K24" s="24">
        <f t="shared" si="5"/>
        <v>8</v>
      </c>
      <c r="L24" s="24">
        <f t="shared" si="6"/>
        <v>16</v>
      </c>
      <c r="M24" s="24">
        <f t="shared" si="8"/>
        <v>10.65555</v>
      </c>
    </row>
    <row r="25" spans="1:13">
      <c r="A25">
        <f t="shared" si="0"/>
        <v>21</v>
      </c>
      <c r="B25">
        <v>1</v>
      </c>
      <c r="C25">
        <v>1</v>
      </c>
      <c r="D25" s="23">
        <f t="shared" si="7"/>
        <v>686.3478260869565</v>
      </c>
      <c r="G25" s="24">
        <f t="shared" si="3"/>
        <v>51.476086956521733</v>
      </c>
      <c r="H25" s="24">
        <f t="shared" si="4"/>
        <v>51.476086956521733</v>
      </c>
      <c r="K25" s="24">
        <f t="shared" si="5"/>
        <v>7</v>
      </c>
      <c r="L25" s="24">
        <f t="shared" si="6"/>
        <v>15</v>
      </c>
      <c r="M25" s="24">
        <f t="shared" si="8"/>
        <v>9.7675875000000012</v>
      </c>
    </row>
    <row r="26" spans="1:13">
      <c r="A26">
        <f t="shared" si="0"/>
        <v>22</v>
      </c>
      <c r="B26">
        <v>0.5</v>
      </c>
      <c r="C26">
        <v>1</v>
      </c>
      <c r="D26" s="23">
        <f t="shared" si="7"/>
        <v>686.3478260869565</v>
      </c>
      <c r="G26" s="24">
        <f t="shared" si="3"/>
        <v>51.476086956521733</v>
      </c>
      <c r="H26" s="24">
        <f t="shared" si="4"/>
        <v>51.476086956521733</v>
      </c>
      <c r="K26" s="24">
        <f t="shared" si="5"/>
        <v>6</v>
      </c>
      <c r="L26" s="24">
        <f t="shared" si="6"/>
        <v>14</v>
      </c>
      <c r="M26" s="24">
        <f t="shared" si="8"/>
        <v>8.8796250000000008</v>
      </c>
    </row>
    <row r="27" spans="1:13">
      <c r="A27">
        <f t="shared" si="0"/>
        <v>23</v>
      </c>
      <c r="C27">
        <v>1</v>
      </c>
      <c r="G27" s="24">
        <f t="shared" si="3"/>
        <v>0</v>
      </c>
      <c r="H27" s="24">
        <f t="shared" si="4"/>
        <v>0</v>
      </c>
      <c r="K27" s="24">
        <f t="shared" si="5"/>
        <v>5</v>
      </c>
      <c r="L27" s="24">
        <f t="shared" si="6"/>
        <v>13</v>
      </c>
      <c r="M27" s="24">
        <f t="shared" si="8"/>
        <v>0</v>
      </c>
    </row>
    <row r="28" spans="1:13">
      <c r="A28">
        <f t="shared" si="0"/>
        <v>24</v>
      </c>
      <c r="C28">
        <v>1</v>
      </c>
      <c r="G28" s="24">
        <f t="shared" si="3"/>
        <v>0</v>
      </c>
      <c r="H28" s="24">
        <f t="shared" si="4"/>
        <v>0</v>
      </c>
      <c r="K28" s="24">
        <f t="shared" si="5"/>
        <v>4</v>
      </c>
      <c r="L28" s="24">
        <f t="shared" si="6"/>
        <v>12</v>
      </c>
      <c r="M28" s="24">
        <f t="shared" si="8"/>
        <v>0</v>
      </c>
    </row>
    <row r="29" spans="1:13">
      <c r="A29">
        <f t="shared" si="0"/>
        <v>25</v>
      </c>
      <c r="C29">
        <v>1</v>
      </c>
      <c r="G29" s="24">
        <f t="shared" si="3"/>
        <v>0</v>
      </c>
      <c r="H29" s="24">
        <f t="shared" si="4"/>
        <v>0</v>
      </c>
      <c r="K29" s="24">
        <f t="shared" si="5"/>
        <v>3</v>
      </c>
      <c r="L29" s="24">
        <f t="shared" si="6"/>
        <v>11</v>
      </c>
      <c r="M29" s="24">
        <f t="shared" si="8"/>
        <v>0</v>
      </c>
    </row>
    <row r="30" spans="1:13">
      <c r="A30">
        <f t="shared" si="0"/>
        <v>26</v>
      </c>
      <c r="C30">
        <v>1</v>
      </c>
      <c r="G30" s="24">
        <f t="shared" si="3"/>
        <v>0</v>
      </c>
      <c r="H30" s="24">
        <f t="shared" si="4"/>
        <v>0</v>
      </c>
      <c r="K30" s="24">
        <f t="shared" si="5"/>
        <v>2</v>
      </c>
      <c r="L30" s="24">
        <f t="shared" si="6"/>
        <v>10</v>
      </c>
      <c r="M30" s="24">
        <f t="shared" si="8"/>
        <v>0</v>
      </c>
    </row>
    <row r="31" spans="1:13">
      <c r="A31">
        <f t="shared" si="0"/>
        <v>27</v>
      </c>
      <c r="C31">
        <v>1</v>
      </c>
      <c r="G31" s="24">
        <f t="shared" si="3"/>
        <v>0</v>
      </c>
      <c r="H31" s="24">
        <f t="shared" si="4"/>
        <v>0</v>
      </c>
      <c r="K31" s="24">
        <f t="shared" si="5"/>
        <v>1</v>
      </c>
      <c r="L31" s="24">
        <f t="shared" si="6"/>
        <v>9</v>
      </c>
      <c r="M31" s="24">
        <f t="shared" si="8"/>
        <v>0</v>
      </c>
    </row>
    <row r="32" spans="1:13">
      <c r="H32" s="24">
        <f t="shared" si="4"/>
        <v>0</v>
      </c>
      <c r="L32" s="24">
        <f t="shared" si="6"/>
        <v>8</v>
      </c>
      <c r="M32" s="24">
        <f t="shared" si="8"/>
        <v>0</v>
      </c>
    </row>
    <row r="33" spans="8:13">
      <c r="H33" s="24">
        <f t="shared" si="4"/>
        <v>0</v>
      </c>
      <c r="L33" s="24">
        <f t="shared" si="6"/>
        <v>7</v>
      </c>
      <c r="M33" s="24">
        <f t="shared" si="8"/>
        <v>0</v>
      </c>
    </row>
    <row r="34" spans="8:13">
      <c r="H34" s="24">
        <f t="shared" si="4"/>
        <v>0</v>
      </c>
      <c r="L34" s="24">
        <f t="shared" si="6"/>
        <v>6</v>
      </c>
      <c r="M34" s="24">
        <f t="shared" si="8"/>
        <v>0</v>
      </c>
    </row>
    <row r="35" spans="8:13">
      <c r="H35" s="24">
        <f t="shared" si="4"/>
        <v>0</v>
      </c>
      <c r="L35" s="24">
        <f t="shared" si="6"/>
        <v>5</v>
      </c>
      <c r="M35" s="24">
        <f t="shared" si="8"/>
        <v>0</v>
      </c>
    </row>
    <row r="36" spans="8:13">
      <c r="H36" s="24">
        <f t="shared" si="4"/>
        <v>0</v>
      </c>
      <c r="L36" s="24">
        <f t="shared" si="6"/>
        <v>4</v>
      </c>
      <c r="M36" s="24">
        <f t="shared" si="8"/>
        <v>0</v>
      </c>
    </row>
    <row r="37" spans="8:13">
      <c r="H37" s="24">
        <f t="shared" si="4"/>
        <v>0</v>
      </c>
      <c r="L37" s="24">
        <f t="shared" si="6"/>
        <v>3</v>
      </c>
      <c r="M37" s="24">
        <f t="shared" si="8"/>
        <v>0</v>
      </c>
    </row>
    <row r="38" spans="8:13">
      <c r="H38" s="24">
        <f t="shared" si="4"/>
        <v>0</v>
      </c>
      <c r="L38" s="24">
        <f t="shared" si="6"/>
        <v>2</v>
      </c>
      <c r="M38" s="24">
        <f t="shared" si="8"/>
        <v>0</v>
      </c>
    </row>
    <row r="39" spans="8:13">
      <c r="H39" s="24">
        <f t="shared" si="4"/>
        <v>0</v>
      </c>
      <c r="L39" s="24">
        <f t="shared" si="6"/>
        <v>1</v>
      </c>
      <c r="M39" s="24">
        <f t="shared" si="8"/>
        <v>0</v>
      </c>
    </row>
    <row r="88" spans="1:13">
      <c r="A88" s="28">
        <f>COUNT(A5:A87)</f>
        <v>27</v>
      </c>
      <c r="B88" s="28">
        <f>SUM(B13:B87)</f>
        <v>11.5</v>
      </c>
      <c r="C88" s="28">
        <f>SUM(C5:C87)</f>
        <v>27</v>
      </c>
      <c r="D88" s="29"/>
      <c r="E88" s="29">
        <f>SUM(E5:E87)</f>
        <v>0</v>
      </c>
      <c r="F88" s="29">
        <f t="shared" ref="F88:H88" si="9">SUM(F5:F87)</f>
        <v>0</v>
      </c>
      <c r="G88" s="29">
        <f>SUM(G5:G87)</f>
        <v>617.71304347826083</v>
      </c>
      <c r="H88" s="29">
        <f t="shared" si="9"/>
        <v>617.71304347826083</v>
      </c>
      <c r="I88" s="29"/>
      <c r="J88" s="29"/>
      <c r="K88" s="29"/>
      <c r="L88" s="29"/>
      <c r="M88" s="29">
        <f>SUM(M5:M87)</f>
        <v>165.161025</v>
      </c>
    </row>
    <row r="89" spans="1:13">
      <c r="E89" s="25">
        <f>SUM(E88:H88)</f>
        <v>1235.4260869565217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814</v>
      </c>
      <c r="E1" s="23" t="s">
        <v>743</v>
      </c>
      <c r="F1" s="24" t="s">
        <v>815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816</v>
      </c>
      <c r="K2" s="24" t="s">
        <v>751</v>
      </c>
      <c r="P2" s="26" t="s">
        <v>754</v>
      </c>
      <c r="Q2" s="27">
        <f>VIPcric_3!D15</f>
        <v>8624</v>
      </c>
      <c r="R2" s="27" t="s">
        <v>755</v>
      </c>
    </row>
    <row r="3" spans="1:20">
      <c r="H3" s="24" t="s">
        <v>817</v>
      </c>
      <c r="L3" s="24" t="s">
        <v>752</v>
      </c>
      <c r="P3" s="26" t="s">
        <v>738</v>
      </c>
      <c r="Q3" s="27">
        <f>VIPcric_3!E15</f>
        <v>22.4</v>
      </c>
      <c r="R3" s="27" t="s">
        <v>756</v>
      </c>
    </row>
    <row r="4" spans="1:20">
      <c r="I4" s="24" t="s">
        <v>818</v>
      </c>
      <c r="M4" s="24" t="s">
        <v>753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(10+19+150+(605*1.05-Q7*30)/3)/30</f>
        <v>10.358333333333333</v>
      </c>
      <c r="R5" s="27" t="s">
        <v>758</v>
      </c>
    </row>
    <row r="6" spans="1:20">
      <c r="A6">
        <f t="shared" ref="A6:A47" si="0">ROW()-4</f>
        <v>2</v>
      </c>
      <c r="C6">
        <v>1</v>
      </c>
      <c r="P6" s="26" t="s">
        <v>757</v>
      </c>
      <c r="Q6" s="30">
        <f>(10+19+150+605*1.05-Q7*30)/30</f>
        <v>19.141666666666666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8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ref="N8:N70" si="1">(F8*J8+G8*K8+H8*L8+I8*M8)*$Q$1</f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12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7" t="s">
        <v>773</v>
      </c>
      <c r="Q10" s="32">
        <v>0.2</v>
      </c>
      <c r="R10" s="27">
        <f>Q2*Q10</f>
        <v>1724.8000000000002</v>
      </c>
    </row>
    <row r="11" spans="1:20">
      <c r="A11">
        <f t="shared" si="0"/>
        <v>7</v>
      </c>
      <c r="C11">
        <v>1</v>
      </c>
      <c r="N11" s="24">
        <f t="shared" si="1"/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B15">
        <v>1</v>
      </c>
      <c r="C15">
        <v>1</v>
      </c>
      <c r="E15" s="23">
        <f t="shared" ref="E15:E37" si="2">1/$Q$3*$Q$2</f>
        <v>385</v>
      </c>
      <c r="N15" s="24">
        <f t="shared" si="1"/>
        <v>0</v>
      </c>
    </row>
    <row r="16" spans="1:20">
      <c r="A16">
        <f t="shared" si="0"/>
        <v>12</v>
      </c>
      <c r="B16">
        <v>1</v>
      </c>
      <c r="C16">
        <v>1</v>
      </c>
      <c r="E16" s="23">
        <f t="shared" si="2"/>
        <v>385</v>
      </c>
      <c r="N16" s="24">
        <f t="shared" si="1"/>
        <v>0</v>
      </c>
    </row>
    <row r="17" spans="1:14">
      <c r="A17">
        <f t="shared" si="0"/>
        <v>13</v>
      </c>
      <c r="B17">
        <v>1</v>
      </c>
      <c r="C17">
        <v>1</v>
      </c>
      <c r="E17" s="23">
        <f t="shared" si="2"/>
        <v>385</v>
      </c>
      <c r="N17" s="24">
        <f t="shared" si="1"/>
        <v>0</v>
      </c>
    </row>
    <row r="18" spans="1:14">
      <c r="A18">
        <f t="shared" si="0"/>
        <v>14</v>
      </c>
      <c r="B18">
        <v>1</v>
      </c>
      <c r="C18">
        <v>1</v>
      </c>
      <c r="E18" s="23">
        <f t="shared" si="2"/>
        <v>385</v>
      </c>
      <c r="N18" s="24">
        <f t="shared" si="1"/>
        <v>0</v>
      </c>
    </row>
    <row r="19" spans="1:14">
      <c r="A19">
        <f t="shared" si="0"/>
        <v>15</v>
      </c>
      <c r="B19">
        <v>1</v>
      </c>
      <c r="C19">
        <v>1</v>
      </c>
      <c r="E19" s="23">
        <f t="shared" si="2"/>
        <v>385</v>
      </c>
      <c r="F19" s="24">
        <f>$R$10*20%</f>
        <v>344.96000000000004</v>
      </c>
      <c r="G19" s="24">
        <f>$R$10*30%</f>
        <v>517.44000000000005</v>
      </c>
      <c r="H19" s="24">
        <f>$R$10*(99%-50%)</f>
        <v>845.15200000000004</v>
      </c>
      <c r="I19" s="24">
        <f>$R$10*1%</f>
        <v>17.248000000000001</v>
      </c>
      <c r="J19" s="24">
        <v>1</v>
      </c>
      <c r="K19" s="24">
        <v>1</v>
      </c>
      <c r="L19" s="24">
        <v>1</v>
      </c>
      <c r="M19" s="24">
        <v>1</v>
      </c>
      <c r="N19" s="24">
        <f>(F19*J19+G19*K19+H19*L19+I19*M19)*$Q$1</f>
        <v>14.876400000000002</v>
      </c>
    </row>
    <row r="20" spans="1:14">
      <c r="A20">
        <f t="shared" si="0"/>
        <v>16</v>
      </c>
      <c r="B20">
        <v>1</v>
      </c>
      <c r="C20">
        <v>1</v>
      </c>
      <c r="E20" s="23">
        <f t="shared" si="2"/>
        <v>385</v>
      </c>
      <c r="G20" s="24">
        <f>G19</f>
        <v>517.44000000000005</v>
      </c>
      <c r="H20" s="24">
        <f>H19</f>
        <v>845.15200000000004</v>
      </c>
      <c r="I20" s="24">
        <f>I19</f>
        <v>17.248000000000001</v>
      </c>
      <c r="K20" s="24">
        <v>1</v>
      </c>
      <c r="L20" s="24">
        <v>1</v>
      </c>
      <c r="M20" s="24">
        <v>1</v>
      </c>
      <c r="N20" s="24">
        <f t="shared" si="1"/>
        <v>11.901120000000002</v>
      </c>
    </row>
    <row r="21" spans="1:14">
      <c r="A21">
        <f t="shared" si="0"/>
        <v>17</v>
      </c>
      <c r="B21">
        <v>1</v>
      </c>
      <c r="C21">
        <v>1</v>
      </c>
      <c r="E21" s="23">
        <f t="shared" si="2"/>
        <v>385</v>
      </c>
      <c r="G21" s="24">
        <f>G20</f>
        <v>517.44000000000005</v>
      </c>
      <c r="H21" s="24">
        <f>H20</f>
        <v>845.15200000000004</v>
      </c>
      <c r="I21" s="24">
        <f t="shared" ref="I21:I43" si="3">I20</f>
        <v>17.248000000000001</v>
      </c>
      <c r="K21" s="24">
        <v>1</v>
      </c>
      <c r="L21" s="24">
        <v>1</v>
      </c>
      <c r="M21" s="24">
        <v>1</v>
      </c>
      <c r="N21" s="24">
        <f t="shared" si="1"/>
        <v>11.901120000000002</v>
      </c>
    </row>
    <row r="22" spans="1:14">
      <c r="A22">
        <f t="shared" si="0"/>
        <v>18</v>
      </c>
      <c r="B22">
        <v>1</v>
      </c>
      <c r="C22">
        <v>1</v>
      </c>
      <c r="E22" s="23">
        <f t="shared" si="2"/>
        <v>385</v>
      </c>
      <c r="H22" s="24">
        <f t="shared" ref="H22:H29" si="4">H21</f>
        <v>845.15200000000004</v>
      </c>
      <c r="I22" s="24">
        <f t="shared" si="3"/>
        <v>17.248000000000001</v>
      </c>
      <c r="L22" s="24">
        <v>1</v>
      </c>
      <c r="M22" s="24">
        <v>1</v>
      </c>
      <c r="N22" s="24">
        <f t="shared" si="1"/>
        <v>7.438200000000001</v>
      </c>
    </row>
    <row r="23" spans="1:14">
      <c r="A23">
        <f t="shared" si="0"/>
        <v>19</v>
      </c>
      <c r="B23">
        <v>1</v>
      </c>
      <c r="C23">
        <v>1</v>
      </c>
      <c r="E23" s="23">
        <f t="shared" si="2"/>
        <v>385</v>
      </c>
      <c r="H23" s="24">
        <f t="shared" si="4"/>
        <v>845.15200000000004</v>
      </c>
      <c r="I23" s="24">
        <f t="shared" si="3"/>
        <v>17.248000000000001</v>
      </c>
      <c r="L23" s="24">
        <v>1</v>
      </c>
      <c r="M23" s="24">
        <v>1</v>
      </c>
      <c r="N23" s="24">
        <f t="shared" si="1"/>
        <v>7.438200000000001</v>
      </c>
    </row>
    <row r="24" spans="1:14">
      <c r="A24">
        <f t="shared" si="0"/>
        <v>20</v>
      </c>
      <c r="B24">
        <v>1</v>
      </c>
      <c r="C24">
        <v>1</v>
      </c>
      <c r="E24" s="23">
        <f t="shared" si="2"/>
        <v>385</v>
      </c>
      <c r="H24" s="24">
        <f t="shared" si="4"/>
        <v>845.15200000000004</v>
      </c>
      <c r="I24" s="24">
        <f t="shared" si="3"/>
        <v>17.248000000000001</v>
      </c>
      <c r="L24" s="24">
        <v>1</v>
      </c>
      <c r="M24" s="24">
        <v>1</v>
      </c>
      <c r="N24" s="24">
        <f t="shared" si="1"/>
        <v>7.438200000000001</v>
      </c>
    </row>
    <row r="25" spans="1:14">
      <c r="A25">
        <f t="shared" si="0"/>
        <v>21</v>
      </c>
      <c r="B25">
        <v>1</v>
      </c>
      <c r="C25">
        <v>1</v>
      </c>
      <c r="E25" s="23">
        <f t="shared" si="2"/>
        <v>385</v>
      </c>
      <c r="H25" s="24">
        <f t="shared" si="4"/>
        <v>845.15200000000004</v>
      </c>
      <c r="I25" s="24">
        <f t="shared" si="3"/>
        <v>17.248000000000001</v>
      </c>
      <c r="L25" s="24">
        <v>1</v>
      </c>
      <c r="M25" s="24">
        <v>1</v>
      </c>
      <c r="N25" s="24">
        <f t="shared" si="1"/>
        <v>7.438200000000001</v>
      </c>
    </row>
    <row r="26" spans="1:14">
      <c r="A26">
        <f t="shared" si="0"/>
        <v>22</v>
      </c>
      <c r="B26">
        <v>1</v>
      </c>
      <c r="C26">
        <v>1</v>
      </c>
      <c r="E26" s="23">
        <f t="shared" si="2"/>
        <v>385</v>
      </c>
      <c r="H26" s="24">
        <f t="shared" si="4"/>
        <v>845.15200000000004</v>
      </c>
      <c r="I26" s="24">
        <f t="shared" si="3"/>
        <v>17.248000000000001</v>
      </c>
      <c r="L26" s="24">
        <v>1</v>
      </c>
      <c r="M26" s="24">
        <v>1</v>
      </c>
      <c r="N26" s="24">
        <f t="shared" si="1"/>
        <v>7.438200000000001</v>
      </c>
    </row>
    <row r="27" spans="1:14">
      <c r="A27">
        <f t="shared" si="0"/>
        <v>23</v>
      </c>
      <c r="B27">
        <v>1</v>
      </c>
      <c r="C27">
        <v>1</v>
      </c>
      <c r="E27" s="23">
        <f t="shared" si="2"/>
        <v>385</v>
      </c>
      <c r="H27" s="24">
        <f t="shared" si="4"/>
        <v>845.15200000000004</v>
      </c>
      <c r="I27" s="24">
        <f t="shared" si="3"/>
        <v>17.248000000000001</v>
      </c>
      <c r="L27" s="24">
        <v>1</v>
      </c>
      <c r="M27" s="24">
        <v>1</v>
      </c>
      <c r="N27" s="24">
        <f t="shared" si="1"/>
        <v>7.438200000000001</v>
      </c>
    </row>
    <row r="28" spans="1:14">
      <c r="A28">
        <f t="shared" si="0"/>
        <v>24</v>
      </c>
      <c r="B28">
        <v>1</v>
      </c>
      <c r="C28">
        <v>1</v>
      </c>
      <c r="E28" s="23">
        <f t="shared" si="2"/>
        <v>385</v>
      </c>
      <c r="H28" s="24">
        <f t="shared" si="4"/>
        <v>845.15200000000004</v>
      </c>
      <c r="I28" s="24">
        <f t="shared" si="3"/>
        <v>17.248000000000001</v>
      </c>
      <c r="L28" s="24">
        <v>1</v>
      </c>
      <c r="M28" s="24">
        <v>1</v>
      </c>
      <c r="N28" s="24">
        <f t="shared" si="1"/>
        <v>7.438200000000001</v>
      </c>
    </row>
    <row r="29" spans="1:14">
      <c r="A29">
        <f t="shared" si="0"/>
        <v>25</v>
      </c>
      <c r="B29">
        <v>1</v>
      </c>
      <c r="C29">
        <v>1</v>
      </c>
      <c r="E29" s="23">
        <f t="shared" si="2"/>
        <v>385</v>
      </c>
      <c r="H29" s="24">
        <f t="shared" si="4"/>
        <v>845.15200000000004</v>
      </c>
      <c r="I29" s="24">
        <f t="shared" si="3"/>
        <v>17.248000000000001</v>
      </c>
      <c r="L29" s="24">
        <v>1</v>
      </c>
      <c r="M29" s="24">
        <v>1</v>
      </c>
      <c r="N29" s="24">
        <f t="shared" si="1"/>
        <v>7.438200000000001</v>
      </c>
    </row>
    <row r="30" spans="1:14">
      <c r="A30">
        <f t="shared" si="0"/>
        <v>26</v>
      </c>
      <c r="B30">
        <v>1</v>
      </c>
      <c r="C30">
        <v>1</v>
      </c>
      <c r="E30" s="23">
        <f t="shared" si="2"/>
        <v>385</v>
      </c>
      <c r="I30" s="24">
        <f t="shared" si="3"/>
        <v>17.248000000000001</v>
      </c>
      <c r="M30" s="24">
        <v>1</v>
      </c>
      <c r="N30" s="24">
        <f t="shared" si="1"/>
        <v>0.14876400000000004</v>
      </c>
    </row>
    <row r="31" spans="1:14">
      <c r="A31">
        <f t="shared" si="0"/>
        <v>27</v>
      </c>
      <c r="B31">
        <v>1</v>
      </c>
      <c r="C31">
        <v>1</v>
      </c>
      <c r="E31" s="23">
        <f t="shared" si="2"/>
        <v>385</v>
      </c>
      <c r="I31" s="24">
        <f t="shared" si="3"/>
        <v>17.248000000000001</v>
      </c>
      <c r="M31" s="24">
        <v>1</v>
      </c>
      <c r="N31" s="24">
        <f t="shared" si="1"/>
        <v>0.14876400000000004</v>
      </c>
    </row>
    <row r="32" spans="1:14">
      <c r="A32">
        <f t="shared" si="0"/>
        <v>28</v>
      </c>
      <c r="B32">
        <v>1</v>
      </c>
      <c r="D32">
        <v>1</v>
      </c>
      <c r="E32" s="23">
        <f t="shared" si="2"/>
        <v>385</v>
      </c>
      <c r="I32" s="24">
        <f t="shared" si="3"/>
        <v>17.248000000000001</v>
      </c>
      <c r="M32" s="24">
        <v>1</v>
      </c>
      <c r="N32" s="24">
        <f t="shared" si="1"/>
        <v>0.14876400000000004</v>
      </c>
    </row>
    <row r="33" spans="1:14">
      <c r="A33">
        <f t="shared" si="0"/>
        <v>29</v>
      </c>
      <c r="B33">
        <v>1</v>
      </c>
      <c r="D33">
        <v>1</v>
      </c>
      <c r="E33" s="23">
        <f t="shared" si="2"/>
        <v>385</v>
      </c>
      <c r="I33" s="24">
        <f t="shared" si="3"/>
        <v>17.248000000000001</v>
      </c>
      <c r="M33" s="24">
        <v>1</v>
      </c>
      <c r="N33" s="24">
        <f t="shared" si="1"/>
        <v>0.14876400000000004</v>
      </c>
    </row>
    <row r="34" spans="1:14">
      <c r="A34">
        <f t="shared" si="0"/>
        <v>30</v>
      </c>
      <c r="B34">
        <v>1</v>
      </c>
      <c r="D34">
        <v>1</v>
      </c>
      <c r="E34" s="23">
        <f t="shared" si="2"/>
        <v>385</v>
      </c>
      <c r="I34" s="24">
        <f t="shared" si="3"/>
        <v>17.248000000000001</v>
      </c>
      <c r="M34" s="24">
        <v>1</v>
      </c>
      <c r="N34" s="24">
        <f t="shared" si="1"/>
        <v>0.14876400000000004</v>
      </c>
    </row>
    <row r="35" spans="1:14">
      <c r="A35">
        <f t="shared" si="0"/>
        <v>31</v>
      </c>
      <c r="B35">
        <v>1</v>
      </c>
      <c r="D35">
        <v>1</v>
      </c>
      <c r="E35" s="23">
        <f t="shared" si="2"/>
        <v>385</v>
      </c>
      <c r="I35" s="24">
        <f t="shared" si="3"/>
        <v>17.248000000000001</v>
      </c>
      <c r="M35" s="24">
        <v>1</v>
      </c>
      <c r="N35" s="24">
        <f t="shared" si="1"/>
        <v>0.14876400000000004</v>
      </c>
    </row>
    <row r="36" spans="1:14">
      <c r="A36">
        <f t="shared" si="0"/>
        <v>32</v>
      </c>
      <c r="B36">
        <v>1</v>
      </c>
      <c r="D36">
        <v>1</v>
      </c>
      <c r="E36" s="23">
        <f t="shared" si="2"/>
        <v>385</v>
      </c>
      <c r="I36" s="24">
        <f t="shared" si="3"/>
        <v>17.248000000000001</v>
      </c>
      <c r="M36" s="24">
        <v>1</v>
      </c>
      <c r="N36" s="24">
        <f t="shared" si="1"/>
        <v>0.14876400000000004</v>
      </c>
    </row>
    <row r="37" spans="1:14">
      <c r="A37">
        <f t="shared" si="0"/>
        <v>33</v>
      </c>
      <c r="B37">
        <v>0.4</v>
      </c>
      <c r="D37">
        <v>1</v>
      </c>
      <c r="E37" s="23">
        <f t="shared" si="2"/>
        <v>385</v>
      </c>
      <c r="I37" s="24">
        <f t="shared" si="3"/>
        <v>17.248000000000001</v>
      </c>
      <c r="M37" s="24">
        <v>1</v>
      </c>
      <c r="N37" s="24">
        <f t="shared" si="1"/>
        <v>0.14876400000000004</v>
      </c>
    </row>
    <row r="38" spans="1:14">
      <c r="A38">
        <f t="shared" si="0"/>
        <v>34</v>
      </c>
      <c r="D38">
        <v>1</v>
      </c>
      <c r="I38" s="24">
        <f t="shared" si="3"/>
        <v>17.248000000000001</v>
      </c>
      <c r="M38" s="24">
        <v>1</v>
      </c>
      <c r="N38" s="24">
        <f t="shared" si="1"/>
        <v>0.14876400000000004</v>
      </c>
    </row>
    <row r="39" spans="1:14">
      <c r="A39">
        <f t="shared" si="0"/>
        <v>35</v>
      </c>
      <c r="D39">
        <v>1</v>
      </c>
      <c r="I39" s="24">
        <f t="shared" si="3"/>
        <v>17.248000000000001</v>
      </c>
      <c r="M39" s="24">
        <v>1</v>
      </c>
      <c r="N39" s="24">
        <f t="shared" si="1"/>
        <v>0.14876400000000004</v>
      </c>
    </row>
    <row r="40" spans="1:14">
      <c r="A40">
        <f t="shared" si="0"/>
        <v>36</v>
      </c>
      <c r="D40">
        <v>1</v>
      </c>
      <c r="I40" s="24">
        <f t="shared" si="3"/>
        <v>17.248000000000001</v>
      </c>
      <c r="M40" s="24">
        <v>1</v>
      </c>
      <c r="N40" s="24">
        <f t="shared" si="1"/>
        <v>0.14876400000000004</v>
      </c>
    </row>
    <row r="41" spans="1:14">
      <c r="A41">
        <f t="shared" si="0"/>
        <v>37</v>
      </c>
      <c r="D41">
        <v>1</v>
      </c>
      <c r="I41" s="24">
        <f t="shared" si="3"/>
        <v>17.248000000000001</v>
      </c>
      <c r="M41" s="24">
        <v>1</v>
      </c>
      <c r="N41" s="24">
        <f t="shared" si="1"/>
        <v>0.14876400000000004</v>
      </c>
    </row>
    <row r="42" spans="1:14">
      <c r="A42">
        <f t="shared" si="0"/>
        <v>38</v>
      </c>
      <c r="D42">
        <v>1</v>
      </c>
      <c r="I42" s="24">
        <f t="shared" si="3"/>
        <v>17.248000000000001</v>
      </c>
      <c r="M42" s="24">
        <v>1</v>
      </c>
      <c r="N42" s="24">
        <f t="shared" si="1"/>
        <v>0.14876400000000004</v>
      </c>
    </row>
    <row r="43" spans="1:14">
      <c r="A43">
        <f t="shared" si="0"/>
        <v>39</v>
      </c>
      <c r="D43">
        <v>1</v>
      </c>
      <c r="I43" s="24">
        <f t="shared" si="3"/>
        <v>17.248000000000001</v>
      </c>
      <c r="M43" s="24">
        <v>1</v>
      </c>
      <c r="N43" s="24">
        <f t="shared" si="1"/>
        <v>0.14876400000000004</v>
      </c>
    </row>
    <row r="44" spans="1:14">
      <c r="A44">
        <f t="shared" si="0"/>
        <v>40</v>
      </c>
      <c r="N44" s="24">
        <f t="shared" si="1"/>
        <v>0</v>
      </c>
    </row>
    <row r="45" spans="1:14">
      <c r="A45">
        <f t="shared" si="0"/>
        <v>41</v>
      </c>
      <c r="N45" s="24">
        <f t="shared" si="1"/>
        <v>0</v>
      </c>
    </row>
    <row r="46" spans="1:14">
      <c r="A46">
        <f t="shared" si="0"/>
        <v>42</v>
      </c>
      <c r="N46" s="24">
        <f t="shared" si="1"/>
        <v>0</v>
      </c>
    </row>
    <row r="47" spans="1:14">
      <c r="A47">
        <f t="shared" si="0"/>
        <v>43</v>
      </c>
      <c r="N47" s="24">
        <f t="shared" si="1"/>
        <v>0</v>
      </c>
    </row>
    <row r="48" spans="1:14">
      <c r="N48" s="24">
        <f t="shared" si="1"/>
        <v>0</v>
      </c>
    </row>
    <row r="49" spans="14:14">
      <c r="N49" s="24">
        <f t="shared" si="1"/>
        <v>0</v>
      </c>
    </row>
    <row r="50" spans="14:14">
      <c r="N50" s="24">
        <f t="shared" si="1"/>
        <v>0</v>
      </c>
    </row>
    <row r="51" spans="14:14">
      <c r="N51" s="24">
        <f t="shared" si="1"/>
        <v>0</v>
      </c>
    </row>
    <row r="52" spans="14:14">
      <c r="N52" s="24">
        <f t="shared" si="1"/>
        <v>0</v>
      </c>
    </row>
    <row r="53" spans="14:14">
      <c r="N53" s="24">
        <f t="shared" si="1"/>
        <v>0</v>
      </c>
    </row>
    <row r="54" spans="14:14">
      <c r="N54" s="24">
        <f t="shared" si="1"/>
        <v>0</v>
      </c>
    </row>
    <row r="55" spans="14:14">
      <c r="N55" s="24">
        <f t="shared" si="1"/>
        <v>0</v>
      </c>
    </row>
    <row r="56" spans="14:14">
      <c r="N56" s="24">
        <f t="shared" si="1"/>
        <v>0</v>
      </c>
    </row>
    <row r="57" spans="14:14">
      <c r="N57" s="24">
        <f t="shared" si="1"/>
        <v>0</v>
      </c>
    </row>
    <row r="58" spans="14:14">
      <c r="N58" s="24">
        <f t="shared" si="1"/>
        <v>0</v>
      </c>
    </row>
    <row r="59" spans="14:14">
      <c r="N59" s="24">
        <f t="shared" si="1"/>
        <v>0</v>
      </c>
    </row>
    <row r="60" spans="14:14">
      <c r="N60" s="24">
        <f t="shared" si="1"/>
        <v>0</v>
      </c>
    </row>
    <row r="61" spans="14:14">
      <c r="N61" s="24">
        <f t="shared" si="1"/>
        <v>0</v>
      </c>
    </row>
    <row r="62" spans="14:14">
      <c r="N62" s="24">
        <f t="shared" si="1"/>
        <v>0</v>
      </c>
    </row>
    <row r="63" spans="14:14">
      <c r="N63" s="24">
        <f t="shared" si="1"/>
        <v>0</v>
      </c>
    </row>
    <row r="64" spans="14:14">
      <c r="N64" s="24">
        <f t="shared" si="1"/>
        <v>0</v>
      </c>
    </row>
    <row r="65" spans="14:14">
      <c r="N65" s="24">
        <f t="shared" si="1"/>
        <v>0</v>
      </c>
    </row>
    <row r="66" spans="14:14">
      <c r="N66" s="24">
        <f t="shared" si="1"/>
        <v>0</v>
      </c>
    </row>
    <row r="67" spans="14:14">
      <c r="N67" s="24">
        <f t="shared" si="1"/>
        <v>0</v>
      </c>
    </row>
    <row r="68" spans="14:14">
      <c r="N68" s="24">
        <f t="shared" si="1"/>
        <v>0</v>
      </c>
    </row>
    <row r="69" spans="14:14">
      <c r="N69" s="24">
        <f t="shared" si="1"/>
        <v>0</v>
      </c>
    </row>
    <row r="70" spans="14:14">
      <c r="N70" s="24">
        <f t="shared" si="1"/>
        <v>0</v>
      </c>
    </row>
    <row r="88" spans="1:14">
      <c r="A88" s="28">
        <f>COUNT(A5:A87)</f>
        <v>43</v>
      </c>
      <c r="B88" s="28">
        <f>SUM(B13:B87)</f>
        <v>22.4</v>
      </c>
      <c r="C88" s="28">
        <f>SUM(C5:C87)</f>
        <v>27</v>
      </c>
      <c r="E88" s="29"/>
      <c r="F88" s="29">
        <f>SUM(F5:F87)</f>
        <v>344.96000000000004</v>
      </c>
      <c r="G88" s="29">
        <f t="shared" ref="G88:I88" si="5">SUM(G5:G87)</f>
        <v>1552.3200000000002</v>
      </c>
      <c r="H88" s="29">
        <f>SUM(H5:H87)</f>
        <v>9296.6720000000005</v>
      </c>
      <c r="I88" s="29">
        <f t="shared" si="5"/>
        <v>431.19999999999987</v>
      </c>
      <c r="J88" s="29"/>
      <c r="K88" s="29"/>
      <c r="L88" s="29"/>
      <c r="M88" s="29"/>
      <c r="N88" s="29">
        <f>SUM(N5:N87)</f>
        <v>100.26693599999999</v>
      </c>
    </row>
    <row r="89" spans="1:14">
      <c r="F89" s="25">
        <f>R10</f>
        <v>1724.8000000000002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89"/>
  <sheetViews>
    <sheetView workbookViewId="0"/>
  </sheetViews>
  <sheetFormatPr defaultRowHeight="13.8"/>
  <sheetData>
    <row r="1" spans="1:20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774</v>
      </c>
      <c r="J1" s="24" t="s">
        <v>750</v>
      </c>
      <c r="N1" s="24" t="s">
        <v>749</v>
      </c>
      <c r="P1" s="26" t="s">
        <v>741</v>
      </c>
      <c r="Q1" s="27">
        <f>3.45%*3/12</f>
        <v>8.6250000000000007E-3</v>
      </c>
      <c r="R1" s="27">
        <f>Q1*12</f>
        <v>0.10350000000000001</v>
      </c>
    </row>
    <row r="2" spans="1:20">
      <c r="G2" s="24" t="s">
        <v>747</v>
      </c>
      <c r="K2" s="24" t="s">
        <v>778</v>
      </c>
      <c r="P2" s="26" t="s">
        <v>754</v>
      </c>
      <c r="Q2" s="27">
        <f>VIPcric_3!D5</f>
        <v>12405</v>
      </c>
      <c r="R2" s="27" t="s">
        <v>755</v>
      </c>
    </row>
    <row r="3" spans="1:20">
      <c r="H3" s="24" t="s">
        <v>775</v>
      </c>
      <c r="L3" s="24" t="s">
        <v>779</v>
      </c>
      <c r="P3" s="26" t="s">
        <v>738</v>
      </c>
      <c r="Q3" s="27">
        <f>VIPcric_3!E5</f>
        <v>61.7</v>
      </c>
      <c r="R3" s="27" t="s">
        <v>756</v>
      </c>
    </row>
    <row r="4" spans="1:20">
      <c r="I4" s="24" t="s">
        <v>776</v>
      </c>
      <c r="M4" s="24" t="s">
        <v>780</v>
      </c>
      <c r="P4" s="26" t="s">
        <v>767</v>
      </c>
      <c r="Q4" s="30">
        <f>(10+19+150+605*1.05)/30</f>
        <v>27.141666666666666</v>
      </c>
      <c r="R4" s="27" t="s">
        <v>758</v>
      </c>
      <c r="S4">
        <v>1.05</v>
      </c>
      <c r="T4" t="s">
        <v>770</v>
      </c>
    </row>
    <row r="5" spans="1:20">
      <c r="A5">
        <f>ROW()-4</f>
        <v>1</v>
      </c>
      <c r="C5">
        <v>1</v>
      </c>
      <c r="P5" s="26" t="s">
        <v>768</v>
      </c>
      <c r="Q5" s="30">
        <f>(10+19+150+(605*1.05-Q7*30))/30</f>
        <v>20.141666666666666</v>
      </c>
      <c r="R5" s="27" t="s">
        <v>758</v>
      </c>
    </row>
    <row r="6" spans="1:20">
      <c r="A6">
        <f t="shared" ref="A6:A69" si="0">ROW()-4</f>
        <v>2</v>
      </c>
      <c r="C6">
        <v>1</v>
      </c>
      <c r="P6" s="26" t="s">
        <v>757</v>
      </c>
      <c r="Q6" s="30">
        <f>(10+19+150+605*1.05-Q7*30)/30</f>
        <v>20.141666666666666</v>
      </c>
      <c r="R6" s="27" t="s">
        <v>758</v>
      </c>
    </row>
    <row r="7" spans="1:20">
      <c r="A7">
        <f t="shared" si="0"/>
        <v>3</v>
      </c>
      <c r="C7">
        <v>1</v>
      </c>
      <c r="P7" s="26" t="s">
        <v>759</v>
      </c>
      <c r="Q7" s="27">
        <v>7</v>
      </c>
      <c r="R7" s="27" t="s">
        <v>758</v>
      </c>
    </row>
    <row r="8" spans="1:20">
      <c r="A8">
        <f t="shared" si="0"/>
        <v>4</v>
      </c>
      <c r="C8">
        <v>1</v>
      </c>
      <c r="N8" s="24">
        <f t="shared" ref="N8:N22" si="1">(F8*J8+G8*K8+H8*L8+I8*M8)*$Q$1</f>
        <v>0</v>
      </c>
      <c r="P8" s="27" t="s">
        <v>760</v>
      </c>
      <c r="Q8" s="27">
        <v>2</v>
      </c>
      <c r="R8" s="27" t="s">
        <v>758</v>
      </c>
    </row>
    <row r="9" spans="1:20">
      <c r="A9">
        <f t="shared" si="0"/>
        <v>5</v>
      </c>
      <c r="C9">
        <v>1</v>
      </c>
      <c r="N9" s="24">
        <f t="shared" si="1"/>
        <v>0</v>
      </c>
      <c r="P9" s="26" t="s">
        <v>761</v>
      </c>
      <c r="Q9" s="27">
        <v>8</v>
      </c>
      <c r="R9" s="27" t="s">
        <v>758</v>
      </c>
    </row>
    <row r="10" spans="1:20">
      <c r="A10">
        <f t="shared" si="0"/>
        <v>6</v>
      </c>
      <c r="C10">
        <v>1</v>
      </c>
      <c r="N10" s="24">
        <f t="shared" si="1"/>
        <v>0</v>
      </c>
      <c r="P10" s="27" t="s">
        <v>773</v>
      </c>
      <c r="Q10" s="32">
        <v>0.15</v>
      </c>
      <c r="R10" s="27"/>
    </row>
    <row r="11" spans="1:20">
      <c r="A11">
        <f t="shared" si="0"/>
        <v>7</v>
      </c>
      <c r="C11">
        <v>1</v>
      </c>
      <c r="N11" s="24">
        <f t="shared" si="1"/>
        <v>0</v>
      </c>
    </row>
    <row r="12" spans="1:20">
      <c r="A12">
        <f t="shared" si="0"/>
        <v>8</v>
      </c>
      <c r="C12">
        <v>1</v>
      </c>
      <c r="N12" s="24">
        <f t="shared" si="1"/>
        <v>0</v>
      </c>
    </row>
    <row r="13" spans="1:20">
      <c r="A13">
        <f t="shared" si="0"/>
        <v>9</v>
      </c>
      <c r="C13">
        <v>1</v>
      </c>
      <c r="N13" s="24">
        <f t="shared" si="1"/>
        <v>0</v>
      </c>
    </row>
    <row r="14" spans="1:20">
      <c r="A14">
        <f t="shared" si="0"/>
        <v>10</v>
      </c>
      <c r="C14">
        <v>1</v>
      </c>
      <c r="N14" s="24">
        <f t="shared" si="1"/>
        <v>0</v>
      </c>
    </row>
    <row r="15" spans="1:20">
      <c r="A15">
        <f t="shared" si="0"/>
        <v>11</v>
      </c>
      <c r="C15">
        <v>1</v>
      </c>
      <c r="N15" s="24">
        <f t="shared" si="1"/>
        <v>0</v>
      </c>
    </row>
    <row r="16" spans="1:20">
      <c r="A16">
        <f t="shared" si="0"/>
        <v>12</v>
      </c>
      <c r="C16">
        <v>1</v>
      </c>
      <c r="N16" s="24">
        <f t="shared" si="1"/>
        <v>0</v>
      </c>
    </row>
    <row r="17" spans="1:14">
      <c r="A17">
        <f t="shared" si="0"/>
        <v>13</v>
      </c>
      <c r="C17">
        <v>1</v>
      </c>
      <c r="N17" s="24">
        <f t="shared" si="1"/>
        <v>0</v>
      </c>
    </row>
    <row r="18" spans="1:14">
      <c r="A18">
        <f t="shared" si="0"/>
        <v>14</v>
      </c>
      <c r="C18">
        <v>1</v>
      </c>
      <c r="N18" s="24">
        <f t="shared" si="1"/>
        <v>0</v>
      </c>
    </row>
    <row r="19" spans="1:14">
      <c r="A19">
        <f t="shared" si="0"/>
        <v>15</v>
      </c>
      <c r="C19">
        <v>1</v>
      </c>
      <c r="N19" s="24">
        <f t="shared" si="1"/>
        <v>0</v>
      </c>
    </row>
    <row r="20" spans="1:14">
      <c r="A20">
        <f t="shared" si="0"/>
        <v>16</v>
      </c>
      <c r="C20">
        <v>1</v>
      </c>
      <c r="N20" s="24">
        <f t="shared" si="1"/>
        <v>0</v>
      </c>
    </row>
    <row r="21" spans="1:14">
      <c r="A21">
        <f t="shared" si="0"/>
        <v>17</v>
      </c>
      <c r="C21">
        <v>1</v>
      </c>
      <c r="N21" s="24">
        <f t="shared" si="1"/>
        <v>0</v>
      </c>
    </row>
    <row r="22" spans="1:14">
      <c r="A22">
        <f t="shared" si="0"/>
        <v>18</v>
      </c>
      <c r="C22">
        <v>1</v>
      </c>
      <c r="N22" s="24">
        <f t="shared" si="1"/>
        <v>0</v>
      </c>
    </row>
    <row r="23" spans="1:14">
      <c r="A23">
        <f t="shared" si="0"/>
        <v>19</v>
      </c>
      <c r="C23">
        <v>1</v>
      </c>
      <c r="N23" s="24">
        <f t="shared" ref="N23:N39" si="2">(F23*J23+G23*K23+H23*L23+I23*M23)*$Q$1</f>
        <v>0</v>
      </c>
    </row>
    <row r="24" spans="1:14">
      <c r="A24">
        <f t="shared" si="0"/>
        <v>20</v>
      </c>
      <c r="B24">
        <v>1</v>
      </c>
      <c r="C24">
        <v>1</v>
      </c>
      <c r="E24" s="23">
        <f t="shared" ref="E24:E55" si="3">1/$Q$3*$Q$2</f>
        <v>201.05348460291734</v>
      </c>
      <c r="F24" s="24">
        <f>E24*50%</f>
        <v>100.52674230145867</v>
      </c>
      <c r="G24" s="24">
        <f>E24*30%</f>
        <v>60.316045380875195</v>
      </c>
      <c r="H24" s="24">
        <f>E24*15%</f>
        <v>30.158022690437598</v>
      </c>
      <c r="I24" s="24">
        <f>E24*5%</f>
        <v>10.052674230145868</v>
      </c>
      <c r="J24" s="24">
        <v>1</v>
      </c>
      <c r="K24" s="24">
        <v>8</v>
      </c>
      <c r="L24" s="24">
        <v>16</v>
      </c>
      <c r="M24" s="24">
        <v>19</v>
      </c>
      <c r="N24" s="24">
        <f t="shared" si="2"/>
        <v>10.838039404376012</v>
      </c>
    </row>
    <row r="25" spans="1:14">
      <c r="A25">
        <f t="shared" si="0"/>
        <v>21</v>
      </c>
      <c r="B25">
        <v>1</v>
      </c>
      <c r="C25">
        <v>1</v>
      </c>
      <c r="E25" s="23">
        <f t="shared" si="3"/>
        <v>201.05348460291734</v>
      </c>
      <c r="G25" s="24">
        <f t="shared" ref="G25:G31" si="4">E25*30%</f>
        <v>60.316045380875195</v>
      </c>
      <c r="H25" s="24">
        <f t="shared" ref="H25:H39" si="5">E25*15%</f>
        <v>30.158022690437598</v>
      </c>
      <c r="I25" s="24">
        <f t="shared" ref="I25:I42" si="6">E25*5%</f>
        <v>10.052674230145868</v>
      </c>
      <c r="K25" s="24">
        <f>K24-1</f>
        <v>7</v>
      </c>
      <c r="L25" s="24">
        <f>L24-1</f>
        <v>15</v>
      </c>
      <c r="M25" s="24">
        <f>M24-1</f>
        <v>18</v>
      </c>
      <c r="N25" s="24">
        <f t="shared" si="2"/>
        <v>9.1039530996758504</v>
      </c>
    </row>
    <row r="26" spans="1:14">
      <c r="A26">
        <f t="shared" si="0"/>
        <v>22</v>
      </c>
      <c r="B26">
        <v>1</v>
      </c>
      <c r="C26">
        <v>1</v>
      </c>
      <c r="E26" s="23">
        <f t="shared" si="3"/>
        <v>201.05348460291734</v>
      </c>
      <c r="G26" s="24">
        <f t="shared" si="4"/>
        <v>60.316045380875195</v>
      </c>
      <c r="H26" s="24">
        <f t="shared" si="5"/>
        <v>30.158022690437598</v>
      </c>
      <c r="I26" s="24">
        <f t="shared" si="6"/>
        <v>10.052674230145868</v>
      </c>
      <c r="K26" s="24">
        <f t="shared" ref="K26:K31" si="7">K25-1</f>
        <v>6</v>
      </c>
      <c r="L26" s="24">
        <f t="shared" ref="L26:L39" si="8">L25-1</f>
        <v>14</v>
      </c>
      <c r="M26" s="24">
        <f t="shared" ref="M26:M42" si="9">M25-1</f>
        <v>17</v>
      </c>
      <c r="N26" s="24">
        <f t="shared" si="2"/>
        <v>8.2369099473257705</v>
      </c>
    </row>
    <row r="27" spans="1:14">
      <c r="A27">
        <f t="shared" si="0"/>
        <v>23</v>
      </c>
      <c r="B27">
        <v>1</v>
      </c>
      <c r="C27">
        <v>1</v>
      </c>
      <c r="E27" s="23">
        <f t="shared" si="3"/>
        <v>201.05348460291734</v>
      </c>
      <c r="G27" s="24">
        <f t="shared" si="4"/>
        <v>60.316045380875195</v>
      </c>
      <c r="H27" s="24">
        <f t="shared" si="5"/>
        <v>30.158022690437598</v>
      </c>
      <c r="I27" s="24">
        <f t="shared" si="6"/>
        <v>10.052674230145868</v>
      </c>
      <c r="K27" s="24">
        <f t="shared" si="7"/>
        <v>5</v>
      </c>
      <c r="L27" s="24">
        <f t="shared" si="8"/>
        <v>13</v>
      </c>
      <c r="M27" s="24">
        <f t="shared" si="9"/>
        <v>16</v>
      </c>
      <c r="N27" s="24">
        <f t="shared" si="2"/>
        <v>7.3698667949756889</v>
      </c>
    </row>
    <row r="28" spans="1:14">
      <c r="A28">
        <f t="shared" si="0"/>
        <v>24</v>
      </c>
      <c r="B28">
        <v>1</v>
      </c>
      <c r="C28">
        <v>1</v>
      </c>
      <c r="E28" s="23">
        <f t="shared" si="3"/>
        <v>201.05348460291734</v>
      </c>
      <c r="G28" s="24">
        <f t="shared" si="4"/>
        <v>60.316045380875195</v>
      </c>
      <c r="H28" s="24">
        <f t="shared" si="5"/>
        <v>30.158022690437598</v>
      </c>
      <c r="I28" s="24">
        <f t="shared" si="6"/>
        <v>10.052674230145868</v>
      </c>
      <c r="K28" s="24">
        <f t="shared" si="7"/>
        <v>4</v>
      </c>
      <c r="L28" s="24">
        <f t="shared" si="8"/>
        <v>12</v>
      </c>
      <c r="M28" s="24">
        <f t="shared" si="9"/>
        <v>15</v>
      </c>
      <c r="N28" s="24">
        <f t="shared" si="2"/>
        <v>6.5028236426256081</v>
      </c>
    </row>
    <row r="29" spans="1:14">
      <c r="A29">
        <f t="shared" si="0"/>
        <v>25</v>
      </c>
      <c r="B29">
        <v>1</v>
      </c>
      <c r="C29">
        <v>1</v>
      </c>
      <c r="E29" s="23">
        <f t="shared" si="3"/>
        <v>201.05348460291734</v>
      </c>
      <c r="G29" s="24">
        <f t="shared" si="4"/>
        <v>60.316045380875195</v>
      </c>
      <c r="H29" s="24">
        <f t="shared" si="5"/>
        <v>30.158022690437598</v>
      </c>
      <c r="I29" s="24">
        <f t="shared" si="6"/>
        <v>10.052674230145868</v>
      </c>
      <c r="K29" s="24">
        <f t="shared" si="7"/>
        <v>3</v>
      </c>
      <c r="L29" s="24">
        <f t="shared" si="8"/>
        <v>11</v>
      </c>
      <c r="M29" s="24">
        <f t="shared" si="9"/>
        <v>14</v>
      </c>
      <c r="N29" s="24">
        <f t="shared" si="2"/>
        <v>5.6357804902755273</v>
      </c>
    </row>
    <row r="30" spans="1:14">
      <c r="A30">
        <f t="shared" si="0"/>
        <v>26</v>
      </c>
      <c r="B30">
        <v>1</v>
      </c>
      <c r="C30">
        <v>1</v>
      </c>
      <c r="E30" s="23">
        <f t="shared" si="3"/>
        <v>201.05348460291734</v>
      </c>
      <c r="G30" s="24">
        <f t="shared" si="4"/>
        <v>60.316045380875195</v>
      </c>
      <c r="H30" s="24">
        <f t="shared" si="5"/>
        <v>30.158022690437598</v>
      </c>
      <c r="I30" s="24">
        <f t="shared" si="6"/>
        <v>10.052674230145868</v>
      </c>
      <c r="K30" s="24">
        <f t="shared" si="7"/>
        <v>2</v>
      </c>
      <c r="L30" s="24">
        <f t="shared" si="8"/>
        <v>10</v>
      </c>
      <c r="M30" s="24">
        <f t="shared" si="9"/>
        <v>13</v>
      </c>
      <c r="N30" s="24">
        <f t="shared" si="2"/>
        <v>4.7687373379254456</v>
      </c>
    </row>
    <row r="31" spans="1:14">
      <c r="A31">
        <f t="shared" si="0"/>
        <v>27</v>
      </c>
      <c r="B31">
        <v>1</v>
      </c>
      <c r="C31">
        <v>1</v>
      </c>
      <c r="E31" s="23">
        <f t="shared" si="3"/>
        <v>201.05348460291734</v>
      </c>
      <c r="G31" s="24">
        <f t="shared" si="4"/>
        <v>60.316045380875195</v>
      </c>
      <c r="H31" s="24">
        <f t="shared" si="5"/>
        <v>30.158022690437598</v>
      </c>
      <c r="I31" s="24">
        <f t="shared" si="6"/>
        <v>10.052674230145868</v>
      </c>
      <c r="K31" s="24">
        <f t="shared" si="7"/>
        <v>1</v>
      </c>
      <c r="L31" s="24">
        <f t="shared" si="8"/>
        <v>9</v>
      </c>
      <c r="M31" s="24">
        <f t="shared" si="9"/>
        <v>12</v>
      </c>
      <c r="N31" s="24">
        <f t="shared" si="2"/>
        <v>3.9016941855753648</v>
      </c>
    </row>
    <row r="32" spans="1:14">
      <c r="A32">
        <f t="shared" si="0"/>
        <v>28</v>
      </c>
      <c r="B32">
        <v>1</v>
      </c>
      <c r="D32">
        <v>1</v>
      </c>
      <c r="E32" s="23">
        <f t="shared" si="3"/>
        <v>201.05348460291734</v>
      </c>
      <c r="H32" s="24">
        <f t="shared" si="5"/>
        <v>30.158022690437598</v>
      </c>
      <c r="I32" s="24">
        <f t="shared" si="6"/>
        <v>10.052674230145868</v>
      </c>
      <c r="L32" s="24">
        <f t="shared" si="8"/>
        <v>8</v>
      </c>
      <c r="M32" s="24">
        <f t="shared" si="9"/>
        <v>11</v>
      </c>
      <c r="N32" s="24">
        <f t="shared" si="2"/>
        <v>3.0346510332252836</v>
      </c>
    </row>
    <row r="33" spans="1:14">
      <c r="A33">
        <f t="shared" si="0"/>
        <v>29</v>
      </c>
      <c r="B33">
        <v>1</v>
      </c>
      <c r="D33">
        <v>1</v>
      </c>
      <c r="E33" s="23">
        <f t="shared" si="3"/>
        <v>201.05348460291734</v>
      </c>
      <c r="H33" s="24">
        <f t="shared" si="5"/>
        <v>30.158022690437598</v>
      </c>
      <c r="I33" s="24">
        <f t="shared" si="6"/>
        <v>10.052674230145868</v>
      </c>
      <c r="L33" s="24">
        <f t="shared" si="8"/>
        <v>7</v>
      </c>
      <c r="M33" s="24">
        <f t="shared" si="9"/>
        <v>10</v>
      </c>
      <c r="N33" s="24">
        <f t="shared" si="2"/>
        <v>2.6878337722852512</v>
      </c>
    </row>
    <row r="34" spans="1:14">
      <c r="A34">
        <f t="shared" si="0"/>
        <v>30</v>
      </c>
      <c r="B34">
        <v>1</v>
      </c>
      <c r="D34">
        <v>1</v>
      </c>
      <c r="E34" s="23">
        <f t="shared" si="3"/>
        <v>201.05348460291734</v>
      </c>
      <c r="H34" s="24">
        <f t="shared" si="5"/>
        <v>30.158022690437598</v>
      </c>
      <c r="I34" s="24">
        <f t="shared" si="6"/>
        <v>10.052674230145868</v>
      </c>
      <c r="L34" s="24">
        <f t="shared" si="8"/>
        <v>6</v>
      </c>
      <c r="M34" s="24">
        <f t="shared" si="9"/>
        <v>9</v>
      </c>
      <c r="N34" s="24">
        <f t="shared" si="2"/>
        <v>2.3410165113452184</v>
      </c>
    </row>
    <row r="35" spans="1:14">
      <c r="A35">
        <f t="shared" si="0"/>
        <v>31</v>
      </c>
      <c r="B35">
        <v>1</v>
      </c>
      <c r="D35">
        <v>1</v>
      </c>
      <c r="E35" s="23">
        <f t="shared" si="3"/>
        <v>201.05348460291734</v>
      </c>
      <c r="H35" s="24">
        <f t="shared" si="5"/>
        <v>30.158022690437598</v>
      </c>
      <c r="I35" s="24">
        <f t="shared" si="6"/>
        <v>10.052674230145868</v>
      </c>
      <c r="L35" s="24">
        <f t="shared" si="8"/>
        <v>5</v>
      </c>
      <c r="M35" s="24">
        <f t="shared" si="9"/>
        <v>8</v>
      </c>
      <c r="N35" s="24">
        <f t="shared" si="2"/>
        <v>1.9941992504051866</v>
      </c>
    </row>
    <row r="36" spans="1:14">
      <c r="A36">
        <f t="shared" si="0"/>
        <v>32</v>
      </c>
      <c r="B36">
        <v>1</v>
      </c>
      <c r="D36">
        <v>1</v>
      </c>
      <c r="E36" s="23">
        <f t="shared" si="3"/>
        <v>201.05348460291734</v>
      </c>
      <c r="H36" s="24">
        <f t="shared" si="5"/>
        <v>30.158022690437598</v>
      </c>
      <c r="I36" s="24">
        <f t="shared" si="6"/>
        <v>10.052674230145868</v>
      </c>
      <c r="L36" s="24">
        <f t="shared" si="8"/>
        <v>4</v>
      </c>
      <c r="M36" s="24">
        <f t="shared" si="9"/>
        <v>7</v>
      </c>
      <c r="N36" s="24">
        <f t="shared" si="2"/>
        <v>1.647381989465154</v>
      </c>
    </row>
    <row r="37" spans="1:14">
      <c r="A37">
        <f t="shared" si="0"/>
        <v>33</v>
      </c>
      <c r="B37">
        <v>1</v>
      </c>
      <c r="D37">
        <v>1</v>
      </c>
      <c r="E37" s="23">
        <f t="shared" si="3"/>
        <v>201.05348460291734</v>
      </c>
      <c r="H37" s="24">
        <f t="shared" si="5"/>
        <v>30.158022690437598</v>
      </c>
      <c r="I37" s="24">
        <f t="shared" si="6"/>
        <v>10.052674230145868</v>
      </c>
      <c r="L37" s="24">
        <f t="shared" si="8"/>
        <v>3</v>
      </c>
      <c r="M37" s="24">
        <f t="shared" si="9"/>
        <v>6</v>
      </c>
      <c r="N37" s="24">
        <f t="shared" si="2"/>
        <v>1.3005647285251216</v>
      </c>
    </row>
    <row r="38" spans="1:14">
      <c r="A38">
        <f t="shared" si="0"/>
        <v>34</v>
      </c>
      <c r="B38">
        <v>1</v>
      </c>
      <c r="D38">
        <v>1</v>
      </c>
      <c r="E38" s="23">
        <f t="shared" si="3"/>
        <v>201.05348460291734</v>
      </c>
      <c r="H38" s="24">
        <f t="shared" si="5"/>
        <v>30.158022690437598</v>
      </c>
      <c r="I38" s="24">
        <f t="shared" si="6"/>
        <v>10.052674230145868</v>
      </c>
      <c r="L38" s="24">
        <f t="shared" si="8"/>
        <v>2</v>
      </c>
      <c r="M38" s="24">
        <f t="shared" si="9"/>
        <v>5</v>
      </c>
      <c r="N38" s="24">
        <f t="shared" si="2"/>
        <v>0.95374746758508921</v>
      </c>
    </row>
    <row r="39" spans="1:14">
      <c r="A39">
        <f t="shared" si="0"/>
        <v>35</v>
      </c>
      <c r="B39">
        <v>1</v>
      </c>
      <c r="D39">
        <v>1</v>
      </c>
      <c r="E39" s="23">
        <f t="shared" si="3"/>
        <v>201.05348460291734</v>
      </c>
      <c r="H39" s="24">
        <f t="shared" si="5"/>
        <v>30.158022690437598</v>
      </c>
      <c r="I39" s="24">
        <f t="shared" si="6"/>
        <v>10.052674230145868</v>
      </c>
      <c r="L39" s="24">
        <f t="shared" si="8"/>
        <v>1</v>
      </c>
      <c r="M39" s="24">
        <f t="shared" si="9"/>
        <v>4</v>
      </c>
      <c r="N39" s="24">
        <f t="shared" si="2"/>
        <v>0.60693020664505681</v>
      </c>
    </row>
    <row r="40" spans="1:14">
      <c r="A40">
        <f t="shared" si="0"/>
        <v>36</v>
      </c>
      <c r="B40">
        <v>1</v>
      </c>
      <c r="E40" s="23">
        <f t="shared" si="3"/>
        <v>201.05348460291734</v>
      </c>
      <c r="I40" s="24">
        <f t="shared" si="6"/>
        <v>10.052674230145868</v>
      </c>
      <c r="M40" s="24">
        <f t="shared" si="9"/>
        <v>3</v>
      </c>
      <c r="N40" s="24">
        <f t="shared" ref="N40:N87" si="10">(F40*J40+G40*K40+H40*L40+I40*M40)*$Q$1</f>
        <v>0.26011294570502436</v>
      </c>
    </row>
    <row r="41" spans="1:14">
      <c r="A41">
        <f t="shared" si="0"/>
        <v>37</v>
      </c>
      <c r="B41">
        <v>1</v>
      </c>
      <c r="E41" s="23">
        <f t="shared" si="3"/>
        <v>201.05348460291734</v>
      </c>
      <c r="I41" s="24">
        <f t="shared" si="6"/>
        <v>10.052674230145868</v>
      </c>
      <c r="M41" s="24">
        <f t="shared" si="9"/>
        <v>2</v>
      </c>
      <c r="N41" s="24">
        <f t="shared" si="10"/>
        <v>0.17340863047001623</v>
      </c>
    </row>
    <row r="42" spans="1:14">
      <c r="A42">
        <f t="shared" si="0"/>
        <v>38</v>
      </c>
      <c r="B42">
        <v>1</v>
      </c>
      <c r="E42" s="23">
        <f t="shared" si="3"/>
        <v>201.05348460291734</v>
      </c>
      <c r="I42" s="24">
        <f t="shared" si="6"/>
        <v>10.052674230145868</v>
      </c>
      <c r="M42" s="24">
        <f t="shared" si="9"/>
        <v>1</v>
      </c>
      <c r="N42" s="24">
        <f t="shared" si="10"/>
        <v>8.6704315235008114E-2</v>
      </c>
    </row>
    <row r="43" spans="1:14">
      <c r="A43">
        <f t="shared" si="0"/>
        <v>39</v>
      </c>
      <c r="B43">
        <v>1</v>
      </c>
      <c r="E43" s="23">
        <f t="shared" si="3"/>
        <v>201.05348460291734</v>
      </c>
      <c r="N43" s="24">
        <f t="shared" si="10"/>
        <v>0</v>
      </c>
    </row>
    <row r="44" spans="1:14">
      <c r="A44">
        <f t="shared" si="0"/>
        <v>40</v>
      </c>
      <c r="B44">
        <v>1</v>
      </c>
      <c r="E44" s="23">
        <f t="shared" si="3"/>
        <v>201.05348460291734</v>
      </c>
      <c r="N44" s="24">
        <f t="shared" si="10"/>
        <v>0</v>
      </c>
    </row>
    <row r="45" spans="1:14">
      <c r="A45">
        <f t="shared" si="0"/>
        <v>41</v>
      </c>
      <c r="B45">
        <v>1</v>
      </c>
      <c r="E45" s="23">
        <f t="shared" si="3"/>
        <v>201.05348460291734</v>
      </c>
      <c r="N45" s="24">
        <f t="shared" si="10"/>
        <v>0</v>
      </c>
    </row>
    <row r="46" spans="1:14">
      <c r="A46">
        <f t="shared" si="0"/>
        <v>42</v>
      </c>
      <c r="B46">
        <v>1</v>
      </c>
      <c r="E46" s="23">
        <f t="shared" si="3"/>
        <v>201.05348460291734</v>
      </c>
      <c r="N46" s="24">
        <f t="shared" si="10"/>
        <v>0</v>
      </c>
    </row>
    <row r="47" spans="1:14">
      <c r="A47">
        <f t="shared" si="0"/>
        <v>43</v>
      </c>
      <c r="B47">
        <v>1</v>
      </c>
      <c r="E47" s="23">
        <f t="shared" si="3"/>
        <v>201.05348460291734</v>
      </c>
      <c r="N47" s="24">
        <f t="shared" si="10"/>
        <v>0</v>
      </c>
    </row>
    <row r="48" spans="1:14">
      <c r="A48">
        <f t="shared" si="0"/>
        <v>44</v>
      </c>
      <c r="B48">
        <v>1</v>
      </c>
      <c r="E48" s="23">
        <f t="shared" si="3"/>
        <v>201.05348460291734</v>
      </c>
      <c r="N48" s="24">
        <f t="shared" si="10"/>
        <v>0</v>
      </c>
    </row>
    <row r="49" spans="1:14">
      <c r="A49">
        <f t="shared" si="0"/>
        <v>45</v>
      </c>
      <c r="B49">
        <v>1</v>
      </c>
      <c r="E49" s="23">
        <f t="shared" si="3"/>
        <v>201.05348460291734</v>
      </c>
      <c r="N49" s="24">
        <f t="shared" si="10"/>
        <v>0</v>
      </c>
    </row>
    <row r="50" spans="1:14">
      <c r="A50">
        <f t="shared" si="0"/>
        <v>46</v>
      </c>
      <c r="B50">
        <v>1</v>
      </c>
      <c r="E50" s="23">
        <f t="shared" si="3"/>
        <v>201.05348460291734</v>
      </c>
      <c r="N50" s="24">
        <f t="shared" si="10"/>
        <v>0</v>
      </c>
    </row>
    <row r="51" spans="1:14">
      <c r="A51">
        <f t="shared" si="0"/>
        <v>47</v>
      </c>
      <c r="B51">
        <v>1</v>
      </c>
      <c r="E51" s="23">
        <f t="shared" si="3"/>
        <v>201.05348460291734</v>
      </c>
      <c r="N51" s="24">
        <f t="shared" si="10"/>
        <v>0</v>
      </c>
    </row>
    <row r="52" spans="1:14">
      <c r="A52">
        <f t="shared" si="0"/>
        <v>48</v>
      </c>
      <c r="B52">
        <v>1</v>
      </c>
      <c r="E52" s="23">
        <f t="shared" si="3"/>
        <v>201.05348460291734</v>
      </c>
      <c r="N52" s="24">
        <f t="shared" si="10"/>
        <v>0</v>
      </c>
    </row>
    <row r="53" spans="1:14">
      <c r="A53">
        <f t="shared" si="0"/>
        <v>49</v>
      </c>
      <c r="B53">
        <v>1</v>
      </c>
      <c r="E53" s="23">
        <f t="shared" si="3"/>
        <v>201.05348460291734</v>
      </c>
      <c r="N53" s="24">
        <f t="shared" si="10"/>
        <v>0</v>
      </c>
    </row>
    <row r="54" spans="1:14">
      <c r="A54">
        <f t="shared" si="0"/>
        <v>50</v>
      </c>
      <c r="B54">
        <v>1</v>
      </c>
      <c r="E54" s="23">
        <f t="shared" si="3"/>
        <v>201.05348460291734</v>
      </c>
      <c r="N54" s="24">
        <f t="shared" si="10"/>
        <v>0</v>
      </c>
    </row>
    <row r="55" spans="1:14">
      <c r="A55">
        <f t="shared" si="0"/>
        <v>51</v>
      </c>
      <c r="B55">
        <v>1</v>
      </c>
      <c r="E55" s="23">
        <f t="shared" si="3"/>
        <v>201.05348460291734</v>
      </c>
      <c r="N55" s="24">
        <f t="shared" si="10"/>
        <v>0</v>
      </c>
    </row>
    <row r="56" spans="1:14">
      <c r="A56">
        <f t="shared" si="0"/>
        <v>52</v>
      </c>
      <c r="B56">
        <v>1</v>
      </c>
      <c r="E56" s="23">
        <f t="shared" ref="E56:E78" si="11">1/$Q$3*$Q$2</f>
        <v>201.05348460291734</v>
      </c>
      <c r="N56" s="24">
        <f t="shared" si="10"/>
        <v>0</v>
      </c>
    </row>
    <row r="57" spans="1:14">
      <c r="A57">
        <f t="shared" si="0"/>
        <v>53</v>
      </c>
      <c r="B57">
        <v>1</v>
      </c>
      <c r="E57" s="23">
        <f t="shared" si="11"/>
        <v>201.05348460291734</v>
      </c>
      <c r="N57" s="24">
        <f t="shared" si="10"/>
        <v>0</v>
      </c>
    </row>
    <row r="58" spans="1:14">
      <c r="A58">
        <f t="shared" si="0"/>
        <v>54</v>
      </c>
      <c r="B58">
        <v>1</v>
      </c>
      <c r="E58" s="23">
        <f t="shared" si="11"/>
        <v>201.05348460291734</v>
      </c>
      <c r="N58" s="24">
        <f t="shared" si="10"/>
        <v>0</v>
      </c>
    </row>
    <row r="59" spans="1:14">
      <c r="A59">
        <f t="shared" si="0"/>
        <v>55</v>
      </c>
      <c r="B59">
        <v>1</v>
      </c>
      <c r="E59" s="23">
        <f t="shared" si="11"/>
        <v>201.05348460291734</v>
      </c>
      <c r="N59" s="24">
        <f t="shared" si="10"/>
        <v>0</v>
      </c>
    </row>
    <row r="60" spans="1:14">
      <c r="A60">
        <f t="shared" si="0"/>
        <v>56</v>
      </c>
      <c r="B60">
        <v>1</v>
      </c>
      <c r="E60" s="23">
        <f t="shared" si="11"/>
        <v>201.05348460291734</v>
      </c>
      <c r="N60" s="24">
        <f t="shared" si="10"/>
        <v>0</v>
      </c>
    </row>
    <row r="61" spans="1:14">
      <c r="A61">
        <f t="shared" si="0"/>
        <v>57</v>
      </c>
      <c r="B61">
        <v>1</v>
      </c>
      <c r="E61" s="23">
        <f t="shared" si="11"/>
        <v>201.05348460291734</v>
      </c>
      <c r="N61" s="24">
        <f t="shared" si="10"/>
        <v>0</v>
      </c>
    </row>
    <row r="62" spans="1:14">
      <c r="A62">
        <f t="shared" si="0"/>
        <v>58</v>
      </c>
      <c r="B62">
        <v>1</v>
      </c>
      <c r="E62" s="23">
        <f t="shared" si="11"/>
        <v>201.05348460291734</v>
      </c>
      <c r="N62" s="24">
        <f t="shared" si="10"/>
        <v>0</v>
      </c>
    </row>
    <row r="63" spans="1:14">
      <c r="A63">
        <f t="shared" si="0"/>
        <v>59</v>
      </c>
      <c r="B63">
        <v>1</v>
      </c>
      <c r="E63" s="23">
        <f t="shared" si="11"/>
        <v>201.05348460291734</v>
      </c>
      <c r="N63" s="24">
        <f t="shared" si="10"/>
        <v>0</v>
      </c>
    </row>
    <row r="64" spans="1:14">
      <c r="A64">
        <f t="shared" si="0"/>
        <v>60</v>
      </c>
      <c r="B64">
        <v>1</v>
      </c>
      <c r="E64" s="23">
        <f t="shared" si="11"/>
        <v>201.05348460291734</v>
      </c>
      <c r="N64" s="24">
        <f t="shared" si="10"/>
        <v>0</v>
      </c>
    </row>
    <row r="65" spans="1:14">
      <c r="A65">
        <f t="shared" si="0"/>
        <v>61</v>
      </c>
      <c r="B65">
        <v>1</v>
      </c>
      <c r="E65" s="23">
        <f t="shared" si="11"/>
        <v>201.05348460291734</v>
      </c>
      <c r="N65" s="24">
        <f t="shared" si="10"/>
        <v>0</v>
      </c>
    </row>
    <row r="66" spans="1:14">
      <c r="A66">
        <f t="shared" si="0"/>
        <v>62</v>
      </c>
      <c r="B66">
        <v>1</v>
      </c>
      <c r="E66" s="23">
        <f t="shared" si="11"/>
        <v>201.05348460291734</v>
      </c>
      <c r="N66" s="24">
        <f t="shared" si="10"/>
        <v>0</v>
      </c>
    </row>
    <row r="67" spans="1:14">
      <c r="A67">
        <f t="shared" si="0"/>
        <v>63</v>
      </c>
      <c r="B67">
        <v>1</v>
      </c>
      <c r="E67" s="23">
        <f t="shared" si="11"/>
        <v>201.05348460291734</v>
      </c>
      <c r="N67" s="24">
        <f t="shared" si="10"/>
        <v>0</v>
      </c>
    </row>
    <row r="68" spans="1:14">
      <c r="A68">
        <f t="shared" si="0"/>
        <v>64</v>
      </c>
      <c r="B68">
        <v>1</v>
      </c>
      <c r="E68" s="23">
        <f t="shared" si="11"/>
        <v>201.05348460291734</v>
      </c>
      <c r="N68" s="24">
        <f t="shared" si="10"/>
        <v>0</v>
      </c>
    </row>
    <row r="69" spans="1:14">
      <c r="A69">
        <f t="shared" si="0"/>
        <v>65</v>
      </c>
      <c r="B69">
        <v>1</v>
      </c>
      <c r="E69" s="23">
        <f t="shared" si="11"/>
        <v>201.05348460291734</v>
      </c>
      <c r="N69" s="24">
        <f t="shared" si="10"/>
        <v>0</v>
      </c>
    </row>
    <row r="70" spans="1:14">
      <c r="A70">
        <f t="shared" ref="A70:A85" si="12">ROW()-4</f>
        <v>66</v>
      </c>
      <c r="B70">
        <v>1</v>
      </c>
      <c r="E70" s="23">
        <f t="shared" si="11"/>
        <v>201.05348460291734</v>
      </c>
      <c r="N70" s="24">
        <f t="shared" si="10"/>
        <v>0</v>
      </c>
    </row>
    <row r="71" spans="1:14">
      <c r="A71">
        <f t="shared" si="12"/>
        <v>67</v>
      </c>
      <c r="B71">
        <v>1</v>
      </c>
      <c r="E71" s="23">
        <f t="shared" si="11"/>
        <v>201.05348460291734</v>
      </c>
      <c r="N71" s="24">
        <f t="shared" si="10"/>
        <v>0</v>
      </c>
    </row>
    <row r="72" spans="1:14">
      <c r="A72">
        <f t="shared" si="12"/>
        <v>68</v>
      </c>
      <c r="B72">
        <v>1</v>
      </c>
      <c r="E72" s="23">
        <f t="shared" si="11"/>
        <v>201.05348460291734</v>
      </c>
      <c r="N72" s="24">
        <f t="shared" si="10"/>
        <v>0</v>
      </c>
    </row>
    <row r="73" spans="1:14">
      <c r="A73">
        <f t="shared" si="12"/>
        <v>69</v>
      </c>
      <c r="B73">
        <v>1</v>
      </c>
      <c r="E73" s="23">
        <f t="shared" si="11"/>
        <v>201.05348460291734</v>
      </c>
      <c r="N73" s="24">
        <f t="shared" si="10"/>
        <v>0</v>
      </c>
    </row>
    <row r="74" spans="1:14">
      <c r="A74">
        <f t="shared" si="12"/>
        <v>70</v>
      </c>
      <c r="B74">
        <v>1</v>
      </c>
      <c r="E74" s="23">
        <f t="shared" si="11"/>
        <v>201.05348460291734</v>
      </c>
      <c r="N74" s="24">
        <f t="shared" si="10"/>
        <v>0</v>
      </c>
    </row>
    <row r="75" spans="1:14">
      <c r="A75">
        <f t="shared" si="12"/>
        <v>71</v>
      </c>
      <c r="B75">
        <v>1</v>
      </c>
      <c r="E75" s="23">
        <f t="shared" si="11"/>
        <v>201.05348460291734</v>
      </c>
      <c r="N75" s="24">
        <f t="shared" si="10"/>
        <v>0</v>
      </c>
    </row>
    <row r="76" spans="1:14">
      <c r="A76">
        <f t="shared" si="12"/>
        <v>72</v>
      </c>
      <c r="B76">
        <v>1</v>
      </c>
      <c r="E76" s="23">
        <f t="shared" si="11"/>
        <v>201.05348460291734</v>
      </c>
      <c r="N76" s="24">
        <f t="shared" si="10"/>
        <v>0</v>
      </c>
    </row>
    <row r="77" spans="1:14">
      <c r="A77">
        <f t="shared" si="12"/>
        <v>73</v>
      </c>
      <c r="B77">
        <v>1</v>
      </c>
      <c r="E77" s="23">
        <f t="shared" si="11"/>
        <v>201.05348460291734</v>
      </c>
      <c r="N77" s="24">
        <f t="shared" si="10"/>
        <v>0</v>
      </c>
    </row>
    <row r="78" spans="1:14">
      <c r="A78">
        <f t="shared" si="12"/>
        <v>74</v>
      </c>
      <c r="B78">
        <v>1</v>
      </c>
      <c r="E78" s="23">
        <f t="shared" si="11"/>
        <v>201.05348460291734</v>
      </c>
      <c r="N78" s="24">
        <f t="shared" si="10"/>
        <v>0</v>
      </c>
    </row>
    <row r="79" spans="1:14">
      <c r="A79">
        <f t="shared" si="12"/>
        <v>75</v>
      </c>
      <c r="B79">
        <v>1</v>
      </c>
      <c r="E79" s="23">
        <f t="shared" ref="E79:E85" si="13">1/$Q$3*$Q$2</f>
        <v>201.05348460291734</v>
      </c>
      <c r="N79" s="24">
        <f t="shared" si="10"/>
        <v>0</v>
      </c>
    </row>
    <row r="80" spans="1:14">
      <c r="A80">
        <f t="shared" si="12"/>
        <v>76</v>
      </c>
      <c r="B80">
        <v>1</v>
      </c>
      <c r="E80" s="23">
        <f t="shared" si="13"/>
        <v>201.05348460291734</v>
      </c>
      <c r="N80" s="24">
        <f t="shared" si="10"/>
        <v>0</v>
      </c>
    </row>
    <row r="81" spans="1:14">
      <c r="A81">
        <f t="shared" si="12"/>
        <v>77</v>
      </c>
      <c r="B81">
        <v>1</v>
      </c>
      <c r="E81" s="23">
        <f t="shared" si="13"/>
        <v>201.05348460291734</v>
      </c>
      <c r="N81" s="24">
        <f t="shared" si="10"/>
        <v>0</v>
      </c>
    </row>
    <row r="82" spans="1:14">
      <c r="A82">
        <f t="shared" si="12"/>
        <v>78</v>
      </c>
      <c r="B82">
        <v>1</v>
      </c>
      <c r="E82" s="23">
        <f t="shared" si="13"/>
        <v>201.05348460291734</v>
      </c>
      <c r="N82" s="24">
        <f t="shared" si="10"/>
        <v>0</v>
      </c>
    </row>
    <row r="83" spans="1:14">
      <c r="A83">
        <f t="shared" si="12"/>
        <v>79</v>
      </c>
      <c r="B83">
        <v>1</v>
      </c>
      <c r="E83" s="23">
        <f t="shared" si="13"/>
        <v>201.05348460291734</v>
      </c>
      <c r="N83" s="24">
        <f t="shared" si="10"/>
        <v>0</v>
      </c>
    </row>
    <row r="84" spans="1:14">
      <c r="A84">
        <f t="shared" si="12"/>
        <v>80</v>
      </c>
      <c r="B84">
        <v>1</v>
      </c>
      <c r="E84" s="23">
        <f t="shared" si="13"/>
        <v>201.05348460291734</v>
      </c>
      <c r="N84" s="24">
        <f t="shared" si="10"/>
        <v>0</v>
      </c>
    </row>
    <row r="85" spans="1:14">
      <c r="A85">
        <f t="shared" si="12"/>
        <v>81</v>
      </c>
      <c r="B85">
        <v>1</v>
      </c>
      <c r="E85" s="23">
        <f t="shared" si="13"/>
        <v>201.05348460291734</v>
      </c>
      <c r="N85" s="24">
        <f t="shared" si="10"/>
        <v>0</v>
      </c>
    </row>
    <row r="86" spans="1:14">
      <c r="N86" s="24">
        <f t="shared" si="10"/>
        <v>0</v>
      </c>
    </row>
    <row r="87" spans="1:14">
      <c r="N87" s="24">
        <f t="shared" si="10"/>
        <v>0</v>
      </c>
    </row>
    <row r="88" spans="1:14">
      <c r="A88" s="28">
        <f>COUNT(A5:A87)</f>
        <v>81</v>
      </c>
      <c r="B88" s="28">
        <f>SUM(B13:B87)</f>
        <v>62</v>
      </c>
      <c r="C88" s="28">
        <f>SUM(C5:C87)</f>
        <v>27</v>
      </c>
      <c r="E88" s="29"/>
      <c r="F88" s="29">
        <f>SUM(F5:F87)</f>
        <v>100.52674230145867</v>
      </c>
      <c r="G88" s="29">
        <f t="shared" ref="G88:I88" si="14">SUM(G5:G87)</f>
        <v>482.52836304700162</v>
      </c>
      <c r="H88" s="29">
        <f>SUM(H5:H87)</f>
        <v>482.52836304700145</v>
      </c>
      <c r="I88" s="29">
        <f t="shared" si="14"/>
        <v>191.0008103727715</v>
      </c>
      <c r="J88" s="29"/>
      <c r="K88" s="29"/>
      <c r="L88" s="29"/>
      <c r="M88" s="29"/>
      <c r="N88" s="29">
        <f>SUM(N5:N87)</f>
        <v>71.444355753646676</v>
      </c>
    </row>
    <row r="89" spans="1:14">
      <c r="F89" s="25">
        <f>SUM(F88:I88)</f>
        <v>1256.5842787682332</v>
      </c>
      <c r="G89" s="25"/>
      <c r="H89" s="25"/>
      <c r="I89" s="25"/>
    </row>
  </sheetData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790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791</v>
      </c>
      <c r="L2" s="24" t="s">
        <v>763</v>
      </c>
      <c r="R2" s="26" t="s">
        <v>754</v>
      </c>
      <c r="S2" s="27">
        <f>VIPcric_3!D7</f>
        <v>8079</v>
      </c>
      <c r="T2" s="27" t="s">
        <v>755</v>
      </c>
    </row>
    <row r="3" spans="1:22">
      <c r="H3" s="24" t="s">
        <v>792</v>
      </c>
      <c r="M3" s="24" t="s">
        <v>786</v>
      </c>
      <c r="R3" s="26" t="s">
        <v>738</v>
      </c>
      <c r="S3" s="27">
        <f>VIPcric_3!E7</f>
        <v>52.3</v>
      </c>
      <c r="T3" s="27" t="s">
        <v>756</v>
      </c>
    </row>
    <row r="4" spans="1:22">
      <c r="I4" s="24" t="s">
        <v>783</v>
      </c>
      <c r="J4" s="24" t="s">
        <v>793</v>
      </c>
      <c r="N4" s="24" t="s">
        <v>787</v>
      </c>
      <c r="O4" s="24" t="s">
        <v>788</v>
      </c>
      <c r="R4" s="26" t="s">
        <v>767</v>
      </c>
      <c r="S4" s="30">
        <f>(10+19+155+625*1.05)/30</f>
        <v>28.008333333333333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>(F5*K5+G5*L5+H5*M5+I5*N5+J5*O5)*$S$1</f>
        <v>0</v>
      </c>
      <c r="R5" s="26" t="s">
        <v>768</v>
      </c>
      <c r="S5" s="30">
        <f>(10+19+155+(625*1.05-S7*30))/30</f>
        <v>16.008333333333333</v>
      </c>
      <c r="T5" s="27" t="s">
        <v>758</v>
      </c>
    </row>
    <row r="6" spans="1:22">
      <c r="A6">
        <f t="shared" ref="A6:A69" si="0">ROW()-4</f>
        <v>2</v>
      </c>
      <c r="C6">
        <v>1</v>
      </c>
      <c r="P6" s="24">
        <f t="shared" ref="P6:P69" si="1">(F6*K6+G6*L6+H6*M6+I6*N6+J6*O6)*$S$1</f>
        <v>0</v>
      </c>
      <c r="R6" s="26" t="s">
        <v>757</v>
      </c>
      <c r="S6" s="30">
        <f>(10+19+155+625*1.05-S7*30)/30</f>
        <v>16.008333333333333</v>
      </c>
      <c r="T6" s="27" t="s">
        <v>758</v>
      </c>
    </row>
    <row r="7" spans="1:22">
      <c r="A7">
        <f t="shared" si="0"/>
        <v>3</v>
      </c>
      <c r="C7">
        <v>1</v>
      </c>
      <c r="P7" s="24">
        <f t="shared" si="1"/>
        <v>0</v>
      </c>
      <c r="R7" s="26" t="s">
        <v>759</v>
      </c>
      <c r="S7" s="27">
        <v>12</v>
      </c>
      <c r="T7" s="27" t="s">
        <v>758</v>
      </c>
    </row>
    <row r="8" spans="1:22">
      <c r="A8">
        <f t="shared" si="0"/>
        <v>4</v>
      </c>
      <c r="C8">
        <v>1</v>
      </c>
      <c r="P8" s="24">
        <f t="shared" si="1"/>
        <v>0</v>
      </c>
      <c r="R8" s="27" t="s">
        <v>760</v>
      </c>
      <c r="S8" s="27">
        <v>3</v>
      </c>
      <c r="T8" s="27" t="s">
        <v>758</v>
      </c>
    </row>
    <row r="9" spans="1:22">
      <c r="A9">
        <f t="shared" si="0"/>
        <v>5</v>
      </c>
      <c r="C9">
        <v>1</v>
      </c>
      <c r="P9" s="24">
        <f t="shared" si="1"/>
        <v>0</v>
      </c>
      <c r="R9" s="26" t="s">
        <v>761</v>
      </c>
      <c r="S9" s="27">
        <v>12</v>
      </c>
      <c r="T9" s="27" t="s">
        <v>758</v>
      </c>
    </row>
    <row r="10" spans="1:22">
      <c r="A10">
        <f t="shared" si="0"/>
        <v>6</v>
      </c>
      <c r="C10">
        <v>1</v>
      </c>
      <c r="P10" s="24">
        <f t="shared" si="1"/>
        <v>0</v>
      </c>
      <c r="R10" s="27" t="s">
        <v>789</v>
      </c>
      <c r="S10" s="34">
        <v>1800</v>
      </c>
      <c r="T10" s="27" t="s">
        <v>755</v>
      </c>
    </row>
    <row r="11" spans="1:22">
      <c r="A11">
        <f t="shared" si="0"/>
        <v>7</v>
      </c>
      <c r="C11">
        <v>1</v>
      </c>
      <c r="P11" s="24">
        <f t="shared" si="1"/>
        <v>0</v>
      </c>
    </row>
    <row r="12" spans="1:22">
      <c r="A12">
        <f t="shared" si="0"/>
        <v>8</v>
      </c>
      <c r="C12">
        <v>1</v>
      </c>
      <c r="P12" s="24">
        <f t="shared" si="1"/>
        <v>0</v>
      </c>
    </row>
    <row r="13" spans="1:22">
      <c r="A13">
        <f t="shared" si="0"/>
        <v>9</v>
      </c>
      <c r="C13">
        <v>1</v>
      </c>
      <c r="P13" s="24">
        <f t="shared" si="1"/>
        <v>0</v>
      </c>
    </row>
    <row r="14" spans="1:22">
      <c r="A14">
        <f t="shared" si="0"/>
        <v>10</v>
      </c>
      <c r="C14">
        <v>1</v>
      </c>
      <c r="P14" s="24">
        <f t="shared" si="1"/>
        <v>0</v>
      </c>
    </row>
    <row r="15" spans="1:22">
      <c r="A15">
        <f t="shared" si="0"/>
        <v>11</v>
      </c>
      <c r="C15">
        <v>1</v>
      </c>
      <c r="P15" s="24">
        <f t="shared" si="1"/>
        <v>0</v>
      </c>
    </row>
    <row r="16" spans="1:22">
      <c r="A16">
        <f t="shared" si="0"/>
        <v>12</v>
      </c>
      <c r="C16">
        <v>1</v>
      </c>
      <c r="P16" s="24">
        <f t="shared" si="1"/>
        <v>0</v>
      </c>
    </row>
    <row r="17" spans="1:16">
      <c r="A17">
        <f t="shared" si="0"/>
        <v>13</v>
      </c>
      <c r="C17">
        <v>1</v>
      </c>
      <c r="P17" s="24">
        <f t="shared" si="1"/>
        <v>0</v>
      </c>
    </row>
    <row r="18" spans="1:16">
      <c r="A18">
        <f t="shared" si="0"/>
        <v>14</v>
      </c>
      <c r="C18">
        <v>1</v>
      </c>
      <c r="P18" s="24">
        <f t="shared" si="1"/>
        <v>0</v>
      </c>
    </row>
    <row r="19" spans="1:16">
      <c r="A19">
        <f t="shared" si="0"/>
        <v>15</v>
      </c>
      <c r="C19">
        <v>1</v>
      </c>
      <c r="P19" s="24">
        <f t="shared" si="1"/>
        <v>0</v>
      </c>
    </row>
    <row r="20" spans="1:16">
      <c r="A20">
        <f t="shared" si="0"/>
        <v>16</v>
      </c>
      <c r="C20">
        <v>1</v>
      </c>
      <c r="P20" s="24">
        <f t="shared" si="1"/>
        <v>0</v>
      </c>
    </row>
    <row r="21" spans="1:16">
      <c r="A21">
        <f t="shared" si="0"/>
        <v>17</v>
      </c>
      <c r="B21">
        <v>1</v>
      </c>
      <c r="C21">
        <v>1</v>
      </c>
      <c r="E21" s="35">
        <f t="shared" ref="E21:E73" si="2">1/$S$3*$S$2</f>
        <v>154.47418738049714</v>
      </c>
      <c r="F21" s="24">
        <f>$E21*30%</f>
        <v>46.342256214149138</v>
      </c>
      <c r="G21" s="24">
        <f>$E21*20%</f>
        <v>30.894837476099429</v>
      </c>
      <c r="H21" s="24">
        <f>$E21*20%</f>
        <v>30.894837476099429</v>
      </c>
      <c r="I21" s="24">
        <f>$E21*20%</f>
        <v>30.894837476099429</v>
      </c>
      <c r="J21" s="24">
        <f>$E21*10%</f>
        <v>15.447418738049715</v>
      </c>
      <c r="K21" s="24">
        <v>12</v>
      </c>
      <c r="L21" s="24">
        <v>12</v>
      </c>
      <c r="M21" s="24">
        <v>12</v>
      </c>
      <c r="N21" s="24">
        <v>12</v>
      </c>
      <c r="O21" s="24">
        <v>24</v>
      </c>
      <c r="P21" s="24">
        <f t="shared" si="1"/>
        <v>17.586886233269599</v>
      </c>
    </row>
    <row r="22" spans="1:16">
      <c r="A22">
        <f t="shared" si="0"/>
        <v>18</v>
      </c>
      <c r="B22">
        <v>1</v>
      </c>
      <c r="C22">
        <v>1</v>
      </c>
      <c r="E22" s="35">
        <f t="shared" si="2"/>
        <v>154.47418738049714</v>
      </c>
      <c r="F22" s="24">
        <f t="shared" ref="F22:F32" si="3">$E22*30%</f>
        <v>46.342256214149138</v>
      </c>
      <c r="G22" s="24">
        <f t="shared" ref="G22:I32" si="4">$E22*20%</f>
        <v>30.894837476099429</v>
      </c>
      <c r="H22" s="24">
        <f t="shared" si="4"/>
        <v>30.894837476099429</v>
      </c>
      <c r="I22" s="24">
        <f t="shared" si="4"/>
        <v>30.894837476099429</v>
      </c>
      <c r="J22" s="24">
        <f t="shared" ref="J22:J44" si="5">$E22*10%</f>
        <v>15.447418738049715</v>
      </c>
      <c r="K22" s="24">
        <f>K21-1</f>
        <v>11</v>
      </c>
      <c r="L22" s="24">
        <f>L21-1</f>
        <v>11</v>
      </c>
      <c r="M22" s="24">
        <f>M21-1</f>
        <v>11</v>
      </c>
      <c r="N22" s="24">
        <f>N21-1</f>
        <v>11</v>
      </c>
      <c r="O22" s="24">
        <f>O21-1</f>
        <v>23</v>
      </c>
      <c r="P22" s="24">
        <f t="shared" si="1"/>
        <v>16.254546367112813</v>
      </c>
    </row>
    <row r="23" spans="1:16">
      <c r="A23">
        <f t="shared" si="0"/>
        <v>19</v>
      </c>
      <c r="B23">
        <v>1</v>
      </c>
      <c r="C23">
        <v>1</v>
      </c>
      <c r="E23" s="35">
        <f t="shared" si="2"/>
        <v>154.47418738049714</v>
      </c>
      <c r="F23" s="24">
        <f t="shared" si="3"/>
        <v>46.342256214149138</v>
      </c>
      <c r="G23" s="24">
        <f t="shared" si="4"/>
        <v>30.894837476099429</v>
      </c>
      <c r="H23" s="24">
        <f t="shared" si="4"/>
        <v>30.894837476099429</v>
      </c>
      <c r="I23" s="24">
        <f t="shared" si="4"/>
        <v>30.894837476099429</v>
      </c>
      <c r="J23" s="24">
        <f t="shared" si="5"/>
        <v>15.447418738049715</v>
      </c>
      <c r="K23" s="24">
        <f t="shared" ref="K23:N32" si="6">K22-1</f>
        <v>10</v>
      </c>
      <c r="L23" s="24">
        <f t="shared" si="6"/>
        <v>10</v>
      </c>
      <c r="M23" s="24">
        <f t="shared" si="6"/>
        <v>10</v>
      </c>
      <c r="N23" s="24">
        <f t="shared" si="6"/>
        <v>10</v>
      </c>
      <c r="O23" s="24">
        <f t="shared" ref="O23:O44" si="7">O22-1</f>
        <v>22</v>
      </c>
      <c r="P23" s="24">
        <f t="shared" si="1"/>
        <v>14.922206500956024</v>
      </c>
    </row>
    <row r="24" spans="1:16">
      <c r="A24">
        <f t="shared" si="0"/>
        <v>20</v>
      </c>
      <c r="B24">
        <v>1</v>
      </c>
      <c r="C24">
        <v>1</v>
      </c>
      <c r="E24" s="35">
        <f t="shared" si="2"/>
        <v>154.47418738049714</v>
      </c>
      <c r="F24" s="24">
        <f t="shared" si="3"/>
        <v>46.342256214149138</v>
      </c>
      <c r="G24" s="24">
        <f t="shared" si="4"/>
        <v>30.894837476099429</v>
      </c>
      <c r="H24" s="24">
        <f t="shared" si="4"/>
        <v>30.894837476099429</v>
      </c>
      <c r="I24" s="24">
        <f t="shared" si="4"/>
        <v>30.894837476099429</v>
      </c>
      <c r="J24" s="24">
        <f t="shared" si="5"/>
        <v>15.447418738049715</v>
      </c>
      <c r="K24" s="24">
        <f t="shared" si="6"/>
        <v>9</v>
      </c>
      <c r="L24" s="24">
        <f t="shared" si="6"/>
        <v>9</v>
      </c>
      <c r="M24" s="24">
        <f t="shared" si="6"/>
        <v>9</v>
      </c>
      <c r="N24" s="24">
        <f t="shared" si="6"/>
        <v>9</v>
      </c>
      <c r="O24" s="24">
        <f t="shared" si="7"/>
        <v>21</v>
      </c>
      <c r="P24" s="24">
        <f t="shared" si="1"/>
        <v>13.589866634799236</v>
      </c>
    </row>
    <row r="25" spans="1:16">
      <c r="A25">
        <f t="shared" si="0"/>
        <v>21</v>
      </c>
      <c r="B25">
        <v>1</v>
      </c>
      <c r="C25">
        <v>1</v>
      </c>
      <c r="E25" s="35">
        <f t="shared" si="2"/>
        <v>154.47418738049714</v>
      </c>
      <c r="F25" s="24">
        <f t="shared" si="3"/>
        <v>46.342256214149138</v>
      </c>
      <c r="G25" s="24">
        <f t="shared" si="4"/>
        <v>30.894837476099429</v>
      </c>
      <c r="H25" s="24">
        <f t="shared" si="4"/>
        <v>30.894837476099429</v>
      </c>
      <c r="I25" s="24">
        <f t="shared" si="4"/>
        <v>30.894837476099429</v>
      </c>
      <c r="J25" s="24">
        <f t="shared" si="5"/>
        <v>15.447418738049715</v>
      </c>
      <c r="K25" s="24">
        <f t="shared" si="6"/>
        <v>8</v>
      </c>
      <c r="L25" s="24">
        <f t="shared" si="6"/>
        <v>8</v>
      </c>
      <c r="M25" s="24">
        <f t="shared" si="6"/>
        <v>8</v>
      </c>
      <c r="N25" s="24">
        <f t="shared" si="6"/>
        <v>8</v>
      </c>
      <c r="O25" s="24">
        <f t="shared" si="7"/>
        <v>20</v>
      </c>
      <c r="P25" s="24">
        <f t="shared" si="1"/>
        <v>12.25752676864245</v>
      </c>
    </row>
    <row r="26" spans="1:16">
      <c r="A26">
        <f t="shared" si="0"/>
        <v>22</v>
      </c>
      <c r="B26">
        <v>1</v>
      </c>
      <c r="C26">
        <v>1</v>
      </c>
      <c r="E26" s="35">
        <f t="shared" si="2"/>
        <v>154.47418738049714</v>
      </c>
      <c r="F26" s="24">
        <f t="shared" si="3"/>
        <v>46.342256214149138</v>
      </c>
      <c r="G26" s="24">
        <f t="shared" si="4"/>
        <v>30.894837476099429</v>
      </c>
      <c r="H26" s="24">
        <f t="shared" si="4"/>
        <v>30.894837476099429</v>
      </c>
      <c r="I26" s="24">
        <f t="shared" si="4"/>
        <v>30.894837476099429</v>
      </c>
      <c r="J26" s="24">
        <f t="shared" si="5"/>
        <v>15.447418738049715</v>
      </c>
      <c r="K26" s="24">
        <f t="shared" si="6"/>
        <v>7</v>
      </c>
      <c r="L26" s="24">
        <f t="shared" si="6"/>
        <v>7</v>
      </c>
      <c r="M26" s="24">
        <f t="shared" si="6"/>
        <v>7</v>
      </c>
      <c r="N26" s="24">
        <f t="shared" si="6"/>
        <v>7</v>
      </c>
      <c r="O26" s="24">
        <f t="shared" si="7"/>
        <v>19</v>
      </c>
      <c r="P26" s="24">
        <f t="shared" si="1"/>
        <v>10.925186902485661</v>
      </c>
    </row>
    <row r="27" spans="1:16">
      <c r="A27">
        <f t="shared" si="0"/>
        <v>23</v>
      </c>
      <c r="B27">
        <v>1</v>
      </c>
      <c r="C27">
        <v>1</v>
      </c>
      <c r="E27" s="35">
        <f t="shared" si="2"/>
        <v>154.47418738049714</v>
      </c>
      <c r="F27" s="24">
        <f t="shared" si="3"/>
        <v>46.342256214149138</v>
      </c>
      <c r="G27" s="24">
        <f t="shared" si="4"/>
        <v>30.894837476099429</v>
      </c>
      <c r="H27" s="24">
        <f t="shared" si="4"/>
        <v>30.894837476099429</v>
      </c>
      <c r="I27" s="24">
        <f t="shared" si="4"/>
        <v>30.894837476099429</v>
      </c>
      <c r="J27" s="24">
        <f t="shared" si="5"/>
        <v>15.447418738049715</v>
      </c>
      <c r="K27" s="24">
        <f t="shared" si="6"/>
        <v>6</v>
      </c>
      <c r="L27" s="24">
        <f t="shared" si="6"/>
        <v>6</v>
      </c>
      <c r="M27" s="24">
        <f t="shared" si="6"/>
        <v>6</v>
      </c>
      <c r="N27" s="24">
        <f t="shared" si="6"/>
        <v>6</v>
      </c>
      <c r="O27" s="24">
        <f t="shared" si="7"/>
        <v>18</v>
      </c>
      <c r="P27" s="24">
        <f t="shared" si="1"/>
        <v>9.5928470363288731</v>
      </c>
    </row>
    <row r="28" spans="1:16">
      <c r="A28">
        <f t="shared" si="0"/>
        <v>24</v>
      </c>
      <c r="B28">
        <v>1</v>
      </c>
      <c r="C28">
        <v>1</v>
      </c>
      <c r="E28" s="35">
        <f t="shared" si="2"/>
        <v>154.47418738049714</v>
      </c>
      <c r="F28" s="24">
        <f t="shared" si="3"/>
        <v>46.342256214149138</v>
      </c>
      <c r="G28" s="24">
        <f t="shared" si="4"/>
        <v>30.894837476099429</v>
      </c>
      <c r="H28" s="24">
        <f t="shared" si="4"/>
        <v>30.894837476099429</v>
      </c>
      <c r="I28" s="24">
        <f t="shared" si="4"/>
        <v>30.894837476099429</v>
      </c>
      <c r="J28" s="24">
        <f t="shared" si="5"/>
        <v>15.447418738049715</v>
      </c>
      <c r="K28" s="24">
        <f t="shared" si="6"/>
        <v>5</v>
      </c>
      <c r="L28" s="24">
        <f t="shared" si="6"/>
        <v>5</v>
      </c>
      <c r="M28" s="24">
        <f t="shared" si="6"/>
        <v>5</v>
      </c>
      <c r="N28" s="24">
        <f t="shared" si="6"/>
        <v>5</v>
      </c>
      <c r="O28" s="24">
        <f t="shared" si="7"/>
        <v>17</v>
      </c>
      <c r="P28" s="24">
        <f t="shared" si="1"/>
        <v>8.2605071701720849</v>
      </c>
    </row>
    <row r="29" spans="1:16">
      <c r="A29">
        <f t="shared" si="0"/>
        <v>25</v>
      </c>
      <c r="B29">
        <v>1</v>
      </c>
      <c r="C29">
        <v>1</v>
      </c>
      <c r="E29" s="35">
        <f t="shared" si="2"/>
        <v>154.47418738049714</v>
      </c>
      <c r="F29" s="24">
        <f t="shared" si="3"/>
        <v>46.342256214149138</v>
      </c>
      <c r="G29" s="24">
        <f t="shared" si="4"/>
        <v>30.894837476099429</v>
      </c>
      <c r="H29" s="24">
        <f t="shared" si="4"/>
        <v>30.894837476099429</v>
      </c>
      <c r="I29" s="24">
        <f t="shared" si="4"/>
        <v>30.894837476099429</v>
      </c>
      <c r="J29" s="24">
        <f t="shared" si="5"/>
        <v>15.447418738049715</v>
      </c>
      <c r="K29" s="24">
        <f t="shared" si="6"/>
        <v>4</v>
      </c>
      <c r="L29" s="24">
        <f t="shared" si="6"/>
        <v>4</v>
      </c>
      <c r="M29" s="24">
        <f t="shared" si="6"/>
        <v>4</v>
      </c>
      <c r="N29" s="24">
        <f t="shared" si="6"/>
        <v>4</v>
      </c>
      <c r="O29" s="24">
        <f t="shared" si="7"/>
        <v>16</v>
      </c>
      <c r="P29" s="24">
        <f t="shared" si="1"/>
        <v>6.9281673040152967</v>
      </c>
    </row>
    <row r="30" spans="1:16">
      <c r="A30">
        <f t="shared" si="0"/>
        <v>26</v>
      </c>
      <c r="B30">
        <v>1</v>
      </c>
      <c r="C30">
        <v>1</v>
      </c>
      <c r="E30" s="35">
        <f t="shared" si="2"/>
        <v>154.47418738049714</v>
      </c>
      <c r="F30" s="24">
        <f t="shared" si="3"/>
        <v>46.342256214149138</v>
      </c>
      <c r="G30" s="24">
        <f t="shared" si="4"/>
        <v>30.894837476099429</v>
      </c>
      <c r="H30" s="24">
        <f t="shared" si="4"/>
        <v>30.894837476099429</v>
      </c>
      <c r="I30" s="24">
        <f t="shared" si="4"/>
        <v>30.894837476099429</v>
      </c>
      <c r="J30" s="24">
        <f t="shared" si="5"/>
        <v>15.447418738049715</v>
      </c>
      <c r="K30" s="24">
        <f t="shared" si="6"/>
        <v>3</v>
      </c>
      <c r="L30" s="24">
        <f t="shared" si="6"/>
        <v>3</v>
      </c>
      <c r="M30" s="24">
        <f t="shared" si="6"/>
        <v>3</v>
      </c>
      <c r="N30" s="24">
        <f t="shared" si="6"/>
        <v>3</v>
      </c>
      <c r="O30" s="24">
        <f t="shared" si="7"/>
        <v>15</v>
      </c>
      <c r="P30" s="24">
        <f t="shared" si="1"/>
        <v>5.5958274378585093</v>
      </c>
    </row>
    <row r="31" spans="1:16">
      <c r="A31">
        <f t="shared" si="0"/>
        <v>27</v>
      </c>
      <c r="B31">
        <v>1</v>
      </c>
      <c r="C31">
        <v>1</v>
      </c>
      <c r="E31" s="35">
        <f t="shared" si="2"/>
        <v>154.47418738049714</v>
      </c>
      <c r="F31" s="24">
        <f t="shared" si="3"/>
        <v>46.342256214149138</v>
      </c>
      <c r="G31" s="24">
        <f t="shared" si="4"/>
        <v>30.894837476099429</v>
      </c>
      <c r="H31" s="24">
        <f t="shared" si="4"/>
        <v>30.894837476099429</v>
      </c>
      <c r="I31" s="24">
        <f t="shared" si="4"/>
        <v>30.894837476099429</v>
      </c>
      <c r="J31" s="24">
        <f t="shared" si="5"/>
        <v>15.447418738049715</v>
      </c>
      <c r="K31" s="24">
        <f t="shared" si="6"/>
        <v>2</v>
      </c>
      <c r="L31" s="24">
        <f t="shared" si="6"/>
        <v>2</v>
      </c>
      <c r="M31" s="24">
        <f t="shared" si="6"/>
        <v>2</v>
      </c>
      <c r="N31" s="24">
        <f t="shared" si="6"/>
        <v>2</v>
      </c>
      <c r="O31" s="24">
        <f t="shared" si="7"/>
        <v>14</v>
      </c>
      <c r="P31" s="24">
        <f t="shared" si="1"/>
        <v>4.2634875717017211</v>
      </c>
    </row>
    <row r="32" spans="1:16">
      <c r="A32">
        <f t="shared" si="0"/>
        <v>28</v>
      </c>
      <c r="B32">
        <v>1</v>
      </c>
      <c r="C32">
        <v>1</v>
      </c>
      <c r="E32" s="35">
        <f t="shared" si="2"/>
        <v>154.47418738049714</v>
      </c>
      <c r="F32" s="24">
        <f t="shared" si="3"/>
        <v>46.342256214149138</v>
      </c>
      <c r="G32" s="24">
        <f t="shared" si="4"/>
        <v>30.894837476099429</v>
      </c>
      <c r="H32" s="24">
        <f t="shared" si="4"/>
        <v>30.894837476099429</v>
      </c>
      <c r="I32" s="24">
        <f t="shared" si="4"/>
        <v>30.894837476099429</v>
      </c>
      <c r="J32" s="24">
        <f t="shared" si="5"/>
        <v>15.447418738049715</v>
      </c>
      <c r="K32" s="24">
        <f t="shared" si="6"/>
        <v>1</v>
      </c>
      <c r="L32" s="24">
        <f t="shared" si="6"/>
        <v>1</v>
      </c>
      <c r="M32" s="24">
        <f t="shared" si="6"/>
        <v>1</v>
      </c>
      <c r="N32" s="24">
        <f t="shared" si="6"/>
        <v>1</v>
      </c>
      <c r="O32" s="24">
        <f t="shared" si="7"/>
        <v>13</v>
      </c>
      <c r="P32" s="24">
        <f t="shared" si="1"/>
        <v>2.9311477055449338</v>
      </c>
    </row>
    <row r="33" spans="1:16">
      <c r="A33">
        <f t="shared" si="0"/>
        <v>29</v>
      </c>
      <c r="B33">
        <v>1</v>
      </c>
      <c r="D33">
        <v>1</v>
      </c>
      <c r="E33" s="23">
        <f t="shared" si="2"/>
        <v>154.47418738049714</v>
      </c>
      <c r="J33" s="24">
        <f t="shared" si="5"/>
        <v>15.447418738049715</v>
      </c>
      <c r="O33" s="24">
        <f t="shared" si="7"/>
        <v>12</v>
      </c>
      <c r="P33" s="24">
        <f t="shared" si="1"/>
        <v>1.5988078393881457</v>
      </c>
    </row>
    <row r="34" spans="1:16">
      <c r="A34">
        <f t="shared" si="0"/>
        <v>30</v>
      </c>
      <c r="B34">
        <v>1</v>
      </c>
      <c r="D34">
        <v>1</v>
      </c>
      <c r="E34" s="23">
        <f t="shared" si="2"/>
        <v>154.47418738049714</v>
      </c>
      <c r="J34" s="24">
        <f t="shared" si="5"/>
        <v>15.447418738049715</v>
      </c>
      <c r="O34" s="24">
        <f t="shared" si="7"/>
        <v>11</v>
      </c>
      <c r="P34" s="24">
        <f t="shared" si="1"/>
        <v>1.4655738527724669</v>
      </c>
    </row>
    <row r="35" spans="1:16">
      <c r="A35">
        <f t="shared" si="0"/>
        <v>31</v>
      </c>
      <c r="B35">
        <v>1</v>
      </c>
      <c r="D35">
        <v>1</v>
      </c>
      <c r="E35" s="23">
        <f t="shared" si="2"/>
        <v>154.47418738049714</v>
      </c>
      <c r="J35" s="24">
        <f t="shared" si="5"/>
        <v>15.447418738049715</v>
      </c>
      <c r="O35" s="24">
        <f t="shared" si="7"/>
        <v>10</v>
      </c>
      <c r="P35" s="24">
        <f t="shared" si="1"/>
        <v>1.332339866156788</v>
      </c>
    </row>
    <row r="36" spans="1:16">
      <c r="A36">
        <f t="shared" si="0"/>
        <v>32</v>
      </c>
      <c r="B36">
        <v>1</v>
      </c>
      <c r="D36">
        <v>1</v>
      </c>
      <c r="E36" s="23">
        <f t="shared" si="2"/>
        <v>154.47418738049714</v>
      </c>
      <c r="J36" s="24">
        <f t="shared" si="5"/>
        <v>15.447418738049715</v>
      </c>
      <c r="O36" s="24">
        <f t="shared" si="7"/>
        <v>9</v>
      </c>
      <c r="P36" s="24">
        <f t="shared" si="1"/>
        <v>1.1991058795411091</v>
      </c>
    </row>
    <row r="37" spans="1:16">
      <c r="A37">
        <f t="shared" si="0"/>
        <v>33</v>
      </c>
      <c r="B37">
        <v>1</v>
      </c>
      <c r="D37">
        <v>1</v>
      </c>
      <c r="E37" s="23">
        <f t="shared" si="2"/>
        <v>154.47418738049714</v>
      </c>
      <c r="J37" s="24">
        <f t="shared" si="5"/>
        <v>15.447418738049715</v>
      </c>
      <c r="O37" s="24">
        <f t="shared" si="7"/>
        <v>8</v>
      </c>
      <c r="P37" s="24">
        <f t="shared" si="1"/>
        <v>1.0658718929254305</v>
      </c>
    </row>
    <row r="38" spans="1:16">
      <c r="A38">
        <f t="shared" si="0"/>
        <v>34</v>
      </c>
      <c r="B38">
        <v>1</v>
      </c>
      <c r="D38">
        <v>1</v>
      </c>
      <c r="E38" s="23">
        <f t="shared" si="2"/>
        <v>154.47418738049714</v>
      </c>
      <c r="J38" s="24">
        <f t="shared" si="5"/>
        <v>15.447418738049715</v>
      </c>
      <c r="O38" s="24">
        <f t="shared" si="7"/>
        <v>7</v>
      </c>
      <c r="P38" s="24">
        <f t="shared" si="1"/>
        <v>0.93263790630975152</v>
      </c>
    </row>
    <row r="39" spans="1:16">
      <c r="A39">
        <f t="shared" si="0"/>
        <v>35</v>
      </c>
      <c r="B39">
        <v>1</v>
      </c>
      <c r="D39">
        <v>1</v>
      </c>
      <c r="E39" s="23">
        <f t="shared" si="2"/>
        <v>154.47418738049714</v>
      </c>
      <c r="J39" s="24">
        <f t="shared" si="5"/>
        <v>15.447418738049715</v>
      </c>
      <c r="O39" s="24">
        <f t="shared" si="7"/>
        <v>6</v>
      </c>
      <c r="P39" s="24">
        <f t="shared" si="1"/>
        <v>0.79940391969407287</v>
      </c>
    </row>
    <row r="40" spans="1:16">
      <c r="A40">
        <f t="shared" si="0"/>
        <v>36</v>
      </c>
      <c r="B40">
        <v>1</v>
      </c>
      <c r="D40">
        <v>1</v>
      </c>
      <c r="E40" s="23">
        <f t="shared" si="2"/>
        <v>154.47418738049714</v>
      </c>
      <c r="J40" s="24">
        <f t="shared" si="5"/>
        <v>15.447418738049715</v>
      </c>
      <c r="O40" s="24">
        <f t="shared" si="7"/>
        <v>5</v>
      </c>
      <c r="P40" s="24">
        <f t="shared" si="1"/>
        <v>0.66616993307839401</v>
      </c>
    </row>
    <row r="41" spans="1:16">
      <c r="A41">
        <f t="shared" si="0"/>
        <v>37</v>
      </c>
      <c r="B41">
        <v>1</v>
      </c>
      <c r="D41">
        <v>1</v>
      </c>
      <c r="E41" s="23">
        <f t="shared" si="2"/>
        <v>154.47418738049714</v>
      </c>
      <c r="J41" s="24">
        <f t="shared" si="5"/>
        <v>15.447418738049715</v>
      </c>
      <c r="O41" s="24">
        <f t="shared" si="7"/>
        <v>4</v>
      </c>
      <c r="P41" s="24">
        <f t="shared" si="1"/>
        <v>0.53293594646271525</v>
      </c>
    </row>
    <row r="42" spans="1:16">
      <c r="A42">
        <f t="shared" si="0"/>
        <v>38</v>
      </c>
      <c r="B42">
        <v>1</v>
      </c>
      <c r="D42">
        <v>1</v>
      </c>
      <c r="E42" s="23">
        <f t="shared" si="2"/>
        <v>154.47418738049714</v>
      </c>
      <c r="J42" s="24">
        <f t="shared" si="5"/>
        <v>15.447418738049715</v>
      </c>
      <c r="O42" s="24">
        <f t="shared" si="7"/>
        <v>3</v>
      </c>
      <c r="P42" s="24">
        <f t="shared" si="1"/>
        <v>0.39970195984703644</v>
      </c>
    </row>
    <row r="43" spans="1:16">
      <c r="A43">
        <f t="shared" si="0"/>
        <v>39</v>
      </c>
      <c r="B43">
        <v>1</v>
      </c>
      <c r="D43">
        <v>1</v>
      </c>
      <c r="E43" s="23">
        <f t="shared" si="2"/>
        <v>154.47418738049714</v>
      </c>
      <c r="J43" s="24">
        <f t="shared" si="5"/>
        <v>15.447418738049715</v>
      </c>
      <c r="O43" s="24">
        <f t="shared" si="7"/>
        <v>2</v>
      </c>
      <c r="P43" s="24">
        <f t="shared" si="1"/>
        <v>0.26646797323135762</v>
      </c>
    </row>
    <row r="44" spans="1:16">
      <c r="A44">
        <f t="shared" si="0"/>
        <v>40</v>
      </c>
      <c r="B44">
        <v>1</v>
      </c>
      <c r="D44">
        <v>1</v>
      </c>
      <c r="E44" s="23">
        <f t="shared" si="2"/>
        <v>154.47418738049714</v>
      </c>
      <c r="J44" s="24">
        <f t="shared" si="5"/>
        <v>15.447418738049715</v>
      </c>
      <c r="O44" s="24">
        <f t="shared" si="7"/>
        <v>1</v>
      </c>
      <c r="P44" s="24">
        <f t="shared" si="1"/>
        <v>0.13323398661567881</v>
      </c>
    </row>
    <row r="45" spans="1:16">
      <c r="A45">
        <f t="shared" si="0"/>
        <v>41</v>
      </c>
      <c r="B45">
        <v>1</v>
      </c>
      <c r="E45" s="23">
        <f t="shared" si="2"/>
        <v>154.47418738049714</v>
      </c>
      <c r="P45" s="24">
        <f t="shared" si="1"/>
        <v>0</v>
      </c>
    </row>
    <row r="46" spans="1:16">
      <c r="A46">
        <f t="shared" si="0"/>
        <v>42</v>
      </c>
      <c r="B46">
        <v>1</v>
      </c>
      <c r="E46" s="23">
        <f t="shared" si="2"/>
        <v>154.47418738049714</v>
      </c>
      <c r="P46" s="24">
        <f t="shared" si="1"/>
        <v>0</v>
      </c>
    </row>
    <row r="47" spans="1:16">
      <c r="A47">
        <f t="shared" si="0"/>
        <v>43</v>
      </c>
      <c r="B47">
        <v>1</v>
      </c>
      <c r="E47" s="23">
        <f t="shared" si="2"/>
        <v>154.47418738049714</v>
      </c>
      <c r="P47" s="24">
        <f t="shared" si="1"/>
        <v>0</v>
      </c>
    </row>
    <row r="48" spans="1:16">
      <c r="A48">
        <f t="shared" si="0"/>
        <v>44</v>
      </c>
      <c r="B48">
        <v>1</v>
      </c>
      <c r="E48" s="23">
        <f t="shared" si="2"/>
        <v>154.47418738049714</v>
      </c>
      <c r="P48" s="24">
        <f t="shared" si="1"/>
        <v>0</v>
      </c>
    </row>
    <row r="49" spans="1:16">
      <c r="A49">
        <f t="shared" si="0"/>
        <v>45</v>
      </c>
      <c r="B49">
        <v>1</v>
      </c>
      <c r="E49" s="23">
        <f t="shared" si="2"/>
        <v>154.47418738049714</v>
      </c>
      <c r="P49" s="24">
        <f t="shared" si="1"/>
        <v>0</v>
      </c>
    </row>
    <row r="50" spans="1:16">
      <c r="A50">
        <f t="shared" si="0"/>
        <v>46</v>
      </c>
      <c r="B50">
        <v>1</v>
      </c>
      <c r="E50" s="23">
        <f t="shared" si="2"/>
        <v>154.47418738049714</v>
      </c>
      <c r="P50" s="24">
        <f t="shared" si="1"/>
        <v>0</v>
      </c>
    </row>
    <row r="51" spans="1:16">
      <c r="A51">
        <f t="shared" si="0"/>
        <v>47</v>
      </c>
      <c r="B51">
        <v>1</v>
      </c>
      <c r="E51" s="23">
        <f t="shared" si="2"/>
        <v>154.47418738049714</v>
      </c>
      <c r="P51" s="24">
        <f t="shared" si="1"/>
        <v>0</v>
      </c>
    </row>
    <row r="52" spans="1:16">
      <c r="A52">
        <f t="shared" si="0"/>
        <v>48</v>
      </c>
      <c r="B52">
        <v>1</v>
      </c>
      <c r="E52" s="23">
        <f t="shared" si="2"/>
        <v>154.47418738049714</v>
      </c>
      <c r="P52" s="24">
        <f t="shared" si="1"/>
        <v>0</v>
      </c>
    </row>
    <row r="53" spans="1:16">
      <c r="A53">
        <f t="shared" si="0"/>
        <v>49</v>
      </c>
      <c r="B53">
        <v>1</v>
      </c>
      <c r="E53" s="23">
        <f t="shared" si="2"/>
        <v>154.47418738049714</v>
      </c>
      <c r="P53" s="24">
        <f t="shared" si="1"/>
        <v>0</v>
      </c>
    </row>
    <row r="54" spans="1:16">
      <c r="A54">
        <f t="shared" si="0"/>
        <v>50</v>
      </c>
      <c r="B54">
        <v>1</v>
      </c>
      <c r="E54" s="23">
        <f t="shared" si="2"/>
        <v>154.47418738049714</v>
      </c>
      <c r="P54" s="24">
        <f t="shared" si="1"/>
        <v>0</v>
      </c>
    </row>
    <row r="55" spans="1:16">
      <c r="A55">
        <f t="shared" si="0"/>
        <v>51</v>
      </c>
      <c r="B55">
        <v>1</v>
      </c>
      <c r="E55" s="23">
        <f t="shared" si="2"/>
        <v>154.47418738049714</v>
      </c>
      <c r="P55" s="24">
        <f t="shared" si="1"/>
        <v>0</v>
      </c>
    </row>
    <row r="56" spans="1:16">
      <c r="A56">
        <f t="shared" si="0"/>
        <v>52</v>
      </c>
      <c r="B56">
        <v>1</v>
      </c>
      <c r="E56" s="23">
        <f t="shared" si="2"/>
        <v>154.47418738049714</v>
      </c>
      <c r="P56" s="24">
        <f t="shared" si="1"/>
        <v>0</v>
      </c>
    </row>
    <row r="57" spans="1:16">
      <c r="A57">
        <f t="shared" si="0"/>
        <v>53</v>
      </c>
      <c r="B57">
        <v>1</v>
      </c>
      <c r="E57" s="23">
        <f t="shared" si="2"/>
        <v>154.47418738049714</v>
      </c>
      <c r="P57" s="24">
        <f t="shared" si="1"/>
        <v>0</v>
      </c>
    </row>
    <row r="58" spans="1:16">
      <c r="A58">
        <f t="shared" si="0"/>
        <v>54</v>
      </c>
      <c r="B58">
        <v>1</v>
      </c>
      <c r="E58" s="23">
        <f t="shared" si="2"/>
        <v>154.47418738049714</v>
      </c>
      <c r="P58" s="24">
        <f t="shared" si="1"/>
        <v>0</v>
      </c>
    </row>
    <row r="59" spans="1:16">
      <c r="A59">
        <f t="shared" si="0"/>
        <v>55</v>
      </c>
      <c r="B59">
        <v>1</v>
      </c>
      <c r="E59" s="23">
        <f t="shared" si="2"/>
        <v>154.47418738049714</v>
      </c>
      <c r="P59" s="24">
        <f t="shared" si="1"/>
        <v>0</v>
      </c>
    </row>
    <row r="60" spans="1:16">
      <c r="A60">
        <f t="shared" si="0"/>
        <v>56</v>
      </c>
      <c r="B60">
        <v>1</v>
      </c>
      <c r="E60" s="23">
        <f t="shared" si="2"/>
        <v>154.47418738049714</v>
      </c>
      <c r="P60" s="24">
        <f t="shared" si="1"/>
        <v>0</v>
      </c>
    </row>
    <row r="61" spans="1:16">
      <c r="A61">
        <f t="shared" si="0"/>
        <v>57</v>
      </c>
      <c r="B61">
        <v>1</v>
      </c>
      <c r="E61" s="23">
        <f t="shared" si="2"/>
        <v>154.47418738049714</v>
      </c>
      <c r="P61" s="24">
        <f t="shared" si="1"/>
        <v>0</v>
      </c>
    </row>
    <row r="62" spans="1:16">
      <c r="A62">
        <f t="shared" si="0"/>
        <v>58</v>
      </c>
      <c r="B62">
        <v>1</v>
      </c>
      <c r="E62" s="23">
        <f t="shared" si="2"/>
        <v>154.47418738049714</v>
      </c>
      <c r="P62" s="24">
        <f t="shared" si="1"/>
        <v>0</v>
      </c>
    </row>
    <row r="63" spans="1:16">
      <c r="A63">
        <f t="shared" si="0"/>
        <v>59</v>
      </c>
      <c r="B63">
        <v>1</v>
      </c>
      <c r="E63" s="23">
        <f t="shared" si="2"/>
        <v>154.47418738049714</v>
      </c>
      <c r="P63" s="24">
        <f t="shared" si="1"/>
        <v>0</v>
      </c>
    </row>
    <row r="64" spans="1:16">
      <c r="A64">
        <f t="shared" si="0"/>
        <v>60</v>
      </c>
      <c r="B64">
        <v>1</v>
      </c>
      <c r="E64" s="23">
        <f t="shared" si="2"/>
        <v>154.47418738049714</v>
      </c>
      <c r="P64" s="24">
        <f t="shared" si="1"/>
        <v>0</v>
      </c>
    </row>
    <row r="65" spans="1:16">
      <c r="A65">
        <f t="shared" si="0"/>
        <v>61</v>
      </c>
      <c r="B65">
        <v>1</v>
      </c>
      <c r="E65" s="23">
        <f t="shared" si="2"/>
        <v>154.47418738049714</v>
      </c>
      <c r="P65" s="24">
        <f t="shared" si="1"/>
        <v>0</v>
      </c>
    </row>
    <row r="66" spans="1:16">
      <c r="A66">
        <f t="shared" si="0"/>
        <v>62</v>
      </c>
      <c r="B66">
        <v>1</v>
      </c>
      <c r="E66" s="23">
        <f t="shared" si="2"/>
        <v>154.47418738049714</v>
      </c>
      <c r="P66" s="24">
        <f t="shared" si="1"/>
        <v>0</v>
      </c>
    </row>
    <row r="67" spans="1:16">
      <c r="A67">
        <f t="shared" si="0"/>
        <v>63</v>
      </c>
      <c r="B67">
        <v>1</v>
      </c>
      <c r="E67" s="23">
        <f t="shared" si="2"/>
        <v>154.47418738049714</v>
      </c>
      <c r="P67" s="24">
        <f t="shared" si="1"/>
        <v>0</v>
      </c>
    </row>
    <row r="68" spans="1:16">
      <c r="A68">
        <f t="shared" si="0"/>
        <v>64</v>
      </c>
      <c r="B68">
        <v>1</v>
      </c>
      <c r="E68" s="23">
        <f t="shared" si="2"/>
        <v>154.47418738049714</v>
      </c>
      <c r="P68" s="24">
        <f t="shared" si="1"/>
        <v>0</v>
      </c>
    </row>
    <row r="69" spans="1:16">
      <c r="A69">
        <f t="shared" si="0"/>
        <v>65</v>
      </c>
      <c r="B69">
        <v>1</v>
      </c>
      <c r="E69" s="23">
        <f t="shared" si="2"/>
        <v>154.47418738049714</v>
      </c>
      <c r="P69" s="24">
        <f t="shared" si="1"/>
        <v>0</v>
      </c>
    </row>
    <row r="70" spans="1:16">
      <c r="A70">
        <f t="shared" ref="A70:A73" si="8">ROW()-4</f>
        <v>66</v>
      </c>
      <c r="B70">
        <v>1</v>
      </c>
      <c r="E70" s="23">
        <f t="shared" si="2"/>
        <v>154.47418738049714</v>
      </c>
      <c r="P70" s="24">
        <f t="shared" ref="P70:P87" si="9">(F70*K70+G70*L70+H70*M70+I70*N70+J70*O70)*$S$1</f>
        <v>0</v>
      </c>
    </row>
    <row r="71" spans="1:16">
      <c r="A71">
        <f t="shared" si="8"/>
        <v>67</v>
      </c>
      <c r="B71">
        <v>1</v>
      </c>
      <c r="E71" s="23">
        <f t="shared" si="2"/>
        <v>154.47418738049714</v>
      </c>
      <c r="P71" s="24">
        <f t="shared" si="9"/>
        <v>0</v>
      </c>
    </row>
    <row r="72" spans="1:16">
      <c r="A72">
        <f t="shared" si="8"/>
        <v>68</v>
      </c>
      <c r="B72">
        <v>1</v>
      </c>
      <c r="E72" s="23">
        <f t="shared" si="2"/>
        <v>154.47418738049714</v>
      </c>
      <c r="P72" s="24">
        <f t="shared" si="9"/>
        <v>0</v>
      </c>
    </row>
    <row r="73" spans="1:16">
      <c r="A73">
        <f t="shared" si="8"/>
        <v>69</v>
      </c>
      <c r="B73">
        <v>1</v>
      </c>
      <c r="E73" s="23">
        <f t="shared" si="2"/>
        <v>154.47418738049714</v>
      </c>
      <c r="P73" s="24">
        <f t="shared" si="9"/>
        <v>0</v>
      </c>
    </row>
    <row r="74" spans="1:16">
      <c r="P74" s="24">
        <f t="shared" si="9"/>
        <v>0</v>
      </c>
    </row>
    <row r="75" spans="1:16">
      <c r="P75" s="24">
        <f t="shared" si="9"/>
        <v>0</v>
      </c>
    </row>
    <row r="76" spans="1:16">
      <c r="P76" s="24">
        <f t="shared" si="9"/>
        <v>0</v>
      </c>
    </row>
    <row r="77" spans="1:16">
      <c r="P77" s="24">
        <f t="shared" si="9"/>
        <v>0</v>
      </c>
    </row>
    <row r="78" spans="1:16">
      <c r="P78" s="24">
        <f t="shared" si="9"/>
        <v>0</v>
      </c>
    </row>
    <row r="79" spans="1:16">
      <c r="P79" s="24">
        <f t="shared" si="9"/>
        <v>0</v>
      </c>
    </row>
    <row r="80" spans="1:16">
      <c r="P80" s="24">
        <f t="shared" si="9"/>
        <v>0</v>
      </c>
    </row>
    <row r="81" spans="1:16">
      <c r="P81" s="24">
        <f t="shared" si="9"/>
        <v>0</v>
      </c>
    </row>
    <row r="82" spans="1:16">
      <c r="P82" s="24">
        <f t="shared" si="9"/>
        <v>0</v>
      </c>
    </row>
    <row r="83" spans="1:16">
      <c r="P83" s="24">
        <f t="shared" si="9"/>
        <v>0</v>
      </c>
    </row>
    <row r="84" spans="1:16">
      <c r="P84" s="24">
        <f t="shared" si="9"/>
        <v>0</v>
      </c>
    </row>
    <row r="85" spans="1:16">
      <c r="P85" s="24">
        <f t="shared" si="9"/>
        <v>0</v>
      </c>
    </row>
    <row r="86" spans="1:16">
      <c r="P86" s="24">
        <f t="shared" si="9"/>
        <v>0</v>
      </c>
    </row>
    <row r="87" spans="1:16">
      <c r="P87" s="24">
        <f t="shared" si="9"/>
        <v>0</v>
      </c>
    </row>
    <row r="88" spans="1:16">
      <c r="A88" s="28">
        <f>COUNT(A5:A87)</f>
        <v>69</v>
      </c>
      <c r="B88" s="28">
        <f>SUM(B13:B87)</f>
        <v>53</v>
      </c>
      <c r="C88" s="28">
        <f>SUM(C5:C87)</f>
        <v>28</v>
      </c>
      <c r="E88" s="29"/>
      <c r="F88" s="29">
        <f>SUM(F5:F87)</f>
        <v>556.10707456978969</v>
      </c>
      <c r="G88" s="29">
        <f t="shared" ref="G88:I88" si="10">SUM(G5:G87)</f>
        <v>370.73804971319322</v>
      </c>
      <c r="H88" s="29">
        <f>SUM(H5:H87)</f>
        <v>370.73804971319322</v>
      </c>
      <c r="I88" s="29">
        <f t="shared" si="10"/>
        <v>370.73804971319322</v>
      </c>
      <c r="J88" s="29"/>
      <c r="K88" s="29"/>
      <c r="L88" s="29"/>
      <c r="M88" s="29"/>
      <c r="N88" s="29"/>
      <c r="O88" s="29"/>
      <c r="P88" s="29">
        <f t="shared" ref="P88" si="11">SUM(P5:P87)</f>
        <v>133.5004545889102</v>
      </c>
    </row>
    <row r="89" spans="1:16">
      <c r="F89" s="25">
        <f>SUM(F88:I88)</f>
        <v>1668.3212237093694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89"/>
  <sheetViews>
    <sheetView workbookViewId="0"/>
  </sheetViews>
  <sheetFormatPr defaultRowHeight="13.8"/>
  <sheetData>
    <row r="1" spans="1:19">
      <c r="A1" t="s">
        <v>742</v>
      </c>
      <c r="B1" t="s">
        <v>744</v>
      </c>
      <c r="C1" t="s">
        <v>765</v>
      </c>
      <c r="D1" s="23" t="s">
        <v>743</v>
      </c>
      <c r="E1" s="24" t="s">
        <v>794</v>
      </c>
      <c r="I1" s="24" t="s">
        <v>798</v>
      </c>
      <c r="M1" s="24" t="s">
        <v>749</v>
      </c>
      <c r="O1" s="26" t="s">
        <v>741</v>
      </c>
      <c r="P1" s="27">
        <f>3.45%*3/12</f>
        <v>8.6250000000000007E-3</v>
      </c>
      <c r="Q1" s="27">
        <f>P1*12</f>
        <v>0.10350000000000001</v>
      </c>
    </row>
    <row r="2" spans="1:19">
      <c r="F2" s="24" t="s">
        <v>795</v>
      </c>
      <c r="J2" s="24" t="s">
        <v>763</v>
      </c>
      <c r="O2" s="26" t="s">
        <v>754</v>
      </c>
      <c r="P2" s="27">
        <f>VIPcric_3!D8</f>
        <v>4898</v>
      </c>
      <c r="Q2" s="27" t="s">
        <v>755</v>
      </c>
    </row>
    <row r="3" spans="1:19">
      <c r="G3" s="24" t="s">
        <v>796</v>
      </c>
      <c r="K3" s="24" t="s">
        <v>752</v>
      </c>
      <c r="O3" s="26" t="s">
        <v>738</v>
      </c>
      <c r="P3" s="27">
        <f>VIPcric_3!E8</f>
        <v>55.1</v>
      </c>
      <c r="Q3" s="27" t="s">
        <v>756</v>
      </c>
    </row>
    <row r="4" spans="1:19">
      <c r="H4" s="24" t="s">
        <v>797</v>
      </c>
      <c r="L4" s="24" t="s">
        <v>753</v>
      </c>
      <c r="O4" s="26" t="s">
        <v>767</v>
      </c>
      <c r="P4" s="30">
        <f>(10+19+155+625*1.05)/30</f>
        <v>28.008333333333333</v>
      </c>
      <c r="Q4" s="27" t="s">
        <v>758</v>
      </c>
      <c r="R4">
        <v>1.05</v>
      </c>
      <c r="S4" t="s">
        <v>770</v>
      </c>
    </row>
    <row r="5" spans="1:19">
      <c r="A5">
        <f>ROW()-4</f>
        <v>1</v>
      </c>
      <c r="C5">
        <v>1</v>
      </c>
      <c r="M5" s="24">
        <f t="shared" ref="M5:M16" si="0">(E5*I5+F5*J5+G5*K5+H5*L5)*$P$1</f>
        <v>0</v>
      </c>
      <c r="O5" s="26" t="s">
        <v>768</v>
      </c>
      <c r="P5" s="30">
        <f>(10+19+155+(625*1.05-P7*30)/2)/30</f>
        <v>12.070833333333333</v>
      </c>
      <c r="Q5" s="27" t="s">
        <v>758</v>
      </c>
    </row>
    <row r="6" spans="1:19">
      <c r="A6">
        <f t="shared" ref="A6:A69" si="1">ROW()-4</f>
        <v>2</v>
      </c>
      <c r="C6">
        <v>1</v>
      </c>
      <c r="M6" s="24">
        <f t="shared" si="0"/>
        <v>0</v>
      </c>
      <c r="O6" s="26" t="s">
        <v>757</v>
      </c>
      <c r="P6" s="30">
        <f>(10+19+155+(625*1.05-P7*30))/30</f>
        <v>18.008333333333333</v>
      </c>
      <c r="Q6" s="27" t="s">
        <v>758</v>
      </c>
    </row>
    <row r="7" spans="1:19">
      <c r="A7">
        <f t="shared" si="1"/>
        <v>3</v>
      </c>
      <c r="C7">
        <v>1</v>
      </c>
      <c r="M7" s="24">
        <f t="shared" si="0"/>
        <v>0</v>
      </c>
      <c r="O7" s="26" t="s">
        <v>759</v>
      </c>
      <c r="P7" s="27">
        <v>10</v>
      </c>
      <c r="Q7" s="27" t="s">
        <v>758</v>
      </c>
    </row>
    <row r="8" spans="1:19">
      <c r="A8">
        <f t="shared" si="1"/>
        <v>4</v>
      </c>
      <c r="C8">
        <v>1</v>
      </c>
      <c r="M8" s="24">
        <f t="shared" si="0"/>
        <v>0</v>
      </c>
      <c r="O8" s="27" t="s">
        <v>760</v>
      </c>
      <c r="P8" s="27">
        <v>3</v>
      </c>
      <c r="Q8" s="27" t="s">
        <v>758</v>
      </c>
    </row>
    <row r="9" spans="1:19">
      <c r="A9">
        <f t="shared" si="1"/>
        <v>5</v>
      </c>
      <c r="C9">
        <v>1</v>
      </c>
      <c r="M9" s="24">
        <f>(E9*I9+F9*J9+G9*K9+H9*L9)*$P$1</f>
        <v>0</v>
      </c>
      <c r="O9" s="26" t="s">
        <v>761</v>
      </c>
      <c r="P9" s="27">
        <v>12</v>
      </c>
      <c r="Q9" s="27" t="s">
        <v>758</v>
      </c>
    </row>
    <row r="10" spans="1:19">
      <c r="A10">
        <f t="shared" si="1"/>
        <v>6</v>
      </c>
      <c r="C10">
        <v>1</v>
      </c>
      <c r="M10" s="24">
        <f t="shared" si="0"/>
        <v>0</v>
      </c>
      <c r="O10" s="27"/>
      <c r="P10" s="32"/>
      <c r="Q10" s="27"/>
    </row>
    <row r="11" spans="1:19">
      <c r="A11">
        <f t="shared" si="1"/>
        <v>7</v>
      </c>
      <c r="C11">
        <v>1</v>
      </c>
      <c r="M11" s="24">
        <f t="shared" si="0"/>
        <v>0</v>
      </c>
    </row>
    <row r="12" spans="1:19">
      <c r="A12">
        <f t="shared" si="1"/>
        <v>8</v>
      </c>
      <c r="C12">
        <v>1</v>
      </c>
      <c r="M12" s="24">
        <f t="shared" si="0"/>
        <v>0</v>
      </c>
    </row>
    <row r="13" spans="1:19">
      <c r="A13">
        <f t="shared" si="1"/>
        <v>9</v>
      </c>
      <c r="C13">
        <v>1</v>
      </c>
      <c r="M13" s="24">
        <f t="shared" si="0"/>
        <v>0</v>
      </c>
    </row>
    <row r="14" spans="1:19">
      <c r="A14">
        <f t="shared" si="1"/>
        <v>10</v>
      </c>
      <c r="C14">
        <v>1</v>
      </c>
      <c r="M14" s="24">
        <f t="shared" si="0"/>
        <v>0</v>
      </c>
    </row>
    <row r="15" spans="1:19">
      <c r="A15">
        <f t="shared" si="1"/>
        <v>11</v>
      </c>
      <c r="C15">
        <v>1</v>
      </c>
      <c r="M15" s="24">
        <f t="shared" si="0"/>
        <v>0</v>
      </c>
    </row>
    <row r="16" spans="1:19">
      <c r="A16">
        <f t="shared" si="1"/>
        <v>12</v>
      </c>
      <c r="C16">
        <v>1</v>
      </c>
      <c r="M16" s="24">
        <f t="shared" si="0"/>
        <v>0</v>
      </c>
    </row>
    <row r="17" spans="1:13">
      <c r="A17">
        <f t="shared" si="1"/>
        <v>13</v>
      </c>
      <c r="B17">
        <v>1</v>
      </c>
      <c r="C17">
        <v>1</v>
      </c>
      <c r="D17" s="23">
        <f t="shared" ref="D17:D72" si="2">1/$P$3*$P$2</f>
        <v>88.892921960072599</v>
      </c>
      <c r="E17" s="24">
        <f>$D17*30%</f>
        <v>26.66787658802178</v>
      </c>
      <c r="F17" s="24">
        <f>$D17*15%</f>
        <v>13.33393829401089</v>
      </c>
      <c r="G17" s="24">
        <f>$D17*47%</f>
        <v>41.779673321234121</v>
      </c>
      <c r="H17" s="24">
        <f>$D17*8%</f>
        <v>7.1114337568058081</v>
      </c>
      <c r="I17" s="24">
        <v>3</v>
      </c>
      <c r="J17" s="24">
        <v>6</v>
      </c>
      <c r="K17" s="24">
        <v>15</v>
      </c>
      <c r="L17" s="24">
        <v>27</v>
      </c>
      <c r="M17" s="24">
        <f t="shared" ref="M17:M22" si="3">(E17*I17+F17*J17+G17*K17+H17*L17)*$P$1</f>
        <v>8.4413829854809457</v>
      </c>
    </row>
    <row r="18" spans="1:13">
      <c r="A18">
        <f t="shared" si="1"/>
        <v>14</v>
      </c>
      <c r="B18">
        <v>1</v>
      </c>
      <c r="C18">
        <v>1</v>
      </c>
      <c r="D18" s="23">
        <f t="shared" si="2"/>
        <v>88.892921960072599</v>
      </c>
      <c r="E18" s="24">
        <f t="shared" ref="E18:E19" si="4">$D18*30%</f>
        <v>26.66787658802178</v>
      </c>
      <c r="F18" s="24">
        <f t="shared" ref="F18:F22" si="5">$D18*15%</f>
        <v>13.33393829401089</v>
      </c>
      <c r="G18" s="24">
        <f t="shared" ref="G18:G31" si="6">$D18*47%</f>
        <v>41.779673321234121</v>
      </c>
      <c r="H18" s="24">
        <f t="shared" ref="H18:H43" si="7">$D18*8%</f>
        <v>7.1114337568058081</v>
      </c>
      <c r="I18" s="24">
        <f>I17-1</f>
        <v>2</v>
      </c>
      <c r="J18" s="24">
        <f>J17-1</f>
        <v>5</v>
      </c>
      <c r="K18" s="24">
        <f t="shared" ref="K18:L32" si="8">K17-1</f>
        <v>14</v>
      </c>
      <c r="L18" s="24">
        <f t="shared" si="8"/>
        <v>26</v>
      </c>
      <c r="M18" s="24">
        <f t="shared" si="3"/>
        <v>7.6746815335753187</v>
      </c>
    </row>
    <row r="19" spans="1:13">
      <c r="A19">
        <f t="shared" si="1"/>
        <v>15</v>
      </c>
      <c r="B19">
        <v>1</v>
      </c>
      <c r="C19">
        <v>1</v>
      </c>
      <c r="D19" s="23">
        <f t="shared" si="2"/>
        <v>88.892921960072599</v>
      </c>
      <c r="E19" s="24">
        <f t="shared" si="4"/>
        <v>26.66787658802178</v>
      </c>
      <c r="F19" s="24">
        <f t="shared" si="5"/>
        <v>13.33393829401089</v>
      </c>
      <c r="G19" s="24">
        <f t="shared" si="6"/>
        <v>41.779673321234121</v>
      </c>
      <c r="H19" s="24">
        <f t="shared" si="7"/>
        <v>7.1114337568058081</v>
      </c>
      <c r="I19" s="24">
        <f>I18-1</f>
        <v>1</v>
      </c>
      <c r="J19" s="24">
        <f t="shared" ref="J19:J22" si="9">J18-1</f>
        <v>4</v>
      </c>
      <c r="K19" s="24">
        <f t="shared" si="8"/>
        <v>13</v>
      </c>
      <c r="L19" s="24">
        <f t="shared" si="8"/>
        <v>25</v>
      </c>
      <c r="M19" s="24">
        <f t="shared" si="3"/>
        <v>6.9079800816696917</v>
      </c>
    </row>
    <row r="20" spans="1:13">
      <c r="A20">
        <f t="shared" si="1"/>
        <v>16</v>
      </c>
      <c r="B20">
        <v>1</v>
      </c>
      <c r="C20">
        <v>1</v>
      </c>
      <c r="D20" s="23">
        <f t="shared" si="2"/>
        <v>88.892921960072599</v>
      </c>
      <c r="F20" s="24">
        <f t="shared" si="5"/>
        <v>13.33393829401089</v>
      </c>
      <c r="G20" s="24">
        <f t="shared" si="6"/>
        <v>41.779673321234121</v>
      </c>
      <c r="H20" s="24">
        <f t="shared" si="7"/>
        <v>7.1114337568058081</v>
      </c>
      <c r="J20" s="24">
        <f t="shared" si="9"/>
        <v>3</v>
      </c>
      <c r="K20" s="24">
        <f t="shared" si="8"/>
        <v>12</v>
      </c>
      <c r="L20" s="24">
        <f t="shared" si="8"/>
        <v>24</v>
      </c>
      <c r="M20" s="24">
        <f t="shared" si="3"/>
        <v>6.1412786297640665</v>
      </c>
    </row>
    <row r="21" spans="1:13">
      <c r="A21">
        <f t="shared" si="1"/>
        <v>17</v>
      </c>
      <c r="B21">
        <v>1</v>
      </c>
      <c r="C21">
        <v>1</v>
      </c>
      <c r="D21" s="23">
        <f t="shared" si="2"/>
        <v>88.892921960072599</v>
      </c>
      <c r="F21" s="24">
        <f t="shared" si="5"/>
        <v>13.33393829401089</v>
      </c>
      <c r="G21" s="24">
        <f t="shared" si="6"/>
        <v>41.779673321234121</v>
      </c>
      <c r="H21" s="24">
        <f t="shared" si="7"/>
        <v>7.1114337568058081</v>
      </c>
      <c r="J21" s="24">
        <f t="shared" si="9"/>
        <v>2</v>
      </c>
      <c r="K21" s="24">
        <f t="shared" si="8"/>
        <v>11</v>
      </c>
      <c r="L21" s="24">
        <f t="shared" si="8"/>
        <v>23</v>
      </c>
      <c r="M21" s="24">
        <f t="shared" si="3"/>
        <v>5.6045876134301276</v>
      </c>
    </row>
    <row r="22" spans="1:13">
      <c r="A22">
        <f t="shared" si="1"/>
        <v>18</v>
      </c>
      <c r="B22">
        <v>1</v>
      </c>
      <c r="C22">
        <v>1</v>
      </c>
      <c r="D22" s="23">
        <f t="shared" si="2"/>
        <v>88.892921960072599</v>
      </c>
      <c r="F22" s="24">
        <f t="shared" si="5"/>
        <v>13.33393829401089</v>
      </c>
      <c r="G22" s="24">
        <f t="shared" si="6"/>
        <v>41.779673321234121</v>
      </c>
      <c r="H22" s="24">
        <f t="shared" si="7"/>
        <v>7.1114337568058081</v>
      </c>
      <c r="J22" s="24">
        <f t="shared" si="9"/>
        <v>1</v>
      </c>
      <c r="K22" s="24">
        <f t="shared" si="8"/>
        <v>10</v>
      </c>
      <c r="L22" s="24">
        <f t="shared" si="8"/>
        <v>22</v>
      </c>
      <c r="M22" s="24">
        <f t="shared" si="3"/>
        <v>5.0678965970961896</v>
      </c>
    </row>
    <row r="23" spans="1:13">
      <c r="A23">
        <f t="shared" si="1"/>
        <v>19</v>
      </c>
      <c r="B23">
        <v>1</v>
      </c>
      <c r="C23">
        <v>1</v>
      </c>
      <c r="D23" s="23">
        <f t="shared" si="2"/>
        <v>88.892921960072599</v>
      </c>
      <c r="G23" s="24">
        <f t="shared" si="6"/>
        <v>41.779673321234121</v>
      </c>
      <c r="H23" s="24">
        <f t="shared" si="7"/>
        <v>7.1114337568058081</v>
      </c>
      <c r="K23" s="24">
        <f t="shared" si="8"/>
        <v>9</v>
      </c>
      <c r="L23" s="24">
        <f t="shared" si="8"/>
        <v>21</v>
      </c>
      <c r="M23" s="24">
        <f t="shared" ref="M23:M39" si="10">(E23*I23+F23*J23+G23*K23+H23*L23)*$P$1</f>
        <v>4.5312055807622507</v>
      </c>
    </row>
    <row r="24" spans="1:13">
      <c r="A24">
        <f t="shared" si="1"/>
        <v>20</v>
      </c>
      <c r="B24">
        <v>1</v>
      </c>
      <c r="C24">
        <v>1</v>
      </c>
      <c r="D24" s="23">
        <f t="shared" si="2"/>
        <v>88.892921960072599</v>
      </c>
      <c r="G24" s="24">
        <f t="shared" si="6"/>
        <v>41.779673321234121</v>
      </c>
      <c r="H24" s="24">
        <f t="shared" si="7"/>
        <v>7.1114337568058081</v>
      </c>
      <c r="K24" s="24">
        <f t="shared" si="8"/>
        <v>8</v>
      </c>
      <c r="L24" s="24">
        <f t="shared" si="8"/>
        <v>20</v>
      </c>
      <c r="M24" s="24">
        <f t="shared" si="10"/>
        <v>4.1095197822141563</v>
      </c>
    </row>
    <row r="25" spans="1:13">
      <c r="A25">
        <f t="shared" si="1"/>
        <v>21</v>
      </c>
      <c r="B25">
        <v>1</v>
      </c>
      <c r="C25">
        <v>1</v>
      </c>
      <c r="D25" s="23">
        <f t="shared" si="2"/>
        <v>88.892921960072599</v>
      </c>
      <c r="G25" s="24">
        <f t="shared" si="6"/>
        <v>41.779673321234121</v>
      </c>
      <c r="H25" s="24">
        <f t="shared" si="7"/>
        <v>7.1114337568058081</v>
      </c>
      <c r="K25" s="24">
        <f t="shared" si="8"/>
        <v>7</v>
      </c>
      <c r="L25" s="24">
        <f t="shared" si="8"/>
        <v>19</v>
      </c>
      <c r="M25" s="24">
        <f t="shared" si="10"/>
        <v>3.6878339836660619</v>
      </c>
    </row>
    <row r="26" spans="1:13">
      <c r="A26">
        <f t="shared" si="1"/>
        <v>22</v>
      </c>
      <c r="B26">
        <v>1</v>
      </c>
      <c r="C26">
        <v>1</v>
      </c>
      <c r="D26" s="23">
        <f t="shared" si="2"/>
        <v>88.892921960072599</v>
      </c>
      <c r="G26" s="24">
        <f t="shared" si="6"/>
        <v>41.779673321234121</v>
      </c>
      <c r="H26" s="24">
        <f t="shared" si="7"/>
        <v>7.1114337568058081</v>
      </c>
      <c r="K26" s="24">
        <f t="shared" si="8"/>
        <v>6</v>
      </c>
      <c r="L26" s="24">
        <f t="shared" si="8"/>
        <v>18</v>
      </c>
      <c r="M26" s="24">
        <f t="shared" si="10"/>
        <v>3.2661481851179679</v>
      </c>
    </row>
    <row r="27" spans="1:13">
      <c r="A27">
        <f t="shared" si="1"/>
        <v>23</v>
      </c>
      <c r="B27">
        <v>1</v>
      </c>
      <c r="C27">
        <v>1</v>
      </c>
      <c r="D27" s="23">
        <f t="shared" si="2"/>
        <v>88.892921960072599</v>
      </c>
      <c r="G27" s="24">
        <f t="shared" si="6"/>
        <v>41.779673321234121</v>
      </c>
      <c r="H27" s="24">
        <f t="shared" si="7"/>
        <v>7.1114337568058081</v>
      </c>
      <c r="K27" s="24">
        <f t="shared" si="8"/>
        <v>5</v>
      </c>
      <c r="L27" s="24">
        <f t="shared" si="8"/>
        <v>17</v>
      </c>
      <c r="M27" s="24">
        <f t="shared" si="10"/>
        <v>2.8444623865698735</v>
      </c>
    </row>
    <row r="28" spans="1:13">
      <c r="A28">
        <f t="shared" si="1"/>
        <v>24</v>
      </c>
      <c r="B28">
        <v>1</v>
      </c>
      <c r="C28">
        <v>1</v>
      </c>
      <c r="D28" s="23">
        <f t="shared" si="2"/>
        <v>88.892921960072599</v>
      </c>
      <c r="G28" s="24">
        <f t="shared" si="6"/>
        <v>41.779673321234121</v>
      </c>
      <c r="H28" s="24">
        <f t="shared" si="7"/>
        <v>7.1114337568058081</v>
      </c>
      <c r="K28" s="24">
        <f t="shared" si="8"/>
        <v>4</v>
      </c>
      <c r="L28" s="24">
        <f t="shared" si="8"/>
        <v>16</v>
      </c>
      <c r="M28" s="24">
        <f t="shared" si="10"/>
        <v>2.4227765880217786</v>
      </c>
    </row>
    <row r="29" spans="1:13">
      <c r="A29">
        <f t="shared" si="1"/>
        <v>25</v>
      </c>
      <c r="B29">
        <v>1</v>
      </c>
      <c r="C29">
        <v>1</v>
      </c>
      <c r="D29" s="23">
        <f t="shared" si="2"/>
        <v>88.892921960072599</v>
      </c>
      <c r="G29" s="24">
        <f t="shared" si="6"/>
        <v>41.779673321234121</v>
      </c>
      <c r="H29" s="24">
        <f t="shared" si="7"/>
        <v>7.1114337568058081</v>
      </c>
      <c r="K29" s="24">
        <f t="shared" si="8"/>
        <v>3</v>
      </c>
      <c r="L29" s="24">
        <f t="shared" si="8"/>
        <v>15</v>
      </c>
      <c r="M29" s="24">
        <f t="shared" si="10"/>
        <v>2.0010907894736847</v>
      </c>
    </row>
    <row r="30" spans="1:13">
      <c r="A30">
        <f t="shared" si="1"/>
        <v>26</v>
      </c>
      <c r="B30">
        <v>1</v>
      </c>
      <c r="C30">
        <v>1</v>
      </c>
      <c r="D30" s="23">
        <f t="shared" si="2"/>
        <v>88.892921960072599</v>
      </c>
      <c r="G30" s="24">
        <f t="shared" si="6"/>
        <v>41.779673321234121</v>
      </c>
      <c r="H30" s="24">
        <f t="shared" si="7"/>
        <v>7.1114337568058081</v>
      </c>
      <c r="K30" s="24">
        <f t="shared" si="8"/>
        <v>2</v>
      </c>
      <c r="L30" s="24">
        <f t="shared" si="8"/>
        <v>14</v>
      </c>
      <c r="M30" s="24">
        <f t="shared" si="10"/>
        <v>1.5794049909255901</v>
      </c>
    </row>
    <row r="31" spans="1:13">
      <c r="A31">
        <f t="shared" si="1"/>
        <v>27</v>
      </c>
      <c r="B31">
        <v>1</v>
      </c>
      <c r="C31">
        <v>1</v>
      </c>
      <c r="D31" s="23">
        <f t="shared" si="2"/>
        <v>88.892921960072599</v>
      </c>
      <c r="G31" s="24">
        <f t="shared" si="6"/>
        <v>41.779673321234121</v>
      </c>
      <c r="H31" s="24">
        <f t="shared" si="7"/>
        <v>7.1114337568058081</v>
      </c>
      <c r="K31" s="24">
        <f t="shared" si="8"/>
        <v>1</v>
      </c>
      <c r="L31" s="24">
        <f t="shared" si="8"/>
        <v>13</v>
      </c>
      <c r="M31" s="24">
        <f t="shared" si="10"/>
        <v>1.1577191923774954</v>
      </c>
    </row>
    <row r="32" spans="1:13">
      <c r="A32">
        <f t="shared" si="1"/>
        <v>28</v>
      </c>
      <c r="B32">
        <v>1</v>
      </c>
      <c r="C32">
        <v>1</v>
      </c>
      <c r="D32" s="23">
        <f t="shared" si="2"/>
        <v>88.892921960072599</v>
      </c>
      <c r="H32" s="24">
        <f t="shared" si="7"/>
        <v>7.1114337568058081</v>
      </c>
      <c r="L32" s="24">
        <f t="shared" si="8"/>
        <v>12</v>
      </c>
      <c r="M32" s="24">
        <f t="shared" si="10"/>
        <v>0.73603339382940114</v>
      </c>
    </row>
    <row r="33" spans="1:13">
      <c r="A33">
        <f t="shared" si="1"/>
        <v>29</v>
      </c>
      <c r="B33">
        <v>1</v>
      </c>
      <c r="D33" s="23">
        <f t="shared" si="2"/>
        <v>88.892921960072599</v>
      </c>
      <c r="H33" s="24">
        <f t="shared" si="7"/>
        <v>7.1114337568058081</v>
      </c>
      <c r="L33" s="24">
        <f t="shared" ref="L33:L43" si="11">L32-1</f>
        <v>11</v>
      </c>
      <c r="M33" s="24">
        <f t="shared" si="10"/>
        <v>0.67469727767695109</v>
      </c>
    </row>
    <row r="34" spans="1:13">
      <c r="A34">
        <f t="shared" si="1"/>
        <v>30</v>
      </c>
      <c r="B34">
        <v>1</v>
      </c>
      <c r="D34" s="23">
        <f t="shared" si="2"/>
        <v>88.892921960072599</v>
      </c>
      <c r="H34" s="24">
        <f t="shared" si="7"/>
        <v>7.1114337568058081</v>
      </c>
      <c r="L34" s="24">
        <f t="shared" si="11"/>
        <v>10</v>
      </c>
      <c r="M34" s="24">
        <f t="shared" si="10"/>
        <v>0.61336116152450093</v>
      </c>
    </row>
    <row r="35" spans="1:13">
      <c r="A35">
        <f t="shared" si="1"/>
        <v>31</v>
      </c>
      <c r="B35">
        <v>1</v>
      </c>
      <c r="D35" s="23">
        <f t="shared" si="2"/>
        <v>88.892921960072599</v>
      </c>
      <c r="H35" s="24">
        <f t="shared" si="7"/>
        <v>7.1114337568058081</v>
      </c>
      <c r="L35" s="24">
        <f t="shared" si="11"/>
        <v>9</v>
      </c>
      <c r="M35" s="24">
        <f t="shared" si="10"/>
        <v>0.55202504537205088</v>
      </c>
    </row>
    <row r="36" spans="1:13">
      <c r="A36">
        <f t="shared" si="1"/>
        <v>32</v>
      </c>
      <c r="B36">
        <v>1</v>
      </c>
      <c r="D36" s="23">
        <f t="shared" si="2"/>
        <v>88.892921960072599</v>
      </c>
      <c r="H36" s="24">
        <f t="shared" si="7"/>
        <v>7.1114337568058081</v>
      </c>
      <c r="L36" s="24">
        <f t="shared" si="11"/>
        <v>8</v>
      </c>
      <c r="M36" s="24">
        <f t="shared" si="10"/>
        <v>0.49068892921960078</v>
      </c>
    </row>
    <row r="37" spans="1:13">
      <c r="A37">
        <f t="shared" si="1"/>
        <v>33</v>
      </c>
      <c r="B37">
        <v>1</v>
      </c>
      <c r="D37" s="23">
        <f t="shared" si="2"/>
        <v>88.892921960072599</v>
      </c>
      <c r="H37" s="24">
        <f t="shared" si="7"/>
        <v>7.1114337568058081</v>
      </c>
      <c r="L37" s="24">
        <f t="shared" si="11"/>
        <v>7</v>
      </c>
      <c r="M37" s="24">
        <f t="shared" si="10"/>
        <v>0.42935281306715067</v>
      </c>
    </row>
    <row r="38" spans="1:13">
      <c r="A38">
        <f t="shared" si="1"/>
        <v>34</v>
      </c>
      <c r="B38">
        <v>1</v>
      </c>
      <c r="D38" s="23">
        <f t="shared" si="2"/>
        <v>88.892921960072599</v>
      </c>
      <c r="H38" s="24">
        <f t="shared" si="7"/>
        <v>7.1114337568058081</v>
      </c>
      <c r="L38" s="24">
        <f t="shared" si="11"/>
        <v>6</v>
      </c>
      <c r="M38" s="24">
        <f t="shared" si="10"/>
        <v>0.36801669691470057</v>
      </c>
    </row>
    <row r="39" spans="1:13">
      <c r="A39">
        <f t="shared" si="1"/>
        <v>35</v>
      </c>
      <c r="B39">
        <v>1</v>
      </c>
      <c r="D39" s="23">
        <f t="shared" si="2"/>
        <v>88.892921960072599</v>
      </c>
      <c r="H39" s="24">
        <f t="shared" si="7"/>
        <v>7.1114337568058081</v>
      </c>
      <c r="L39" s="24">
        <f t="shared" si="11"/>
        <v>5</v>
      </c>
      <c r="M39" s="24">
        <f t="shared" si="10"/>
        <v>0.30668058076225047</v>
      </c>
    </row>
    <row r="40" spans="1:13">
      <c r="A40">
        <f t="shared" si="1"/>
        <v>36</v>
      </c>
      <c r="B40">
        <v>1</v>
      </c>
      <c r="D40" s="23">
        <f t="shared" si="2"/>
        <v>88.892921960072599</v>
      </c>
      <c r="H40" s="24">
        <f t="shared" si="7"/>
        <v>7.1114337568058081</v>
      </c>
      <c r="L40" s="24">
        <f t="shared" si="11"/>
        <v>4</v>
      </c>
      <c r="M40" s="24">
        <f t="shared" ref="M40:M87" si="12">(E40*I40+F40*J40+G40*K40+H40*L40)*$P$1</f>
        <v>0.24534446460980039</v>
      </c>
    </row>
    <row r="41" spans="1:13">
      <c r="A41">
        <f t="shared" si="1"/>
        <v>37</v>
      </c>
      <c r="B41">
        <v>1</v>
      </c>
      <c r="D41" s="23">
        <f t="shared" si="2"/>
        <v>88.892921960072599</v>
      </c>
      <c r="H41" s="24">
        <f t="shared" si="7"/>
        <v>7.1114337568058081</v>
      </c>
      <c r="L41" s="24">
        <f t="shared" si="11"/>
        <v>3</v>
      </c>
      <c r="M41" s="24">
        <f t="shared" si="12"/>
        <v>0.18400834845735028</v>
      </c>
    </row>
    <row r="42" spans="1:13">
      <c r="A42">
        <f t="shared" si="1"/>
        <v>38</v>
      </c>
      <c r="B42">
        <v>1</v>
      </c>
      <c r="D42" s="23">
        <f t="shared" si="2"/>
        <v>88.892921960072599</v>
      </c>
      <c r="H42" s="24">
        <f t="shared" si="7"/>
        <v>7.1114337568058081</v>
      </c>
      <c r="L42" s="24">
        <f t="shared" si="11"/>
        <v>2</v>
      </c>
      <c r="M42" s="24">
        <f t="shared" si="12"/>
        <v>0.12267223230490019</v>
      </c>
    </row>
    <row r="43" spans="1:13">
      <c r="A43">
        <f t="shared" si="1"/>
        <v>39</v>
      </c>
      <c r="B43">
        <v>1</v>
      </c>
      <c r="D43" s="23">
        <f t="shared" si="2"/>
        <v>88.892921960072599</v>
      </c>
      <c r="H43" s="24">
        <f t="shared" si="7"/>
        <v>7.1114337568058081</v>
      </c>
      <c r="L43" s="24">
        <f t="shared" si="11"/>
        <v>1</v>
      </c>
      <c r="M43" s="24">
        <f t="shared" si="12"/>
        <v>6.1336116152450097E-2</v>
      </c>
    </row>
    <row r="44" spans="1:13">
      <c r="A44">
        <f t="shared" si="1"/>
        <v>40</v>
      </c>
      <c r="B44">
        <v>1</v>
      </c>
      <c r="D44" s="23">
        <f t="shared" si="2"/>
        <v>88.892921960072599</v>
      </c>
      <c r="M44" s="24">
        <f t="shared" si="12"/>
        <v>0</v>
      </c>
    </row>
    <row r="45" spans="1:13">
      <c r="A45">
        <f t="shared" si="1"/>
        <v>41</v>
      </c>
      <c r="B45">
        <v>1</v>
      </c>
      <c r="D45" s="23">
        <f t="shared" si="2"/>
        <v>88.892921960072599</v>
      </c>
      <c r="M45" s="24">
        <f t="shared" si="12"/>
        <v>0</v>
      </c>
    </row>
    <row r="46" spans="1:13">
      <c r="A46">
        <f t="shared" si="1"/>
        <v>42</v>
      </c>
      <c r="B46">
        <v>1</v>
      </c>
      <c r="D46" s="23">
        <f t="shared" si="2"/>
        <v>88.892921960072599</v>
      </c>
      <c r="M46" s="24">
        <f t="shared" si="12"/>
        <v>0</v>
      </c>
    </row>
    <row r="47" spans="1:13">
      <c r="A47">
        <f t="shared" si="1"/>
        <v>43</v>
      </c>
      <c r="B47">
        <v>1</v>
      </c>
      <c r="D47" s="23">
        <f t="shared" si="2"/>
        <v>88.892921960072599</v>
      </c>
      <c r="M47" s="24">
        <f t="shared" si="12"/>
        <v>0</v>
      </c>
    </row>
    <row r="48" spans="1:13">
      <c r="A48">
        <f t="shared" si="1"/>
        <v>44</v>
      </c>
      <c r="B48">
        <v>1</v>
      </c>
      <c r="D48" s="23">
        <f t="shared" si="2"/>
        <v>88.892921960072599</v>
      </c>
      <c r="M48" s="24">
        <f t="shared" si="12"/>
        <v>0</v>
      </c>
    </row>
    <row r="49" spans="1:13">
      <c r="A49">
        <f t="shared" si="1"/>
        <v>45</v>
      </c>
      <c r="B49">
        <v>1</v>
      </c>
      <c r="D49" s="23">
        <f t="shared" si="2"/>
        <v>88.892921960072599</v>
      </c>
      <c r="M49" s="24">
        <f t="shared" si="12"/>
        <v>0</v>
      </c>
    </row>
    <row r="50" spans="1:13">
      <c r="A50">
        <f t="shared" si="1"/>
        <v>46</v>
      </c>
      <c r="B50">
        <v>1</v>
      </c>
      <c r="D50" s="23">
        <f t="shared" si="2"/>
        <v>88.892921960072599</v>
      </c>
      <c r="M50" s="24">
        <f t="shared" si="12"/>
        <v>0</v>
      </c>
    </row>
    <row r="51" spans="1:13">
      <c r="A51">
        <f t="shared" si="1"/>
        <v>47</v>
      </c>
      <c r="B51">
        <v>1</v>
      </c>
      <c r="D51" s="23">
        <f t="shared" si="2"/>
        <v>88.892921960072599</v>
      </c>
      <c r="M51" s="24">
        <f t="shared" si="12"/>
        <v>0</v>
      </c>
    </row>
    <row r="52" spans="1:13">
      <c r="A52">
        <f t="shared" si="1"/>
        <v>48</v>
      </c>
      <c r="B52">
        <v>1</v>
      </c>
      <c r="D52" s="23">
        <f t="shared" si="2"/>
        <v>88.892921960072599</v>
      </c>
      <c r="M52" s="24">
        <f t="shared" si="12"/>
        <v>0</v>
      </c>
    </row>
    <row r="53" spans="1:13">
      <c r="A53">
        <f t="shared" si="1"/>
        <v>49</v>
      </c>
      <c r="B53">
        <v>1</v>
      </c>
      <c r="D53" s="23">
        <f t="shared" si="2"/>
        <v>88.892921960072599</v>
      </c>
      <c r="M53" s="24">
        <f t="shared" si="12"/>
        <v>0</v>
      </c>
    </row>
    <row r="54" spans="1:13">
      <c r="A54">
        <f t="shared" si="1"/>
        <v>50</v>
      </c>
      <c r="B54">
        <v>1</v>
      </c>
      <c r="D54" s="23">
        <f t="shared" si="2"/>
        <v>88.892921960072599</v>
      </c>
      <c r="M54" s="24">
        <f t="shared" si="12"/>
        <v>0</v>
      </c>
    </row>
    <row r="55" spans="1:13">
      <c r="A55">
        <f t="shared" si="1"/>
        <v>51</v>
      </c>
      <c r="B55">
        <v>1</v>
      </c>
      <c r="D55" s="23">
        <f t="shared" si="2"/>
        <v>88.892921960072599</v>
      </c>
      <c r="M55" s="24">
        <f t="shared" si="12"/>
        <v>0</v>
      </c>
    </row>
    <row r="56" spans="1:13">
      <c r="A56">
        <f t="shared" si="1"/>
        <v>52</v>
      </c>
      <c r="B56">
        <v>1</v>
      </c>
      <c r="D56" s="23">
        <f t="shared" si="2"/>
        <v>88.892921960072599</v>
      </c>
      <c r="M56" s="24">
        <f t="shared" si="12"/>
        <v>0</v>
      </c>
    </row>
    <row r="57" spans="1:13">
      <c r="A57">
        <f t="shared" si="1"/>
        <v>53</v>
      </c>
      <c r="B57">
        <v>1</v>
      </c>
      <c r="D57" s="23">
        <f t="shared" si="2"/>
        <v>88.892921960072599</v>
      </c>
      <c r="M57" s="24">
        <f t="shared" si="12"/>
        <v>0</v>
      </c>
    </row>
    <row r="58" spans="1:13">
      <c r="A58">
        <f t="shared" si="1"/>
        <v>54</v>
      </c>
      <c r="B58">
        <v>1</v>
      </c>
      <c r="D58" s="23">
        <f t="shared" si="2"/>
        <v>88.892921960072599</v>
      </c>
      <c r="M58" s="24">
        <f t="shared" si="12"/>
        <v>0</v>
      </c>
    </row>
    <row r="59" spans="1:13">
      <c r="A59">
        <f t="shared" si="1"/>
        <v>55</v>
      </c>
      <c r="B59">
        <v>1</v>
      </c>
      <c r="D59" s="23">
        <f t="shared" si="2"/>
        <v>88.892921960072599</v>
      </c>
      <c r="M59" s="24">
        <f t="shared" si="12"/>
        <v>0</v>
      </c>
    </row>
    <row r="60" spans="1:13">
      <c r="A60">
        <f t="shared" si="1"/>
        <v>56</v>
      </c>
      <c r="B60">
        <v>1</v>
      </c>
      <c r="D60" s="23">
        <f t="shared" si="2"/>
        <v>88.892921960072599</v>
      </c>
      <c r="M60" s="24">
        <f t="shared" si="12"/>
        <v>0</v>
      </c>
    </row>
    <row r="61" spans="1:13">
      <c r="A61">
        <f t="shared" si="1"/>
        <v>57</v>
      </c>
      <c r="B61">
        <v>1</v>
      </c>
      <c r="D61" s="23">
        <f t="shared" si="2"/>
        <v>88.892921960072599</v>
      </c>
      <c r="M61" s="24">
        <f t="shared" si="12"/>
        <v>0</v>
      </c>
    </row>
    <row r="62" spans="1:13">
      <c r="A62">
        <f t="shared" si="1"/>
        <v>58</v>
      </c>
      <c r="B62">
        <v>1</v>
      </c>
      <c r="D62" s="23">
        <f t="shared" si="2"/>
        <v>88.892921960072599</v>
      </c>
      <c r="M62" s="24">
        <f t="shared" si="12"/>
        <v>0</v>
      </c>
    </row>
    <row r="63" spans="1:13">
      <c r="A63">
        <f t="shared" si="1"/>
        <v>59</v>
      </c>
      <c r="B63">
        <v>1</v>
      </c>
      <c r="D63" s="23">
        <f t="shared" si="2"/>
        <v>88.892921960072599</v>
      </c>
      <c r="M63" s="24">
        <f t="shared" si="12"/>
        <v>0</v>
      </c>
    </row>
    <row r="64" spans="1:13">
      <c r="A64">
        <f t="shared" si="1"/>
        <v>60</v>
      </c>
      <c r="B64">
        <v>1</v>
      </c>
      <c r="D64" s="23">
        <f t="shared" si="2"/>
        <v>88.892921960072599</v>
      </c>
      <c r="M64" s="24">
        <f t="shared" si="12"/>
        <v>0</v>
      </c>
    </row>
    <row r="65" spans="1:13">
      <c r="A65">
        <f t="shared" si="1"/>
        <v>61</v>
      </c>
      <c r="B65">
        <v>1</v>
      </c>
      <c r="D65" s="23">
        <f t="shared" si="2"/>
        <v>88.892921960072599</v>
      </c>
      <c r="M65" s="24">
        <f t="shared" si="12"/>
        <v>0</v>
      </c>
    </row>
    <row r="66" spans="1:13">
      <c r="A66">
        <f t="shared" si="1"/>
        <v>62</v>
      </c>
      <c r="B66">
        <v>1</v>
      </c>
      <c r="D66" s="23">
        <f t="shared" si="2"/>
        <v>88.892921960072599</v>
      </c>
      <c r="M66" s="24">
        <f t="shared" si="12"/>
        <v>0</v>
      </c>
    </row>
    <row r="67" spans="1:13">
      <c r="A67">
        <f t="shared" si="1"/>
        <v>63</v>
      </c>
      <c r="B67">
        <v>1</v>
      </c>
      <c r="D67" s="23">
        <f t="shared" si="2"/>
        <v>88.892921960072599</v>
      </c>
      <c r="M67" s="24">
        <f t="shared" si="12"/>
        <v>0</v>
      </c>
    </row>
    <row r="68" spans="1:13">
      <c r="A68">
        <f t="shared" si="1"/>
        <v>64</v>
      </c>
      <c r="B68">
        <v>1</v>
      </c>
      <c r="D68" s="23">
        <f t="shared" si="2"/>
        <v>88.892921960072599</v>
      </c>
      <c r="M68" s="24">
        <f t="shared" si="12"/>
        <v>0</v>
      </c>
    </row>
    <row r="69" spans="1:13">
      <c r="A69">
        <f t="shared" si="1"/>
        <v>65</v>
      </c>
      <c r="B69">
        <v>1</v>
      </c>
      <c r="D69" s="23">
        <f t="shared" si="2"/>
        <v>88.892921960072599</v>
      </c>
      <c r="M69" s="24">
        <f t="shared" si="12"/>
        <v>0</v>
      </c>
    </row>
    <row r="70" spans="1:13">
      <c r="A70">
        <f t="shared" ref="A70:A72" si="13">ROW()-4</f>
        <v>66</v>
      </c>
      <c r="B70">
        <v>1</v>
      </c>
      <c r="D70" s="23">
        <f t="shared" si="2"/>
        <v>88.892921960072599</v>
      </c>
      <c r="M70" s="24">
        <f t="shared" si="12"/>
        <v>0</v>
      </c>
    </row>
    <row r="71" spans="1:13">
      <c r="A71">
        <f t="shared" si="13"/>
        <v>67</v>
      </c>
      <c r="B71">
        <v>1</v>
      </c>
      <c r="D71" s="23">
        <f t="shared" si="2"/>
        <v>88.892921960072599</v>
      </c>
      <c r="M71" s="24">
        <f t="shared" si="12"/>
        <v>0</v>
      </c>
    </row>
    <row r="72" spans="1:13">
      <c r="A72">
        <f t="shared" si="13"/>
        <v>68</v>
      </c>
      <c r="B72">
        <v>1</v>
      </c>
      <c r="D72" s="23">
        <f t="shared" si="2"/>
        <v>88.892921960072599</v>
      </c>
      <c r="M72" s="24">
        <f t="shared" si="12"/>
        <v>0</v>
      </c>
    </row>
    <row r="73" spans="1:13">
      <c r="M73" s="24">
        <f t="shared" si="12"/>
        <v>0</v>
      </c>
    </row>
    <row r="74" spans="1:13">
      <c r="M74" s="24">
        <f t="shared" si="12"/>
        <v>0</v>
      </c>
    </row>
    <row r="75" spans="1:13">
      <c r="M75" s="24">
        <f t="shared" si="12"/>
        <v>0</v>
      </c>
    </row>
    <row r="76" spans="1:13">
      <c r="M76" s="24">
        <f t="shared" si="12"/>
        <v>0</v>
      </c>
    </row>
    <row r="77" spans="1:13">
      <c r="M77" s="24">
        <f t="shared" si="12"/>
        <v>0</v>
      </c>
    </row>
    <row r="78" spans="1:13">
      <c r="M78" s="24">
        <f t="shared" si="12"/>
        <v>0</v>
      </c>
    </row>
    <row r="79" spans="1:13">
      <c r="M79" s="24">
        <f t="shared" si="12"/>
        <v>0</v>
      </c>
    </row>
    <row r="80" spans="1:13">
      <c r="M80" s="24">
        <f t="shared" si="12"/>
        <v>0</v>
      </c>
    </row>
    <row r="81" spans="1:13">
      <c r="M81" s="24">
        <f t="shared" si="12"/>
        <v>0</v>
      </c>
    </row>
    <row r="82" spans="1:13">
      <c r="M82" s="24">
        <f t="shared" si="12"/>
        <v>0</v>
      </c>
    </row>
    <row r="83" spans="1:13">
      <c r="M83" s="24">
        <f t="shared" si="12"/>
        <v>0</v>
      </c>
    </row>
    <row r="84" spans="1:13">
      <c r="M84" s="24">
        <f t="shared" si="12"/>
        <v>0</v>
      </c>
    </row>
    <row r="85" spans="1:13">
      <c r="M85" s="24">
        <f t="shared" si="12"/>
        <v>0</v>
      </c>
    </row>
    <row r="86" spans="1:13">
      <c r="M86" s="24">
        <f t="shared" si="12"/>
        <v>0</v>
      </c>
    </row>
    <row r="87" spans="1:13">
      <c r="M87" s="24">
        <f t="shared" si="12"/>
        <v>0</v>
      </c>
    </row>
    <row r="88" spans="1:13">
      <c r="A88" s="28">
        <f>COUNT(A5:A87)</f>
        <v>68</v>
      </c>
      <c r="B88" s="28">
        <f>SUM(B13:B87)</f>
        <v>56</v>
      </c>
      <c r="C88" s="28">
        <f>SUM(C5:C87)</f>
        <v>28</v>
      </c>
      <c r="D88" s="29"/>
      <c r="E88" s="29">
        <f>SUM(E5:E87)</f>
        <v>80.003629764065337</v>
      </c>
      <c r="F88" s="29">
        <f t="shared" ref="F88:H88" si="14">SUM(F5:F87)</f>
        <v>80.003629764065337</v>
      </c>
      <c r="G88" s="29">
        <f>SUM(G5:G87)</f>
        <v>626.69509981851172</v>
      </c>
      <c r="H88" s="29">
        <f t="shared" si="14"/>
        <v>192.00871143375682</v>
      </c>
      <c r="I88" s="29"/>
      <c r="J88" s="29"/>
      <c r="K88" s="29"/>
      <c r="L88" s="29"/>
      <c r="M88" s="29">
        <f>SUM(M5:M87)</f>
        <v>70.222185980036286</v>
      </c>
    </row>
    <row r="89" spans="1:13">
      <c r="E89" s="25">
        <f>SUM(E88:H88)</f>
        <v>978.71107078039927</v>
      </c>
      <c r="F89" s="25"/>
      <c r="G89" s="25"/>
      <c r="H89" s="25"/>
    </row>
  </sheetData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89"/>
  <sheetViews>
    <sheetView workbookViewId="0"/>
  </sheetViews>
  <sheetFormatPr defaultRowHeight="13.8"/>
  <sheetData>
    <row r="1" spans="1:22">
      <c r="A1" t="s">
        <v>742</v>
      </c>
      <c r="B1" t="s">
        <v>744</v>
      </c>
      <c r="C1" t="s">
        <v>765</v>
      </c>
      <c r="D1" t="s">
        <v>777</v>
      </c>
      <c r="E1" s="23" t="s">
        <v>743</v>
      </c>
      <c r="F1" s="24" t="s">
        <v>810</v>
      </c>
      <c r="K1" s="24" t="s">
        <v>785</v>
      </c>
      <c r="P1" s="24" t="s">
        <v>749</v>
      </c>
      <c r="R1" s="26" t="s">
        <v>741</v>
      </c>
      <c r="S1" s="27">
        <f>3.45%*3/12</f>
        <v>8.6250000000000007E-3</v>
      </c>
      <c r="T1" s="27">
        <f>S1*12</f>
        <v>0.10350000000000001</v>
      </c>
    </row>
    <row r="2" spans="1:22">
      <c r="G2" s="24" t="s">
        <v>811</v>
      </c>
      <c r="L2" s="24" t="s">
        <v>763</v>
      </c>
      <c r="R2" s="26" t="s">
        <v>754</v>
      </c>
      <c r="S2" s="27">
        <f>VIPcric_3!D14</f>
        <v>6016</v>
      </c>
      <c r="T2" s="27" t="s">
        <v>755</v>
      </c>
    </row>
    <row r="3" spans="1:22">
      <c r="H3" s="24" t="s">
        <v>812</v>
      </c>
      <c r="M3" s="24" t="s">
        <v>786</v>
      </c>
      <c r="R3" s="26" t="s">
        <v>738</v>
      </c>
      <c r="S3" s="27">
        <f>VIPcric_3!E14</f>
        <v>6.4</v>
      </c>
      <c r="T3" s="27" t="s">
        <v>756</v>
      </c>
    </row>
    <row r="4" spans="1:22">
      <c r="I4" s="24" t="s">
        <v>813</v>
      </c>
      <c r="N4" s="24" t="s">
        <v>787</v>
      </c>
      <c r="R4" s="26" t="s">
        <v>767</v>
      </c>
      <c r="S4" s="30">
        <f>(10+19+150+605*1.05)/30</f>
        <v>27.141666666666666</v>
      </c>
      <c r="T4" s="27" t="s">
        <v>758</v>
      </c>
      <c r="U4">
        <v>1.05</v>
      </c>
      <c r="V4" t="s">
        <v>770</v>
      </c>
    </row>
    <row r="5" spans="1:22">
      <c r="A5">
        <f>ROW()-4</f>
        <v>1</v>
      </c>
      <c r="C5">
        <v>1</v>
      </c>
      <c r="P5" s="24">
        <f t="shared" ref="P5:P18" si="0">(F5*K5+G5*L5+H5*M5+I5*N5+J5*O5)*$S$1</f>
        <v>0</v>
      </c>
      <c r="R5" s="26" t="s">
        <v>768</v>
      </c>
      <c r="S5" s="30">
        <f>(10+19+150+(605*1.05-S7*30)*2/3)/30</f>
        <v>15.416666666666666</v>
      </c>
      <c r="T5" s="27" t="s">
        <v>758</v>
      </c>
    </row>
    <row r="6" spans="1:22">
      <c r="A6">
        <f t="shared" ref="A6:A42" si="1">ROW()-4</f>
        <v>2</v>
      </c>
      <c r="C6">
        <v>1</v>
      </c>
      <c r="P6" s="24">
        <f t="shared" si="0"/>
        <v>0</v>
      </c>
      <c r="R6" s="26" t="s">
        <v>757</v>
      </c>
      <c r="S6" s="30">
        <f>(10+19+150+605*1.05-S7*30)/30</f>
        <v>20.141666666666666</v>
      </c>
      <c r="T6" s="27" t="s">
        <v>758</v>
      </c>
    </row>
    <row r="7" spans="1:22">
      <c r="A7">
        <f t="shared" si="1"/>
        <v>3</v>
      </c>
      <c r="C7">
        <v>1</v>
      </c>
      <c r="P7" s="24">
        <f t="shared" si="0"/>
        <v>0</v>
      </c>
      <c r="R7" s="26" t="s">
        <v>759</v>
      </c>
      <c r="S7" s="27">
        <v>7</v>
      </c>
      <c r="T7" s="27" t="s">
        <v>758</v>
      </c>
    </row>
    <row r="8" spans="1:22">
      <c r="A8">
        <f t="shared" si="1"/>
        <v>4</v>
      </c>
      <c r="C8">
        <v>1</v>
      </c>
      <c r="P8" s="24">
        <f t="shared" si="0"/>
        <v>0</v>
      </c>
      <c r="R8" s="27" t="s">
        <v>760</v>
      </c>
      <c r="S8" s="27">
        <v>2</v>
      </c>
      <c r="T8" s="27" t="s">
        <v>758</v>
      </c>
    </row>
    <row r="9" spans="1:22">
      <c r="A9">
        <f t="shared" si="1"/>
        <v>5</v>
      </c>
      <c r="C9">
        <v>1</v>
      </c>
      <c r="P9" s="24">
        <f t="shared" si="0"/>
        <v>0</v>
      </c>
      <c r="R9" s="26" t="s">
        <v>761</v>
      </c>
      <c r="S9" s="27">
        <v>8</v>
      </c>
      <c r="T9" s="27" t="s">
        <v>758</v>
      </c>
    </row>
    <row r="10" spans="1:22">
      <c r="A10">
        <f t="shared" si="1"/>
        <v>6</v>
      </c>
      <c r="C10">
        <v>1</v>
      </c>
      <c r="P10" s="24">
        <f t="shared" si="0"/>
        <v>0</v>
      </c>
      <c r="R10" s="27" t="s">
        <v>773</v>
      </c>
      <c r="S10" s="34">
        <v>3600</v>
      </c>
      <c r="T10" s="27" t="s">
        <v>755</v>
      </c>
    </row>
    <row r="11" spans="1:22">
      <c r="A11">
        <f t="shared" si="1"/>
        <v>7</v>
      </c>
      <c r="C11">
        <v>1</v>
      </c>
      <c r="P11" s="24">
        <f t="shared" si="0"/>
        <v>0</v>
      </c>
    </row>
    <row r="12" spans="1:22">
      <c r="A12">
        <f t="shared" si="1"/>
        <v>8</v>
      </c>
      <c r="C12">
        <v>1</v>
      </c>
      <c r="P12" s="24">
        <f t="shared" si="0"/>
        <v>0</v>
      </c>
    </row>
    <row r="13" spans="1:22">
      <c r="A13">
        <f t="shared" si="1"/>
        <v>9</v>
      </c>
      <c r="C13">
        <v>1</v>
      </c>
      <c r="P13" s="24">
        <f t="shared" si="0"/>
        <v>0</v>
      </c>
    </row>
    <row r="14" spans="1:22">
      <c r="A14">
        <f t="shared" si="1"/>
        <v>10</v>
      </c>
      <c r="C14">
        <v>1</v>
      </c>
      <c r="P14" s="24">
        <f t="shared" si="0"/>
        <v>0</v>
      </c>
    </row>
    <row r="15" spans="1:22">
      <c r="A15">
        <f t="shared" si="1"/>
        <v>11</v>
      </c>
      <c r="C15">
        <v>1</v>
      </c>
      <c r="P15" s="24">
        <f t="shared" si="0"/>
        <v>0</v>
      </c>
    </row>
    <row r="16" spans="1:22">
      <c r="A16">
        <f t="shared" si="1"/>
        <v>12</v>
      </c>
      <c r="C16">
        <v>1</v>
      </c>
      <c r="P16" s="24">
        <f t="shared" si="0"/>
        <v>0</v>
      </c>
    </row>
    <row r="17" spans="1:16">
      <c r="A17">
        <f t="shared" si="1"/>
        <v>13</v>
      </c>
      <c r="C17">
        <v>1</v>
      </c>
      <c r="P17" s="24">
        <f t="shared" si="0"/>
        <v>0</v>
      </c>
    </row>
    <row r="18" spans="1:16">
      <c r="A18">
        <f t="shared" si="1"/>
        <v>14</v>
      </c>
      <c r="C18">
        <v>1</v>
      </c>
      <c r="P18" s="24">
        <f t="shared" si="0"/>
        <v>0</v>
      </c>
    </row>
    <row r="19" spans="1:16">
      <c r="A19">
        <f t="shared" si="1"/>
        <v>15</v>
      </c>
      <c r="C19">
        <v>1</v>
      </c>
      <c r="P19" s="24">
        <f>(F19*K19+G19*L19+H19*M19+I19*N19+J19*O19)*$S$1</f>
        <v>0</v>
      </c>
    </row>
    <row r="20" spans="1:16">
      <c r="A20">
        <f t="shared" si="1"/>
        <v>16</v>
      </c>
      <c r="B20">
        <v>1</v>
      </c>
      <c r="C20">
        <v>1</v>
      </c>
      <c r="E20" s="23">
        <f t="shared" ref="E20:E26" si="2">1/$S$3*$S$2</f>
        <v>940</v>
      </c>
      <c r="F20" s="24">
        <f>$S$10*10%</f>
        <v>360</v>
      </c>
      <c r="K20" s="24">
        <v>1</v>
      </c>
      <c r="P20" s="24">
        <f t="shared" ref="P20:P83" si="3">(F20*K20+G20*L20+H20*M20+I20*N20+J20*O20)*$S$1</f>
        <v>3.1050000000000004</v>
      </c>
    </row>
    <row r="21" spans="1:16">
      <c r="A21">
        <f t="shared" si="1"/>
        <v>17</v>
      </c>
      <c r="B21">
        <v>1</v>
      </c>
      <c r="C21">
        <v>1</v>
      </c>
      <c r="E21" s="23">
        <f t="shared" si="2"/>
        <v>940</v>
      </c>
      <c r="F21" s="24">
        <f>$S$10*25%</f>
        <v>900</v>
      </c>
      <c r="K21" s="24">
        <v>1</v>
      </c>
      <c r="P21" s="24">
        <f t="shared" si="3"/>
        <v>7.7625000000000011</v>
      </c>
    </row>
    <row r="22" spans="1:16">
      <c r="A22">
        <f t="shared" si="1"/>
        <v>18</v>
      </c>
      <c r="B22">
        <v>1</v>
      </c>
      <c r="C22">
        <v>1</v>
      </c>
      <c r="E22" s="23">
        <f t="shared" si="2"/>
        <v>940</v>
      </c>
      <c r="F22" s="24">
        <f>$S$10*15%</f>
        <v>540</v>
      </c>
      <c r="K22" s="24">
        <v>1</v>
      </c>
      <c r="P22" s="24">
        <f t="shared" si="3"/>
        <v>4.6575000000000006</v>
      </c>
    </row>
    <row r="23" spans="1:16">
      <c r="A23">
        <f t="shared" si="1"/>
        <v>19</v>
      </c>
      <c r="B23">
        <v>1</v>
      </c>
      <c r="C23">
        <v>1</v>
      </c>
      <c r="E23" s="23">
        <f t="shared" si="2"/>
        <v>940</v>
      </c>
      <c r="F23" s="24">
        <f>$S$10*20%</f>
        <v>720</v>
      </c>
      <c r="K23" s="24">
        <v>1</v>
      </c>
      <c r="P23" s="24">
        <f t="shared" si="3"/>
        <v>6.2100000000000009</v>
      </c>
    </row>
    <row r="24" spans="1:16">
      <c r="A24">
        <f t="shared" si="1"/>
        <v>20</v>
      </c>
      <c r="B24">
        <v>1</v>
      </c>
      <c r="C24">
        <v>1</v>
      </c>
      <c r="E24" s="23">
        <f t="shared" si="2"/>
        <v>940</v>
      </c>
      <c r="F24" s="24">
        <f>$S$10*45%</f>
        <v>1620</v>
      </c>
      <c r="K24" s="24">
        <v>1</v>
      </c>
      <c r="P24" s="24">
        <f t="shared" si="3"/>
        <v>13.972500000000002</v>
      </c>
    </row>
    <row r="25" spans="1:16">
      <c r="A25">
        <f t="shared" si="1"/>
        <v>21</v>
      </c>
      <c r="B25">
        <v>1</v>
      </c>
      <c r="C25">
        <v>1</v>
      </c>
      <c r="E25" s="23">
        <f t="shared" si="2"/>
        <v>940</v>
      </c>
      <c r="F25" s="24">
        <f>$S$10*30%</f>
        <v>1080</v>
      </c>
      <c r="K25" s="24">
        <v>1</v>
      </c>
      <c r="P25" s="24">
        <f t="shared" si="3"/>
        <v>9.3150000000000013</v>
      </c>
    </row>
    <row r="26" spans="1:16">
      <c r="A26">
        <f t="shared" si="1"/>
        <v>22</v>
      </c>
      <c r="B26">
        <v>0.4</v>
      </c>
      <c r="C26">
        <v>1</v>
      </c>
      <c r="E26" s="23">
        <f t="shared" si="2"/>
        <v>940</v>
      </c>
      <c r="P26" s="24">
        <f t="shared" si="3"/>
        <v>0</v>
      </c>
    </row>
    <row r="27" spans="1:16">
      <c r="A27">
        <f t="shared" si="1"/>
        <v>23</v>
      </c>
      <c r="C27">
        <v>1</v>
      </c>
      <c r="P27" s="24">
        <f t="shared" si="3"/>
        <v>0</v>
      </c>
    </row>
    <row r="28" spans="1:16">
      <c r="A28">
        <f t="shared" si="1"/>
        <v>24</v>
      </c>
      <c r="C28">
        <v>1</v>
      </c>
      <c r="P28" s="24">
        <f t="shared" si="3"/>
        <v>0</v>
      </c>
    </row>
    <row r="29" spans="1:16">
      <c r="A29">
        <f t="shared" si="1"/>
        <v>25</v>
      </c>
      <c r="C29">
        <v>1</v>
      </c>
      <c r="P29" s="24">
        <f t="shared" si="3"/>
        <v>0</v>
      </c>
    </row>
    <row r="30" spans="1:16">
      <c r="A30">
        <f t="shared" si="1"/>
        <v>26</v>
      </c>
      <c r="C30">
        <v>1</v>
      </c>
      <c r="P30" s="24">
        <f t="shared" si="3"/>
        <v>0</v>
      </c>
    </row>
    <row r="31" spans="1:16">
      <c r="A31">
        <f t="shared" si="1"/>
        <v>27</v>
      </c>
      <c r="C31">
        <v>1</v>
      </c>
      <c r="P31" s="24">
        <f t="shared" si="3"/>
        <v>0</v>
      </c>
    </row>
    <row r="32" spans="1:16">
      <c r="A32">
        <f t="shared" si="1"/>
        <v>28</v>
      </c>
      <c r="D32">
        <v>1</v>
      </c>
      <c r="P32" s="24">
        <f t="shared" si="3"/>
        <v>0</v>
      </c>
    </row>
    <row r="33" spans="1:16">
      <c r="A33">
        <f t="shared" si="1"/>
        <v>29</v>
      </c>
      <c r="D33">
        <v>1</v>
      </c>
      <c r="P33" s="24">
        <f t="shared" si="3"/>
        <v>0</v>
      </c>
    </row>
    <row r="34" spans="1:16">
      <c r="A34">
        <f t="shared" si="1"/>
        <v>30</v>
      </c>
      <c r="D34">
        <v>1</v>
      </c>
      <c r="P34" s="24">
        <f t="shared" si="3"/>
        <v>0</v>
      </c>
    </row>
    <row r="35" spans="1:16">
      <c r="A35">
        <f t="shared" si="1"/>
        <v>31</v>
      </c>
      <c r="D35">
        <v>1</v>
      </c>
      <c r="P35" s="24">
        <f t="shared" si="3"/>
        <v>0</v>
      </c>
    </row>
    <row r="36" spans="1:16">
      <c r="A36">
        <f t="shared" si="1"/>
        <v>32</v>
      </c>
      <c r="D36">
        <v>1</v>
      </c>
      <c r="P36" s="24">
        <f t="shared" si="3"/>
        <v>0</v>
      </c>
    </row>
    <row r="37" spans="1:16">
      <c r="A37">
        <f t="shared" si="1"/>
        <v>33</v>
      </c>
      <c r="D37">
        <v>1</v>
      </c>
      <c r="P37" s="24">
        <f t="shared" si="3"/>
        <v>0</v>
      </c>
    </row>
    <row r="38" spans="1:16">
      <c r="A38">
        <f t="shared" si="1"/>
        <v>34</v>
      </c>
      <c r="D38">
        <v>1</v>
      </c>
      <c r="P38" s="24">
        <f t="shared" si="3"/>
        <v>0</v>
      </c>
    </row>
    <row r="39" spans="1:16">
      <c r="A39">
        <f t="shared" si="1"/>
        <v>35</v>
      </c>
      <c r="D39">
        <v>1</v>
      </c>
      <c r="P39" s="24">
        <f t="shared" si="3"/>
        <v>0</v>
      </c>
    </row>
    <row r="40" spans="1:16">
      <c r="A40">
        <f t="shared" si="1"/>
        <v>36</v>
      </c>
      <c r="P40" s="24">
        <f t="shared" si="3"/>
        <v>0</v>
      </c>
    </row>
    <row r="41" spans="1:16">
      <c r="A41">
        <f t="shared" si="1"/>
        <v>37</v>
      </c>
      <c r="P41" s="24">
        <f t="shared" si="3"/>
        <v>0</v>
      </c>
    </row>
    <row r="42" spans="1:16">
      <c r="A42">
        <f t="shared" si="1"/>
        <v>38</v>
      </c>
      <c r="P42" s="24">
        <f t="shared" si="3"/>
        <v>0</v>
      </c>
    </row>
    <row r="43" spans="1:16">
      <c r="P43" s="24">
        <f t="shared" si="3"/>
        <v>0</v>
      </c>
    </row>
    <row r="44" spans="1:16">
      <c r="P44" s="24">
        <f t="shared" si="3"/>
        <v>0</v>
      </c>
    </row>
    <row r="45" spans="1:16">
      <c r="P45" s="24">
        <f t="shared" si="3"/>
        <v>0</v>
      </c>
    </row>
    <row r="46" spans="1:16">
      <c r="P46" s="24">
        <f t="shared" si="3"/>
        <v>0</v>
      </c>
    </row>
    <row r="47" spans="1:16">
      <c r="P47" s="24">
        <f t="shared" si="3"/>
        <v>0</v>
      </c>
    </row>
    <row r="48" spans="1:16">
      <c r="P48" s="24">
        <f t="shared" si="3"/>
        <v>0</v>
      </c>
    </row>
    <row r="49" spans="16:16">
      <c r="P49" s="24">
        <f t="shared" si="3"/>
        <v>0</v>
      </c>
    </row>
    <row r="50" spans="16:16">
      <c r="P50" s="24">
        <f t="shared" si="3"/>
        <v>0</v>
      </c>
    </row>
    <row r="51" spans="16:16">
      <c r="P51" s="24">
        <f t="shared" si="3"/>
        <v>0</v>
      </c>
    </row>
    <row r="52" spans="16:16">
      <c r="P52" s="24">
        <f t="shared" si="3"/>
        <v>0</v>
      </c>
    </row>
    <row r="53" spans="16:16">
      <c r="P53" s="24">
        <f t="shared" si="3"/>
        <v>0</v>
      </c>
    </row>
    <row r="54" spans="16:16">
      <c r="P54" s="24">
        <f t="shared" si="3"/>
        <v>0</v>
      </c>
    </row>
    <row r="55" spans="16:16">
      <c r="P55" s="24">
        <f t="shared" si="3"/>
        <v>0</v>
      </c>
    </row>
    <row r="56" spans="16:16">
      <c r="P56" s="24">
        <f t="shared" si="3"/>
        <v>0</v>
      </c>
    </row>
    <row r="57" spans="16:16">
      <c r="P57" s="24">
        <f t="shared" si="3"/>
        <v>0</v>
      </c>
    </row>
    <row r="58" spans="16:16">
      <c r="P58" s="24">
        <f t="shared" si="3"/>
        <v>0</v>
      </c>
    </row>
    <row r="59" spans="16:16">
      <c r="P59" s="24">
        <f t="shared" si="3"/>
        <v>0</v>
      </c>
    </row>
    <row r="60" spans="16:16">
      <c r="P60" s="24">
        <f t="shared" si="3"/>
        <v>0</v>
      </c>
    </row>
    <row r="61" spans="16:16">
      <c r="P61" s="24">
        <f t="shared" si="3"/>
        <v>0</v>
      </c>
    </row>
    <row r="62" spans="16:16">
      <c r="P62" s="24">
        <f t="shared" si="3"/>
        <v>0</v>
      </c>
    </row>
    <row r="63" spans="16:16">
      <c r="P63" s="24">
        <f t="shared" si="3"/>
        <v>0</v>
      </c>
    </row>
    <row r="64" spans="16:16">
      <c r="P64" s="24">
        <f t="shared" si="3"/>
        <v>0</v>
      </c>
    </row>
    <row r="65" spans="16:16">
      <c r="P65" s="24">
        <f t="shared" si="3"/>
        <v>0</v>
      </c>
    </row>
    <row r="66" spans="16:16">
      <c r="P66" s="24">
        <f t="shared" si="3"/>
        <v>0</v>
      </c>
    </row>
    <row r="67" spans="16:16">
      <c r="P67" s="24">
        <f t="shared" si="3"/>
        <v>0</v>
      </c>
    </row>
    <row r="68" spans="16:16">
      <c r="P68" s="24">
        <f t="shared" si="3"/>
        <v>0</v>
      </c>
    </row>
    <row r="69" spans="16:16">
      <c r="P69" s="24">
        <f t="shared" si="3"/>
        <v>0</v>
      </c>
    </row>
    <row r="70" spans="16:16">
      <c r="P70" s="24">
        <f t="shared" si="3"/>
        <v>0</v>
      </c>
    </row>
    <row r="71" spans="16:16">
      <c r="P71" s="24">
        <f t="shared" si="3"/>
        <v>0</v>
      </c>
    </row>
    <row r="72" spans="16:16">
      <c r="P72" s="24">
        <f t="shared" si="3"/>
        <v>0</v>
      </c>
    </row>
    <row r="73" spans="16:16">
      <c r="P73" s="24">
        <f t="shared" si="3"/>
        <v>0</v>
      </c>
    </row>
    <row r="74" spans="16:16">
      <c r="P74" s="24">
        <f t="shared" si="3"/>
        <v>0</v>
      </c>
    </row>
    <row r="75" spans="16:16">
      <c r="P75" s="24">
        <f t="shared" si="3"/>
        <v>0</v>
      </c>
    </row>
    <row r="76" spans="16:16">
      <c r="P76" s="24">
        <f t="shared" si="3"/>
        <v>0</v>
      </c>
    </row>
    <row r="77" spans="16:16">
      <c r="P77" s="24">
        <f t="shared" si="3"/>
        <v>0</v>
      </c>
    </row>
    <row r="78" spans="16:16">
      <c r="P78" s="24">
        <f t="shared" si="3"/>
        <v>0</v>
      </c>
    </row>
    <row r="79" spans="16:16">
      <c r="P79" s="24">
        <f t="shared" si="3"/>
        <v>0</v>
      </c>
    </row>
    <row r="80" spans="16:16">
      <c r="P80" s="24">
        <f t="shared" si="3"/>
        <v>0</v>
      </c>
    </row>
    <row r="81" spans="1:16">
      <c r="P81" s="24">
        <f t="shared" si="3"/>
        <v>0</v>
      </c>
    </row>
    <row r="82" spans="1:16">
      <c r="P82" s="24">
        <f t="shared" si="3"/>
        <v>0</v>
      </c>
    </row>
    <row r="83" spans="1:16">
      <c r="P83" s="24">
        <f t="shared" si="3"/>
        <v>0</v>
      </c>
    </row>
    <row r="84" spans="1:16">
      <c r="P84" s="24">
        <f t="shared" ref="P84:P87" si="4">(F84*K84+G84*L84+H84*M84+I84*N84+J84*O84)*$S$1</f>
        <v>0</v>
      </c>
    </row>
    <row r="85" spans="1:16">
      <c r="P85" s="24">
        <f t="shared" si="4"/>
        <v>0</v>
      </c>
    </row>
    <row r="86" spans="1:16">
      <c r="P86" s="24">
        <f t="shared" si="4"/>
        <v>0</v>
      </c>
    </row>
    <row r="87" spans="1:16">
      <c r="P87" s="24">
        <f t="shared" si="4"/>
        <v>0</v>
      </c>
    </row>
    <row r="88" spans="1:16">
      <c r="A88" s="28">
        <f>COUNT(A5:A87)</f>
        <v>38</v>
      </c>
      <c r="B88" s="28">
        <f>SUM(B13:B87)</f>
        <v>6.4</v>
      </c>
      <c r="C88" s="28">
        <f>SUM(C5:C87)</f>
        <v>27</v>
      </c>
      <c r="E88" s="29"/>
      <c r="F88" s="29">
        <f>SUM(F5:F87)</f>
        <v>5220</v>
      </c>
      <c r="G88" s="29">
        <f t="shared" ref="G88:I88" si="5">SUM(G5:G87)</f>
        <v>0</v>
      </c>
      <c r="H88" s="29">
        <f>SUM(H5:H87)</f>
        <v>0</v>
      </c>
      <c r="I88" s="29">
        <f t="shared" si="5"/>
        <v>0</v>
      </c>
      <c r="J88" s="29"/>
      <c r="K88" s="29"/>
      <c r="L88" s="29"/>
      <c r="M88" s="29"/>
      <c r="N88" s="29"/>
      <c r="O88" s="29"/>
      <c r="P88" s="29">
        <f t="shared" ref="P88" si="6">SUM(P5:P87)</f>
        <v>45.022500000000008</v>
      </c>
    </row>
    <row r="89" spans="1:16">
      <c r="F89" s="25">
        <v>3600</v>
      </c>
      <c r="G89" s="25"/>
      <c r="H89" s="25"/>
      <c r="I89" s="25"/>
      <c r="J89" s="2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59</vt:i4>
      </vt:variant>
    </vt:vector>
  </HeadingPairs>
  <TitlesOfParts>
    <vt:vector size="59" baseType="lpstr">
      <vt:lpstr>Sheet1</vt:lpstr>
      <vt:lpstr>cor</vt:lpstr>
      <vt:lpstr>转置</vt:lpstr>
      <vt:lpstr>Sheet2</vt:lpstr>
      <vt:lpstr>Sheet3</vt:lpstr>
      <vt:lpstr>Sheet4</vt:lpstr>
      <vt:lpstr>Sheet5</vt:lpstr>
      <vt:lpstr>测试</vt:lpstr>
      <vt:lpstr>Evaluation</vt:lpstr>
      <vt:lpstr>Evaluation-transfer</vt:lpstr>
      <vt:lpstr>machine_learning</vt:lpstr>
      <vt:lpstr>Randa plot</vt:lpstr>
      <vt:lpstr>房地产销售面积</vt:lpstr>
      <vt:lpstr>matrix</vt:lpstr>
      <vt:lpstr>Previous studies</vt:lpstr>
      <vt:lpstr>VIPcric_1</vt:lpstr>
      <vt:lpstr>VIPcric_2</vt:lpstr>
      <vt:lpstr>VIPcric_3</vt:lpstr>
      <vt:lpstr>六安</vt:lpstr>
      <vt:lpstr>合肥</vt:lpstr>
      <vt:lpstr>东莞</vt:lpstr>
      <vt:lpstr>中山</vt:lpstr>
      <vt:lpstr>佛山</vt:lpstr>
      <vt:lpstr>惠州</vt:lpstr>
      <vt:lpstr>广州</vt:lpstr>
      <vt:lpstr>汕头</vt:lpstr>
      <vt:lpstr>深圳</vt:lpstr>
      <vt:lpstr>清远</vt:lpstr>
      <vt:lpstr>珠海</vt:lpstr>
      <vt:lpstr>肇庆</vt:lpstr>
      <vt:lpstr>韶关</vt:lpstr>
      <vt:lpstr>定安</vt:lpstr>
      <vt:lpstr>白沙县</vt:lpstr>
      <vt:lpstr>陵水</vt:lpstr>
      <vt:lpstr>澄迈</vt:lpstr>
      <vt:lpstr>琼中</vt:lpstr>
      <vt:lpstr>琼海</vt:lpstr>
      <vt:lpstr>屯昌</vt:lpstr>
      <vt:lpstr>文昌</vt:lpstr>
      <vt:lpstr>万宁</vt:lpstr>
      <vt:lpstr>海口</vt:lpstr>
      <vt:lpstr>昌江</vt:lpstr>
      <vt:lpstr>五指山</vt:lpstr>
      <vt:lpstr>儋州</vt:lpstr>
      <vt:lpstr>北海</vt:lpstr>
      <vt:lpstr>兰州</vt:lpstr>
      <vt:lpstr>北京</vt:lpstr>
      <vt:lpstr>信阳</vt:lpstr>
      <vt:lpstr>丽水</vt:lpstr>
      <vt:lpstr>义乌</vt:lpstr>
      <vt:lpstr>临高</vt:lpstr>
      <vt:lpstr>乐东县</vt:lpstr>
      <vt:lpstr>上海</vt:lpstr>
      <vt:lpstr>上饶</vt:lpstr>
      <vt:lpstr>九江</vt:lpstr>
      <vt:lpstr>东方</vt:lpstr>
      <vt:lpstr>东营</vt:lpstr>
      <vt:lpstr>中卫</vt:lpstr>
      <vt:lpstr>乐山市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Liu YM</cp:lastModifiedBy>
  <dcterms:created xsi:type="dcterms:W3CDTF">2015-06-05T18:19:34Z</dcterms:created>
  <dcterms:modified xsi:type="dcterms:W3CDTF">2025-04-02T14:34:41Z</dcterms:modified>
</cp:coreProperties>
</file>